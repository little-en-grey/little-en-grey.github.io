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563" activeTab="1"/>
  </bookViews>
  <sheets>
    <sheet name="マスタ(触らない)" sheetId="1" r:id="rId1"/>
    <sheet name="データ" sheetId="4" r:id="rId2"/>
    <sheet name="スキル" sheetId="5" r:id="rId3"/>
    <sheet name="タクティクス" sheetId="6" r:id="rId4"/>
  </sheets>
  <definedNames>
    <definedName name="_xlnm._FilterDatabase" localSheetId="2" hidden="1">スキル!$B$1:$C$1</definedName>
    <definedName name="_xlnm._FilterDatabase" localSheetId="3" hidden="1">タクティクス!$B$1:$C$1</definedName>
    <definedName name="_xlnm._FilterDatabase" localSheetId="1" hidden="1">データ!$A$1:$V$826</definedName>
    <definedName name="_xlnm._FilterDatabase" localSheetId="0" hidden="1">'マスタ(触らない)'!$A$1:$BK$701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99" i="1"/>
  <c r="BI100" i="1"/>
  <c r="BI101" i="1"/>
  <c r="BI102" i="1"/>
  <c r="BI103" i="1"/>
  <c r="BI104" i="1"/>
  <c r="BI105" i="1"/>
  <c r="BI106" i="1"/>
  <c r="BI107" i="1"/>
  <c r="BI108" i="1"/>
  <c r="BI109" i="1"/>
  <c r="BI110" i="1"/>
  <c r="BI111" i="1"/>
  <c r="BI112" i="1"/>
  <c r="BI113" i="1"/>
  <c r="BI114" i="1"/>
  <c r="BI115" i="1"/>
  <c r="BI116" i="1"/>
  <c r="BI117" i="1"/>
  <c r="BI118" i="1"/>
  <c r="BI119" i="1"/>
  <c r="BI120" i="1"/>
  <c r="BI121" i="1"/>
  <c r="BI122" i="1"/>
  <c r="BI123" i="1"/>
  <c r="BI124" i="1"/>
  <c r="BI125" i="1"/>
  <c r="BI126" i="1"/>
  <c r="BI127" i="1"/>
  <c r="BI128" i="1"/>
  <c r="BI129" i="1"/>
  <c r="BI130" i="1"/>
  <c r="BI131" i="1"/>
  <c r="BI132" i="1"/>
  <c r="BI133" i="1"/>
  <c r="BI134" i="1"/>
  <c r="BI135" i="1"/>
  <c r="BI136" i="1"/>
  <c r="BI137" i="1"/>
  <c r="BI138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0" i="1"/>
  <c r="BI161" i="1"/>
  <c r="BI162" i="1"/>
  <c r="BI163" i="1"/>
  <c r="BI164" i="1"/>
  <c r="BI165" i="1"/>
  <c r="BI166" i="1"/>
  <c r="BI167" i="1"/>
  <c r="BI168" i="1"/>
  <c r="BI169" i="1"/>
  <c r="BI170" i="1"/>
  <c r="BI171" i="1"/>
  <c r="BI172" i="1"/>
  <c r="BI173" i="1"/>
  <c r="BI174" i="1"/>
  <c r="BI175" i="1"/>
  <c r="BI176" i="1"/>
  <c r="BI177" i="1"/>
  <c r="BI178" i="1"/>
  <c r="BI179" i="1"/>
  <c r="BI180" i="1"/>
  <c r="BI181" i="1"/>
  <c r="BI182" i="1"/>
  <c r="BI183" i="1"/>
  <c r="BI184" i="1"/>
  <c r="BI185" i="1"/>
  <c r="BI186" i="1"/>
  <c r="BI187" i="1"/>
  <c r="BI188" i="1"/>
  <c r="BI189" i="1"/>
  <c r="BI190" i="1"/>
  <c r="BI191" i="1"/>
  <c r="BI192" i="1"/>
  <c r="BI193" i="1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207" i="1"/>
  <c r="BI208" i="1"/>
  <c r="BI209" i="1"/>
  <c r="BI210" i="1"/>
  <c r="BI211" i="1"/>
  <c r="BI212" i="1"/>
  <c r="BI213" i="1"/>
  <c r="BI214" i="1"/>
  <c r="BI215" i="1"/>
  <c r="BI216" i="1"/>
  <c r="BI217" i="1"/>
  <c r="BI218" i="1"/>
  <c r="BI219" i="1"/>
  <c r="BI220" i="1"/>
  <c r="BI221" i="1"/>
  <c r="BI222" i="1"/>
  <c r="BI223" i="1"/>
  <c r="BI224" i="1"/>
  <c r="BI225" i="1"/>
  <c r="BI226" i="1"/>
  <c r="BI227" i="1"/>
  <c r="BI228" i="1"/>
  <c r="BI229" i="1"/>
  <c r="BI230" i="1"/>
  <c r="BI231" i="1"/>
  <c r="BI232" i="1"/>
  <c r="BI233" i="1"/>
  <c r="BI234" i="1"/>
  <c r="BI235" i="1"/>
  <c r="BI236" i="1"/>
  <c r="BI237" i="1"/>
  <c r="BI238" i="1"/>
  <c r="BI239" i="1"/>
  <c r="BI240" i="1"/>
  <c r="BI241" i="1"/>
  <c r="BI242" i="1"/>
  <c r="BI243" i="1"/>
  <c r="BI244" i="1"/>
  <c r="BI245" i="1"/>
  <c r="BI246" i="1"/>
  <c r="BI247" i="1"/>
  <c r="BI248" i="1"/>
  <c r="BI249" i="1"/>
  <c r="BI250" i="1"/>
  <c r="BI251" i="1"/>
  <c r="BI252" i="1"/>
  <c r="BI253" i="1"/>
  <c r="BI254" i="1"/>
  <c r="BI255" i="1"/>
  <c r="BI256" i="1"/>
  <c r="BI257" i="1"/>
  <c r="BI258" i="1"/>
  <c r="BI259" i="1"/>
  <c r="BI260" i="1"/>
  <c r="BI261" i="1"/>
  <c r="BI262" i="1"/>
  <c r="BI263" i="1"/>
  <c r="BI264" i="1"/>
  <c r="BI265" i="1"/>
  <c r="BI266" i="1"/>
  <c r="BI267" i="1"/>
  <c r="BI268" i="1"/>
  <c r="BI269" i="1"/>
  <c r="BI270" i="1"/>
  <c r="BI271" i="1"/>
  <c r="BI272" i="1"/>
  <c r="BI273" i="1"/>
  <c r="BI274" i="1"/>
  <c r="BI275" i="1"/>
  <c r="BI276" i="1"/>
  <c r="BI277" i="1"/>
  <c r="BI278" i="1"/>
  <c r="BI279" i="1"/>
  <c r="BI280" i="1"/>
  <c r="BI281" i="1"/>
  <c r="BI282" i="1"/>
  <c r="BI283" i="1"/>
  <c r="BI284" i="1"/>
  <c r="BI285" i="1"/>
  <c r="BI286" i="1"/>
  <c r="BI287" i="1"/>
  <c r="BI288" i="1"/>
  <c r="BI289" i="1"/>
  <c r="BI290" i="1"/>
  <c r="BI291" i="1"/>
  <c r="BI292" i="1"/>
  <c r="BI293" i="1"/>
  <c r="BI294" i="1"/>
  <c r="BI295" i="1"/>
  <c r="BI296" i="1"/>
  <c r="BI297" i="1"/>
  <c r="BI298" i="1"/>
  <c r="BI299" i="1"/>
  <c r="BI300" i="1"/>
  <c r="BI301" i="1"/>
  <c r="BI302" i="1"/>
  <c r="BI303" i="1"/>
  <c r="BI304" i="1"/>
  <c r="BI305" i="1"/>
  <c r="BI306" i="1"/>
  <c r="BI307" i="1"/>
  <c r="BI308" i="1"/>
  <c r="BI309" i="1"/>
  <c r="BI310" i="1"/>
  <c r="BI311" i="1"/>
  <c r="BI312" i="1"/>
  <c r="BI313" i="1"/>
  <c r="BI314" i="1"/>
  <c r="BI315" i="1"/>
  <c r="BI316" i="1"/>
  <c r="BI317" i="1"/>
  <c r="BI318" i="1"/>
  <c r="BI319" i="1"/>
  <c r="BI320" i="1"/>
  <c r="BI321" i="1"/>
  <c r="BI322" i="1"/>
  <c r="BI323" i="1"/>
  <c r="BI324" i="1"/>
  <c r="BI325" i="1"/>
  <c r="BI326" i="1"/>
  <c r="BI327" i="1"/>
  <c r="BI328" i="1"/>
  <c r="BI329" i="1"/>
  <c r="BI330" i="1"/>
  <c r="BI331" i="1"/>
  <c r="BI332" i="1"/>
  <c r="BI333" i="1"/>
  <c r="BI334" i="1"/>
  <c r="BI335" i="1"/>
  <c r="BI336" i="1"/>
  <c r="BI337" i="1"/>
  <c r="BI338" i="1"/>
  <c r="BI339" i="1"/>
  <c r="BI340" i="1"/>
  <c r="BI341" i="1"/>
  <c r="BI342" i="1"/>
  <c r="BI343" i="1"/>
  <c r="BI344" i="1"/>
  <c r="BI345" i="1"/>
  <c r="BI346" i="1"/>
  <c r="BI347" i="1"/>
  <c r="BI348" i="1"/>
  <c r="BI349" i="1"/>
  <c r="BI350" i="1"/>
  <c r="BI351" i="1"/>
  <c r="BI352" i="1"/>
  <c r="BI353" i="1"/>
  <c r="BI354" i="1"/>
  <c r="BI355" i="1"/>
  <c r="BI356" i="1"/>
  <c r="BI357" i="1"/>
  <c r="BI358" i="1"/>
  <c r="BI359" i="1"/>
  <c r="BI360" i="1"/>
  <c r="BI361" i="1"/>
  <c r="BI362" i="1"/>
  <c r="BI363" i="1"/>
  <c r="BI364" i="1"/>
  <c r="BI365" i="1"/>
  <c r="BI366" i="1"/>
  <c r="BI367" i="1"/>
  <c r="BI368" i="1"/>
  <c r="BI369" i="1"/>
  <c r="BI370" i="1"/>
  <c r="BI371" i="1"/>
  <c r="BI372" i="1"/>
  <c r="BI373" i="1"/>
  <c r="BI374" i="1"/>
  <c r="BI375" i="1"/>
  <c r="BI376" i="1"/>
  <c r="BI377" i="1"/>
  <c r="BI378" i="1"/>
  <c r="BI379" i="1"/>
  <c r="BI380" i="1"/>
  <c r="BI381" i="1"/>
  <c r="BI382" i="1"/>
  <c r="BI383" i="1"/>
  <c r="BI384" i="1"/>
  <c r="BI385" i="1"/>
  <c r="BI386" i="1"/>
  <c r="BI387" i="1"/>
  <c r="BI388" i="1"/>
  <c r="BI389" i="1"/>
  <c r="BI390" i="1"/>
  <c r="BI391" i="1"/>
  <c r="BI392" i="1"/>
  <c r="BI393" i="1"/>
  <c r="BI394" i="1"/>
  <c r="BI395" i="1"/>
  <c r="BI396" i="1"/>
  <c r="BI397" i="1"/>
  <c r="BI398" i="1"/>
  <c r="BI399" i="1"/>
  <c r="BI400" i="1"/>
  <c r="BI401" i="1"/>
  <c r="BI402" i="1"/>
  <c r="BI403" i="1"/>
  <c r="BI404" i="1"/>
  <c r="BI405" i="1"/>
  <c r="BI406" i="1"/>
  <c r="BI407" i="1"/>
  <c r="BI408" i="1"/>
  <c r="BI409" i="1"/>
  <c r="BI410" i="1"/>
  <c r="BI411" i="1"/>
  <c r="BI412" i="1"/>
  <c r="BI413" i="1"/>
  <c r="BI414" i="1"/>
  <c r="BI415" i="1"/>
  <c r="BI416" i="1"/>
  <c r="BI417" i="1"/>
  <c r="BI418" i="1"/>
  <c r="BI419" i="1"/>
  <c r="BI420" i="1"/>
  <c r="BI421" i="1"/>
  <c r="BI422" i="1"/>
  <c r="BI423" i="1"/>
  <c r="BI424" i="1"/>
  <c r="BI425" i="1"/>
  <c r="BI426" i="1"/>
  <c r="BI427" i="1"/>
  <c r="BI428" i="1"/>
  <c r="BI429" i="1"/>
  <c r="BI430" i="1"/>
  <c r="BI431" i="1"/>
  <c r="BI432" i="1"/>
  <c r="BI433" i="1"/>
  <c r="BI434" i="1"/>
  <c r="BI435" i="1"/>
  <c r="BI436" i="1"/>
  <c r="BI437" i="1"/>
  <c r="BI438" i="1"/>
  <c r="BI439" i="1"/>
  <c r="BI440" i="1"/>
  <c r="BI441" i="1"/>
  <c r="BI442" i="1"/>
  <c r="BI443" i="1"/>
  <c r="BI444" i="1"/>
  <c r="BI445" i="1"/>
  <c r="BI446" i="1"/>
  <c r="BI447" i="1"/>
  <c r="BI448" i="1"/>
  <c r="BI449" i="1"/>
  <c r="BI450" i="1"/>
  <c r="BI451" i="1"/>
  <c r="BI452" i="1"/>
  <c r="BI453" i="1"/>
  <c r="BI454" i="1"/>
  <c r="BI455" i="1"/>
  <c r="BI456" i="1"/>
  <c r="BI457" i="1"/>
  <c r="BI458" i="1"/>
  <c r="BI459" i="1"/>
  <c r="BI460" i="1"/>
  <c r="BI461" i="1"/>
  <c r="BI462" i="1"/>
  <c r="BI463" i="1"/>
  <c r="BI464" i="1"/>
  <c r="BI465" i="1"/>
  <c r="BI466" i="1"/>
  <c r="BI467" i="1"/>
  <c r="BI468" i="1"/>
  <c r="BI469" i="1"/>
  <c r="BI470" i="1"/>
  <c r="BI471" i="1"/>
  <c r="BI472" i="1"/>
  <c r="BI473" i="1"/>
  <c r="BI474" i="1"/>
  <c r="BI475" i="1"/>
  <c r="BI476" i="1"/>
  <c r="BI477" i="1"/>
  <c r="BI478" i="1"/>
  <c r="BI479" i="1"/>
  <c r="BI480" i="1"/>
  <c r="BI481" i="1"/>
  <c r="BI482" i="1"/>
  <c r="BI483" i="1"/>
  <c r="BI484" i="1"/>
  <c r="BI485" i="1"/>
  <c r="BI486" i="1"/>
  <c r="BI487" i="1"/>
  <c r="BI488" i="1"/>
  <c r="BI489" i="1"/>
  <c r="BI490" i="1"/>
  <c r="BI491" i="1"/>
  <c r="BI492" i="1"/>
  <c r="BI493" i="1"/>
  <c r="BI494" i="1"/>
  <c r="BI495" i="1"/>
  <c r="BI496" i="1"/>
  <c r="BI497" i="1"/>
  <c r="BI498" i="1"/>
  <c r="BI499" i="1"/>
  <c r="BI500" i="1"/>
  <c r="BI501" i="1"/>
  <c r="BI502" i="1"/>
  <c r="BI503" i="1"/>
  <c r="BI504" i="1"/>
  <c r="BI505" i="1"/>
  <c r="BI506" i="1"/>
  <c r="BI507" i="1"/>
  <c r="BI508" i="1"/>
  <c r="BI509" i="1"/>
  <c r="BI510" i="1"/>
  <c r="BI511" i="1"/>
  <c r="BI512" i="1"/>
  <c r="BI513" i="1"/>
  <c r="BI514" i="1"/>
  <c r="BI515" i="1"/>
  <c r="BI516" i="1"/>
  <c r="BI517" i="1"/>
  <c r="BI518" i="1"/>
  <c r="BI519" i="1"/>
  <c r="BI520" i="1"/>
  <c r="BI521" i="1"/>
  <c r="BI522" i="1"/>
  <c r="BI523" i="1"/>
  <c r="BI524" i="1"/>
  <c r="BI525" i="1"/>
  <c r="BI526" i="1"/>
  <c r="BI527" i="1"/>
  <c r="BI528" i="1"/>
  <c r="BI529" i="1"/>
  <c r="BI530" i="1"/>
  <c r="BI531" i="1"/>
  <c r="BI532" i="1"/>
  <c r="BI533" i="1"/>
  <c r="BI534" i="1"/>
  <c r="BI535" i="1"/>
  <c r="BI536" i="1"/>
  <c r="BI537" i="1"/>
  <c r="BI538" i="1"/>
  <c r="BI539" i="1"/>
  <c r="BI540" i="1"/>
  <c r="BI541" i="1"/>
  <c r="BI542" i="1"/>
  <c r="BI543" i="1"/>
  <c r="BI544" i="1"/>
  <c r="BI545" i="1"/>
  <c r="BI546" i="1"/>
  <c r="BI547" i="1"/>
  <c r="BI548" i="1"/>
  <c r="BI549" i="1"/>
  <c r="BI550" i="1"/>
  <c r="BI551" i="1"/>
  <c r="BI552" i="1"/>
  <c r="BI553" i="1"/>
  <c r="BI554" i="1"/>
  <c r="BI555" i="1"/>
  <c r="BI556" i="1"/>
  <c r="BI557" i="1"/>
  <c r="BI558" i="1"/>
  <c r="BI559" i="1"/>
  <c r="BI560" i="1"/>
  <c r="BI561" i="1"/>
  <c r="BI562" i="1"/>
  <c r="BI563" i="1"/>
  <c r="BI564" i="1"/>
  <c r="BI565" i="1"/>
  <c r="BI566" i="1"/>
  <c r="BI567" i="1"/>
  <c r="BI568" i="1"/>
  <c r="BI569" i="1"/>
  <c r="BI570" i="1"/>
  <c r="BI571" i="1"/>
  <c r="BI572" i="1"/>
  <c r="BI573" i="1"/>
  <c r="BI574" i="1"/>
  <c r="BI575" i="1"/>
  <c r="BI576" i="1"/>
  <c r="BI577" i="1"/>
  <c r="BI578" i="1"/>
  <c r="BI579" i="1"/>
  <c r="BI580" i="1"/>
  <c r="BI581" i="1"/>
  <c r="BI582" i="1"/>
  <c r="BI583" i="1"/>
  <c r="BI584" i="1"/>
  <c r="BI585" i="1"/>
  <c r="BI586" i="1"/>
  <c r="BI587" i="1"/>
  <c r="BI588" i="1"/>
  <c r="BI589" i="1"/>
  <c r="BI590" i="1"/>
  <c r="BI591" i="1"/>
  <c r="BI592" i="1"/>
  <c r="BI593" i="1"/>
  <c r="BI594" i="1"/>
  <c r="BI595" i="1"/>
  <c r="BI596" i="1"/>
  <c r="BI597" i="1"/>
  <c r="BI598" i="1"/>
  <c r="BI599" i="1"/>
  <c r="BI600" i="1"/>
  <c r="BI601" i="1"/>
  <c r="BI602" i="1"/>
  <c r="BI603" i="1"/>
  <c r="BI604" i="1"/>
  <c r="BI605" i="1"/>
  <c r="BI606" i="1"/>
  <c r="BI607" i="1"/>
  <c r="BI608" i="1"/>
  <c r="BI609" i="1"/>
  <c r="BI610" i="1"/>
  <c r="BI611" i="1"/>
  <c r="BI612" i="1"/>
  <c r="BI613" i="1"/>
  <c r="BI614" i="1"/>
  <c r="BI615" i="1"/>
  <c r="BI616" i="1"/>
  <c r="BI617" i="1"/>
  <c r="BI618" i="1"/>
  <c r="BI619" i="1"/>
  <c r="BI620" i="1"/>
  <c r="BI621" i="1"/>
  <c r="BI622" i="1"/>
  <c r="BI623" i="1"/>
  <c r="BI624" i="1"/>
  <c r="BI625" i="1"/>
  <c r="BI626" i="1"/>
  <c r="BI627" i="1"/>
  <c r="BI628" i="1"/>
  <c r="BI629" i="1"/>
  <c r="BI630" i="1"/>
  <c r="BI631" i="1"/>
  <c r="BI632" i="1"/>
  <c r="BI633" i="1"/>
  <c r="BI634" i="1"/>
  <c r="BI635" i="1"/>
  <c r="BI636" i="1"/>
  <c r="BI637" i="1"/>
  <c r="BI638" i="1"/>
  <c r="BI639" i="1"/>
  <c r="BI640" i="1"/>
  <c r="BI641" i="1"/>
  <c r="BI642" i="1"/>
  <c r="BI643" i="1"/>
  <c r="BI644" i="1"/>
  <c r="BI645" i="1"/>
  <c r="BI646" i="1"/>
  <c r="BI647" i="1"/>
  <c r="BI648" i="1"/>
  <c r="BI649" i="1"/>
  <c r="BI650" i="1"/>
  <c r="BI651" i="1"/>
  <c r="BI652" i="1"/>
  <c r="BI653" i="1"/>
  <c r="BI654" i="1"/>
  <c r="BI655" i="1"/>
  <c r="BI656" i="1"/>
  <c r="BI657" i="1"/>
  <c r="BI658" i="1"/>
  <c r="BI659" i="1"/>
  <c r="BI660" i="1"/>
  <c r="BI661" i="1"/>
  <c r="BI662" i="1"/>
  <c r="BI663" i="1"/>
  <c r="BI664" i="1"/>
  <c r="BI665" i="1"/>
  <c r="BI666" i="1"/>
  <c r="BI667" i="1"/>
  <c r="BI668" i="1"/>
  <c r="BI669" i="1"/>
  <c r="BI670" i="1"/>
  <c r="BI671" i="1"/>
  <c r="BI672" i="1"/>
  <c r="BI673" i="1"/>
  <c r="BI674" i="1"/>
  <c r="BI675" i="1"/>
  <c r="BI676" i="1"/>
  <c r="BI677" i="1"/>
  <c r="BI678" i="1"/>
  <c r="BI679" i="1"/>
  <c r="BI680" i="1"/>
  <c r="BI681" i="1"/>
  <c r="BI682" i="1"/>
  <c r="BI683" i="1"/>
  <c r="BI684" i="1"/>
  <c r="BI685" i="1"/>
  <c r="BI686" i="1"/>
  <c r="BI687" i="1"/>
  <c r="BI688" i="1"/>
  <c r="BI689" i="1"/>
  <c r="BI690" i="1"/>
  <c r="BI691" i="1"/>
  <c r="BI692" i="1"/>
  <c r="BI693" i="1"/>
  <c r="BI694" i="1"/>
  <c r="BI695" i="1"/>
  <c r="BI696" i="1"/>
  <c r="BI697" i="1"/>
  <c r="BI698" i="1"/>
  <c r="BI699" i="1"/>
  <c r="BI700" i="1"/>
  <c r="BI701" i="1"/>
  <c r="BI702" i="1"/>
  <c r="BI703" i="1"/>
  <c r="BI704" i="1"/>
  <c r="BI705" i="1"/>
  <c r="BI706" i="1"/>
  <c r="BI707" i="1"/>
  <c r="BI708" i="1"/>
  <c r="BI709" i="1"/>
  <c r="BI710" i="1"/>
  <c r="BI711" i="1"/>
  <c r="BI712" i="1"/>
  <c r="BI713" i="1"/>
  <c r="BI714" i="1"/>
  <c r="BI715" i="1"/>
  <c r="BI716" i="1"/>
  <c r="BI717" i="1"/>
  <c r="BI718" i="1"/>
  <c r="BI719" i="1"/>
  <c r="BI720" i="1"/>
  <c r="BI721" i="1"/>
  <c r="BI722" i="1"/>
  <c r="BI723" i="1"/>
  <c r="BI724" i="1"/>
  <c r="BI725" i="1"/>
  <c r="BI726" i="1"/>
  <c r="BI727" i="1"/>
  <c r="BI728" i="1"/>
  <c r="BI729" i="1"/>
  <c r="BI730" i="1"/>
  <c r="BI731" i="1"/>
  <c r="BI732" i="1"/>
  <c r="BI733" i="1"/>
  <c r="BI734" i="1"/>
  <c r="BI735" i="1"/>
  <c r="BI736" i="1"/>
  <c r="BI737" i="1"/>
  <c r="BI738" i="1"/>
  <c r="BI739" i="1"/>
  <c r="BI740" i="1"/>
  <c r="BI741" i="1"/>
  <c r="BI742" i="1"/>
  <c r="BI743" i="1"/>
  <c r="BI744" i="1"/>
  <c r="BI745" i="1"/>
  <c r="BI746" i="1"/>
  <c r="BI747" i="1"/>
  <c r="BI748" i="1"/>
  <c r="BI749" i="1"/>
  <c r="BI750" i="1"/>
  <c r="BI751" i="1"/>
  <c r="BI752" i="1"/>
  <c r="BI753" i="1"/>
  <c r="BI754" i="1"/>
  <c r="BI755" i="1"/>
  <c r="BI756" i="1"/>
  <c r="BI757" i="1"/>
  <c r="BI758" i="1"/>
  <c r="BI759" i="1"/>
  <c r="BI760" i="1"/>
  <c r="BI761" i="1"/>
  <c r="BI762" i="1"/>
  <c r="BI763" i="1"/>
  <c r="BI764" i="1"/>
  <c r="BI765" i="1"/>
  <c r="BI766" i="1"/>
  <c r="BI767" i="1"/>
  <c r="BI768" i="1"/>
  <c r="BI769" i="1"/>
  <c r="BI770" i="1"/>
  <c r="BI771" i="1"/>
  <c r="BI772" i="1"/>
  <c r="BI773" i="1"/>
  <c r="BI774" i="1"/>
  <c r="BI775" i="1"/>
  <c r="BI776" i="1"/>
  <c r="BI777" i="1"/>
  <c r="BI778" i="1"/>
  <c r="BI779" i="1"/>
  <c r="BI780" i="1"/>
  <c r="BI781" i="1"/>
  <c r="BI782" i="1"/>
  <c r="BI783" i="1"/>
  <c r="BI784" i="1"/>
  <c r="BI785" i="1"/>
  <c r="BI786" i="1"/>
  <c r="BI787" i="1"/>
  <c r="BI788" i="1"/>
  <c r="BI789" i="1"/>
  <c r="BI790" i="1"/>
  <c r="BI791" i="1"/>
  <c r="BI792" i="1"/>
  <c r="BI793" i="1"/>
  <c r="BI794" i="1"/>
  <c r="BI795" i="1"/>
  <c r="BI796" i="1"/>
  <c r="BI797" i="1"/>
  <c r="BI798" i="1"/>
  <c r="BI799" i="1"/>
  <c r="BI800" i="1"/>
  <c r="BI801" i="1"/>
  <c r="BI802" i="1"/>
  <c r="BI803" i="1"/>
  <c r="BI804" i="1"/>
  <c r="BI805" i="1"/>
  <c r="BI806" i="1"/>
  <c r="BI807" i="1"/>
  <c r="BI808" i="1"/>
  <c r="BI809" i="1"/>
  <c r="BI810" i="1"/>
  <c r="BI811" i="1"/>
  <c r="BI812" i="1"/>
  <c r="BI813" i="1"/>
  <c r="BI814" i="1"/>
  <c r="BI815" i="1"/>
  <c r="BI816" i="1"/>
  <c r="BI817" i="1"/>
  <c r="BI818" i="1"/>
  <c r="BI819" i="1"/>
  <c r="BI820" i="1"/>
  <c r="BI821" i="1"/>
  <c r="BI822" i="1"/>
  <c r="BI823" i="1"/>
  <c r="BI824" i="1"/>
  <c r="BI825" i="1"/>
  <c r="BI826" i="1"/>
  <c r="BI827" i="1"/>
  <c r="BI828" i="1"/>
  <c r="BI829" i="1"/>
  <c r="BI830" i="1"/>
  <c r="BI831" i="1"/>
  <c r="BI832" i="1"/>
  <c r="BI833" i="1"/>
  <c r="BI834" i="1"/>
  <c r="BI835" i="1"/>
  <c r="BI836" i="1"/>
  <c r="BI837" i="1"/>
  <c r="BI838" i="1"/>
  <c r="BI839" i="1"/>
  <c r="BI840" i="1"/>
  <c r="BI841" i="1"/>
  <c r="BI842" i="1"/>
  <c r="BI843" i="1"/>
  <c r="BI844" i="1"/>
  <c r="BI845" i="1"/>
  <c r="BI846" i="1"/>
  <c r="BI847" i="1"/>
  <c r="BI848" i="1"/>
  <c r="BI849" i="1"/>
  <c r="BI850" i="1"/>
  <c r="BI851" i="1"/>
  <c r="BI852" i="1"/>
  <c r="BI853" i="1"/>
  <c r="BI854" i="1"/>
  <c r="BI855" i="1"/>
  <c r="BI856" i="1"/>
  <c r="BI857" i="1"/>
  <c r="BI858" i="1"/>
  <c r="BI859" i="1"/>
  <c r="BI860" i="1"/>
  <c r="BI861" i="1"/>
  <c r="BI862" i="1"/>
  <c r="BI863" i="1"/>
  <c r="BI864" i="1"/>
  <c r="BI865" i="1"/>
  <c r="BI866" i="1"/>
  <c r="BI867" i="1"/>
  <c r="BI868" i="1"/>
  <c r="BI869" i="1"/>
  <c r="BI870" i="1"/>
  <c r="BI871" i="1"/>
  <c r="BI2" i="1"/>
  <c r="C739" i="1" l="1"/>
  <c r="E739" i="1"/>
  <c r="H739" i="1"/>
  <c r="K739" i="1"/>
  <c r="N739" i="1"/>
  <c r="Q739" i="1"/>
  <c r="T739" i="1"/>
  <c r="W739" i="1"/>
  <c r="Z739" i="1"/>
  <c r="AC739" i="1"/>
  <c r="AI739" i="1"/>
  <c r="AN739" i="1"/>
  <c r="AS739" i="1"/>
  <c r="AX739" i="1"/>
  <c r="BC739" i="1"/>
  <c r="BF739" i="1"/>
  <c r="C740" i="1"/>
  <c r="E740" i="1"/>
  <c r="H740" i="1"/>
  <c r="K740" i="1"/>
  <c r="N740" i="1"/>
  <c r="Q740" i="1"/>
  <c r="T740" i="1"/>
  <c r="W740" i="1"/>
  <c r="Z740" i="1"/>
  <c r="AC740" i="1"/>
  <c r="AI740" i="1"/>
  <c r="AN740" i="1"/>
  <c r="AS740" i="1"/>
  <c r="AX740" i="1"/>
  <c r="BC740" i="1"/>
  <c r="BF740" i="1"/>
  <c r="C741" i="1"/>
  <c r="E741" i="1"/>
  <c r="H741" i="1"/>
  <c r="K741" i="1"/>
  <c r="N741" i="1"/>
  <c r="Q741" i="1"/>
  <c r="T741" i="1"/>
  <c r="W741" i="1"/>
  <c r="Z741" i="1"/>
  <c r="AC741" i="1"/>
  <c r="AI741" i="1"/>
  <c r="AN741" i="1"/>
  <c r="AS741" i="1"/>
  <c r="AX741" i="1"/>
  <c r="BC741" i="1"/>
  <c r="BF741" i="1"/>
  <c r="C742" i="1"/>
  <c r="E742" i="1"/>
  <c r="H742" i="1"/>
  <c r="K742" i="1"/>
  <c r="N742" i="1"/>
  <c r="Q742" i="1"/>
  <c r="T742" i="1"/>
  <c r="W742" i="1"/>
  <c r="Z742" i="1"/>
  <c r="AC742" i="1"/>
  <c r="AI742" i="1"/>
  <c r="AN742" i="1"/>
  <c r="AS742" i="1"/>
  <c r="AX742" i="1"/>
  <c r="BC742" i="1"/>
  <c r="BF742" i="1"/>
  <c r="C743" i="1"/>
  <c r="E743" i="1"/>
  <c r="H743" i="1"/>
  <c r="K743" i="1"/>
  <c r="N743" i="1"/>
  <c r="Q743" i="1"/>
  <c r="T743" i="1"/>
  <c r="W743" i="1"/>
  <c r="Z743" i="1"/>
  <c r="AC743" i="1"/>
  <c r="AI743" i="1"/>
  <c r="AN743" i="1"/>
  <c r="AS743" i="1"/>
  <c r="AX743" i="1"/>
  <c r="BC743" i="1"/>
  <c r="BF743" i="1"/>
  <c r="C744" i="1"/>
  <c r="E744" i="1"/>
  <c r="H744" i="1"/>
  <c r="K744" i="1"/>
  <c r="N744" i="1"/>
  <c r="Q744" i="1"/>
  <c r="T744" i="1"/>
  <c r="W744" i="1"/>
  <c r="Z744" i="1"/>
  <c r="AC744" i="1"/>
  <c r="AI744" i="1"/>
  <c r="AN744" i="1"/>
  <c r="AS744" i="1"/>
  <c r="AX744" i="1"/>
  <c r="BC744" i="1"/>
  <c r="BF744" i="1"/>
  <c r="C745" i="1"/>
  <c r="E745" i="1"/>
  <c r="H745" i="1"/>
  <c r="K745" i="1"/>
  <c r="N745" i="1"/>
  <c r="Q745" i="1"/>
  <c r="T745" i="1"/>
  <c r="W745" i="1"/>
  <c r="Z745" i="1"/>
  <c r="AC745" i="1"/>
  <c r="AI745" i="1"/>
  <c r="AN745" i="1"/>
  <c r="AS745" i="1"/>
  <c r="AX745" i="1"/>
  <c r="BC745" i="1"/>
  <c r="BF745" i="1"/>
  <c r="C746" i="1"/>
  <c r="E746" i="1"/>
  <c r="H746" i="1"/>
  <c r="K746" i="1"/>
  <c r="N746" i="1"/>
  <c r="Q746" i="1"/>
  <c r="T746" i="1"/>
  <c r="W746" i="1"/>
  <c r="Z746" i="1"/>
  <c r="AC746" i="1"/>
  <c r="AI746" i="1"/>
  <c r="AN746" i="1"/>
  <c r="AS746" i="1"/>
  <c r="AX746" i="1"/>
  <c r="BC746" i="1"/>
  <c r="BF746" i="1"/>
  <c r="C747" i="1"/>
  <c r="E747" i="1"/>
  <c r="H747" i="1"/>
  <c r="K747" i="1"/>
  <c r="N747" i="1"/>
  <c r="Q747" i="1"/>
  <c r="T747" i="1"/>
  <c r="W747" i="1"/>
  <c r="Z747" i="1"/>
  <c r="AC747" i="1"/>
  <c r="AI747" i="1"/>
  <c r="AN747" i="1"/>
  <c r="AS747" i="1"/>
  <c r="AX747" i="1"/>
  <c r="BC747" i="1"/>
  <c r="BF747" i="1"/>
  <c r="C748" i="1"/>
  <c r="E748" i="1"/>
  <c r="H748" i="1"/>
  <c r="K748" i="1"/>
  <c r="N748" i="1"/>
  <c r="Q748" i="1"/>
  <c r="T748" i="1"/>
  <c r="W748" i="1"/>
  <c r="Z748" i="1"/>
  <c r="AC748" i="1"/>
  <c r="AI748" i="1"/>
  <c r="AN748" i="1"/>
  <c r="AS748" i="1"/>
  <c r="AX748" i="1"/>
  <c r="BC748" i="1"/>
  <c r="BF748" i="1"/>
  <c r="C749" i="1"/>
  <c r="E749" i="1"/>
  <c r="H749" i="1"/>
  <c r="K749" i="1"/>
  <c r="N749" i="1"/>
  <c r="Q749" i="1"/>
  <c r="T749" i="1"/>
  <c r="W749" i="1"/>
  <c r="Z749" i="1"/>
  <c r="AC749" i="1"/>
  <c r="AI749" i="1"/>
  <c r="AN749" i="1"/>
  <c r="AS749" i="1"/>
  <c r="AX749" i="1"/>
  <c r="BC749" i="1"/>
  <c r="BF749" i="1"/>
  <c r="C750" i="1"/>
  <c r="E750" i="1"/>
  <c r="H750" i="1"/>
  <c r="K750" i="1"/>
  <c r="N750" i="1"/>
  <c r="Q750" i="1"/>
  <c r="T750" i="1"/>
  <c r="W750" i="1"/>
  <c r="Z750" i="1"/>
  <c r="AC750" i="1"/>
  <c r="AI750" i="1"/>
  <c r="AN750" i="1"/>
  <c r="AS750" i="1"/>
  <c r="AX750" i="1"/>
  <c r="BC750" i="1"/>
  <c r="BF750" i="1"/>
  <c r="C751" i="1"/>
  <c r="E751" i="1"/>
  <c r="H751" i="1"/>
  <c r="K751" i="1"/>
  <c r="N751" i="1"/>
  <c r="Q751" i="1"/>
  <c r="T751" i="1"/>
  <c r="W751" i="1"/>
  <c r="Z751" i="1"/>
  <c r="AC751" i="1"/>
  <c r="AI751" i="1"/>
  <c r="AN751" i="1"/>
  <c r="AS751" i="1"/>
  <c r="AX751" i="1"/>
  <c r="BC751" i="1"/>
  <c r="BF751" i="1"/>
  <c r="C752" i="1"/>
  <c r="E752" i="1"/>
  <c r="H752" i="1"/>
  <c r="K752" i="1"/>
  <c r="N752" i="1"/>
  <c r="Q752" i="1"/>
  <c r="T752" i="1"/>
  <c r="W752" i="1"/>
  <c r="Z752" i="1"/>
  <c r="AC752" i="1"/>
  <c r="AI752" i="1"/>
  <c r="AN752" i="1"/>
  <c r="AS752" i="1"/>
  <c r="AX752" i="1"/>
  <c r="BC752" i="1"/>
  <c r="BF752" i="1"/>
  <c r="C753" i="1"/>
  <c r="E753" i="1"/>
  <c r="H753" i="1"/>
  <c r="K753" i="1"/>
  <c r="N753" i="1"/>
  <c r="Q753" i="1"/>
  <c r="T753" i="1"/>
  <c r="W753" i="1"/>
  <c r="Z753" i="1"/>
  <c r="AC753" i="1"/>
  <c r="AI753" i="1"/>
  <c r="AN753" i="1"/>
  <c r="AS753" i="1"/>
  <c r="AX753" i="1"/>
  <c r="BC753" i="1"/>
  <c r="BF753" i="1"/>
  <c r="C754" i="1"/>
  <c r="E754" i="1"/>
  <c r="H754" i="1"/>
  <c r="K754" i="1"/>
  <c r="N754" i="1"/>
  <c r="Q754" i="1"/>
  <c r="T754" i="1"/>
  <c r="W754" i="1"/>
  <c r="Z754" i="1"/>
  <c r="AC754" i="1"/>
  <c r="AI754" i="1"/>
  <c r="AN754" i="1"/>
  <c r="AS754" i="1"/>
  <c r="AX754" i="1"/>
  <c r="BC754" i="1"/>
  <c r="BF754" i="1"/>
  <c r="C755" i="1"/>
  <c r="E755" i="1"/>
  <c r="H755" i="1"/>
  <c r="K755" i="1"/>
  <c r="N755" i="1"/>
  <c r="Q755" i="1"/>
  <c r="T755" i="1"/>
  <c r="W755" i="1"/>
  <c r="Z755" i="1"/>
  <c r="AC755" i="1"/>
  <c r="AI755" i="1"/>
  <c r="AN755" i="1"/>
  <c r="AS755" i="1"/>
  <c r="AX755" i="1"/>
  <c r="BC755" i="1"/>
  <c r="BF755" i="1"/>
  <c r="C756" i="1"/>
  <c r="E756" i="1"/>
  <c r="H756" i="1"/>
  <c r="K756" i="1"/>
  <c r="N756" i="1"/>
  <c r="Q756" i="1"/>
  <c r="T756" i="1"/>
  <c r="W756" i="1"/>
  <c r="Z756" i="1"/>
  <c r="AC756" i="1"/>
  <c r="AI756" i="1"/>
  <c r="AN756" i="1"/>
  <c r="AS756" i="1"/>
  <c r="AX756" i="1"/>
  <c r="BC756" i="1"/>
  <c r="BF756" i="1"/>
  <c r="C757" i="1"/>
  <c r="E757" i="1"/>
  <c r="H757" i="1"/>
  <c r="K757" i="1"/>
  <c r="N757" i="1"/>
  <c r="Q757" i="1"/>
  <c r="T757" i="1"/>
  <c r="W757" i="1"/>
  <c r="Z757" i="1"/>
  <c r="AC757" i="1"/>
  <c r="AI757" i="1"/>
  <c r="AN757" i="1"/>
  <c r="AS757" i="1"/>
  <c r="AX757" i="1"/>
  <c r="BC757" i="1"/>
  <c r="BF757" i="1"/>
  <c r="C758" i="1"/>
  <c r="E758" i="1"/>
  <c r="H758" i="1"/>
  <c r="K758" i="1"/>
  <c r="N758" i="1"/>
  <c r="Q758" i="1"/>
  <c r="T758" i="1"/>
  <c r="W758" i="1"/>
  <c r="Z758" i="1"/>
  <c r="AC758" i="1"/>
  <c r="AI758" i="1"/>
  <c r="AN758" i="1"/>
  <c r="AS758" i="1"/>
  <c r="AX758" i="1"/>
  <c r="BC758" i="1"/>
  <c r="BF758" i="1"/>
  <c r="C759" i="1"/>
  <c r="E759" i="1"/>
  <c r="H759" i="1"/>
  <c r="K759" i="1"/>
  <c r="N759" i="1"/>
  <c r="Q759" i="1"/>
  <c r="T759" i="1"/>
  <c r="W759" i="1"/>
  <c r="Z759" i="1"/>
  <c r="AC759" i="1"/>
  <c r="AI759" i="1"/>
  <c r="AN759" i="1"/>
  <c r="AS759" i="1"/>
  <c r="AX759" i="1"/>
  <c r="BC759" i="1"/>
  <c r="BF759" i="1"/>
  <c r="C760" i="1"/>
  <c r="E760" i="1"/>
  <c r="H760" i="1"/>
  <c r="K760" i="1"/>
  <c r="N760" i="1"/>
  <c r="Q760" i="1"/>
  <c r="T760" i="1"/>
  <c r="W760" i="1"/>
  <c r="Z760" i="1"/>
  <c r="AC760" i="1"/>
  <c r="AI760" i="1"/>
  <c r="AN760" i="1"/>
  <c r="AS760" i="1"/>
  <c r="AX760" i="1"/>
  <c r="BC760" i="1"/>
  <c r="BF760" i="1"/>
  <c r="C761" i="1"/>
  <c r="E761" i="1"/>
  <c r="H761" i="1"/>
  <c r="K761" i="1"/>
  <c r="N761" i="1"/>
  <c r="Q761" i="1"/>
  <c r="T761" i="1"/>
  <c r="W761" i="1"/>
  <c r="Z761" i="1"/>
  <c r="AC761" i="1"/>
  <c r="AI761" i="1"/>
  <c r="AN761" i="1"/>
  <c r="AS761" i="1"/>
  <c r="AX761" i="1"/>
  <c r="BC761" i="1"/>
  <c r="BF761" i="1"/>
  <c r="C762" i="1"/>
  <c r="E762" i="1"/>
  <c r="H762" i="1"/>
  <c r="K762" i="1"/>
  <c r="N762" i="1"/>
  <c r="Q762" i="1"/>
  <c r="T762" i="1"/>
  <c r="W762" i="1"/>
  <c r="Z762" i="1"/>
  <c r="AC762" i="1"/>
  <c r="AI762" i="1"/>
  <c r="AN762" i="1"/>
  <c r="AS762" i="1"/>
  <c r="AX762" i="1"/>
  <c r="BC762" i="1"/>
  <c r="BF762" i="1"/>
  <c r="C763" i="1"/>
  <c r="E763" i="1"/>
  <c r="H763" i="1"/>
  <c r="K763" i="1"/>
  <c r="N763" i="1"/>
  <c r="Q763" i="1"/>
  <c r="T763" i="1"/>
  <c r="W763" i="1"/>
  <c r="Z763" i="1"/>
  <c r="AC763" i="1"/>
  <c r="AI763" i="1"/>
  <c r="AN763" i="1"/>
  <c r="AS763" i="1"/>
  <c r="AX763" i="1"/>
  <c r="BC763" i="1"/>
  <c r="BF763" i="1"/>
  <c r="C764" i="1"/>
  <c r="E764" i="1"/>
  <c r="H764" i="1"/>
  <c r="K764" i="1"/>
  <c r="N764" i="1"/>
  <c r="Q764" i="1"/>
  <c r="T764" i="1"/>
  <c r="W764" i="1"/>
  <c r="Z764" i="1"/>
  <c r="AC764" i="1"/>
  <c r="AI764" i="1"/>
  <c r="AN764" i="1"/>
  <c r="AS764" i="1"/>
  <c r="AX764" i="1"/>
  <c r="BC764" i="1"/>
  <c r="BF764" i="1"/>
  <c r="C765" i="1"/>
  <c r="E765" i="1"/>
  <c r="H765" i="1"/>
  <c r="K765" i="1"/>
  <c r="N765" i="1"/>
  <c r="Q765" i="1"/>
  <c r="T765" i="1"/>
  <c r="W765" i="1"/>
  <c r="Z765" i="1"/>
  <c r="AC765" i="1"/>
  <c r="AI765" i="1"/>
  <c r="AN765" i="1"/>
  <c r="AS765" i="1"/>
  <c r="AX765" i="1"/>
  <c r="BC765" i="1"/>
  <c r="BF765" i="1"/>
  <c r="C766" i="1"/>
  <c r="E766" i="1"/>
  <c r="H766" i="1"/>
  <c r="K766" i="1"/>
  <c r="N766" i="1"/>
  <c r="Q766" i="1"/>
  <c r="T766" i="1"/>
  <c r="W766" i="1"/>
  <c r="Z766" i="1"/>
  <c r="AC766" i="1"/>
  <c r="AI766" i="1"/>
  <c r="AN766" i="1"/>
  <c r="AS766" i="1"/>
  <c r="AX766" i="1"/>
  <c r="BC766" i="1"/>
  <c r="BF766" i="1"/>
  <c r="C767" i="1"/>
  <c r="E767" i="1"/>
  <c r="H767" i="1"/>
  <c r="K767" i="1"/>
  <c r="N767" i="1"/>
  <c r="Q767" i="1"/>
  <c r="T767" i="1"/>
  <c r="W767" i="1"/>
  <c r="Z767" i="1"/>
  <c r="AC767" i="1"/>
  <c r="AI767" i="1"/>
  <c r="AN767" i="1"/>
  <c r="AS767" i="1"/>
  <c r="AX767" i="1"/>
  <c r="BC767" i="1"/>
  <c r="BF767" i="1"/>
  <c r="C768" i="1"/>
  <c r="E768" i="1"/>
  <c r="H768" i="1"/>
  <c r="K768" i="1"/>
  <c r="N768" i="1"/>
  <c r="Q768" i="1"/>
  <c r="T768" i="1"/>
  <c r="W768" i="1"/>
  <c r="Z768" i="1"/>
  <c r="AC768" i="1"/>
  <c r="AI768" i="1"/>
  <c r="AN768" i="1"/>
  <c r="AS768" i="1"/>
  <c r="AX768" i="1"/>
  <c r="BC768" i="1"/>
  <c r="BF768" i="1"/>
  <c r="C769" i="1"/>
  <c r="E769" i="1"/>
  <c r="H769" i="1"/>
  <c r="K769" i="1"/>
  <c r="N769" i="1"/>
  <c r="Q769" i="1"/>
  <c r="T769" i="1"/>
  <c r="W769" i="1"/>
  <c r="Z769" i="1"/>
  <c r="AC769" i="1"/>
  <c r="AI769" i="1"/>
  <c r="AN769" i="1"/>
  <c r="AS769" i="1"/>
  <c r="AX769" i="1"/>
  <c r="BC769" i="1"/>
  <c r="BF769" i="1"/>
  <c r="C770" i="1"/>
  <c r="E770" i="1"/>
  <c r="H770" i="1"/>
  <c r="K770" i="1"/>
  <c r="N770" i="1"/>
  <c r="Q770" i="1"/>
  <c r="T770" i="1"/>
  <c r="W770" i="1"/>
  <c r="Z770" i="1"/>
  <c r="AC770" i="1"/>
  <c r="AI770" i="1"/>
  <c r="AN770" i="1"/>
  <c r="AS770" i="1"/>
  <c r="AX770" i="1"/>
  <c r="BC770" i="1"/>
  <c r="BF770" i="1"/>
  <c r="C771" i="1"/>
  <c r="E771" i="1"/>
  <c r="H771" i="1"/>
  <c r="K771" i="1"/>
  <c r="N771" i="1"/>
  <c r="Q771" i="1"/>
  <c r="T771" i="1"/>
  <c r="W771" i="1"/>
  <c r="Z771" i="1"/>
  <c r="AC771" i="1"/>
  <c r="AI771" i="1"/>
  <c r="AN771" i="1"/>
  <c r="AS771" i="1"/>
  <c r="AX771" i="1"/>
  <c r="BC771" i="1"/>
  <c r="BF771" i="1"/>
  <c r="C772" i="1"/>
  <c r="E772" i="1"/>
  <c r="H772" i="1"/>
  <c r="K772" i="1"/>
  <c r="N772" i="1"/>
  <c r="Q772" i="1"/>
  <c r="T772" i="1"/>
  <c r="W772" i="1"/>
  <c r="Z772" i="1"/>
  <c r="AC772" i="1"/>
  <c r="AI772" i="1"/>
  <c r="AN772" i="1"/>
  <c r="AS772" i="1"/>
  <c r="AX772" i="1"/>
  <c r="BC772" i="1"/>
  <c r="BF772" i="1"/>
  <c r="C773" i="1"/>
  <c r="E773" i="1"/>
  <c r="H773" i="1"/>
  <c r="K773" i="1"/>
  <c r="N773" i="1"/>
  <c r="Q773" i="1"/>
  <c r="T773" i="1"/>
  <c r="W773" i="1"/>
  <c r="Z773" i="1"/>
  <c r="AC773" i="1"/>
  <c r="AI773" i="1"/>
  <c r="AN773" i="1"/>
  <c r="AS773" i="1"/>
  <c r="AX773" i="1"/>
  <c r="BC773" i="1"/>
  <c r="BF773" i="1"/>
  <c r="C774" i="1"/>
  <c r="E774" i="1"/>
  <c r="H774" i="1"/>
  <c r="K774" i="1"/>
  <c r="N774" i="1"/>
  <c r="Q774" i="1"/>
  <c r="T774" i="1"/>
  <c r="W774" i="1"/>
  <c r="Z774" i="1"/>
  <c r="AC774" i="1"/>
  <c r="AI774" i="1"/>
  <c r="AN774" i="1"/>
  <c r="AS774" i="1"/>
  <c r="AX774" i="1"/>
  <c r="BC774" i="1"/>
  <c r="BF774" i="1"/>
  <c r="C775" i="1"/>
  <c r="E775" i="1"/>
  <c r="H775" i="1"/>
  <c r="K775" i="1"/>
  <c r="N775" i="1"/>
  <c r="Q775" i="1"/>
  <c r="T775" i="1"/>
  <c r="W775" i="1"/>
  <c r="Z775" i="1"/>
  <c r="AC775" i="1"/>
  <c r="AI775" i="1"/>
  <c r="AN775" i="1"/>
  <c r="AS775" i="1"/>
  <c r="AX775" i="1"/>
  <c r="BC775" i="1"/>
  <c r="BF775" i="1"/>
  <c r="C776" i="1"/>
  <c r="E776" i="1"/>
  <c r="H776" i="1"/>
  <c r="K776" i="1"/>
  <c r="N776" i="1"/>
  <c r="Q776" i="1"/>
  <c r="T776" i="1"/>
  <c r="W776" i="1"/>
  <c r="Z776" i="1"/>
  <c r="AC776" i="1"/>
  <c r="AI776" i="1"/>
  <c r="AN776" i="1"/>
  <c r="AS776" i="1"/>
  <c r="AX776" i="1"/>
  <c r="BC776" i="1"/>
  <c r="BF776" i="1"/>
  <c r="C777" i="1"/>
  <c r="E777" i="1"/>
  <c r="H777" i="1"/>
  <c r="K777" i="1"/>
  <c r="N777" i="1"/>
  <c r="Q777" i="1"/>
  <c r="T777" i="1"/>
  <c r="W777" i="1"/>
  <c r="Z777" i="1"/>
  <c r="AC777" i="1"/>
  <c r="AI777" i="1"/>
  <c r="AN777" i="1"/>
  <c r="AS777" i="1"/>
  <c r="AX777" i="1"/>
  <c r="BC777" i="1"/>
  <c r="BF777" i="1"/>
  <c r="C778" i="1"/>
  <c r="E778" i="1"/>
  <c r="H778" i="1"/>
  <c r="K778" i="1"/>
  <c r="N778" i="1"/>
  <c r="Q778" i="1"/>
  <c r="T778" i="1"/>
  <c r="W778" i="1"/>
  <c r="Z778" i="1"/>
  <c r="AC778" i="1"/>
  <c r="AI778" i="1"/>
  <c r="AN778" i="1"/>
  <c r="AS778" i="1"/>
  <c r="AX778" i="1"/>
  <c r="BC778" i="1"/>
  <c r="BF778" i="1"/>
  <c r="C779" i="1"/>
  <c r="E779" i="1"/>
  <c r="H779" i="1"/>
  <c r="K779" i="1"/>
  <c r="N779" i="1"/>
  <c r="Q779" i="1"/>
  <c r="T779" i="1"/>
  <c r="W779" i="1"/>
  <c r="Z779" i="1"/>
  <c r="AC779" i="1"/>
  <c r="AI779" i="1"/>
  <c r="AN779" i="1"/>
  <c r="AS779" i="1"/>
  <c r="AX779" i="1"/>
  <c r="BC779" i="1"/>
  <c r="BF779" i="1"/>
  <c r="C780" i="1"/>
  <c r="E780" i="1"/>
  <c r="H780" i="1"/>
  <c r="K780" i="1"/>
  <c r="N780" i="1"/>
  <c r="Q780" i="1"/>
  <c r="T780" i="1"/>
  <c r="W780" i="1"/>
  <c r="Z780" i="1"/>
  <c r="AC780" i="1"/>
  <c r="AI780" i="1"/>
  <c r="AN780" i="1"/>
  <c r="AS780" i="1"/>
  <c r="AX780" i="1"/>
  <c r="BC780" i="1"/>
  <c r="BF780" i="1"/>
  <c r="C781" i="1"/>
  <c r="E781" i="1"/>
  <c r="H781" i="1"/>
  <c r="K781" i="1"/>
  <c r="N781" i="1"/>
  <c r="Q781" i="1"/>
  <c r="T781" i="1"/>
  <c r="W781" i="1"/>
  <c r="Z781" i="1"/>
  <c r="AC781" i="1"/>
  <c r="AI781" i="1"/>
  <c r="AN781" i="1"/>
  <c r="AS781" i="1"/>
  <c r="AX781" i="1"/>
  <c r="BC781" i="1"/>
  <c r="BF781" i="1"/>
  <c r="C782" i="1"/>
  <c r="E782" i="1"/>
  <c r="H782" i="1"/>
  <c r="K782" i="1"/>
  <c r="N782" i="1"/>
  <c r="Q782" i="1"/>
  <c r="T782" i="1"/>
  <c r="W782" i="1"/>
  <c r="Z782" i="1"/>
  <c r="AC782" i="1"/>
  <c r="AI782" i="1"/>
  <c r="AN782" i="1"/>
  <c r="AS782" i="1"/>
  <c r="AX782" i="1"/>
  <c r="BC782" i="1"/>
  <c r="BF782" i="1"/>
  <c r="C783" i="1"/>
  <c r="E783" i="1"/>
  <c r="H783" i="1"/>
  <c r="K783" i="1"/>
  <c r="N783" i="1"/>
  <c r="Q783" i="1"/>
  <c r="T783" i="1"/>
  <c r="W783" i="1"/>
  <c r="Z783" i="1"/>
  <c r="AC783" i="1"/>
  <c r="AI783" i="1"/>
  <c r="AN783" i="1"/>
  <c r="AS783" i="1"/>
  <c r="AX783" i="1"/>
  <c r="BC783" i="1"/>
  <c r="BF783" i="1"/>
  <c r="C784" i="1"/>
  <c r="E784" i="1"/>
  <c r="H784" i="1"/>
  <c r="K784" i="1"/>
  <c r="N784" i="1"/>
  <c r="Q784" i="1"/>
  <c r="T784" i="1"/>
  <c r="W784" i="1"/>
  <c r="Z784" i="1"/>
  <c r="AC784" i="1"/>
  <c r="AI784" i="1"/>
  <c r="AN784" i="1"/>
  <c r="AS784" i="1"/>
  <c r="AX784" i="1"/>
  <c r="BC784" i="1"/>
  <c r="BF784" i="1"/>
  <c r="C785" i="1"/>
  <c r="E785" i="1"/>
  <c r="H785" i="1"/>
  <c r="K785" i="1"/>
  <c r="N785" i="1"/>
  <c r="Q785" i="1"/>
  <c r="T785" i="1"/>
  <c r="W785" i="1"/>
  <c r="Z785" i="1"/>
  <c r="AC785" i="1"/>
  <c r="AI785" i="1"/>
  <c r="AN785" i="1"/>
  <c r="AS785" i="1"/>
  <c r="AX785" i="1"/>
  <c r="BC785" i="1"/>
  <c r="BF785" i="1"/>
  <c r="C786" i="1"/>
  <c r="E786" i="1"/>
  <c r="H786" i="1"/>
  <c r="K786" i="1"/>
  <c r="N786" i="1"/>
  <c r="Q786" i="1"/>
  <c r="T786" i="1"/>
  <c r="W786" i="1"/>
  <c r="Z786" i="1"/>
  <c r="AC786" i="1"/>
  <c r="AI786" i="1"/>
  <c r="AN786" i="1"/>
  <c r="AS786" i="1"/>
  <c r="AX786" i="1"/>
  <c r="BC786" i="1"/>
  <c r="BF786" i="1"/>
  <c r="C787" i="1"/>
  <c r="E787" i="1"/>
  <c r="H787" i="1"/>
  <c r="K787" i="1"/>
  <c r="N787" i="1"/>
  <c r="Q787" i="1"/>
  <c r="T787" i="1"/>
  <c r="W787" i="1"/>
  <c r="Z787" i="1"/>
  <c r="AC787" i="1"/>
  <c r="AI787" i="1"/>
  <c r="AN787" i="1"/>
  <c r="AS787" i="1"/>
  <c r="AX787" i="1"/>
  <c r="BC787" i="1"/>
  <c r="BF787" i="1"/>
  <c r="C788" i="1"/>
  <c r="E788" i="1"/>
  <c r="H788" i="1"/>
  <c r="K788" i="1"/>
  <c r="N788" i="1"/>
  <c r="Q788" i="1"/>
  <c r="T788" i="1"/>
  <c r="W788" i="1"/>
  <c r="Z788" i="1"/>
  <c r="AC788" i="1"/>
  <c r="AI788" i="1"/>
  <c r="AN788" i="1"/>
  <c r="AS788" i="1"/>
  <c r="AX788" i="1"/>
  <c r="BC788" i="1"/>
  <c r="BF788" i="1"/>
  <c r="C789" i="1"/>
  <c r="E789" i="1"/>
  <c r="H789" i="1"/>
  <c r="K789" i="1"/>
  <c r="N789" i="1"/>
  <c r="Q789" i="1"/>
  <c r="T789" i="1"/>
  <c r="W789" i="1"/>
  <c r="Z789" i="1"/>
  <c r="AC789" i="1"/>
  <c r="AI789" i="1"/>
  <c r="AN789" i="1"/>
  <c r="AS789" i="1"/>
  <c r="AX789" i="1"/>
  <c r="BC789" i="1"/>
  <c r="BF789" i="1"/>
  <c r="C790" i="1"/>
  <c r="E790" i="1"/>
  <c r="H790" i="1"/>
  <c r="K790" i="1"/>
  <c r="N790" i="1"/>
  <c r="Q790" i="1"/>
  <c r="T790" i="1"/>
  <c r="W790" i="1"/>
  <c r="Z790" i="1"/>
  <c r="AC790" i="1"/>
  <c r="AI790" i="1"/>
  <c r="AN790" i="1"/>
  <c r="AS790" i="1"/>
  <c r="AX790" i="1"/>
  <c r="BC790" i="1"/>
  <c r="BF790" i="1"/>
  <c r="C791" i="1"/>
  <c r="E791" i="1"/>
  <c r="H791" i="1"/>
  <c r="K791" i="1"/>
  <c r="N791" i="1"/>
  <c r="Q791" i="1"/>
  <c r="T791" i="1"/>
  <c r="W791" i="1"/>
  <c r="Z791" i="1"/>
  <c r="AC791" i="1"/>
  <c r="AI791" i="1"/>
  <c r="AN791" i="1"/>
  <c r="AS791" i="1"/>
  <c r="AX791" i="1"/>
  <c r="BC791" i="1"/>
  <c r="BF791" i="1"/>
  <c r="C792" i="1"/>
  <c r="E792" i="1"/>
  <c r="H792" i="1"/>
  <c r="K792" i="1"/>
  <c r="N792" i="1"/>
  <c r="Q792" i="1"/>
  <c r="T792" i="1"/>
  <c r="W792" i="1"/>
  <c r="Z792" i="1"/>
  <c r="AC792" i="1"/>
  <c r="AI792" i="1"/>
  <c r="AN792" i="1"/>
  <c r="AS792" i="1"/>
  <c r="AX792" i="1"/>
  <c r="BC792" i="1"/>
  <c r="BF792" i="1"/>
  <c r="C793" i="1"/>
  <c r="E793" i="1"/>
  <c r="H793" i="1"/>
  <c r="K793" i="1"/>
  <c r="N793" i="1"/>
  <c r="Q793" i="1"/>
  <c r="T793" i="1"/>
  <c r="W793" i="1"/>
  <c r="Z793" i="1"/>
  <c r="AC793" i="1"/>
  <c r="AI793" i="1"/>
  <c r="AN793" i="1"/>
  <c r="AS793" i="1"/>
  <c r="AX793" i="1"/>
  <c r="BC793" i="1"/>
  <c r="BF793" i="1"/>
  <c r="C794" i="1"/>
  <c r="E794" i="1"/>
  <c r="H794" i="1"/>
  <c r="K794" i="1"/>
  <c r="N794" i="1"/>
  <c r="Q794" i="1"/>
  <c r="T794" i="1"/>
  <c r="W794" i="1"/>
  <c r="Z794" i="1"/>
  <c r="AC794" i="1"/>
  <c r="AI794" i="1"/>
  <c r="AN794" i="1"/>
  <c r="AS794" i="1"/>
  <c r="AX794" i="1"/>
  <c r="BC794" i="1"/>
  <c r="BF794" i="1"/>
  <c r="C795" i="1"/>
  <c r="E795" i="1"/>
  <c r="H795" i="1"/>
  <c r="K795" i="1"/>
  <c r="N795" i="1"/>
  <c r="Q795" i="1"/>
  <c r="T795" i="1"/>
  <c r="W795" i="1"/>
  <c r="Z795" i="1"/>
  <c r="AC795" i="1"/>
  <c r="AI795" i="1"/>
  <c r="AN795" i="1"/>
  <c r="AS795" i="1"/>
  <c r="AX795" i="1"/>
  <c r="BC795" i="1"/>
  <c r="BF795" i="1"/>
  <c r="C796" i="1"/>
  <c r="E796" i="1"/>
  <c r="H796" i="1"/>
  <c r="K796" i="1"/>
  <c r="N796" i="1"/>
  <c r="Q796" i="1"/>
  <c r="T796" i="1"/>
  <c r="W796" i="1"/>
  <c r="Z796" i="1"/>
  <c r="AC796" i="1"/>
  <c r="AI796" i="1"/>
  <c r="AN796" i="1"/>
  <c r="AS796" i="1"/>
  <c r="AX796" i="1"/>
  <c r="BC796" i="1"/>
  <c r="BF796" i="1"/>
  <c r="C797" i="1"/>
  <c r="E797" i="1"/>
  <c r="H797" i="1"/>
  <c r="K797" i="1"/>
  <c r="N797" i="1"/>
  <c r="Q797" i="1"/>
  <c r="T797" i="1"/>
  <c r="W797" i="1"/>
  <c r="Z797" i="1"/>
  <c r="AC797" i="1"/>
  <c r="AI797" i="1"/>
  <c r="AN797" i="1"/>
  <c r="AS797" i="1"/>
  <c r="AX797" i="1"/>
  <c r="BC797" i="1"/>
  <c r="BF797" i="1"/>
  <c r="C798" i="1"/>
  <c r="E798" i="1"/>
  <c r="H798" i="1"/>
  <c r="K798" i="1"/>
  <c r="N798" i="1"/>
  <c r="Q798" i="1"/>
  <c r="T798" i="1"/>
  <c r="W798" i="1"/>
  <c r="Z798" i="1"/>
  <c r="AC798" i="1"/>
  <c r="AI798" i="1"/>
  <c r="AN798" i="1"/>
  <c r="AS798" i="1"/>
  <c r="AX798" i="1"/>
  <c r="BC798" i="1"/>
  <c r="BF798" i="1"/>
  <c r="C799" i="1"/>
  <c r="E799" i="1"/>
  <c r="H799" i="1"/>
  <c r="K799" i="1"/>
  <c r="N799" i="1"/>
  <c r="Q799" i="1"/>
  <c r="T799" i="1"/>
  <c r="W799" i="1"/>
  <c r="Z799" i="1"/>
  <c r="AC799" i="1"/>
  <c r="AI799" i="1"/>
  <c r="AN799" i="1"/>
  <c r="AS799" i="1"/>
  <c r="AX799" i="1"/>
  <c r="BC799" i="1"/>
  <c r="BF799" i="1"/>
  <c r="C800" i="1"/>
  <c r="E800" i="1"/>
  <c r="H800" i="1"/>
  <c r="K800" i="1"/>
  <c r="N800" i="1"/>
  <c r="Q800" i="1"/>
  <c r="T800" i="1"/>
  <c r="W800" i="1"/>
  <c r="Z800" i="1"/>
  <c r="AC800" i="1"/>
  <c r="AI800" i="1"/>
  <c r="AN800" i="1"/>
  <c r="AS800" i="1"/>
  <c r="AX800" i="1"/>
  <c r="BC800" i="1"/>
  <c r="BF800" i="1"/>
  <c r="C801" i="1"/>
  <c r="E801" i="1"/>
  <c r="H801" i="1"/>
  <c r="K801" i="1"/>
  <c r="N801" i="1"/>
  <c r="Q801" i="1"/>
  <c r="T801" i="1"/>
  <c r="W801" i="1"/>
  <c r="Z801" i="1"/>
  <c r="AC801" i="1"/>
  <c r="AI801" i="1"/>
  <c r="AN801" i="1"/>
  <c r="AS801" i="1"/>
  <c r="AX801" i="1"/>
  <c r="BC801" i="1"/>
  <c r="BF801" i="1"/>
  <c r="C802" i="1"/>
  <c r="E802" i="1"/>
  <c r="H802" i="1"/>
  <c r="K802" i="1"/>
  <c r="N802" i="1"/>
  <c r="Q802" i="1"/>
  <c r="T802" i="1"/>
  <c r="W802" i="1"/>
  <c r="Z802" i="1"/>
  <c r="AC802" i="1"/>
  <c r="AI802" i="1"/>
  <c r="AN802" i="1"/>
  <c r="AS802" i="1"/>
  <c r="AX802" i="1"/>
  <c r="BC802" i="1"/>
  <c r="BF802" i="1"/>
  <c r="C803" i="1"/>
  <c r="E803" i="1"/>
  <c r="H803" i="1"/>
  <c r="K803" i="1"/>
  <c r="N803" i="1"/>
  <c r="Q803" i="1"/>
  <c r="T803" i="1"/>
  <c r="W803" i="1"/>
  <c r="Z803" i="1"/>
  <c r="AC803" i="1"/>
  <c r="AI803" i="1"/>
  <c r="AN803" i="1"/>
  <c r="AS803" i="1"/>
  <c r="AX803" i="1"/>
  <c r="BC803" i="1"/>
  <c r="BF803" i="1"/>
  <c r="C804" i="1"/>
  <c r="E804" i="1"/>
  <c r="H804" i="1"/>
  <c r="K804" i="1"/>
  <c r="N804" i="1"/>
  <c r="Q804" i="1"/>
  <c r="T804" i="1"/>
  <c r="W804" i="1"/>
  <c r="Z804" i="1"/>
  <c r="AC804" i="1"/>
  <c r="AI804" i="1"/>
  <c r="AN804" i="1"/>
  <c r="AS804" i="1"/>
  <c r="AX804" i="1"/>
  <c r="BC804" i="1"/>
  <c r="BF804" i="1"/>
  <c r="C805" i="1"/>
  <c r="E805" i="1"/>
  <c r="H805" i="1"/>
  <c r="K805" i="1"/>
  <c r="N805" i="1"/>
  <c r="Q805" i="1"/>
  <c r="T805" i="1"/>
  <c r="W805" i="1"/>
  <c r="Z805" i="1"/>
  <c r="AC805" i="1"/>
  <c r="AI805" i="1"/>
  <c r="AN805" i="1"/>
  <c r="AS805" i="1"/>
  <c r="AX805" i="1"/>
  <c r="BC805" i="1"/>
  <c r="BF805" i="1"/>
  <c r="C806" i="1"/>
  <c r="E806" i="1"/>
  <c r="H806" i="1"/>
  <c r="K806" i="1"/>
  <c r="N806" i="1"/>
  <c r="Q806" i="1"/>
  <c r="T806" i="1"/>
  <c r="W806" i="1"/>
  <c r="Z806" i="1"/>
  <c r="AC806" i="1"/>
  <c r="AI806" i="1"/>
  <c r="AN806" i="1"/>
  <c r="AS806" i="1"/>
  <c r="AX806" i="1"/>
  <c r="BC806" i="1"/>
  <c r="BF806" i="1"/>
  <c r="C807" i="1"/>
  <c r="E807" i="1"/>
  <c r="H807" i="1"/>
  <c r="K807" i="1"/>
  <c r="N807" i="1"/>
  <c r="Q807" i="1"/>
  <c r="T807" i="1"/>
  <c r="W807" i="1"/>
  <c r="Z807" i="1"/>
  <c r="AC807" i="1"/>
  <c r="AI807" i="1"/>
  <c r="AN807" i="1"/>
  <c r="AS807" i="1"/>
  <c r="AX807" i="1"/>
  <c r="BC807" i="1"/>
  <c r="BF807" i="1"/>
  <c r="C808" i="1"/>
  <c r="E808" i="1"/>
  <c r="H808" i="1"/>
  <c r="K808" i="1"/>
  <c r="N808" i="1"/>
  <c r="Q808" i="1"/>
  <c r="T808" i="1"/>
  <c r="W808" i="1"/>
  <c r="Z808" i="1"/>
  <c r="AC808" i="1"/>
  <c r="AI808" i="1"/>
  <c r="AN808" i="1"/>
  <c r="AS808" i="1"/>
  <c r="AX808" i="1"/>
  <c r="BC808" i="1"/>
  <c r="BF808" i="1"/>
  <c r="C809" i="1"/>
  <c r="E809" i="1"/>
  <c r="H809" i="1"/>
  <c r="K809" i="1"/>
  <c r="N809" i="1"/>
  <c r="Q809" i="1"/>
  <c r="T809" i="1"/>
  <c r="W809" i="1"/>
  <c r="Z809" i="1"/>
  <c r="AC809" i="1"/>
  <c r="AI809" i="1"/>
  <c r="AN809" i="1"/>
  <c r="AS809" i="1"/>
  <c r="AX809" i="1"/>
  <c r="BC809" i="1"/>
  <c r="BF809" i="1"/>
  <c r="C810" i="1"/>
  <c r="E810" i="1"/>
  <c r="H810" i="1"/>
  <c r="K810" i="1"/>
  <c r="N810" i="1"/>
  <c r="Q810" i="1"/>
  <c r="T810" i="1"/>
  <c r="W810" i="1"/>
  <c r="Z810" i="1"/>
  <c r="AC810" i="1"/>
  <c r="AI810" i="1"/>
  <c r="AN810" i="1"/>
  <c r="AS810" i="1"/>
  <c r="AX810" i="1"/>
  <c r="BC810" i="1"/>
  <c r="BF810" i="1"/>
  <c r="C811" i="1"/>
  <c r="E811" i="1"/>
  <c r="H811" i="1"/>
  <c r="K811" i="1"/>
  <c r="N811" i="1"/>
  <c r="Q811" i="1"/>
  <c r="T811" i="1"/>
  <c r="W811" i="1"/>
  <c r="Z811" i="1"/>
  <c r="AC811" i="1"/>
  <c r="AI811" i="1"/>
  <c r="AN811" i="1"/>
  <c r="AS811" i="1"/>
  <c r="AX811" i="1"/>
  <c r="BC811" i="1"/>
  <c r="BF811" i="1"/>
  <c r="C812" i="1"/>
  <c r="E812" i="1"/>
  <c r="H812" i="1"/>
  <c r="K812" i="1"/>
  <c r="N812" i="1"/>
  <c r="Q812" i="1"/>
  <c r="T812" i="1"/>
  <c r="W812" i="1"/>
  <c r="Z812" i="1"/>
  <c r="AC812" i="1"/>
  <c r="AI812" i="1"/>
  <c r="AN812" i="1"/>
  <c r="AS812" i="1"/>
  <c r="AX812" i="1"/>
  <c r="BC812" i="1"/>
  <c r="BF812" i="1"/>
  <c r="C813" i="1"/>
  <c r="E813" i="1"/>
  <c r="H813" i="1"/>
  <c r="K813" i="1"/>
  <c r="N813" i="1"/>
  <c r="Q813" i="1"/>
  <c r="T813" i="1"/>
  <c r="W813" i="1"/>
  <c r="Z813" i="1"/>
  <c r="AC813" i="1"/>
  <c r="AI813" i="1"/>
  <c r="AN813" i="1"/>
  <c r="AS813" i="1"/>
  <c r="AX813" i="1"/>
  <c r="BC813" i="1"/>
  <c r="BF813" i="1"/>
  <c r="C814" i="1"/>
  <c r="E814" i="1"/>
  <c r="H814" i="1"/>
  <c r="K814" i="1"/>
  <c r="N814" i="1"/>
  <c r="Q814" i="1"/>
  <c r="T814" i="1"/>
  <c r="W814" i="1"/>
  <c r="Z814" i="1"/>
  <c r="AC814" i="1"/>
  <c r="AI814" i="1"/>
  <c r="AN814" i="1"/>
  <c r="AS814" i="1"/>
  <c r="AX814" i="1"/>
  <c r="BC814" i="1"/>
  <c r="BF814" i="1"/>
  <c r="C815" i="1"/>
  <c r="E815" i="1"/>
  <c r="H815" i="1"/>
  <c r="K815" i="1"/>
  <c r="N815" i="1"/>
  <c r="Q815" i="1"/>
  <c r="T815" i="1"/>
  <c r="W815" i="1"/>
  <c r="Z815" i="1"/>
  <c r="AC815" i="1"/>
  <c r="AI815" i="1"/>
  <c r="AN815" i="1"/>
  <c r="AS815" i="1"/>
  <c r="AX815" i="1"/>
  <c r="BC815" i="1"/>
  <c r="BF815" i="1"/>
  <c r="C816" i="1"/>
  <c r="E816" i="1"/>
  <c r="H816" i="1"/>
  <c r="K816" i="1"/>
  <c r="N816" i="1"/>
  <c r="Q816" i="1"/>
  <c r="T816" i="1"/>
  <c r="W816" i="1"/>
  <c r="Z816" i="1"/>
  <c r="AC816" i="1"/>
  <c r="AI816" i="1"/>
  <c r="AN816" i="1"/>
  <c r="AS816" i="1"/>
  <c r="AX816" i="1"/>
  <c r="BC816" i="1"/>
  <c r="BF816" i="1"/>
  <c r="C817" i="1"/>
  <c r="E817" i="1"/>
  <c r="H817" i="1"/>
  <c r="K817" i="1"/>
  <c r="N817" i="1"/>
  <c r="Q817" i="1"/>
  <c r="T817" i="1"/>
  <c r="W817" i="1"/>
  <c r="Z817" i="1"/>
  <c r="AC817" i="1"/>
  <c r="AI817" i="1"/>
  <c r="AN817" i="1"/>
  <c r="AS817" i="1"/>
  <c r="AX817" i="1"/>
  <c r="BC817" i="1"/>
  <c r="BF817" i="1"/>
  <c r="C818" i="1"/>
  <c r="E818" i="1"/>
  <c r="H818" i="1"/>
  <c r="K818" i="1"/>
  <c r="N818" i="1"/>
  <c r="Q818" i="1"/>
  <c r="T818" i="1"/>
  <c r="W818" i="1"/>
  <c r="Z818" i="1"/>
  <c r="AC818" i="1"/>
  <c r="AI818" i="1"/>
  <c r="AN818" i="1"/>
  <c r="AS818" i="1"/>
  <c r="AX818" i="1"/>
  <c r="BC818" i="1"/>
  <c r="BF818" i="1"/>
  <c r="C819" i="1"/>
  <c r="E819" i="1"/>
  <c r="H819" i="1"/>
  <c r="K819" i="1"/>
  <c r="N819" i="1"/>
  <c r="Q819" i="1"/>
  <c r="T819" i="1"/>
  <c r="W819" i="1"/>
  <c r="Z819" i="1"/>
  <c r="AC819" i="1"/>
  <c r="AI819" i="1"/>
  <c r="AN819" i="1"/>
  <c r="AS819" i="1"/>
  <c r="AX819" i="1"/>
  <c r="BC819" i="1"/>
  <c r="BF819" i="1"/>
  <c r="C820" i="1"/>
  <c r="E820" i="1"/>
  <c r="H820" i="1"/>
  <c r="K820" i="1"/>
  <c r="N820" i="1"/>
  <c r="Q820" i="1"/>
  <c r="T820" i="1"/>
  <c r="W820" i="1"/>
  <c r="Z820" i="1"/>
  <c r="AC820" i="1"/>
  <c r="AI820" i="1"/>
  <c r="AN820" i="1"/>
  <c r="AS820" i="1"/>
  <c r="AX820" i="1"/>
  <c r="BC820" i="1"/>
  <c r="BF820" i="1"/>
  <c r="C821" i="1"/>
  <c r="E821" i="1"/>
  <c r="H821" i="1"/>
  <c r="K821" i="1"/>
  <c r="N821" i="1"/>
  <c r="Q821" i="1"/>
  <c r="T821" i="1"/>
  <c r="W821" i="1"/>
  <c r="Z821" i="1"/>
  <c r="AC821" i="1"/>
  <c r="AI821" i="1"/>
  <c r="AN821" i="1"/>
  <c r="AS821" i="1"/>
  <c r="AX821" i="1"/>
  <c r="BC821" i="1"/>
  <c r="BF821" i="1"/>
  <c r="C822" i="1"/>
  <c r="E822" i="1"/>
  <c r="H822" i="1"/>
  <c r="K822" i="1"/>
  <c r="N822" i="1"/>
  <c r="Q822" i="1"/>
  <c r="T822" i="1"/>
  <c r="W822" i="1"/>
  <c r="Z822" i="1"/>
  <c r="AC822" i="1"/>
  <c r="AI822" i="1"/>
  <c r="AN822" i="1"/>
  <c r="AS822" i="1"/>
  <c r="AX822" i="1"/>
  <c r="BC822" i="1"/>
  <c r="BF822" i="1"/>
  <c r="C823" i="1"/>
  <c r="E823" i="1"/>
  <c r="H823" i="1"/>
  <c r="K823" i="1"/>
  <c r="N823" i="1"/>
  <c r="Q823" i="1"/>
  <c r="T823" i="1"/>
  <c r="W823" i="1"/>
  <c r="Z823" i="1"/>
  <c r="AC823" i="1"/>
  <c r="AI823" i="1"/>
  <c r="AN823" i="1"/>
  <c r="AS823" i="1"/>
  <c r="AX823" i="1"/>
  <c r="BC823" i="1"/>
  <c r="BF823" i="1"/>
  <c r="C824" i="1"/>
  <c r="E824" i="1"/>
  <c r="H824" i="1"/>
  <c r="K824" i="1"/>
  <c r="N824" i="1"/>
  <c r="Q824" i="1"/>
  <c r="T824" i="1"/>
  <c r="W824" i="1"/>
  <c r="Z824" i="1"/>
  <c r="AC824" i="1"/>
  <c r="AI824" i="1"/>
  <c r="AN824" i="1"/>
  <c r="AS824" i="1"/>
  <c r="AX824" i="1"/>
  <c r="BC824" i="1"/>
  <c r="BF824" i="1"/>
  <c r="C825" i="1"/>
  <c r="E825" i="1"/>
  <c r="H825" i="1"/>
  <c r="K825" i="1"/>
  <c r="N825" i="1"/>
  <c r="Q825" i="1"/>
  <c r="T825" i="1"/>
  <c r="W825" i="1"/>
  <c r="Z825" i="1"/>
  <c r="AC825" i="1"/>
  <c r="AI825" i="1"/>
  <c r="AN825" i="1"/>
  <c r="AS825" i="1"/>
  <c r="AX825" i="1"/>
  <c r="BC825" i="1"/>
  <c r="BF825" i="1"/>
  <c r="C826" i="1"/>
  <c r="E826" i="1"/>
  <c r="H826" i="1"/>
  <c r="K826" i="1"/>
  <c r="N826" i="1"/>
  <c r="Q826" i="1"/>
  <c r="T826" i="1"/>
  <c r="W826" i="1"/>
  <c r="Z826" i="1"/>
  <c r="AC826" i="1"/>
  <c r="AI826" i="1"/>
  <c r="AN826" i="1"/>
  <c r="AS826" i="1"/>
  <c r="AX826" i="1"/>
  <c r="BC826" i="1"/>
  <c r="BF826" i="1"/>
  <c r="C827" i="1"/>
  <c r="E827" i="1"/>
  <c r="H827" i="1"/>
  <c r="K827" i="1"/>
  <c r="N827" i="1"/>
  <c r="Q827" i="1"/>
  <c r="T827" i="1"/>
  <c r="W827" i="1"/>
  <c r="Z827" i="1"/>
  <c r="AC827" i="1"/>
  <c r="AF827" i="1"/>
  <c r="AI827" i="1"/>
  <c r="AK827" i="1"/>
  <c r="AN827" i="1"/>
  <c r="AP827" i="1"/>
  <c r="AS827" i="1"/>
  <c r="AU827" i="1"/>
  <c r="AX827" i="1"/>
  <c r="AZ827" i="1"/>
  <c r="BC827" i="1"/>
  <c r="BF827" i="1"/>
  <c r="C828" i="1"/>
  <c r="E828" i="1"/>
  <c r="H828" i="1"/>
  <c r="K828" i="1"/>
  <c r="N828" i="1"/>
  <c r="Q828" i="1"/>
  <c r="T828" i="1"/>
  <c r="W828" i="1"/>
  <c r="Z828" i="1"/>
  <c r="AC828" i="1"/>
  <c r="AF828" i="1"/>
  <c r="AI828" i="1"/>
  <c r="AK828" i="1"/>
  <c r="AN828" i="1"/>
  <c r="AP828" i="1"/>
  <c r="AS828" i="1"/>
  <c r="AU828" i="1"/>
  <c r="AX828" i="1"/>
  <c r="AZ828" i="1"/>
  <c r="BC828" i="1"/>
  <c r="BF828" i="1"/>
  <c r="C829" i="1"/>
  <c r="E829" i="1"/>
  <c r="H829" i="1"/>
  <c r="K829" i="1"/>
  <c r="N829" i="1"/>
  <c r="Q829" i="1"/>
  <c r="T829" i="1"/>
  <c r="W829" i="1"/>
  <c r="Z829" i="1"/>
  <c r="AC829" i="1"/>
  <c r="AF829" i="1"/>
  <c r="AI829" i="1"/>
  <c r="AK829" i="1"/>
  <c r="AN829" i="1"/>
  <c r="AP829" i="1"/>
  <c r="AS829" i="1"/>
  <c r="AU829" i="1"/>
  <c r="AX829" i="1"/>
  <c r="AZ829" i="1"/>
  <c r="BC829" i="1"/>
  <c r="BF829" i="1"/>
  <c r="C830" i="1"/>
  <c r="E830" i="1"/>
  <c r="H830" i="1"/>
  <c r="K830" i="1"/>
  <c r="N830" i="1"/>
  <c r="Q830" i="1"/>
  <c r="T830" i="1"/>
  <c r="W830" i="1"/>
  <c r="Z830" i="1"/>
  <c r="AC830" i="1"/>
  <c r="AF830" i="1"/>
  <c r="AI830" i="1"/>
  <c r="AK830" i="1"/>
  <c r="AN830" i="1"/>
  <c r="AP830" i="1"/>
  <c r="AS830" i="1"/>
  <c r="AU830" i="1"/>
  <c r="AX830" i="1"/>
  <c r="AZ830" i="1"/>
  <c r="BC830" i="1"/>
  <c r="BF830" i="1"/>
  <c r="C831" i="1"/>
  <c r="E831" i="1"/>
  <c r="H831" i="1"/>
  <c r="K831" i="1"/>
  <c r="N831" i="1"/>
  <c r="Q831" i="1"/>
  <c r="T831" i="1"/>
  <c r="W831" i="1"/>
  <c r="Z831" i="1"/>
  <c r="AC831" i="1"/>
  <c r="AF831" i="1"/>
  <c r="AI831" i="1"/>
  <c r="AK831" i="1"/>
  <c r="AN831" i="1"/>
  <c r="AP831" i="1"/>
  <c r="AS831" i="1"/>
  <c r="AU831" i="1"/>
  <c r="AX831" i="1"/>
  <c r="AZ831" i="1"/>
  <c r="BC831" i="1"/>
  <c r="BF831" i="1"/>
  <c r="C832" i="1"/>
  <c r="E832" i="1"/>
  <c r="H832" i="1"/>
  <c r="K832" i="1"/>
  <c r="N832" i="1"/>
  <c r="Q832" i="1"/>
  <c r="T832" i="1"/>
  <c r="W832" i="1"/>
  <c r="Z832" i="1"/>
  <c r="AC832" i="1"/>
  <c r="AF832" i="1"/>
  <c r="AI832" i="1"/>
  <c r="AK832" i="1"/>
  <c r="AN832" i="1"/>
  <c r="AP832" i="1"/>
  <c r="AS832" i="1"/>
  <c r="AU832" i="1"/>
  <c r="AX832" i="1"/>
  <c r="AZ832" i="1"/>
  <c r="BC832" i="1"/>
  <c r="BF832" i="1"/>
  <c r="C833" i="1"/>
  <c r="E833" i="1"/>
  <c r="H833" i="1"/>
  <c r="K833" i="1"/>
  <c r="N833" i="1"/>
  <c r="Q833" i="1"/>
  <c r="T833" i="1"/>
  <c r="W833" i="1"/>
  <c r="Z833" i="1"/>
  <c r="AC833" i="1"/>
  <c r="AF833" i="1"/>
  <c r="AI833" i="1"/>
  <c r="AK833" i="1"/>
  <c r="AN833" i="1"/>
  <c r="AP833" i="1"/>
  <c r="AS833" i="1"/>
  <c r="AU833" i="1"/>
  <c r="AX833" i="1"/>
  <c r="AZ833" i="1"/>
  <c r="BC833" i="1"/>
  <c r="BF833" i="1"/>
  <c r="C834" i="1"/>
  <c r="E834" i="1"/>
  <c r="H834" i="1"/>
  <c r="K834" i="1"/>
  <c r="N834" i="1"/>
  <c r="Q834" i="1"/>
  <c r="T834" i="1"/>
  <c r="W834" i="1"/>
  <c r="Z834" i="1"/>
  <c r="AC834" i="1"/>
  <c r="AF834" i="1"/>
  <c r="AI834" i="1"/>
  <c r="AK834" i="1"/>
  <c r="AN834" i="1"/>
  <c r="AP834" i="1"/>
  <c r="AS834" i="1"/>
  <c r="AU834" i="1"/>
  <c r="AX834" i="1"/>
  <c r="AZ834" i="1"/>
  <c r="BC834" i="1"/>
  <c r="BF834" i="1"/>
  <c r="C835" i="1"/>
  <c r="E835" i="1"/>
  <c r="H835" i="1"/>
  <c r="K835" i="1"/>
  <c r="N835" i="1"/>
  <c r="Q835" i="1"/>
  <c r="T835" i="1"/>
  <c r="W835" i="1"/>
  <c r="Z835" i="1"/>
  <c r="AC835" i="1"/>
  <c r="AF835" i="1"/>
  <c r="AI835" i="1"/>
  <c r="AK835" i="1"/>
  <c r="AN835" i="1"/>
  <c r="AP835" i="1"/>
  <c r="AS835" i="1"/>
  <c r="AU835" i="1"/>
  <c r="AX835" i="1"/>
  <c r="AZ835" i="1"/>
  <c r="BC835" i="1"/>
  <c r="BF835" i="1"/>
  <c r="C836" i="1"/>
  <c r="E836" i="1"/>
  <c r="H836" i="1"/>
  <c r="K836" i="1"/>
  <c r="N836" i="1"/>
  <c r="Q836" i="1"/>
  <c r="T836" i="1"/>
  <c r="W836" i="1"/>
  <c r="Z836" i="1"/>
  <c r="AC836" i="1"/>
  <c r="AF836" i="1"/>
  <c r="AI836" i="1"/>
  <c r="AK836" i="1"/>
  <c r="AN836" i="1"/>
  <c r="AP836" i="1"/>
  <c r="AS836" i="1"/>
  <c r="AU836" i="1"/>
  <c r="AX836" i="1"/>
  <c r="AZ836" i="1"/>
  <c r="BC836" i="1"/>
  <c r="BF836" i="1"/>
  <c r="C837" i="1"/>
  <c r="E837" i="1"/>
  <c r="H837" i="1"/>
  <c r="K837" i="1"/>
  <c r="N837" i="1"/>
  <c r="Q837" i="1"/>
  <c r="T837" i="1"/>
  <c r="W837" i="1"/>
  <c r="Z837" i="1"/>
  <c r="AC837" i="1"/>
  <c r="AF837" i="1"/>
  <c r="AI837" i="1"/>
  <c r="AK837" i="1"/>
  <c r="AN837" i="1"/>
  <c r="AP837" i="1"/>
  <c r="AS837" i="1"/>
  <c r="AU837" i="1"/>
  <c r="AX837" i="1"/>
  <c r="AZ837" i="1"/>
  <c r="BC837" i="1"/>
  <c r="BF837" i="1"/>
  <c r="C838" i="1"/>
  <c r="E838" i="1"/>
  <c r="H838" i="1"/>
  <c r="K838" i="1"/>
  <c r="N838" i="1"/>
  <c r="Q838" i="1"/>
  <c r="T838" i="1"/>
  <c r="W838" i="1"/>
  <c r="Z838" i="1"/>
  <c r="AC838" i="1"/>
  <c r="AF838" i="1"/>
  <c r="AI838" i="1"/>
  <c r="AK838" i="1"/>
  <c r="AN838" i="1"/>
  <c r="AP838" i="1"/>
  <c r="AS838" i="1"/>
  <c r="AU838" i="1"/>
  <c r="AX838" i="1"/>
  <c r="AZ838" i="1"/>
  <c r="BC838" i="1"/>
  <c r="BF838" i="1"/>
  <c r="C839" i="1"/>
  <c r="E839" i="1"/>
  <c r="H839" i="1"/>
  <c r="K839" i="1"/>
  <c r="N839" i="1"/>
  <c r="Q839" i="1"/>
  <c r="T839" i="1"/>
  <c r="W839" i="1"/>
  <c r="Z839" i="1"/>
  <c r="AC839" i="1"/>
  <c r="AF839" i="1"/>
  <c r="AI839" i="1"/>
  <c r="AK839" i="1"/>
  <c r="AN839" i="1"/>
  <c r="AP839" i="1"/>
  <c r="AS839" i="1"/>
  <c r="AU839" i="1"/>
  <c r="AX839" i="1"/>
  <c r="AZ839" i="1"/>
  <c r="BC839" i="1"/>
  <c r="BF839" i="1"/>
  <c r="C840" i="1"/>
  <c r="E840" i="1"/>
  <c r="H840" i="1"/>
  <c r="K840" i="1"/>
  <c r="N840" i="1"/>
  <c r="Q840" i="1"/>
  <c r="T840" i="1"/>
  <c r="W840" i="1"/>
  <c r="Z840" i="1"/>
  <c r="AC840" i="1"/>
  <c r="AF840" i="1"/>
  <c r="AI840" i="1"/>
  <c r="AK840" i="1"/>
  <c r="AN840" i="1"/>
  <c r="AP840" i="1"/>
  <c r="AS840" i="1"/>
  <c r="AU840" i="1"/>
  <c r="AX840" i="1"/>
  <c r="AZ840" i="1"/>
  <c r="BC840" i="1"/>
  <c r="BF840" i="1"/>
  <c r="C841" i="1"/>
  <c r="E841" i="1"/>
  <c r="H841" i="1"/>
  <c r="K841" i="1"/>
  <c r="N841" i="1"/>
  <c r="Q841" i="1"/>
  <c r="T841" i="1"/>
  <c r="W841" i="1"/>
  <c r="Z841" i="1"/>
  <c r="AC841" i="1"/>
  <c r="AF841" i="1"/>
  <c r="AI841" i="1"/>
  <c r="AK841" i="1"/>
  <c r="AN841" i="1"/>
  <c r="AP841" i="1"/>
  <c r="AS841" i="1"/>
  <c r="AU841" i="1"/>
  <c r="AX841" i="1"/>
  <c r="AZ841" i="1"/>
  <c r="BC841" i="1"/>
  <c r="BF841" i="1"/>
  <c r="C842" i="1"/>
  <c r="E842" i="1"/>
  <c r="H842" i="1"/>
  <c r="K842" i="1"/>
  <c r="N842" i="1"/>
  <c r="Q842" i="1"/>
  <c r="T842" i="1"/>
  <c r="W842" i="1"/>
  <c r="Z842" i="1"/>
  <c r="AC842" i="1"/>
  <c r="AF842" i="1"/>
  <c r="AI842" i="1"/>
  <c r="AK842" i="1"/>
  <c r="AN842" i="1"/>
  <c r="AP842" i="1"/>
  <c r="AS842" i="1"/>
  <c r="AU842" i="1"/>
  <c r="AX842" i="1"/>
  <c r="AZ842" i="1"/>
  <c r="BC842" i="1"/>
  <c r="BF842" i="1"/>
  <c r="C843" i="1"/>
  <c r="E843" i="1"/>
  <c r="H843" i="1"/>
  <c r="K843" i="1"/>
  <c r="N843" i="1"/>
  <c r="Q843" i="1"/>
  <c r="T843" i="1"/>
  <c r="W843" i="1"/>
  <c r="Z843" i="1"/>
  <c r="AC843" i="1"/>
  <c r="AF843" i="1"/>
  <c r="AI843" i="1"/>
  <c r="AK843" i="1"/>
  <c r="AN843" i="1"/>
  <c r="AP843" i="1"/>
  <c r="AS843" i="1"/>
  <c r="AU843" i="1"/>
  <c r="AX843" i="1"/>
  <c r="AZ843" i="1"/>
  <c r="BC843" i="1"/>
  <c r="BF843" i="1"/>
  <c r="C844" i="1"/>
  <c r="E844" i="1"/>
  <c r="H844" i="1"/>
  <c r="K844" i="1"/>
  <c r="N844" i="1"/>
  <c r="Q844" i="1"/>
  <c r="T844" i="1"/>
  <c r="W844" i="1"/>
  <c r="Z844" i="1"/>
  <c r="AC844" i="1"/>
  <c r="AF844" i="1"/>
  <c r="AI844" i="1"/>
  <c r="AK844" i="1"/>
  <c r="AN844" i="1"/>
  <c r="AP844" i="1"/>
  <c r="AS844" i="1"/>
  <c r="AU844" i="1"/>
  <c r="AX844" i="1"/>
  <c r="AZ844" i="1"/>
  <c r="BC844" i="1"/>
  <c r="BF844" i="1"/>
  <c r="C845" i="1"/>
  <c r="E845" i="1"/>
  <c r="H845" i="1"/>
  <c r="K845" i="1"/>
  <c r="N845" i="1"/>
  <c r="Q845" i="1"/>
  <c r="T845" i="1"/>
  <c r="W845" i="1"/>
  <c r="Z845" i="1"/>
  <c r="AC845" i="1"/>
  <c r="AF845" i="1"/>
  <c r="AI845" i="1"/>
  <c r="AK845" i="1"/>
  <c r="AN845" i="1"/>
  <c r="AP845" i="1"/>
  <c r="AS845" i="1"/>
  <c r="AU845" i="1"/>
  <c r="AX845" i="1"/>
  <c r="AZ845" i="1"/>
  <c r="BC845" i="1"/>
  <c r="BF845" i="1"/>
  <c r="C846" i="1"/>
  <c r="E846" i="1"/>
  <c r="H846" i="1"/>
  <c r="K846" i="1"/>
  <c r="N846" i="1"/>
  <c r="Q846" i="1"/>
  <c r="T846" i="1"/>
  <c r="W846" i="1"/>
  <c r="Z846" i="1"/>
  <c r="AC846" i="1"/>
  <c r="AF846" i="1"/>
  <c r="AI846" i="1"/>
  <c r="AK846" i="1"/>
  <c r="AN846" i="1"/>
  <c r="AP846" i="1"/>
  <c r="AS846" i="1"/>
  <c r="AU846" i="1"/>
  <c r="AX846" i="1"/>
  <c r="AZ846" i="1"/>
  <c r="BC846" i="1"/>
  <c r="BF846" i="1"/>
  <c r="C847" i="1"/>
  <c r="E847" i="1"/>
  <c r="H847" i="1"/>
  <c r="K847" i="1"/>
  <c r="N847" i="1"/>
  <c r="Q847" i="1"/>
  <c r="T847" i="1"/>
  <c r="W847" i="1"/>
  <c r="Z847" i="1"/>
  <c r="AC847" i="1"/>
  <c r="AF847" i="1"/>
  <c r="AI847" i="1"/>
  <c r="AK847" i="1"/>
  <c r="AN847" i="1"/>
  <c r="AP847" i="1"/>
  <c r="AS847" i="1"/>
  <c r="AU847" i="1"/>
  <c r="AX847" i="1"/>
  <c r="AZ847" i="1"/>
  <c r="BC847" i="1"/>
  <c r="BF847" i="1"/>
  <c r="C848" i="1"/>
  <c r="E848" i="1"/>
  <c r="H848" i="1"/>
  <c r="K848" i="1"/>
  <c r="N848" i="1"/>
  <c r="Q848" i="1"/>
  <c r="T848" i="1"/>
  <c r="W848" i="1"/>
  <c r="Z848" i="1"/>
  <c r="AC848" i="1"/>
  <c r="AF848" i="1"/>
  <c r="AI848" i="1"/>
  <c r="AK848" i="1"/>
  <c r="AN848" i="1"/>
  <c r="AP848" i="1"/>
  <c r="AS848" i="1"/>
  <c r="AU848" i="1"/>
  <c r="AX848" i="1"/>
  <c r="AZ848" i="1"/>
  <c r="BC848" i="1"/>
  <c r="BF848" i="1"/>
  <c r="C849" i="1"/>
  <c r="E849" i="1"/>
  <c r="H849" i="1"/>
  <c r="K849" i="1"/>
  <c r="N849" i="1"/>
  <c r="Q849" i="1"/>
  <c r="T849" i="1"/>
  <c r="W849" i="1"/>
  <c r="Z849" i="1"/>
  <c r="AC849" i="1"/>
  <c r="AF849" i="1"/>
  <c r="AI849" i="1"/>
  <c r="AK849" i="1"/>
  <c r="AN849" i="1"/>
  <c r="AP849" i="1"/>
  <c r="AS849" i="1"/>
  <c r="AU849" i="1"/>
  <c r="AX849" i="1"/>
  <c r="AZ849" i="1"/>
  <c r="BC849" i="1"/>
  <c r="BF849" i="1"/>
  <c r="C850" i="1"/>
  <c r="E850" i="1"/>
  <c r="H850" i="1"/>
  <c r="K850" i="1"/>
  <c r="N850" i="1"/>
  <c r="Q850" i="1"/>
  <c r="T850" i="1"/>
  <c r="W850" i="1"/>
  <c r="Z850" i="1"/>
  <c r="AC850" i="1"/>
  <c r="AF850" i="1"/>
  <c r="AI850" i="1"/>
  <c r="AK850" i="1"/>
  <c r="AN850" i="1"/>
  <c r="AP850" i="1"/>
  <c r="AS850" i="1"/>
  <c r="AU850" i="1"/>
  <c r="AX850" i="1"/>
  <c r="AZ850" i="1"/>
  <c r="BC850" i="1"/>
  <c r="BF850" i="1"/>
  <c r="C851" i="1"/>
  <c r="E851" i="1"/>
  <c r="H851" i="1"/>
  <c r="K851" i="1"/>
  <c r="N851" i="1"/>
  <c r="Q851" i="1"/>
  <c r="T851" i="1"/>
  <c r="W851" i="1"/>
  <c r="Z851" i="1"/>
  <c r="AC851" i="1"/>
  <c r="AF851" i="1"/>
  <c r="AI851" i="1"/>
  <c r="AK851" i="1"/>
  <c r="AN851" i="1"/>
  <c r="AP851" i="1"/>
  <c r="AS851" i="1"/>
  <c r="AU851" i="1"/>
  <c r="AX851" i="1"/>
  <c r="AZ851" i="1"/>
  <c r="BC851" i="1"/>
  <c r="BF851" i="1"/>
  <c r="C852" i="1"/>
  <c r="E852" i="1"/>
  <c r="H852" i="1"/>
  <c r="K852" i="1"/>
  <c r="N852" i="1"/>
  <c r="Q852" i="1"/>
  <c r="T852" i="1"/>
  <c r="W852" i="1"/>
  <c r="Z852" i="1"/>
  <c r="AC852" i="1"/>
  <c r="AF852" i="1"/>
  <c r="AI852" i="1"/>
  <c r="AK852" i="1"/>
  <c r="AN852" i="1"/>
  <c r="AP852" i="1"/>
  <c r="AS852" i="1"/>
  <c r="AU852" i="1"/>
  <c r="AX852" i="1"/>
  <c r="AZ852" i="1"/>
  <c r="BC852" i="1"/>
  <c r="BF852" i="1"/>
  <c r="C853" i="1"/>
  <c r="E853" i="1"/>
  <c r="H853" i="1"/>
  <c r="K853" i="1"/>
  <c r="N853" i="1"/>
  <c r="Q853" i="1"/>
  <c r="T853" i="1"/>
  <c r="W853" i="1"/>
  <c r="Z853" i="1"/>
  <c r="AC853" i="1"/>
  <c r="AF853" i="1"/>
  <c r="AI853" i="1"/>
  <c r="AK853" i="1"/>
  <c r="AN853" i="1"/>
  <c r="AP853" i="1"/>
  <c r="AS853" i="1"/>
  <c r="AU853" i="1"/>
  <c r="AX853" i="1"/>
  <c r="AZ853" i="1"/>
  <c r="BC853" i="1"/>
  <c r="BF853" i="1"/>
  <c r="C854" i="1"/>
  <c r="E854" i="1"/>
  <c r="H854" i="1"/>
  <c r="K854" i="1"/>
  <c r="N854" i="1"/>
  <c r="Q854" i="1"/>
  <c r="T854" i="1"/>
  <c r="W854" i="1"/>
  <c r="Z854" i="1"/>
  <c r="AC854" i="1"/>
  <c r="AF854" i="1"/>
  <c r="AI854" i="1"/>
  <c r="AK854" i="1"/>
  <c r="AN854" i="1"/>
  <c r="AP854" i="1"/>
  <c r="AS854" i="1"/>
  <c r="AU854" i="1"/>
  <c r="AX854" i="1"/>
  <c r="AZ854" i="1"/>
  <c r="BC854" i="1"/>
  <c r="BF854" i="1"/>
  <c r="C855" i="1"/>
  <c r="E855" i="1"/>
  <c r="H855" i="1"/>
  <c r="K855" i="1"/>
  <c r="N855" i="1"/>
  <c r="Q855" i="1"/>
  <c r="T855" i="1"/>
  <c r="W855" i="1"/>
  <c r="Z855" i="1"/>
  <c r="AC855" i="1"/>
  <c r="AF855" i="1"/>
  <c r="AI855" i="1"/>
  <c r="AK855" i="1"/>
  <c r="AN855" i="1"/>
  <c r="AP855" i="1"/>
  <c r="AS855" i="1"/>
  <c r="AU855" i="1"/>
  <c r="AX855" i="1"/>
  <c r="AZ855" i="1"/>
  <c r="BC855" i="1"/>
  <c r="BF855" i="1"/>
  <c r="C856" i="1"/>
  <c r="E856" i="1"/>
  <c r="H856" i="1"/>
  <c r="K856" i="1"/>
  <c r="N856" i="1"/>
  <c r="Q856" i="1"/>
  <c r="T856" i="1"/>
  <c r="W856" i="1"/>
  <c r="Z856" i="1"/>
  <c r="AC856" i="1"/>
  <c r="AF856" i="1"/>
  <c r="AI856" i="1"/>
  <c r="AK856" i="1"/>
  <c r="AN856" i="1"/>
  <c r="AP856" i="1"/>
  <c r="AS856" i="1"/>
  <c r="AU856" i="1"/>
  <c r="AX856" i="1"/>
  <c r="AZ856" i="1"/>
  <c r="BC856" i="1"/>
  <c r="BF856" i="1"/>
  <c r="C857" i="1"/>
  <c r="E857" i="1"/>
  <c r="H857" i="1"/>
  <c r="K857" i="1"/>
  <c r="N857" i="1"/>
  <c r="Q857" i="1"/>
  <c r="T857" i="1"/>
  <c r="W857" i="1"/>
  <c r="Z857" i="1"/>
  <c r="AC857" i="1"/>
  <c r="AF857" i="1"/>
  <c r="AI857" i="1"/>
  <c r="AK857" i="1"/>
  <c r="AN857" i="1"/>
  <c r="AP857" i="1"/>
  <c r="AS857" i="1"/>
  <c r="AU857" i="1"/>
  <c r="AX857" i="1"/>
  <c r="AZ857" i="1"/>
  <c r="BC857" i="1"/>
  <c r="BF857" i="1"/>
  <c r="C858" i="1"/>
  <c r="E858" i="1"/>
  <c r="H858" i="1"/>
  <c r="K858" i="1"/>
  <c r="N858" i="1"/>
  <c r="Q858" i="1"/>
  <c r="T858" i="1"/>
  <c r="W858" i="1"/>
  <c r="Z858" i="1"/>
  <c r="AC858" i="1"/>
  <c r="AF858" i="1"/>
  <c r="AI858" i="1"/>
  <c r="AK858" i="1"/>
  <c r="AN858" i="1"/>
  <c r="AP858" i="1"/>
  <c r="AS858" i="1"/>
  <c r="AU858" i="1"/>
  <c r="AX858" i="1"/>
  <c r="AZ858" i="1"/>
  <c r="BC858" i="1"/>
  <c r="BF858" i="1"/>
  <c r="C859" i="1"/>
  <c r="E859" i="1"/>
  <c r="H859" i="1"/>
  <c r="K859" i="1"/>
  <c r="N859" i="1"/>
  <c r="Q859" i="1"/>
  <c r="T859" i="1"/>
  <c r="W859" i="1"/>
  <c r="Z859" i="1"/>
  <c r="AC859" i="1"/>
  <c r="AF859" i="1"/>
  <c r="AI859" i="1"/>
  <c r="AK859" i="1"/>
  <c r="AN859" i="1"/>
  <c r="AP859" i="1"/>
  <c r="AS859" i="1"/>
  <c r="AU859" i="1"/>
  <c r="AX859" i="1"/>
  <c r="AZ859" i="1"/>
  <c r="BC859" i="1"/>
  <c r="BF859" i="1"/>
  <c r="C860" i="1"/>
  <c r="E860" i="1"/>
  <c r="H860" i="1"/>
  <c r="K860" i="1"/>
  <c r="N860" i="1"/>
  <c r="Q860" i="1"/>
  <c r="T860" i="1"/>
  <c r="W860" i="1"/>
  <c r="Z860" i="1"/>
  <c r="AC860" i="1"/>
  <c r="AF860" i="1"/>
  <c r="AI860" i="1"/>
  <c r="AK860" i="1"/>
  <c r="AN860" i="1"/>
  <c r="AP860" i="1"/>
  <c r="AS860" i="1"/>
  <c r="AU860" i="1"/>
  <c r="AX860" i="1"/>
  <c r="AZ860" i="1"/>
  <c r="BC860" i="1"/>
  <c r="BF860" i="1"/>
  <c r="C861" i="1"/>
  <c r="E861" i="1"/>
  <c r="H861" i="1"/>
  <c r="K861" i="1"/>
  <c r="N861" i="1"/>
  <c r="Q861" i="1"/>
  <c r="T861" i="1"/>
  <c r="W861" i="1"/>
  <c r="Z861" i="1"/>
  <c r="AC861" i="1"/>
  <c r="AF861" i="1"/>
  <c r="AI861" i="1"/>
  <c r="AK861" i="1"/>
  <c r="AN861" i="1"/>
  <c r="AP861" i="1"/>
  <c r="AS861" i="1"/>
  <c r="AU861" i="1"/>
  <c r="AX861" i="1"/>
  <c r="AZ861" i="1"/>
  <c r="BC861" i="1"/>
  <c r="BF861" i="1"/>
  <c r="C862" i="1"/>
  <c r="E862" i="1"/>
  <c r="H862" i="1"/>
  <c r="K862" i="1"/>
  <c r="N862" i="1"/>
  <c r="Q862" i="1"/>
  <c r="T862" i="1"/>
  <c r="W862" i="1"/>
  <c r="Z862" i="1"/>
  <c r="AC862" i="1"/>
  <c r="AF862" i="1"/>
  <c r="AI862" i="1"/>
  <c r="AK862" i="1"/>
  <c r="AN862" i="1"/>
  <c r="AP862" i="1"/>
  <c r="AS862" i="1"/>
  <c r="AU862" i="1"/>
  <c r="AX862" i="1"/>
  <c r="AZ862" i="1"/>
  <c r="BC862" i="1"/>
  <c r="BF862" i="1"/>
  <c r="C863" i="1"/>
  <c r="E863" i="1"/>
  <c r="H863" i="1"/>
  <c r="K863" i="1"/>
  <c r="N863" i="1"/>
  <c r="Q863" i="1"/>
  <c r="T863" i="1"/>
  <c r="W863" i="1"/>
  <c r="Z863" i="1"/>
  <c r="AC863" i="1"/>
  <c r="AF863" i="1"/>
  <c r="AI863" i="1"/>
  <c r="AK863" i="1"/>
  <c r="AN863" i="1"/>
  <c r="AP863" i="1"/>
  <c r="AS863" i="1"/>
  <c r="AU863" i="1"/>
  <c r="AX863" i="1"/>
  <c r="AZ863" i="1"/>
  <c r="BC863" i="1"/>
  <c r="BF863" i="1"/>
  <c r="C864" i="1"/>
  <c r="E864" i="1"/>
  <c r="H864" i="1"/>
  <c r="K864" i="1"/>
  <c r="N864" i="1"/>
  <c r="Q864" i="1"/>
  <c r="T864" i="1"/>
  <c r="W864" i="1"/>
  <c r="Z864" i="1"/>
  <c r="AC864" i="1"/>
  <c r="AF864" i="1"/>
  <c r="AI864" i="1"/>
  <c r="AK864" i="1"/>
  <c r="AN864" i="1"/>
  <c r="AP864" i="1"/>
  <c r="AS864" i="1"/>
  <c r="AU864" i="1"/>
  <c r="AX864" i="1"/>
  <c r="AZ864" i="1"/>
  <c r="BC864" i="1"/>
  <c r="BF864" i="1"/>
  <c r="C865" i="1"/>
  <c r="E865" i="1"/>
  <c r="H865" i="1"/>
  <c r="K865" i="1"/>
  <c r="N865" i="1"/>
  <c r="Q865" i="1"/>
  <c r="T865" i="1"/>
  <c r="W865" i="1"/>
  <c r="Z865" i="1"/>
  <c r="AC865" i="1"/>
  <c r="AF865" i="1"/>
  <c r="AI865" i="1"/>
  <c r="AK865" i="1"/>
  <c r="AN865" i="1"/>
  <c r="AP865" i="1"/>
  <c r="AS865" i="1"/>
  <c r="AU865" i="1"/>
  <c r="AX865" i="1"/>
  <c r="AZ865" i="1"/>
  <c r="BC865" i="1"/>
  <c r="BF865" i="1"/>
  <c r="C866" i="1"/>
  <c r="E866" i="1"/>
  <c r="H866" i="1"/>
  <c r="K866" i="1"/>
  <c r="N866" i="1"/>
  <c r="Q866" i="1"/>
  <c r="T866" i="1"/>
  <c r="W866" i="1"/>
  <c r="Z866" i="1"/>
  <c r="AC866" i="1"/>
  <c r="AF866" i="1"/>
  <c r="AI866" i="1"/>
  <c r="AK866" i="1"/>
  <c r="AN866" i="1"/>
  <c r="AP866" i="1"/>
  <c r="AS866" i="1"/>
  <c r="AU866" i="1"/>
  <c r="AX866" i="1"/>
  <c r="AZ866" i="1"/>
  <c r="BC866" i="1"/>
  <c r="BF866" i="1"/>
  <c r="C867" i="1"/>
  <c r="E867" i="1"/>
  <c r="H867" i="1"/>
  <c r="K867" i="1"/>
  <c r="N867" i="1"/>
  <c r="Q867" i="1"/>
  <c r="T867" i="1"/>
  <c r="W867" i="1"/>
  <c r="Z867" i="1"/>
  <c r="AC867" i="1"/>
  <c r="AF867" i="1"/>
  <c r="AI867" i="1"/>
  <c r="AK867" i="1"/>
  <c r="AN867" i="1"/>
  <c r="AP867" i="1"/>
  <c r="AS867" i="1"/>
  <c r="AU867" i="1"/>
  <c r="AX867" i="1"/>
  <c r="AZ867" i="1"/>
  <c r="BC867" i="1"/>
  <c r="BF867" i="1"/>
  <c r="C868" i="1"/>
  <c r="E868" i="1"/>
  <c r="H868" i="1"/>
  <c r="K868" i="1"/>
  <c r="N868" i="1"/>
  <c r="Q868" i="1"/>
  <c r="T868" i="1"/>
  <c r="W868" i="1"/>
  <c r="Z868" i="1"/>
  <c r="AC868" i="1"/>
  <c r="AF868" i="1"/>
  <c r="AI868" i="1"/>
  <c r="AK868" i="1"/>
  <c r="AN868" i="1"/>
  <c r="AP868" i="1"/>
  <c r="AS868" i="1"/>
  <c r="AU868" i="1"/>
  <c r="AX868" i="1"/>
  <c r="AZ868" i="1"/>
  <c r="BC868" i="1"/>
  <c r="BF868" i="1"/>
  <c r="C869" i="1"/>
  <c r="E869" i="1"/>
  <c r="H869" i="1"/>
  <c r="K869" i="1"/>
  <c r="N869" i="1"/>
  <c r="Q869" i="1"/>
  <c r="T869" i="1"/>
  <c r="W869" i="1"/>
  <c r="Z869" i="1"/>
  <c r="AC869" i="1"/>
  <c r="AF869" i="1"/>
  <c r="AI869" i="1"/>
  <c r="AK869" i="1"/>
  <c r="AN869" i="1"/>
  <c r="AP869" i="1"/>
  <c r="AS869" i="1"/>
  <c r="AU869" i="1"/>
  <c r="AX869" i="1"/>
  <c r="AZ869" i="1"/>
  <c r="BC869" i="1"/>
  <c r="BF869" i="1"/>
  <c r="C870" i="1"/>
  <c r="E870" i="1"/>
  <c r="H870" i="1"/>
  <c r="K870" i="1"/>
  <c r="N870" i="1"/>
  <c r="Q870" i="1"/>
  <c r="T870" i="1"/>
  <c r="W870" i="1"/>
  <c r="Z870" i="1"/>
  <c r="AC870" i="1"/>
  <c r="AF870" i="1"/>
  <c r="AI870" i="1"/>
  <c r="AK870" i="1"/>
  <c r="AN870" i="1"/>
  <c r="AP870" i="1"/>
  <c r="AS870" i="1"/>
  <c r="AU870" i="1"/>
  <c r="AX870" i="1"/>
  <c r="AZ870" i="1"/>
  <c r="BC870" i="1"/>
  <c r="BF870" i="1"/>
  <c r="C871" i="1"/>
  <c r="E871" i="1"/>
  <c r="H871" i="1"/>
  <c r="K871" i="1"/>
  <c r="N871" i="1"/>
  <c r="Q871" i="1"/>
  <c r="T871" i="1"/>
  <c r="W871" i="1"/>
  <c r="Z871" i="1"/>
  <c r="AC871" i="1"/>
  <c r="AF871" i="1"/>
  <c r="AI871" i="1"/>
  <c r="AK871" i="1"/>
  <c r="AN871" i="1"/>
  <c r="AP871" i="1"/>
  <c r="AS871" i="1"/>
  <c r="AU871" i="1"/>
  <c r="AX871" i="1"/>
  <c r="AZ871" i="1"/>
  <c r="BC871" i="1"/>
  <c r="BF871" i="1"/>
  <c r="S802" i="4"/>
  <c r="S817" i="4"/>
  <c r="S825" i="4"/>
  <c r="S812" i="4"/>
  <c r="S813" i="4"/>
  <c r="S814" i="4"/>
  <c r="S826" i="4"/>
  <c r="S824" i="4"/>
  <c r="S4" i="4"/>
  <c r="S507" i="4"/>
  <c r="S508" i="4"/>
  <c r="S279" i="4"/>
  <c r="S280" i="4"/>
  <c r="S262" i="4"/>
  <c r="S263" i="4"/>
  <c r="S525" i="4"/>
  <c r="S526" i="4"/>
  <c r="S533" i="4"/>
  <c r="S53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811" i="4"/>
  <c r="S810" i="4"/>
  <c r="S809" i="4"/>
  <c r="S808" i="4"/>
  <c r="S58" i="4"/>
  <c r="S59" i="4"/>
  <c r="S60" i="4"/>
  <c r="S61" i="4"/>
  <c r="S62" i="4"/>
  <c r="S63" i="4"/>
  <c r="S64" i="4"/>
  <c r="S65" i="4"/>
  <c r="S66" i="4"/>
  <c r="S67" i="4"/>
  <c r="S68" i="4"/>
  <c r="S823" i="4"/>
  <c r="S778" i="4"/>
  <c r="S807" i="4"/>
  <c r="S431" i="4"/>
  <c r="S432" i="4"/>
  <c r="S231" i="4"/>
  <c r="S232" i="4"/>
  <c r="S392" i="4"/>
  <c r="S393" i="4"/>
  <c r="S252" i="4"/>
  <c r="S253" i="4"/>
  <c r="S435" i="4"/>
  <c r="S436" i="4"/>
  <c r="S818" i="4"/>
  <c r="S819" i="4"/>
  <c r="S820" i="4"/>
  <c r="S821" i="4"/>
  <c r="S822" i="4"/>
  <c r="S69" i="4"/>
  <c r="S806" i="4"/>
  <c r="S70" i="4"/>
  <c r="S71" i="4"/>
  <c r="Q825" i="4"/>
  <c r="Q812" i="4"/>
  <c r="Q813" i="4"/>
  <c r="Q814" i="4"/>
  <c r="Q826" i="4"/>
  <c r="Q824" i="4"/>
  <c r="Q4" i="4"/>
  <c r="Q507" i="4"/>
  <c r="Q508" i="4"/>
  <c r="Q279" i="4"/>
  <c r="Q280" i="4"/>
  <c r="Q262" i="4"/>
  <c r="Q263" i="4"/>
  <c r="Q525" i="4"/>
  <c r="Q526" i="4"/>
  <c r="Q533" i="4"/>
  <c r="Q53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811" i="4"/>
  <c r="Q810" i="4"/>
  <c r="Q809" i="4"/>
  <c r="Q808" i="4"/>
  <c r="Q58" i="4"/>
  <c r="Q59" i="4"/>
  <c r="Q60" i="4"/>
  <c r="Q61" i="4"/>
  <c r="Q62" i="4"/>
  <c r="Q63" i="4"/>
  <c r="Q64" i="4"/>
  <c r="Q65" i="4"/>
  <c r="Q66" i="4"/>
  <c r="Q67" i="4"/>
  <c r="Q68" i="4"/>
  <c r="Q823" i="4"/>
  <c r="Q778" i="4"/>
  <c r="Q807" i="4"/>
  <c r="Q431" i="4"/>
  <c r="Q432" i="4"/>
  <c r="Q231" i="4"/>
  <c r="Q232" i="4"/>
  <c r="Q392" i="4"/>
  <c r="Q393" i="4"/>
  <c r="Q252" i="4"/>
  <c r="Q253" i="4"/>
  <c r="Q435" i="4"/>
  <c r="Q436" i="4"/>
  <c r="Q818" i="4"/>
  <c r="Q819" i="4"/>
  <c r="Q820" i="4"/>
  <c r="Q821" i="4"/>
  <c r="Q822" i="4"/>
  <c r="Q69" i="4"/>
  <c r="Q806" i="4"/>
  <c r="Q70" i="4"/>
  <c r="Q71" i="4"/>
  <c r="O817" i="4"/>
  <c r="O825" i="4"/>
  <c r="O812" i="4"/>
  <c r="O813" i="4"/>
  <c r="O814" i="4"/>
  <c r="O826" i="4"/>
  <c r="O824" i="4"/>
  <c r="O4" i="4"/>
  <c r="O507" i="4"/>
  <c r="O508" i="4"/>
  <c r="O279" i="4"/>
  <c r="O280" i="4"/>
  <c r="O262" i="4"/>
  <c r="O263" i="4"/>
  <c r="O525" i="4"/>
  <c r="O526" i="4"/>
  <c r="O533" i="4"/>
  <c r="O53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811" i="4"/>
  <c r="O810" i="4"/>
  <c r="O809" i="4"/>
  <c r="O808" i="4"/>
  <c r="O58" i="4"/>
  <c r="O59" i="4"/>
  <c r="O60" i="4"/>
  <c r="O61" i="4"/>
  <c r="O62" i="4"/>
  <c r="O63" i="4"/>
  <c r="O64" i="4"/>
  <c r="O65" i="4"/>
  <c r="O66" i="4"/>
  <c r="O67" i="4"/>
  <c r="O68" i="4"/>
  <c r="O823" i="4"/>
  <c r="O778" i="4"/>
  <c r="O807" i="4"/>
  <c r="O431" i="4"/>
  <c r="O432" i="4"/>
  <c r="O231" i="4"/>
  <c r="O232" i="4"/>
  <c r="O392" i="4"/>
  <c r="O393" i="4"/>
  <c r="O252" i="4"/>
  <c r="O253" i="4"/>
  <c r="O435" i="4"/>
  <c r="O436" i="4"/>
  <c r="O818" i="4"/>
  <c r="O819" i="4"/>
  <c r="O820" i="4"/>
  <c r="O821" i="4"/>
  <c r="O822" i="4"/>
  <c r="O69" i="4"/>
  <c r="O806" i="4"/>
  <c r="O70" i="4"/>
  <c r="O71" i="4"/>
  <c r="M817" i="4"/>
  <c r="M825" i="4"/>
  <c r="M812" i="4"/>
  <c r="M813" i="4"/>
  <c r="M814" i="4"/>
  <c r="M826" i="4"/>
  <c r="M824" i="4"/>
  <c r="M4" i="4"/>
  <c r="M507" i="4"/>
  <c r="M508" i="4"/>
  <c r="M279" i="4"/>
  <c r="M280" i="4"/>
  <c r="M262" i="4"/>
  <c r="M263" i="4"/>
  <c r="M525" i="4"/>
  <c r="M526" i="4"/>
  <c r="M533" i="4"/>
  <c r="M53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811" i="4"/>
  <c r="M810" i="4"/>
  <c r="M809" i="4"/>
  <c r="M808" i="4"/>
  <c r="M58" i="4"/>
  <c r="M59" i="4"/>
  <c r="M60" i="4"/>
  <c r="M61" i="4"/>
  <c r="M62" i="4"/>
  <c r="M63" i="4"/>
  <c r="M64" i="4"/>
  <c r="M65" i="4"/>
  <c r="M66" i="4"/>
  <c r="M67" i="4"/>
  <c r="M68" i="4"/>
  <c r="M823" i="4"/>
  <c r="M778" i="4"/>
  <c r="M807" i="4"/>
  <c r="M431" i="4"/>
  <c r="M432" i="4"/>
  <c r="M231" i="4"/>
  <c r="M232" i="4"/>
  <c r="M392" i="4"/>
  <c r="M393" i="4"/>
  <c r="M252" i="4"/>
  <c r="M253" i="4"/>
  <c r="M435" i="4"/>
  <c r="M436" i="4"/>
  <c r="M818" i="4"/>
  <c r="M819" i="4"/>
  <c r="M820" i="4"/>
  <c r="M821" i="4"/>
  <c r="M822" i="4"/>
  <c r="M69" i="4"/>
  <c r="M806" i="4"/>
  <c r="M70" i="4"/>
  <c r="M71" i="4"/>
  <c r="K817" i="4"/>
  <c r="K825" i="4"/>
  <c r="K812" i="4"/>
  <c r="K813" i="4"/>
  <c r="K814" i="4"/>
  <c r="K826" i="4"/>
  <c r="K824" i="4"/>
  <c r="K4" i="4"/>
  <c r="K507" i="4"/>
  <c r="K508" i="4"/>
  <c r="K279" i="4"/>
  <c r="K280" i="4"/>
  <c r="K262" i="4"/>
  <c r="K263" i="4"/>
  <c r="K525" i="4"/>
  <c r="K526" i="4"/>
  <c r="K533" i="4"/>
  <c r="K53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811" i="4"/>
  <c r="K810" i="4"/>
  <c r="K809" i="4"/>
  <c r="K808" i="4"/>
  <c r="K58" i="4"/>
  <c r="K59" i="4"/>
  <c r="K60" i="4"/>
  <c r="K61" i="4"/>
  <c r="K62" i="4"/>
  <c r="K63" i="4"/>
  <c r="K64" i="4"/>
  <c r="K65" i="4"/>
  <c r="K66" i="4"/>
  <c r="K67" i="4"/>
  <c r="K68" i="4"/>
  <c r="K823" i="4"/>
  <c r="K778" i="4"/>
  <c r="K807" i="4"/>
  <c r="K431" i="4"/>
  <c r="K432" i="4"/>
  <c r="K231" i="4"/>
  <c r="K232" i="4"/>
  <c r="K392" i="4"/>
  <c r="K393" i="4"/>
  <c r="K252" i="4"/>
  <c r="K253" i="4"/>
  <c r="K435" i="4"/>
  <c r="K436" i="4"/>
  <c r="K818" i="4"/>
  <c r="K819" i="4"/>
  <c r="K820" i="4"/>
  <c r="K821" i="4"/>
  <c r="K822" i="4"/>
  <c r="K69" i="4"/>
  <c r="K806" i="4"/>
  <c r="K70" i="4"/>
  <c r="K71" i="4"/>
  <c r="A817" i="4"/>
  <c r="A825" i="4"/>
  <c r="A812" i="4"/>
  <c r="A813" i="4"/>
  <c r="A814" i="4"/>
  <c r="A826" i="4"/>
  <c r="A824" i="4"/>
  <c r="A4" i="4"/>
  <c r="A507" i="4"/>
  <c r="A508" i="4"/>
  <c r="A279" i="4"/>
  <c r="A280" i="4"/>
  <c r="A262" i="4"/>
  <c r="A263" i="4"/>
  <c r="A525" i="4"/>
  <c r="A526" i="4"/>
  <c r="A533" i="4"/>
  <c r="A53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811" i="4"/>
  <c r="A810" i="4"/>
  <c r="A809" i="4"/>
  <c r="A808" i="4"/>
  <c r="A58" i="4"/>
  <c r="A59" i="4"/>
  <c r="A60" i="4"/>
  <c r="A61" i="4"/>
  <c r="A62" i="4"/>
  <c r="A63" i="4"/>
  <c r="A64" i="4"/>
  <c r="A65" i="4"/>
  <c r="A66" i="4"/>
  <c r="A67" i="4"/>
  <c r="A68" i="4"/>
  <c r="A823" i="4"/>
  <c r="A778" i="4"/>
  <c r="A807" i="4"/>
  <c r="A431" i="4"/>
  <c r="A432" i="4"/>
  <c r="A231" i="4"/>
  <c r="A232" i="4"/>
  <c r="A392" i="4"/>
  <c r="A393" i="4"/>
  <c r="A252" i="4"/>
  <c r="A253" i="4"/>
  <c r="A435" i="4"/>
  <c r="A436" i="4"/>
  <c r="A818" i="4"/>
  <c r="A819" i="4"/>
  <c r="A820" i="4"/>
  <c r="A821" i="4"/>
  <c r="A822" i="4"/>
  <c r="A69" i="4"/>
  <c r="A806" i="4"/>
  <c r="A70" i="4"/>
  <c r="A71" i="4"/>
  <c r="C733" i="1" l="1"/>
  <c r="E733" i="1"/>
  <c r="H733" i="1"/>
  <c r="K733" i="1"/>
  <c r="N733" i="1"/>
  <c r="Q733" i="1"/>
  <c r="T733" i="1"/>
  <c r="W733" i="1"/>
  <c r="Z733" i="1"/>
  <c r="AC733" i="1"/>
  <c r="AI733" i="1"/>
  <c r="AN733" i="1"/>
  <c r="AS733" i="1"/>
  <c r="AX733" i="1"/>
  <c r="BC733" i="1"/>
  <c r="BF733" i="1"/>
  <c r="C734" i="1"/>
  <c r="E734" i="1"/>
  <c r="H734" i="1"/>
  <c r="K734" i="1"/>
  <c r="N734" i="1"/>
  <c r="Q734" i="1"/>
  <c r="T734" i="1"/>
  <c r="W734" i="1"/>
  <c r="Z734" i="1"/>
  <c r="AC734" i="1"/>
  <c r="AI734" i="1"/>
  <c r="AN734" i="1"/>
  <c r="AS734" i="1"/>
  <c r="AX734" i="1"/>
  <c r="BC734" i="1"/>
  <c r="BF734" i="1"/>
  <c r="C735" i="1"/>
  <c r="E735" i="1"/>
  <c r="H735" i="1"/>
  <c r="K735" i="1"/>
  <c r="N735" i="1"/>
  <c r="Q735" i="1"/>
  <c r="T735" i="1"/>
  <c r="W735" i="1"/>
  <c r="Z735" i="1"/>
  <c r="AC735" i="1"/>
  <c r="AI735" i="1"/>
  <c r="AN735" i="1"/>
  <c r="AS735" i="1"/>
  <c r="AX735" i="1"/>
  <c r="BC735" i="1"/>
  <c r="BF735" i="1"/>
  <c r="C736" i="1"/>
  <c r="E736" i="1"/>
  <c r="H736" i="1"/>
  <c r="K736" i="1"/>
  <c r="N736" i="1"/>
  <c r="Q736" i="1"/>
  <c r="T736" i="1"/>
  <c r="W736" i="1"/>
  <c r="Z736" i="1"/>
  <c r="AC736" i="1"/>
  <c r="AI736" i="1"/>
  <c r="AN736" i="1"/>
  <c r="AS736" i="1"/>
  <c r="AX736" i="1"/>
  <c r="BC736" i="1"/>
  <c r="BF736" i="1"/>
  <c r="C737" i="1"/>
  <c r="E737" i="1"/>
  <c r="H737" i="1"/>
  <c r="K737" i="1"/>
  <c r="N737" i="1"/>
  <c r="Q737" i="1"/>
  <c r="T737" i="1"/>
  <c r="W737" i="1"/>
  <c r="Z737" i="1"/>
  <c r="AC737" i="1"/>
  <c r="AI737" i="1"/>
  <c r="AN737" i="1"/>
  <c r="AS737" i="1"/>
  <c r="AX737" i="1"/>
  <c r="BC737" i="1"/>
  <c r="BF737" i="1"/>
  <c r="C738" i="1"/>
  <c r="E738" i="1"/>
  <c r="H738" i="1"/>
  <c r="K738" i="1"/>
  <c r="N738" i="1"/>
  <c r="Q738" i="1"/>
  <c r="T738" i="1"/>
  <c r="W738" i="1"/>
  <c r="Z738" i="1"/>
  <c r="AC738" i="1"/>
  <c r="AI738" i="1"/>
  <c r="AN738" i="1"/>
  <c r="AS738" i="1"/>
  <c r="AX738" i="1"/>
  <c r="BC738" i="1"/>
  <c r="BF738" i="1"/>
  <c r="C719" i="1"/>
  <c r="E719" i="1"/>
  <c r="H719" i="1"/>
  <c r="K719" i="1"/>
  <c r="N719" i="1"/>
  <c r="Q719" i="1"/>
  <c r="T719" i="1"/>
  <c r="W719" i="1"/>
  <c r="Z719" i="1"/>
  <c r="AC719" i="1"/>
  <c r="AI719" i="1"/>
  <c r="AN719" i="1"/>
  <c r="AS719" i="1"/>
  <c r="AX719" i="1"/>
  <c r="BC719" i="1"/>
  <c r="BF719" i="1"/>
  <c r="C720" i="1"/>
  <c r="E720" i="1"/>
  <c r="H720" i="1"/>
  <c r="K720" i="1"/>
  <c r="N720" i="1"/>
  <c r="Q720" i="1"/>
  <c r="T720" i="1"/>
  <c r="W720" i="1"/>
  <c r="Z720" i="1"/>
  <c r="AC720" i="1"/>
  <c r="AI720" i="1"/>
  <c r="AN720" i="1"/>
  <c r="AS720" i="1"/>
  <c r="AX720" i="1"/>
  <c r="BC720" i="1"/>
  <c r="BF720" i="1"/>
  <c r="C721" i="1"/>
  <c r="E721" i="1"/>
  <c r="H721" i="1"/>
  <c r="K721" i="1"/>
  <c r="N721" i="1"/>
  <c r="Q721" i="1"/>
  <c r="T721" i="1"/>
  <c r="W721" i="1"/>
  <c r="Z721" i="1"/>
  <c r="AC721" i="1"/>
  <c r="AI721" i="1"/>
  <c r="AN721" i="1"/>
  <c r="AS721" i="1"/>
  <c r="AX721" i="1"/>
  <c r="BC721" i="1"/>
  <c r="BF721" i="1"/>
  <c r="C722" i="1"/>
  <c r="E722" i="1"/>
  <c r="H722" i="1"/>
  <c r="K722" i="1"/>
  <c r="N722" i="1"/>
  <c r="Q722" i="1"/>
  <c r="T722" i="1"/>
  <c r="W722" i="1"/>
  <c r="Z722" i="1"/>
  <c r="AC722" i="1"/>
  <c r="AI722" i="1"/>
  <c r="AN722" i="1"/>
  <c r="AS722" i="1"/>
  <c r="AX722" i="1"/>
  <c r="BC722" i="1"/>
  <c r="BF722" i="1"/>
  <c r="C723" i="1"/>
  <c r="E723" i="1"/>
  <c r="H723" i="1"/>
  <c r="K723" i="1"/>
  <c r="N723" i="1"/>
  <c r="Q723" i="1"/>
  <c r="T723" i="1"/>
  <c r="W723" i="1"/>
  <c r="Z723" i="1"/>
  <c r="AC723" i="1"/>
  <c r="AI723" i="1"/>
  <c r="AN723" i="1"/>
  <c r="AS723" i="1"/>
  <c r="AX723" i="1"/>
  <c r="BC723" i="1"/>
  <c r="BF723" i="1"/>
  <c r="C724" i="1"/>
  <c r="E724" i="1"/>
  <c r="H724" i="1"/>
  <c r="K724" i="1"/>
  <c r="N724" i="1"/>
  <c r="Q724" i="1"/>
  <c r="T724" i="1"/>
  <c r="W724" i="1"/>
  <c r="Z724" i="1"/>
  <c r="AC724" i="1"/>
  <c r="AI724" i="1"/>
  <c r="AN724" i="1"/>
  <c r="AS724" i="1"/>
  <c r="AX724" i="1"/>
  <c r="BC724" i="1"/>
  <c r="BF724" i="1"/>
  <c r="C725" i="1"/>
  <c r="E725" i="1"/>
  <c r="H725" i="1"/>
  <c r="K725" i="1"/>
  <c r="N725" i="1"/>
  <c r="Q725" i="1"/>
  <c r="T725" i="1"/>
  <c r="W725" i="1"/>
  <c r="Z725" i="1"/>
  <c r="AC725" i="1"/>
  <c r="AI725" i="1"/>
  <c r="AN725" i="1"/>
  <c r="AS725" i="1"/>
  <c r="AX725" i="1"/>
  <c r="BC725" i="1"/>
  <c r="BF725" i="1"/>
  <c r="C726" i="1"/>
  <c r="E726" i="1"/>
  <c r="H726" i="1"/>
  <c r="K726" i="1"/>
  <c r="N726" i="1"/>
  <c r="Q726" i="1"/>
  <c r="T726" i="1"/>
  <c r="W726" i="1"/>
  <c r="Z726" i="1"/>
  <c r="AC726" i="1"/>
  <c r="AI726" i="1"/>
  <c r="AN726" i="1"/>
  <c r="AS726" i="1"/>
  <c r="AX726" i="1"/>
  <c r="BC726" i="1"/>
  <c r="BF726" i="1"/>
  <c r="C727" i="1"/>
  <c r="E727" i="1"/>
  <c r="H727" i="1"/>
  <c r="K727" i="1"/>
  <c r="N727" i="1"/>
  <c r="Q727" i="1"/>
  <c r="T727" i="1"/>
  <c r="W727" i="1"/>
  <c r="Z727" i="1"/>
  <c r="AC727" i="1"/>
  <c r="AI727" i="1"/>
  <c r="AN727" i="1"/>
  <c r="AS727" i="1"/>
  <c r="AX727" i="1"/>
  <c r="BC727" i="1"/>
  <c r="BF727" i="1"/>
  <c r="C728" i="1"/>
  <c r="E728" i="1"/>
  <c r="H728" i="1"/>
  <c r="K728" i="1"/>
  <c r="N728" i="1"/>
  <c r="Q728" i="1"/>
  <c r="T728" i="1"/>
  <c r="W728" i="1"/>
  <c r="Z728" i="1"/>
  <c r="AC728" i="1"/>
  <c r="AI728" i="1"/>
  <c r="AN728" i="1"/>
  <c r="AS728" i="1"/>
  <c r="AX728" i="1"/>
  <c r="BC728" i="1"/>
  <c r="BF728" i="1"/>
  <c r="C729" i="1"/>
  <c r="E729" i="1"/>
  <c r="H729" i="1"/>
  <c r="K729" i="1"/>
  <c r="N729" i="1"/>
  <c r="Q729" i="1"/>
  <c r="T729" i="1"/>
  <c r="W729" i="1"/>
  <c r="Z729" i="1"/>
  <c r="AC729" i="1"/>
  <c r="AI729" i="1"/>
  <c r="AN729" i="1"/>
  <c r="AS729" i="1"/>
  <c r="AX729" i="1"/>
  <c r="BC729" i="1"/>
  <c r="BF729" i="1"/>
  <c r="C730" i="1"/>
  <c r="E730" i="1"/>
  <c r="H730" i="1"/>
  <c r="K730" i="1"/>
  <c r="N730" i="1"/>
  <c r="Q730" i="1"/>
  <c r="T730" i="1"/>
  <c r="W730" i="1"/>
  <c r="Z730" i="1"/>
  <c r="AC730" i="1"/>
  <c r="AI730" i="1"/>
  <c r="AN730" i="1"/>
  <c r="AS730" i="1"/>
  <c r="AX730" i="1"/>
  <c r="BC730" i="1"/>
  <c r="BF730" i="1"/>
  <c r="C731" i="1"/>
  <c r="E731" i="1"/>
  <c r="H731" i="1"/>
  <c r="K731" i="1"/>
  <c r="N731" i="1"/>
  <c r="Q731" i="1"/>
  <c r="T731" i="1"/>
  <c r="W731" i="1"/>
  <c r="Z731" i="1"/>
  <c r="AC731" i="1"/>
  <c r="AI731" i="1"/>
  <c r="AN731" i="1"/>
  <c r="AS731" i="1"/>
  <c r="AX731" i="1"/>
  <c r="BC731" i="1"/>
  <c r="BF731" i="1"/>
  <c r="C732" i="1"/>
  <c r="E732" i="1"/>
  <c r="H732" i="1"/>
  <c r="K732" i="1"/>
  <c r="N732" i="1"/>
  <c r="Q732" i="1"/>
  <c r="T732" i="1"/>
  <c r="W732" i="1"/>
  <c r="Z732" i="1"/>
  <c r="AC732" i="1"/>
  <c r="AI732" i="1"/>
  <c r="AN732" i="1"/>
  <c r="AS732" i="1"/>
  <c r="AX732" i="1"/>
  <c r="BC732" i="1"/>
  <c r="BF732" i="1"/>
  <c r="C709" i="1"/>
  <c r="E709" i="1"/>
  <c r="H709" i="1"/>
  <c r="K709" i="1"/>
  <c r="N709" i="1"/>
  <c r="Q709" i="1"/>
  <c r="T709" i="1"/>
  <c r="W709" i="1"/>
  <c r="Z709" i="1"/>
  <c r="AC709" i="1"/>
  <c r="AI709" i="1"/>
  <c r="AN709" i="1"/>
  <c r="AS709" i="1"/>
  <c r="AX709" i="1"/>
  <c r="BC709" i="1"/>
  <c r="BF709" i="1"/>
  <c r="C710" i="1"/>
  <c r="E710" i="1"/>
  <c r="H710" i="1"/>
  <c r="K710" i="1"/>
  <c r="N710" i="1"/>
  <c r="Q710" i="1"/>
  <c r="T710" i="1"/>
  <c r="W710" i="1"/>
  <c r="Z710" i="1"/>
  <c r="AC710" i="1"/>
  <c r="AI710" i="1"/>
  <c r="AN710" i="1"/>
  <c r="AS710" i="1"/>
  <c r="AX710" i="1"/>
  <c r="BC710" i="1"/>
  <c r="BF710" i="1"/>
  <c r="C711" i="1"/>
  <c r="E711" i="1"/>
  <c r="H711" i="1"/>
  <c r="K711" i="1"/>
  <c r="N711" i="1"/>
  <c r="Q711" i="1"/>
  <c r="T711" i="1"/>
  <c r="W711" i="1"/>
  <c r="Z711" i="1"/>
  <c r="AC711" i="1"/>
  <c r="AI711" i="1"/>
  <c r="AN711" i="1"/>
  <c r="AS711" i="1"/>
  <c r="AX711" i="1"/>
  <c r="BC711" i="1"/>
  <c r="BF711" i="1"/>
  <c r="C712" i="1"/>
  <c r="E712" i="1"/>
  <c r="H712" i="1"/>
  <c r="K712" i="1"/>
  <c r="N712" i="1"/>
  <c r="Q712" i="1"/>
  <c r="T712" i="1"/>
  <c r="W712" i="1"/>
  <c r="Z712" i="1"/>
  <c r="AC712" i="1"/>
  <c r="AI712" i="1"/>
  <c r="AN712" i="1"/>
  <c r="AS712" i="1"/>
  <c r="AX712" i="1"/>
  <c r="BC712" i="1"/>
  <c r="BF712" i="1"/>
  <c r="C713" i="1"/>
  <c r="E713" i="1"/>
  <c r="H713" i="1"/>
  <c r="K713" i="1"/>
  <c r="N713" i="1"/>
  <c r="Q713" i="1"/>
  <c r="T713" i="1"/>
  <c r="W713" i="1"/>
  <c r="Z713" i="1"/>
  <c r="AC713" i="1"/>
  <c r="AI713" i="1"/>
  <c r="AN713" i="1"/>
  <c r="AS713" i="1"/>
  <c r="AX713" i="1"/>
  <c r="BC713" i="1"/>
  <c r="BF713" i="1"/>
  <c r="C714" i="1"/>
  <c r="E714" i="1"/>
  <c r="H714" i="1"/>
  <c r="K714" i="1"/>
  <c r="N714" i="1"/>
  <c r="Q714" i="1"/>
  <c r="T714" i="1"/>
  <c r="W714" i="1"/>
  <c r="Z714" i="1"/>
  <c r="AC714" i="1"/>
  <c r="AI714" i="1"/>
  <c r="AN714" i="1"/>
  <c r="AS714" i="1"/>
  <c r="AX714" i="1"/>
  <c r="BC714" i="1"/>
  <c r="BF714" i="1"/>
  <c r="C715" i="1"/>
  <c r="E715" i="1"/>
  <c r="H715" i="1"/>
  <c r="K715" i="1"/>
  <c r="N715" i="1"/>
  <c r="Q715" i="1"/>
  <c r="T715" i="1"/>
  <c r="W715" i="1"/>
  <c r="Z715" i="1"/>
  <c r="AC715" i="1"/>
  <c r="AI715" i="1"/>
  <c r="AN715" i="1"/>
  <c r="AS715" i="1"/>
  <c r="AX715" i="1"/>
  <c r="BC715" i="1"/>
  <c r="BF715" i="1"/>
  <c r="C716" i="1"/>
  <c r="E716" i="1"/>
  <c r="H716" i="1"/>
  <c r="K716" i="1"/>
  <c r="N716" i="1"/>
  <c r="Q716" i="1"/>
  <c r="T716" i="1"/>
  <c r="W716" i="1"/>
  <c r="Z716" i="1"/>
  <c r="AC716" i="1"/>
  <c r="AI716" i="1"/>
  <c r="AN716" i="1"/>
  <c r="AS716" i="1"/>
  <c r="AX716" i="1"/>
  <c r="BC716" i="1"/>
  <c r="BF716" i="1"/>
  <c r="C717" i="1"/>
  <c r="E717" i="1"/>
  <c r="H717" i="1"/>
  <c r="K717" i="1"/>
  <c r="N717" i="1"/>
  <c r="Q717" i="1"/>
  <c r="T717" i="1"/>
  <c r="W717" i="1"/>
  <c r="Z717" i="1"/>
  <c r="AC717" i="1"/>
  <c r="AI717" i="1"/>
  <c r="AN717" i="1"/>
  <c r="AS717" i="1"/>
  <c r="AX717" i="1"/>
  <c r="BC717" i="1"/>
  <c r="BF717" i="1"/>
  <c r="C718" i="1"/>
  <c r="E718" i="1"/>
  <c r="H718" i="1"/>
  <c r="K718" i="1"/>
  <c r="N718" i="1"/>
  <c r="Q718" i="1"/>
  <c r="T718" i="1"/>
  <c r="W718" i="1"/>
  <c r="Z718" i="1"/>
  <c r="AC718" i="1"/>
  <c r="AI718" i="1"/>
  <c r="AN718" i="1"/>
  <c r="AS718" i="1"/>
  <c r="AX718" i="1"/>
  <c r="BC718" i="1"/>
  <c r="BF718" i="1"/>
  <c r="A802" i="4"/>
  <c r="A502" i="4"/>
  <c r="A801" i="4"/>
  <c r="S800" i="4"/>
  <c r="S816" i="4"/>
  <c r="S815" i="4"/>
  <c r="AZ826" i="1" s="1"/>
  <c r="S297" i="4"/>
  <c r="S298" i="4"/>
  <c r="S376" i="4"/>
  <c r="S377" i="4"/>
  <c r="S354" i="4"/>
  <c r="S355" i="4"/>
  <c r="S474" i="4"/>
  <c r="S475" i="4"/>
  <c r="S501" i="4"/>
  <c r="S502" i="4"/>
  <c r="S801" i="4"/>
  <c r="AZ821" i="1" s="1"/>
  <c r="Q816" i="4"/>
  <c r="Q815" i="4"/>
  <c r="Q297" i="4"/>
  <c r="Q298" i="4"/>
  <c r="Q376" i="4"/>
  <c r="Q377" i="4"/>
  <c r="Q354" i="4"/>
  <c r="Q355" i="4"/>
  <c r="Q474" i="4"/>
  <c r="Q475" i="4"/>
  <c r="Q501" i="4"/>
  <c r="Q502" i="4"/>
  <c r="Q801" i="4"/>
  <c r="Q802" i="4"/>
  <c r="Q817" i="4"/>
  <c r="O816" i="4"/>
  <c r="O815" i="4"/>
  <c r="AP826" i="1" s="1"/>
  <c r="O297" i="4"/>
  <c r="O298" i="4"/>
  <c r="O376" i="4"/>
  <c r="O377" i="4"/>
  <c r="O354" i="4"/>
  <c r="O355" i="4"/>
  <c r="O474" i="4"/>
  <c r="O475" i="4"/>
  <c r="O501" i="4"/>
  <c r="O502" i="4"/>
  <c r="O801" i="4"/>
  <c r="O802" i="4"/>
  <c r="M816" i="4"/>
  <c r="M815" i="4"/>
  <c r="AK826" i="1" s="1"/>
  <c r="M297" i="4"/>
  <c r="M298" i="4"/>
  <c r="M376" i="4"/>
  <c r="M377" i="4"/>
  <c r="M354" i="4"/>
  <c r="M355" i="4"/>
  <c r="M474" i="4"/>
  <c r="M475" i="4"/>
  <c r="M501" i="4"/>
  <c r="M502" i="4"/>
  <c r="M801" i="4"/>
  <c r="M802" i="4"/>
  <c r="A816" i="4"/>
  <c r="A815" i="4"/>
  <c r="A297" i="4"/>
  <c r="A298" i="4"/>
  <c r="A376" i="4"/>
  <c r="A377" i="4"/>
  <c r="A354" i="4"/>
  <c r="A355" i="4"/>
  <c r="A474" i="4"/>
  <c r="A475" i="4"/>
  <c r="A501" i="4"/>
  <c r="AU826" i="1" l="1"/>
  <c r="AK821" i="1"/>
  <c r="AP821" i="1"/>
  <c r="AU82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2" i="1"/>
  <c r="S765" i="4" l="1"/>
  <c r="O791" i="4" l="1"/>
  <c r="O221" i="4" l="1"/>
  <c r="O222" i="4"/>
  <c r="O387" i="4"/>
  <c r="O388" i="4"/>
  <c r="O425" i="4"/>
  <c r="O426" i="4"/>
  <c r="O428" i="4"/>
  <c r="O429" i="4"/>
  <c r="O334" i="4"/>
  <c r="O794" i="4"/>
  <c r="O793" i="4"/>
  <c r="O795" i="4"/>
  <c r="O792" i="4"/>
  <c r="O335" i="4"/>
  <c r="O790" i="4"/>
  <c r="O772" i="4"/>
  <c r="O803" i="4"/>
  <c r="O804" i="4"/>
  <c r="O797" i="4"/>
  <c r="O798" i="4"/>
  <c r="O799" i="4"/>
  <c r="O800" i="4"/>
  <c r="O796" i="4"/>
  <c r="O805" i="4"/>
  <c r="AP825" i="1" s="1"/>
  <c r="O3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3" i="4"/>
  <c r="O224" i="4"/>
  <c r="O225" i="4"/>
  <c r="O226" i="4"/>
  <c r="O227" i="4"/>
  <c r="O228" i="4"/>
  <c r="O229" i="4"/>
  <c r="O230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4" i="4"/>
  <c r="O255" i="4"/>
  <c r="O256" i="4"/>
  <c r="O257" i="4"/>
  <c r="O258" i="4"/>
  <c r="O259" i="4"/>
  <c r="O260" i="4"/>
  <c r="O261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8" i="4"/>
  <c r="O379" i="4"/>
  <c r="O380" i="4"/>
  <c r="O381" i="4"/>
  <c r="O382" i="4"/>
  <c r="O383" i="4"/>
  <c r="O384" i="4"/>
  <c r="O385" i="4"/>
  <c r="O386" i="4"/>
  <c r="O389" i="4"/>
  <c r="O390" i="4"/>
  <c r="O391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7" i="4"/>
  <c r="O430" i="4"/>
  <c r="O433" i="4"/>
  <c r="O434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3" i="4"/>
  <c r="O504" i="4"/>
  <c r="O505" i="4"/>
  <c r="O506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7" i="4"/>
  <c r="O528" i="4"/>
  <c r="O529" i="4"/>
  <c r="O530" i="4"/>
  <c r="O531" i="4"/>
  <c r="O532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3" i="4"/>
  <c r="O774" i="4"/>
  <c r="O775" i="4"/>
  <c r="O776" i="4"/>
  <c r="O777" i="4"/>
  <c r="O779" i="4"/>
  <c r="O780" i="4"/>
  <c r="O781" i="4"/>
  <c r="O782" i="4"/>
  <c r="O783" i="4"/>
  <c r="O784" i="4"/>
  <c r="O785" i="4"/>
  <c r="O786" i="4"/>
  <c r="O787" i="4"/>
  <c r="O789" i="4"/>
  <c r="O788" i="4"/>
  <c r="O2" i="4"/>
  <c r="M221" i="4"/>
  <c r="M222" i="4"/>
  <c r="M387" i="4"/>
  <c r="M388" i="4"/>
  <c r="M425" i="4"/>
  <c r="M426" i="4"/>
  <c r="M428" i="4"/>
  <c r="M429" i="4"/>
  <c r="M334" i="4"/>
  <c r="M794" i="4"/>
  <c r="M793" i="4"/>
  <c r="M795" i="4"/>
  <c r="M792" i="4"/>
  <c r="M335" i="4"/>
  <c r="M790" i="4"/>
  <c r="M791" i="4"/>
  <c r="M772" i="4"/>
  <c r="M803" i="4"/>
  <c r="M804" i="4"/>
  <c r="M797" i="4"/>
  <c r="M798" i="4"/>
  <c r="M799" i="4"/>
  <c r="M800" i="4"/>
  <c r="M796" i="4"/>
  <c r="M805" i="4"/>
  <c r="AK825" i="1" s="1"/>
  <c r="M3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3" i="4"/>
  <c r="M224" i="4"/>
  <c r="M225" i="4"/>
  <c r="M226" i="4"/>
  <c r="M227" i="4"/>
  <c r="M228" i="4"/>
  <c r="M229" i="4"/>
  <c r="M230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4" i="4"/>
  <c r="M255" i="4"/>
  <c r="M256" i="4"/>
  <c r="M257" i="4"/>
  <c r="M258" i="4"/>
  <c r="M259" i="4"/>
  <c r="M260" i="4"/>
  <c r="M261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8" i="4"/>
  <c r="M379" i="4"/>
  <c r="M380" i="4"/>
  <c r="M381" i="4"/>
  <c r="M382" i="4"/>
  <c r="M383" i="4"/>
  <c r="M384" i="4"/>
  <c r="M385" i="4"/>
  <c r="M386" i="4"/>
  <c r="M389" i="4"/>
  <c r="M390" i="4"/>
  <c r="M391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7" i="4"/>
  <c r="M430" i="4"/>
  <c r="M433" i="4"/>
  <c r="M434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3" i="4"/>
  <c r="M504" i="4"/>
  <c r="M505" i="4"/>
  <c r="M506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7" i="4"/>
  <c r="M528" i="4"/>
  <c r="M529" i="4"/>
  <c r="M530" i="4"/>
  <c r="M531" i="4"/>
  <c r="M532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3" i="4"/>
  <c r="M774" i="4"/>
  <c r="M775" i="4"/>
  <c r="M776" i="4"/>
  <c r="M777" i="4"/>
  <c r="M779" i="4"/>
  <c r="M780" i="4"/>
  <c r="M781" i="4"/>
  <c r="M782" i="4"/>
  <c r="M783" i="4"/>
  <c r="M784" i="4"/>
  <c r="M785" i="4"/>
  <c r="M786" i="4"/>
  <c r="M787" i="4"/>
  <c r="M789" i="4"/>
  <c r="M788" i="4"/>
  <c r="M2" i="4"/>
  <c r="S2" i="4"/>
  <c r="S221" i="4"/>
  <c r="S222" i="4"/>
  <c r="S387" i="4"/>
  <c r="S388" i="4"/>
  <c r="S425" i="4"/>
  <c r="S426" i="4"/>
  <c r="S428" i="4"/>
  <c r="S429" i="4"/>
  <c r="S334" i="4"/>
  <c r="S794" i="4"/>
  <c r="S793" i="4"/>
  <c r="S795" i="4"/>
  <c r="S792" i="4"/>
  <c r="S335" i="4"/>
  <c r="S790" i="4"/>
  <c r="S791" i="4"/>
  <c r="S772" i="4"/>
  <c r="S803" i="4"/>
  <c r="S804" i="4"/>
  <c r="S797" i="4"/>
  <c r="S798" i="4"/>
  <c r="S799" i="4"/>
  <c r="S796" i="4"/>
  <c r="S805" i="4"/>
  <c r="S3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3" i="4"/>
  <c r="S224" i="4"/>
  <c r="S225" i="4"/>
  <c r="S226" i="4"/>
  <c r="S227" i="4"/>
  <c r="S228" i="4"/>
  <c r="S229" i="4"/>
  <c r="S230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4" i="4"/>
  <c r="S255" i="4"/>
  <c r="S256" i="4"/>
  <c r="S257" i="4"/>
  <c r="S258" i="4"/>
  <c r="S259" i="4"/>
  <c r="S260" i="4"/>
  <c r="S261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8" i="4"/>
  <c r="S379" i="4"/>
  <c r="S380" i="4"/>
  <c r="S381" i="4"/>
  <c r="S382" i="4"/>
  <c r="S383" i="4"/>
  <c r="S384" i="4"/>
  <c r="S385" i="4"/>
  <c r="S386" i="4"/>
  <c r="S389" i="4"/>
  <c r="S390" i="4"/>
  <c r="S391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7" i="4"/>
  <c r="S430" i="4"/>
  <c r="S433" i="4"/>
  <c r="S434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3" i="4"/>
  <c r="S504" i="4"/>
  <c r="S505" i="4"/>
  <c r="S506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7" i="4"/>
  <c r="S528" i="4"/>
  <c r="S529" i="4"/>
  <c r="S530" i="4"/>
  <c r="S531" i="4"/>
  <c r="S532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6" i="4"/>
  <c r="S767" i="4"/>
  <c r="S768" i="4"/>
  <c r="S769" i="4"/>
  <c r="S770" i="4"/>
  <c r="S771" i="4"/>
  <c r="S773" i="4"/>
  <c r="S774" i="4"/>
  <c r="S775" i="4"/>
  <c r="S776" i="4"/>
  <c r="S777" i="4"/>
  <c r="S779" i="4"/>
  <c r="S780" i="4"/>
  <c r="S781" i="4"/>
  <c r="S782" i="4"/>
  <c r="S783" i="4"/>
  <c r="S784" i="4"/>
  <c r="S785" i="4"/>
  <c r="S786" i="4"/>
  <c r="S787" i="4"/>
  <c r="S789" i="4"/>
  <c r="S788" i="4"/>
  <c r="Q2" i="4"/>
  <c r="Q221" i="4"/>
  <c r="Q222" i="4"/>
  <c r="Q387" i="4"/>
  <c r="Q388" i="4"/>
  <c r="Q425" i="4"/>
  <c r="Q426" i="4"/>
  <c r="Q428" i="4"/>
  <c r="Q429" i="4"/>
  <c r="Q334" i="4"/>
  <c r="Q794" i="4"/>
  <c r="Q793" i="4"/>
  <c r="Q795" i="4"/>
  <c r="Q792" i="4"/>
  <c r="Q789" i="4"/>
  <c r="Q788" i="4"/>
  <c r="Q335" i="4"/>
  <c r="Q790" i="4"/>
  <c r="Q791" i="4"/>
  <c r="Q772" i="4"/>
  <c r="Q803" i="4"/>
  <c r="Q804" i="4"/>
  <c r="Q797" i="4"/>
  <c r="Q798" i="4"/>
  <c r="Q799" i="4"/>
  <c r="Q800" i="4"/>
  <c r="Q796" i="4"/>
  <c r="Q805" i="4"/>
  <c r="AU825" i="1" s="1"/>
  <c r="Q3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3" i="4"/>
  <c r="Q224" i="4"/>
  <c r="Q225" i="4"/>
  <c r="Q226" i="4"/>
  <c r="Q227" i="4"/>
  <c r="Q228" i="4"/>
  <c r="Q229" i="4"/>
  <c r="Q230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4" i="4"/>
  <c r="Q255" i="4"/>
  <c r="Q256" i="4"/>
  <c r="Q257" i="4"/>
  <c r="Q258" i="4"/>
  <c r="Q259" i="4"/>
  <c r="Q260" i="4"/>
  <c r="Q261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6" i="4"/>
  <c r="Q337" i="4"/>
  <c r="Q338" i="4"/>
  <c r="Q339" i="4"/>
  <c r="Q340" i="4"/>
  <c r="Q341" i="4"/>
  <c r="Q342" i="4"/>
  <c r="Q343" i="4"/>
  <c r="Q344" i="4"/>
  <c r="Q345" i="4"/>
  <c r="Q346" i="4"/>
  <c r="Q347" i="4"/>
  <c r="Q348" i="4"/>
  <c r="Q349" i="4"/>
  <c r="Q350" i="4"/>
  <c r="Q351" i="4"/>
  <c r="Q352" i="4"/>
  <c r="Q353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Q374" i="4"/>
  <c r="Q375" i="4"/>
  <c r="Q378" i="4"/>
  <c r="Q379" i="4"/>
  <c r="Q380" i="4"/>
  <c r="Q381" i="4"/>
  <c r="Q382" i="4"/>
  <c r="Q383" i="4"/>
  <c r="Q384" i="4"/>
  <c r="Q385" i="4"/>
  <c r="Q386" i="4"/>
  <c r="Q389" i="4"/>
  <c r="Q390" i="4"/>
  <c r="Q391" i="4"/>
  <c r="Q394" i="4"/>
  <c r="Q395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09" i="4"/>
  <c r="Q410" i="4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Q427" i="4"/>
  <c r="Q430" i="4"/>
  <c r="Q433" i="4"/>
  <c r="Q434" i="4"/>
  <c r="Q437" i="4"/>
  <c r="Q438" i="4"/>
  <c r="Q439" i="4"/>
  <c r="Q440" i="4"/>
  <c r="Q441" i="4"/>
  <c r="Q442" i="4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2" i="4"/>
  <c r="Q473" i="4"/>
  <c r="Q476" i="4"/>
  <c r="Q477" i="4"/>
  <c r="Q478" i="4"/>
  <c r="Q479" i="4"/>
  <c r="Q480" i="4"/>
  <c r="Q481" i="4"/>
  <c r="Q482" i="4"/>
  <c r="Q483" i="4"/>
  <c r="Q484" i="4"/>
  <c r="Q485" i="4"/>
  <c r="Q486" i="4"/>
  <c r="Q487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0" i="4"/>
  <c r="Q503" i="4"/>
  <c r="Q504" i="4"/>
  <c r="Q505" i="4"/>
  <c r="Q506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Q523" i="4"/>
  <c r="Q524" i="4"/>
  <c r="Q527" i="4"/>
  <c r="Q528" i="4"/>
  <c r="Q529" i="4"/>
  <c r="Q530" i="4"/>
  <c r="Q531" i="4"/>
  <c r="Q532" i="4"/>
  <c r="Q535" i="4"/>
  <c r="Q536" i="4"/>
  <c r="Q537" i="4"/>
  <c r="Q538" i="4"/>
  <c r="Q539" i="4"/>
  <c r="Q540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7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2" i="4"/>
  <c r="Q573" i="4"/>
  <c r="Q574" i="4"/>
  <c r="Q575" i="4"/>
  <c r="Q576" i="4"/>
  <c r="Q577" i="4"/>
  <c r="Q578" i="4"/>
  <c r="Q579" i="4"/>
  <c r="Q580" i="4"/>
  <c r="Q581" i="4"/>
  <c r="Q582" i="4"/>
  <c r="Q583" i="4"/>
  <c r="Q584" i="4"/>
  <c r="Q585" i="4"/>
  <c r="Q586" i="4"/>
  <c r="Q587" i="4"/>
  <c r="Q588" i="4"/>
  <c r="Q589" i="4"/>
  <c r="Q590" i="4"/>
  <c r="Q591" i="4"/>
  <c r="Q592" i="4"/>
  <c r="Q593" i="4"/>
  <c r="Q594" i="4"/>
  <c r="Q595" i="4"/>
  <c r="Q596" i="4"/>
  <c r="Q597" i="4"/>
  <c r="Q598" i="4"/>
  <c r="Q599" i="4"/>
  <c r="Q600" i="4"/>
  <c r="Q601" i="4"/>
  <c r="Q602" i="4"/>
  <c r="Q603" i="4"/>
  <c r="Q604" i="4"/>
  <c r="Q605" i="4"/>
  <c r="Q606" i="4"/>
  <c r="Q607" i="4"/>
  <c r="Q608" i="4"/>
  <c r="Q609" i="4"/>
  <c r="Q610" i="4"/>
  <c r="Q611" i="4"/>
  <c r="Q612" i="4"/>
  <c r="Q613" i="4"/>
  <c r="Q614" i="4"/>
  <c r="Q615" i="4"/>
  <c r="Q616" i="4"/>
  <c r="Q617" i="4"/>
  <c r="Q618" i="4"/>
  <c r="Q619" i="4"/>
  <c r="Q620" i="4"/>
  <c r="Q621" i="4"/>
  <c r="Q622" i="4"/>
  <c r="Q623" i="4"/>
  <c r="Q624" i="4"/>
  <c r="Q625" i="4"/>
  <c r="Q626" i="4"/>
  <c r="Q627" i="4"/>
  <c r="Q628" i="4"/>
  <c r="Q629" i="4"/>
  <c r="Q630" i="4"/>
  <c r="Q631" i="4"/>
  <c r="Q632" i="4"/>
  <c r="Q633" i="4"/>
  <c r="Q634" i="4"/>
  <c r="Q635" i="4"/>
  <c r="Q636" i="4"/>
  <c r="Q637" i="4"/>
  <c r="Q638" i="4"/>
  <c r="Q639" i="4"/>
  <c r="Q640" i="4"/>
  <c r="Q641" i="4"/>
  <c r="Q642" i="4"/>
  <c r="Q643" i="4"/>
  <c r="Q644" i="4"/>
  <c r="Q645" i="4"/>
  <c r="Q646" i="4"/>
  <c r="Q647" i="4"/>
  <c r="Q648" i="4"/>
  <c r="Q649" i="4"/>
  <c r="Q650" i="4"/>
  <c r="Q651" i="4"/>
  <c r="Q652" i="4"/>
  <c r="Q653" i="4"/>
  <c r="Q654" i="4"/>
  <c r="Q655" i="4"/>
  <c r="Q656" i="4"/>
  <c r="Q657" i="4"/>
  <c r="Q658" i="4"/>
  <c r="Q659" i="4"/>
  <c r="Q660" i="4"/>
  <c r="Q661" i="4"/>
  <c r="Q662" i="4"/>
  <c r="Q663" i="4"/>
  <c r="Q664" i="4"/>
  <c r="Q665" i="4"/>
  <c r="Q666" i="4"/>
  <c r="Q667" i="4"/>
  <c r="Q668" i="4"/>
  <c r="Q669" i="4"/>
  <c r="Q670" i="4"/>
  <c r="Q671" i="4"/>
  <c r="Q672" i="4"/>
  <c r="Q673" i="4"/>
  <c r="Q674" i="4"/>
  <c r="Q675" i="4"/>
  <c r="Q676" i="4"/>
  <c r="Q677" i="4"/>
  <c r="Q678" i="4"/>
  <c r="Q679" i="4"/>
  <c r="Q680" i="4"/>
  <c r="Q681" i="4"/>
  <c r="Q682" i="4"/>
  <c r="Q683" i="4"/>
  <c r="Q684" i="4"/>
  <c r="Q685" i="4"/>
  <c r="Q686" i="4"/>
  <c r="Q687" i="4"/>
  <c r="Q688" i="4"/>
  <c r="Q689" i="4"/>
  <c r="Q690" i="4"/>
  <c r="Q691" i="4"/>
  <c r="Q692" i="4"/>
  <c r="Q693" i="4"/>
  <c r="Q694" i="4"/>
  <c r="Q695" i="4"/>
  <c r="Q696" i="4"/>
  <c r="Q697" i="4"/>
  <c r="Q698" i="4"/>
  <c r="Q699" i="4"/>
  <c r="Q700" i="4"/>
  <c r="Q701" i="4"/>
  <c r="Q702" i="4"/>
  <c r="Q703" i="4"/>
  <c r="Q704" i="4"/>
  <c r="Q705" i="4"/>
  <c r="Q706" i="4"/>
  <c r="Q707" i="4"/>
  <c r="Q708" i="4"/>
  <c r="Q709" i="4"/>
  <c r="Q710" i="4"/>
  <c r="Q711" i="4"/>
  <c r="Q712" i="4"/>
  <c r="Q713" i="4"/>
  <c r="Q714" i="4"/>
  <c r="Q715" i="4"/>
  <c r="Q716" i="4"/>
  <c r="Q717" i="4"/>
  <c r="Q718" i="4"/>
  <c r="Q719" i="4"/>
  <c r="Q720" i="4"/>
  <c r="Q721" i="4"/>
  <c r="Q722" i="4"/>
  <c r="Q723" i="4"/>
  <c r="Q724" i="4"/>
  <c r="Q725" i="4"/>
  <c r="Q726" i="4"/>
  <c r="Q727" i="4"/>
  <c r="Q728" i="4"/>
  <c r="Q729" i="4"/>
  <c r="Q730" i="4"/>
  <c r="Q731" i="4"/>
  <c r="Q732" i="4"/>
  <c r="Q733" i="4"/>
  <c r="Q734" i="4"/>
  <c r="Q735" i="4"/>
  <c r="Q736" i="4"/>
  <c r="Q737" i="4"/>
  <c r="Q738" i="4"/>
  <c r="Q739" i="4"/>
  <c r="Q740" i="4"/>
  <c r="Q741" i="4"/>
  <c r="Q742" i="4"/>
  <c r="Q743" i="4"/>
  <c r="Q744" i="4"/>
  <c r="Q745" i="4"/>
  <c r="Q746" i="4"/>
  <c r="Q747" i="4"/>
  <c r="Q748" i="4"/>
  <c r="Q749" i="4"/>
  <c r="Q750" i="4"/>
  <c r="Q751" i="4"/>
  <c r="Q752" i="4"/>
  <c r="Q753" i="4"/>
  <c r="Q754" i="4"/>
  <c r="Q755" i="4"/>
  <c r="Q756" i="4"/>
  <c r="Q757" i="4"/>
  <c r="Q758" i="4"/>
  <c r="Q759" i="4"/>
  <c r="Q760" i="4"/>
  <c r="Q761" i="4"/>
  <c r="Q762" i="4"/>
  <c r="Q763" i="4"/>
  <c r="Q764" i="4"/>
  <c r="Q765" i="4"/>
  <c r="Q766" i="4"/>
  <c r="Q767" i="4"/>
  <c r="Q768" i="4"/>
  <c r="Q769" i="4"/>
  <c r="Q770" i="4"/>
  <c r="Q771" i="4"/>
  <c r="Q773" i="4"/>
  <c r="Q774" i="4"/>
  <c r="Q775" i="4"/>
  <c r="Q776" i="4"/>
  <c r="Q777" i="4"/>
  <c r="Q779" i="4"/>
  <c r="Q780" i="4"/>
  <c r="Q781" i="4"/>
  <c r="Q782" i="4"/>
  <c r="Q783" i="4"/>
  <c r="Q784" i="4"/>
  <c r="Q785" i="4"/>
  <c r="Q786" i="4"/>
  <c r="Q787" i="4"/>
  <c r="AP755" i="1" l="1"/>
  <c r="AP747" i="1"/>
  <c r="AP739" i="1"/>
  <c r="AK806" i="1"/>
  <c r="AP779" i="1"/>
  <c r="AP771" i="1"/>
  <c r="AP763" i="1"/>
  <c r="AK816" i="1"/>
  <c r="AK780" i="1"/>
  <c r="AK772" i="1"/>
  <c r="AK764" i="1"/>
  <c r="AK756" i="1"/>
  <c r="AK740" i="1"/>
  <c r="AP796" i="1"/>
  <c r="AP787" i="1"/>
  <c r="AZ816" i="1"/>
  <c r="AU797" i="1"/>
  <c r="AK798" i="1"/>
  <c r="AU820" i="1"/>
  <c r="AK797" i="1"/>
  <c r="AP810" i="1"/>
  <c r="AK809" i="1"/>
  <c r="AK814" i="1"/>
  <c r="AU728" i="1"/>
  <c r="AZ797" i="1"/>
  <c r="AZ825" i="1"/>
  <c r="AZ820" i="1"/>
  <c r="AP733" i="1"/>
  <c r="AP725" i="1"/>
  <c r="AP717" i="1"/>
  <c r="AP820" i="1"/>
  <c r="AK820" i="1"/>
  <c r="AZ819" i="1"/>
  <c r="AZ784" i="1"/>
  <c r="AK791" i="1"/>
  <c r="AU791" i="1"/>
  <c r="AP797" i="1"/>
  <c r="AK804" i="1"/>
  <c r="AP791" i="1"/>
  <c r="AP807" i="1"/>
  <c r="AP790" i="1"/>
  <c r="AP782" i="1"/>
  <c r="AP774" i="1"/>
  <c r="AP766" i="1"/>
  <c r="AP758" i="1"/>
  <c r="AP750" i="1"/>
  <c r="AP742" i="1"/>
  <c r="AK802" i="1"/>
  <c r="AK775" i="1"/>
  <c r="AK767" i="1"/>
  <c r="AK759" i="1"/>
  <c r="AK743" i="1"/>
  <c r="AK783" i="1"/>
  <c r="AK751" i="1"/>
  <c r="AP819" i="1"/>
  <c r="AK784" i="1"/>
  <c r="AK776" i="1"/>
  <c r="AK768" i="1"/>
  <c r="AK760" i="1"/>
  <c r="AK752" i="1"/>
  <c r="AK744" i="1"/>
  <c r="AP809" i="1"/>
  <c r="AP817" i="1"/>
  <c r="AP805" i="1"/>
  <c r="AP804" i="1"/>
  <c r="AK763" i="1"/>
  <c r="AK739" i="1"/>
  <c r="AP795" i="1"/>
  <c r="AP786" i="1"/>
  <c r="AP778" i="1"/>
  <c r="AP770" i="1"/>
  <c r="AP762" i="1"/>
  <c r="AP754" i="1"/>
  <c r="AP746" i="1"/>
  <c r="AK779" i="1"/>
  <c r="AK800" i="1"/>
  <c r="AK723" i="1"/>
  <c r="AK818" i="1"/>
  <c r="AK812" i="1"/>
  <c r="AP799" i="1"/>
  <c r="AP738" i="1"/>
  <c r="AP730" i="1"/>
  <c r="AP722" i="1"/>
  <c r="AP813" i="1"/>
  <c r="AK731" i="1"/>
  <c r="AK807" i="1"/>
  <c r="AK790" i="1"/>
  <c r="AK782" i="1"/>
  <c r="AK774" i="1"/>
  <c r="AK766" i="1"/>
  <c r="AK758" i="1"/>
  <c r="AK750" i="1"/>
  <c r="AK788" i="1"/>
  <c r="AK748" i="1"/>
  <c r="AP808" i="1"/>
  <c r="AU781" i="1"/>
  <c r="AU749" i="1"/>
  <c r="AU773" i="1"/>
  <c r="AU757" i="1"/>
  <c r="AU765" i="1"/>
  <c r="AU741" i="1"/>
  <c r="AU737" i="1"/>
  <c r="AU729" i="1"/>
  <c r="AU824" i="1"/>
  <c r="AU812" i="1"/>
  <c r="AZ812" i="1"/>
  <c r="AZ791" i="1"/>
  <c r="AZ789" i="1"/>
  <c r="AZ780" i="1"/>
  <c r="AZ772" i="1"/>
  <c r="AZ764" i="1"/>
  <c r="AZ756" i="1"/>
  <c r="AZ748" i="1"/>
  <c r="AZ804" i="1"/>
  <c r="AZ814" i="1"/>
  <c r="AZ795" i="1"/>
  <c r="AZ777" i="1"/>
  <c r="AZ769" i="1"/>
  <c r="AZ761" i="1"/>
  <c r="AZ753" i="1"/>
  <c r="AZ745" i="1"/>
  <c r="AZ818" i="1"/>
  <c r="AZ807" i="1"/>
  <c r="AZ790" i="1"/>
  <c r="AZ781" i="1"/>
  <c r="AZ773" i="1"/>
  <c r="AZ765" i="1"/>
  <c r="AZ757" i="1"/>
  <c r="AZ749" i="1"/>
  <c r="AZ741" i="1"/>
  <c r="AU789" i="1"/>
  <c r="AU807" i="1"/>
  <c r="AU799" i="1"/>
  <c r="AU790" i="1"/>
  <c r="AU782" i="1"/>
  <c r="AU774" i="1"/>
  <c r="AU766" i="1"/>
  <c r="AU758" i="1"/>
  <c r="AU750" i="1"/>
  <c r="AU742" i="1"/>
  <c r="AU817" i="1"/>
  <c r="AZ809" i="1"/>
  <c r="AZ800" i="1"/>
  <c r="AU736" i="1"/>
  <c r="AU720" i="1"/>
  <c r="AU815" i="1"/>
  <c r="AZ806" i="1"/>
  <c r="AZ798" i="1"/>
  <c r="AU811" i="1"/>
  <c r="AZ810" i="1"/>
  <c r="AU805" i="1"/>
  <c r="AU801" i="1"/>
  <c r="AU792" i="1"/>
  <c r="AU784" i="1"/>
  <c r="AU776" i="1"/>
  <c r="AU768" i="1"/>
  <c r="AU760" i="1"/>
  <c r="AU752" i="1"/>
  <c r="AU744" i="1"/>
  <c r="AU819" i="1"/>
  <c r="AZ802" i="1"/>
  <c r="AZ794" i="1"/>
  <c r="AZ776" i="1"/>
  <c r="AZ768" i="1"/>
  <c r="AZ760" i="1"/>
  <c r="AZ752" i="1"/>
  <c r="AZ744" i="1"/>
  <c r="AZ732" i="1"/>
  <c r="AZ724" i="1"/>
  <c r="AZ716" i="1"/>
  <c r="AZ783" i="1"/>
  <c r="AZ767" i="1"/>
  <c r="AZ759" i="1"/>
  <c r="AZ751" i="1"/>
  <c r="AZ743" i="1"/>
  <c r="AU738" i="1"/>
  <c r="AU730" i="1"/>
  <c r="AU722" i="1"/>
  <c r="AU809" i="1"/>
  <c r="AZ738" i="1"/>
  <c r="AZ730" i="1"/>
  <c r="AZ722" i="1"/>
  <c r="AZ824" i="1"/>
  <c r="AZ813" i="1"/>
  <c r="AU788" i="1"/>
  <c r="AU764" i="1"/>
  <c r="AU823" i="1"/>
  <c r="AU822" i="1"/>
  <c r="AZ740" i="1"/>
  <c r="AZ793" i="1"/>
  <c r="AK796" i="1"/>
  <c r="AK787" i="1"/>
  <c r="AK771" i="1"/>
  <c r="AK755" i="1"/>
  <c r="AK747" i="1"/>
  <c r="AK793" i="1"/>
  <c r="AP803" i="1"/>
  <c r="AP816" i="1"/>
  <c r="AU793" i="1"/>
  <c r="AU813" i="1"/>
  <c r="AZ805" i="1"/>
  <c r="AZ788" i="1"/>
  <c r="AZ786" i="1"/>
  <c r="AZ779" i="1"/>
  <c r="AZ771" i="1"/>
  <c r="AZ763" i="1"/>
  <c r="AZ755" i="1"/>
  <c r="AZ747" i="1"/>
  <c r="AZ739" i="1"/>
  <c r="AZ811" i="1"/>
  <c r="AK803" i="1"/>
  <c r="AK795" i="1"/>
  <c r="AK786" i="1"/>
  <c r="AK778" i="1"/>
  <c r="AK770" i="1"/>
  <c r="AK762" i="1"/>
  <c r="AK754" i="1"/>
  <c r="AK746" i="1"/>
  <c r="AK811" i="1"/>
  <c r="AP802" i="1"/>
  <c r="AP794" i="1"/>
  <c r="AP785" i="1"/>
  <c r="AP777" i="1"/>
  <c r="AP769" i="1"/>
  <c r="AP761" i="1"/>
  <c r="AP753" i="1"/>
  <c r="AP745" i="1"/>
  <c r="AU806" i="1"/>
  <c r="AU780" i="1"/>
  <c r="AU740" i="1"/>
  <c r="AU804" i="1"/>
  <c r="AU787" i="1"/>
  <c r="AU771" i="1"/>
  <c r="AU755" i="1"/>
  <c r="AU747" i="1"/>
  <c r="AU739" i="1"/>
  <c r="AU803" i="1"/>
  <c r="AU778" i="1"/>
  <c r="AU762" i="1"/>
  <c r="AU816" i="1"/>
  <c r="AU814" i="1"/>
  <c r="AZ796" i="1"/>
  <c r="AZ787" i="1"/>
  <c r="AZ778" i="1"/>
  <c r="AZ770" i="1"/>
  <c r="AZ762" i="1"/>
  <c r="AZ754" i="1"/>
  <c r="AZ746" i="1"/>
  <c r="AK794" i="1"/>
  <c r="AK785" i="1"/>
  <c r="AK777" i="1"/>
  <c r="AK769" i="1"/>
  <c r="AK761" i="1"/>
  <c r="AK753" i="1"/>
  <c r="AK745" i="1"/>
  <c r="AK810" i="1"/>
  <c r="AP801" i="1"/>
  <c r="AP792" i="1"/>
  <c r="AP784" i="1"/>
  <c r="AP776" i="1"/>
  <c r="AP768" i="1"/>
  <c r="AP760" i="1"/>
  <c r="AP752" i="1"/>
  <c r="AP744" i="1"/>
  <c r="AP812" i="1"/>
  <c r="AU798" i="1"/>
  <c r="AU756" i="1"/>
  <c r="AU796" i="1"/>
  <c r="AU779" i="1"/>
  <c r="AU763" i="1"/>
  <c r="AU795" i="1"/>
  <c r="AU786" i="1"/>
  <c r="AU770" i="1"/>
  <c r="AU754" i="1"/>
  <c r="AU746" i="1"/>
  <c r="AU802" i="1"/>
  <c r="AU794" i="1"/>
  <c r="AU785" i="1"/>
  <c r="AU777" i="1"/>
  <c r="AU769" i="1"/>
  <c r="AU761" i="1"/>
  <c r="AU753" i="1"/>
  <c r="AU745" i="1"/>
  <c r="AU810" i="1"/>
  <c r="AZ803" i="1"/>
  <c r="AZ785" i="1"/>
  <c r="AK808" i="1"/>
  <c r="AK801" i="1"/>
  <c r="AK792" i="1"/>
  <c r="AK819" i="1"/>
  <c r="AP800" i="1"/>
  <c r="AP783" i="1"/>
  <c r="AP775" i="1"/>
  <c r="AP767" i="1"/>
  <c r="AP759" i="1"/>
  <c r="AP751" i="1"/>
  <c r="AP743" i="1"/>
  <c r="AP818" i="1"/>
  <c r="AP815" i="1"/>
  <c r="AU772" i="1"/>
  <c r="AU748" i="1"/>
  <c r="AU800" i="1"/>
  <c r="AU783" i="1"/>
  <c r="AU775" i="1"/>
  <c r="AU767" i="1"/>
  <c r="AU759" i="1"/>
  <c r="AU751" i="1"/>
  <c r="AU743" i="1"/>
  <c r="AU818" i="1"/>
  <c r="AU808" i="1"/>
  <c r="AZ808" i="1"/>
  <c r="AZ801" i="1"/>
  <c r="AZ792" i="1"/>
  <c r="AZ775" i="1"/>
  <c r="AZ817" i="1"/>
  <c r="AZ815" i="1"/>
  <c r="AK799" i="1"/>
  <c r="AK742" i="1"/>
  <c r="AK817" i="1"/>
  <c r="AK815" i="1"/>
  <c r="AP806" i="1"/>
  <c r="AP798" i="1"/>
  <c r="AP789" i="1"/>
  <c r="AP781" i="1"/>
  <c r="AP773" i="1"/>
  <c r="AP765" i="1"/>
  <c r="AP757" i="1"/>
  <c r="AP749" i="1"/>
  <c r="AP741" i="1"/>
  <c r="AP824" i="1"/>
  <c r="AP814" i="1"/>
  <c r="AZ782" i="1"/>
  <c r="AZ774" i="1"/>
  <c r="AZ766" i="1"/>
  <c r="AZ758" i="1"/>
  <c r="AZ750" i="1"/>
  <c r="AZ742" i="1"/>
  <c r="AK789" i="1"/>
  <c r="AK781" i="1"/>
  <c r="AK773" i="1"/>
  <c r="AK765" i="1"/>
  <c r="AK757" i="1"/>
  <c r="AK749" i="1"/>
  <c r="AK741" i="1"/>
  <c r="AK737" i="1"/>
  <c r="AK729" i="1"/>
  <c r="AK721" i="1"/>
  <c r="AK824" i="1"/>
  <c r="AK813" i="1"/>
  <c r="AP788" i="1"/>
  <c r="AP780" i="1"/>
  <c r="AP772" i="1"/>
  <c r="AP764" i="1"/>
  <c r="AP756" i="1"/>
  <c r="AP748" i="1"/>
  <c r="AP740" i="1"/>
  <c r="AP736" i="1"/>
  <c r="AP823" i="1"/>
  <c r="AP822" i="1"/>
  <c r="AZ799" i="1"/>
  <c r="AZ823" i="1"/>
  <c r="AZ822" i="1"/>
  <c r="AK805" i="1"/>
  <c r="AK823" i="1"/>
  <c r="AK822" i="1"/>
  <c r="AP793" i="1"/>
  <c r="AP811" i="1"/>
  <c r="AP728" i="1"/>
  <c r="AP720" i="1"/>
  <c r="AZ736" i="1"/>
  <c r="AZ728" i="1"/>
  <c r="AZ720" i="1"/>
  <c r="AK735" i="1"/>
  <c r="AK727" i="1"/>
  <c r="AK719" i="1"/>
  <c r="AP734" i="1"/>
  <c r="AP726" i="1"/>
  <c r="AP718" i="1"/>
  <c r="AZ726" i="1"/>
  <c r="AZ718" i="1"/>
  <c r="AK725" i="1"/>
  <c r="AK717" i="1"/>
  <c r="AU732" i="1"/>
  <c r="AU724" i="1"/>
  <c r="AP737" i="1"/>
  <c r="AP729" i="1"/>
  <c r="AP721" i="1"/>
  <c r="AU721" i="1"/>
  <c r="AZ737" i="1"/>
  <c r="AZ729" i="1"/>
  <c r="AZ721" i="1"/>
  <c r="AK736" i="1"/>
  <c r="AK728" i="1"/>
  <c r="AK720" i="1"/>
  <c r="AP735" i="1"/>
  <c r="AP727" i="1"/>
  <c r="AP719" i="1"/>
  <c r="AU735" i="1"/>
  <c r="AU727" i="1"/>
  <c r="AU719" i="1"/>
  <c r="AZ735" i="1"/>
  <c r="AZ727" i="1"/>
  <c r="AZ719" i="1"/>
  <c r="AK734" i="1"/>
  <c r="AK726" i="1"/>
  <c r="AK718" i="1"/>
  <c r="AZ734" i="1"/>
  <c r="AK733" i="1"/>
  <c r="AP732" i="1"/>
  <c r="AP724" i="1"/>
  <c r="AU734" i="1"/>
  <c r="AU726" i="1"/>
  <c r="AU718" i="1"/>
  <c r="AU733" i="1"/>
  <c r="AU725" i="1"/>
  <c r="AU717" i="1"/>
  <c r="AZ733" i="1"/>
  <c r="AZ725" i="1"/>
  <c r="AZ717" i="1"/>
  <c r="AK732" i="1"/>
  <c r="AK724" i="1"/>
  <c r="AP731" i="1"/>
  <c r="AP723" i="1"/>
  <c r="AU731" i="1"/>
  <c r="AU723" i="1"/>
  <c r="AZ731" i="1"/>
  <c r="AZ723" i="1"/>
  <c r="AK738" i="1"/>
  <c r="AK730" i="1"/>
  <c r="AK722" i="1"/>
  <c r="AZ710" i="1"/>
  <c r="AK710" i="1"/>
  <c r="AU711" i="1"/>
  <c r="AP712" i="1"/>
  <c r="AU709" i="1"/>
  <c r="AK712" i="1"/>
  <c r="AP716" i="1"/>
  <c r="AU712" i="1"/>
  <c r="AU710" i="1"/>
  <c r="AZ712" i="1"/>
  <c r="AK716" i="1"/>
  <c r="AP715" i="1"/>
  <c r="AU716" i="1"/>
  <c r="AZ715" i="1"/>
  <c r="AK715" i="1"/>
  <c r="AP714" i="1"/>
  <c r="AP711" i="1"/>
  <c r="AU715" i="1"/>
  <c r="AZ714" i="1"/>
  <c r="AK714" i="1"/>
  <c r="AP713" i="1"/>
  <c r="AP709" i="1"/>
  <c r="AU714" i="1"/>
  <c r="AZ713" i="1"/>
  <c r="AZ711" i="1"/>
  <c r="AK713" i="1"/>
  <c r="AK711" i="1"/>
  <c r="AP710" i="1"/>
  <c r="AU713" i="1"/>
  <c r="AZ709" i="1"/>
  <c r="AK709" i="1"/>
  <c r="C702" i="1"/>
  <c r="H702" i="1"/>
  <c r="K702" i="1"/>
  <c r="N702" i="1"/>
  <c r="Q702" i="1"/>
  <c r="T702" i="1"/>
  <c r="W702" i="1"/>
  <c r="Z702" i="1"/>
  <c r="AC702" i="1"/>
  <c r="AI702" i="1"/>
  <c r="AN702" i="1"/>
  <c r="AS702" i="1"/>
  <c r="AX702" i="1"/>
  <c r="BC702" i="1"/>
  <c r="BF702" i="1"/>
  <c r="C703" i="1"/>
  <c r="H703" i="1"/>
  <c r="K703" i="1"/>
  <c r="N703" i="1"/>
  <c r="Q703" i="1"/>
  <c r="T703" i="1"/>
  <c r="W703" i="1"/>
  <c r="Z703" i="1"/>
  <c r="AC703" i="1"/>
  <c r="AI703" i="1"/>
  <c r="AN703" i="1"/>
  <c r="AS703" i="1"/>
  <c r="AX703" i="1"/>
  <c r="BC703" i="1"/>
  <c r="BF703" i="1"/>
  <c r="C704" i="1"/>
  <c r="H704" i="1"/>
  <c r="K704" i="1"/>
  <c r="N704" i="1"/>
  <c r="Q704" i="1"/>
  <c r="T704" i="1"/>
  <c r="W704" i="1"/>
  <c r="Z704" i="1"/>
  <c r="AC704" i="1"/>
  <c r="AI704" i="1"/>
  <c r="AN704" i="1"/>
  <c r="AS704" i="1"/>
  <c r="AX704" i="1"/>
  <c r="BC704" i="1"/>
  <c r="BF704" i="1"/>
  <c r="C705" i="1"/>
  <c r="H705" i="1"/>
  <c r="K705" i="1"/>
  <c r="N705" i="1"/>
  <c r="Q705" i="1"/>
  <c r="T705" i="1"/>
  <c r="W705" i="1"/>
  <c r="Z705" i="1"/>
  <c r="AC705" i="1"/>
  <c r="AI705" i="1"/>
  <c r="AK705" i="1"/>
  <c r="AN705" i="1"/>
  <c r="AP705" i="1"/>
  <c r="AS705" i="1"/>
  <c r="AU705" i="1"/>
  <c r="AX705" i="1"/>
  <c r="AZ705" i="1"/>
  <c r="BC705" i="1"/>
  <c r="BF705" i="1"/>
  <c r="C706" i="1"/>
  <c r="H706" i="1"/>
  <c r="K706" i="1"/>
  <c r="N706" i="1"/>
  <c r="Q706" i="1"/>
  <c r="T706" i="1"/>
  <c r="W706" i="1"/>
  <c r="Z706" i="1"/>
  <c r="AC706" i="1"/>
  <c r="AI706" i="1"/>
  <c r="AK706" i="1"/>
  <c r="AN706" i="1"/>
  <c r="AP706" i="1"/>
  <c r="AS706" i="1"/>
  <c r="AU706" i="1"/>
  <c r="AX706" i="1"/>
  <c r="AZ706" i="1"/>
  <c r="BC706" i="1"/>
  <c r="BF706" i="1"/>
  <c r="C707" i="1"/>
  <c r="H707" i="1"/>
  <c r="K707" i="1"/>
  <c r="N707" i="1"/>
  <c r="Q707" i="1"/>
  <c r="T707" i="1"/>
  <c r="W707" i="1"/>
  <c r="Z707" i="1"/>
  <c r="AC707" i="1"/>
  <c r="AI707" i="1"/>
  <c r="AK707" i="1"/>
  <c r="AN707" i="1"/>
  <c r="AP707" i="1"/>
  <c r="AS707" i="1"/>
  <c r="AU707" i="1"/>
  <c r="AX707" i="1"/>
  <c r="AZ707" i="1"/>
  <c r="BC707" i="1"/>
  <c r="BF707" i="1"/>
  <c r="C708" i="1"/>
  <c r="H708" i="1"/>
  <c r="K708" i="1"/>
  <c r="N708" i="1"/>
  <c r="Q708" i="1"/>
  <c r="T708" i="1"/>
  <c r="W708" i="1"/>
  <c r="Z708" i="1"/>
  <c r="AC708" i="1"/>
  <c r="AI708" i="1"/>
  <c r="AK708" i="1"/>
  <c r="AN708" i="1"/>
  <c r="AP708" i="1"/>
  <c r="AS708" i="1"/>
  <c r="AU708" i="1"/>
  <c r="AX708" i="1"/>
  <c r="AZ708" i="1"/>
  <c r="BC708" i="1"/>
  <c r="BF708" i="1"/>
  <c r="A429" i="4" l="1"/>
  <c r="A334" i="4"/>
  <c r="A794" i="4"/>
  <c r="A793" i="4"/>
  <c r="A795" i="4"/>
  <c r="A792" i="4"/>
  <c r="A787" i="4"/>
  <c r="A789" i="4"/>
  <c r="A788" i="4"/>
  <c r="A335" i="4"/>
  <c r="A790" i="4"/>
  <c r="A791" i="4"/>
  <c r="A772" i="4"/>
  <c r="A803" i="4"/>
  <c r="A804" i="4"/>
  <c r="A797" i="4"/>
  <c r="A798" i="4"/>
  <c r="A799" i="4"/>
  <c r="A800" i="4"/>
  <c r="A796" i="4"/>
  <c r="A805" i="4"/>
  <c r="A3" i="4"/>
  <c r="A387" i="4"/>
  <c r="A388" i="4"/>
  <c r="A425" i="4"/>
  <c r="A426" i="4"/>
  <c r="A428" i="4"/>
  <c r="K388" i="4" l="1"/>
  <c r="K425" i="4"/>
  <c r="K426" i="4"/>
  <c r="K428" i="4"/>
  <c r="K429" i="4"/>
  <c r="K334" i="4"/>
  <c r="K794" i="4"/>
  <c r="K793" i="4"/>
  <c r="K795" i="4"/>
  <c r="K792" i="4"/>
  <c r="K787" i="4"/>
  <c r="K789" i="4"/>
  <c r="K788" i="4"/>
  <c r="K335" i="4"/>
  <c r="K790" i="4"/>
  <c r="K791" i="4"/>
  <c r="K772" i="4"/>
  <c r="K803" i="4"/>
  <c r="K804" i="4"/>
  <c r="AF824" i="1" s="1"/>
  <c r="K797" i="4"/>
  <c r="K798" i="4"/>
  <c r="K799" i="4"/>
  <c r="K800" i="4"/>
  <c r="K796" i="4"/>
  <c r="K805" i="4"/>
  <c r="K3" i="4"/>
  <c r="K816" i="4"/>
  <c r="K815" i="4"/>
  <c r="AF826" i="1" s="1"/>
  <c r="K297" i="4"/>
  <c r="K298" i="4"/>
  <c r="K376" i="4"/>
  <c r="K377" i="4"/>
  <c r="K354" i="4"/>
  <c r="K355" i="4"/>
  <c r="K474" i="4"/>
  <c r="K475" i="4"/>
  <c r="K501" i="4"/>
  <c r="K502" i="4"/>
  <c r="K801" i="4"/>
  <c r="K802" i="4"/>
  <c r="AF822" i="1" s="1"/>
  <c r="AF825" i="1" l="1"/>
  <c r="AF813" i="1"/>
  <c r="AF807" i="1"/>
  <c r="AF817" i="1"/>
  <c r="AF809" i="1"/>
  <c r="AF821" i="1"/>
  <c r="AF810" i="1"/>
  <c r="AF818" i="1"/>
  <c r="AF812" i="1"/>
  <c r="AF815" i="1"/>
  <c r="AF816" i="1"/>
  <c r="AF811" i="1"/>
  <c r="AF820" i="1"/>
  <c r="AF814" i="1"/>
  <c r="AF819" i="1"/>
  <c r="AF808" i="1"/>
  <c r="AF823" i="1"/>
  <c r="A773" i="4"/>
  <c r="A774" i="4"/>
  <c r="A775" i="4"/>
  <c r="A547" i="4"/>
  <c r="A235" i="4"/>
  <c r="A236" i="4"/>
  <c r="A786" i="4"/>
  <c r="A783" i="4"/>
  <c r="A222" i="4"/>
  <c r="K773" i="4"/>
  <c r="K774" i="4"/>
  <c r="K775" i="4"/>
  <c r="K547" i="4"/>
  <c r="K235" i="4"/>
  <c r="K236" i="4"/>
  <c r="K786" i="4"/>
  <c r="AF806" i="1" s="1"/>
  <c r="K783" i="4"/>
  <c r="K222" i="4"/>
  <c r="K387" i="4"/>
  <c r="AP704" i="1" l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306" i="1"/>
  <c r="BC307" i="1"/>
  <c r="BC308" i="1"/>
  <c r="BC309" i="1"/>
  <c r="BC310" i="1"/>
  <c r="BC311" i="1"/>
  <c r="BC312" i="1"/>
  <c r="BC313" i="1"/>
  <c r="BC314" i="1"/>
  <c r="BC315" i="1"/>
  <c r="BC316" i="1"/>
  <c r="BC317" i="1"/>
  <c r="BC318" i="1"/>
  <c r="BC319" i="1"/>
  <c r="BC320" i="1"/>
  <c r="BC321" i="1"/>
  <c r="BC322" i="1"/>
  <c r="BC323" i="1"/>
  <c r="BC324" i="1"/>
  <c r="BC325" i="1"/>
  <c r="BC326" i="1"/>
  <c r="BC327" i="1"/>
  <c r="BC328" i="1"/>
  <c r="BC329" i="1"/>
  <c r="BC330" i="1"/>
  <c r="BC331" i="1"/>
  <c r="BC332" i="1"/>
  <c r="BC333" i="1"/>
  <c r="BC334" i="1"/>
  <c r="BC335" i="1"/>
  <c r="BC336" i="1"/>
  <c r="BC337" i="1"/>
  <c r="BC338" i="1"/>
  <c r="BC339" i="1"/>
  <c r="BC340" i="1"/>
  <c r="BC341" i="1"/>
  <c r="BC342" i="1"/>
  <c r="BC343" i="1"/>
  <c r="BC344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6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6" i="1"/>
  <c r="BC427" i="1"/>
  <c r="BC428" i="1"/>
  <c r="BC429" i="1"/>
  <c r="BC430" i="1"/>
  <c r="BC431" i="1"/>
  <c r="BC432" i="1"/>
  <c r="BC433" i="1"/>
  <c r="BC434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461" i="1"/>
  <c r="BC462" i="1"/>
  <c r="BC463" i="1"/>
  <c r="BC464" i="1"/>
  <c r="BC465" i="1"/>
  <c r="BC466" i="1"/>
  <c r="BC467" i="1"/>
  <c r="BC468" i="1"/>
  <c r="BC469" i="1"/>
  <c r="BC470" i="1"/>
  <c r="BC471" i="1"/>
  <c r="BC472" i="1"/>
  <c r="BC473" i="1"/>
  <c r="BC474" i="1"/>
  <c r="BC475" i="1"/>
  <c r="BC476" i="1"/>
  <c r="BC477" i="1"/>
  <c r="BC478" i="1"/>
  <c r="BC479" i="1"/>
  <c r="BC480" i="1"/>
  <c r="BC481" i="1"/>
  <c r="BC482" i="1"/>
  <c r="BC483" i="1"/>
  <c r="BC484" i="1"/>
  <c r="BC485" i="1"/>
  <c r="BC486" i="1"/>
  <c r="BC487" i="1"/>
  <c r="BC488" i="1"/>
  <c r="BC489" i="1"/>
  <c r="BC490" i="1"/>
  <c r="BC491" i="1"/>
  <c r="BC492" i="1"/>
  <c r="BC493" i="1"/>
  <c r="BC494" i="1"/>
  <c r="BC495" i="1"/>
  <c r="BC496" i="1"/>
  <c r="BC497" i="1"/>
  <c r="BC498" i="1"/>
  <c r="BC499" i="1"/>
  <c r="BC500" i="1"/>
  <c r="BC501" i="1"/>
  <c r="BC502" i="1"/>
  <c r="BC503" i="1"/>
  <c r="BC504" i="1"/>
  <c r="BC505" i="1"/>
  <c r="BC506" i="1"/>
  <c r="BC507" i="1"/>
  <c r="BC508" i="1"/>
  <c r="BC509" i="1"/>
  <c r="BC510" i="1"/>
  <c r="BC511" i="1"/>
  <c r="BC512" i="1"/>
  <c r="BC513" i="1"/>
  <c r="BC514" i="1"/>
  <c r="BC515" i="1"/>
  <c r="BC516" i="1"/>
  <c r="BC517" i="1"/>
  <c r="BC518" i="1"/>
  <c r="BC519" i="1"/>
  <c r="BC520" i="1"/>
  <c r="BC521" i="1"/>
  <c r="BC522" i="1"/>
  <c r="BC523" i="1"/>
  <c r="BC524" i="1"/>
  <c r="BC525" i="1"/>
  <c r="BC526" i="1"/>
  <c r="BC527" i="1"/>
  <c r="BC528" i="1"/>
  <c r="BC529" i="1"/>
  <c r="BC530" i="1"/>
  <c r="BC531" i="1"/>
  <c r="BC532" i="1"/>
  <c r="BC533" i="1"/>
  <c r="BC534" i="1"/>
  <c r="BC535" i="1"/>
  <c r="BC536" i="1"/>
  <c r="BC537" i="1"/>
  <c r="BC538" i="1"/>
  <c r="BC539" i="1"/>
  <c r="BC540" i="1"/>
  <c r="BC541" i="1"/>
  <c r="BC542" i="1"/>
  <c r="BC543" i="1"/>
  <c r="BC544" i="1"/>
  <c r="BC545" i="1"/>
  <c r="BC546" i="1"/>
  <c r="BC547" i="1"/>
  <c r="BC548" i="1"/>
  <c r="BC549" i="1"/>
  <c r="BC550" i="1"/>
  <c r="BC551" i="1"/>
  <c r="BC552" i="1"/>
  <c r="BC553" i="1"/>
  <c r="BC554" i="1"/>
  <c r="BC555" i="1"/>
  <c r="BC556" i="1"/>
  <c r="BC557" i="1"/>
  <c r="BC558" i="1"/>
  <c r="BC559" i="1"/>
  <c r="BC560" i="1"/>
  <c r="BC561" i="1"/>
  <c r="BC562" i="1"/>
  <c r="BC563" i="1"/>
  <c r="BC564" i="1"/>
  <c r="BC565" i="1"/>
  <c r="BC566" i="1"/>
  <c r="BC567" i="1"/>
  <c r="BC568" i="1"/>
  <c r="BC569" i="1"/>
  <c r="BC570" i="1"/>
  <c r="BC571" i="1"/>
  <c r="BC572" i="1"/>
  <c r="BC573" i="1"/>
  <c r="BC574" i="1"/>
  <c r="BC575" i="1"/>
  <c r="BC576" i="1"/>
  <c r="BC577" i="1"/>
  <c r="BC578" i="1"/>
  <c r="BC579" i="1"/>
  <c r="BC580" i="1"/>
  <c r="BC581" i="1"/>
  <c r="BC582" i="1"/>
  <c r="BC583" i="1"/>
  <c r="BC584" i="1"/>
  <c r="BC585" i="1"/>
  <c r="BC586" i="1"/>
  <c r="BC587" i="1"/>
  <c r="BC588" i="1"/>
  <c r="BC589" i="1"/>
  <c r="BC590" i="1"/>
  <c r="BC591" i="1"/>
  <c r="BC592" i="1"/>
  <c r="BC593" i="1"/>
  <c r="BC594" i="1"/>
  <c r="BC595" i="1"/>
  <c r="BC596" i="1"/>
  <c r="BC597" i="1"/>
  <c r="BC598" i="1"/>
  <c r="BC599" i="1"/>
  <c r="BC600" i="1"/>
  <c r="BC601" i="1"/>
  <c r="BC602" i="1"/>
  <c r="BC603" i="1"/>
  <c r="BC604" i="1"/>
  <c r="BC605" i="1"/>
  <c r="BC606" i="1"/>
  <c r="BC607" i="1"/>
  <c r="BC608" i="1"/>
  <c r="BC609" i="1"/>
  <c r="BC610" i="1"/>
  <c r="BC611" i="1"/>
  <c r="BC612" i="1"/>
  <c r="BC613" i="1"/>
  <c r="BC614" i="1"/>
  <c r="BC615" i="1"/>
  <c r="BC616" i="1"/>
  <c r="BC617" i="1"/>
  <c r="BC618" i="1"/>
  <c r="BC619" i="1"/>
  <c r="BC620" i="1"/>
  <c r="BC621" i="1"/>
  <c r="BC622" i="1"/>
  <c r="BC623" i="1"/>
  <c r="BC624" i="1"/>
  <c r="BC625" i="1"/>
  <c r="BC626" i="1"/>
  <c r="BC627" i="1"/>
  <c r="BC628" i="1"/>
  <c r="BC629" i="1"/>
  <c r="BC630" i="1"/>
  <c r="BC631" i="1"/>
  <c r="BC632" i="1"/>
  <c r="BC633" i="1"/>
  <c r="BC634" i="1"/>
  <c r="BC635" i="1"/>
  <c r="BC636" i="1"/>
  <c r="BC637" i="1"/>
  <c r="BC638" i="1"/>
  <c r="BC639" i="1"/>
  <c r="BC640" i="1"/>
  <c r="BC641" i="1"/>
  <c r="BC642" i="1"/>
  <c r="BC643" i="1"/>
  <c r="BC644" i="1"/>
  <c r="BC645" i="1"/>
  <c r="BC646" i="1"/>
  <c r="BC647" i="1"/>
  <c r="BC648" i="1"/>
  <c r="BC649" i="1"/>
  <c r="BC650" i="1"/>
  <c r="BC651" i="1"/>
  <c r="BC652" i="1"/>
  <c r="BC653" i="1"/>
  <c r="BC654" i="1"/>
  <c r="BC655" i="1"/>
  <c r="BC656" i="1"/>
  <c r="BC657" i="1"/>
  <c r="BC658" i="1"/>
  <c r="BC659" i="1"/>
  <c r="BC660" i="1"/>
  <c r="BC661" i="1"/>
  <c r="BC662" i="1"/>
  <c r="BC663" i="1"/>
  <c r="BC664" i="1"/>
  <c r="BC665" i="1"/>
  <c r="BC666" i="1"/>
  <c r="BC667" i="1"/>
  <c r="BC668" i="1"/>
  <c r="BC669" i="1"/>
  <c r="BC670" i="1"/>
  <c r="BC671" i="1"/>
  <c r="BC672" i="1"/>
  <c r="BC673" i="1"/>
  <c r="BC674" i="1"/>
  <c r="BC675" i="1"/>
  <c r="BC676" i="1"/>
  <c r="BC677" i="1"/>
  <c r="BC678" i="1"/>
  <c r="BC679" i="1"/>
  <c r="BC680" i="1"/>
  <c r="BC681" i="1"/>
  <c r="BC682" i="1"/>
  <c r="BC683" i="1"/>
  <c r="BC684" i="1"/>
  <c r="BC685" i="1"/>
  <c r="BC686" i="1"/>
  <c r="BC687" i="1"/>
  <c r="BC688" i="1"/>
  <c r="BC689" i="1"/>
  <c r="BC690" i="1"/>
  <c r="BC691" i="1"/>
  <c r="BC692" i="1"/>
  <c r="BC693" i="1"/>
  <c r="BC694" i="1"/>
  <c r="BC695" i="1"/>
  <c r="BC696" i="1"/>
  <c r="BC697" i="1"/>
  <c r="BC698" i="1"/>
  <c r="BC699" i="1"/>
  <c r="BC700" i="1"/>
  <c r="BC701" i="1"/>
  <c r="BF2" i="1"/>
  <c r="BC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N2" i="1"/>
  <c r="AI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AC2" i="1"/>
  <c r="Z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T2" i="1"/>
  <c r="Q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N2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H2" i="1"/>
  <c r="C2" i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3" i="4"/>
  <c r="A224" i="4"/>
  <c r="A225" i="4"/>
  <c r="A226" i="4"/>
  <c r="A227" i="4"/>
  <c r="A228" i="4"/>
  <c r="A229" i="4"/>
  <c r="A230" i="4"/>
  <c r="A233" i="4"/>
  <c r="A234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4" i="4"/>
  <c r="A255" i="4"/>
  <c r="A256" i="4"/>
  <c r="A257" i="4"/>
  <c r="A258" i="4"/>
  <c r="A259" i="4"/>
  <c r="A260" i="4"/>
  <c r="A261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6" i="4"/>
  <c r="A359" i="4"/>
  <c r="A360" i="4"/>
  <c r="A361" i="4"/>
  <c r="A362" i="4"/>
  <c r="A363" i="4"/>
  <c r="A364" i="4"/>
  <c r="A365" i="4"/>
  <c r="A366" i="4"/>
  <c r="A367" i="4"/>
  <c r="A368" i="4"/>
  <c r="A371" i="4"/>
  <c r="A372" i="4"/>
  <c r="A373" i="4"/>
  <c r="A374" i="4"/>
  <c r="A375" i="4"/>
  <c r="A378" i="4"/>
  <c r="A379" i="4"/>
  <c r="A380" i="4"/>
  <c r="A381" i="4"/>
  <c r="A382" i="4"/>
  <c r="A383" i="4"/>
  <c r="A384" i="4"/>
  <c r="A385" i="4"/>
  <c r="A386" i="4"/>
  <c r="A389" i="4"/>
  <c r="A390" i="4"/>
  <c r="A391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4" i="4"/>
  <c r="A427" i="4"/>
  <c r="A430" i="4"/>
  <c r="A433" i="4"/>
  <c r="A434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3" i="4"/>
  <c r="A476" i="4"/>
  <c r="A477" i="4"/>
  <c r="A478" i="4"/>
  <c r="A479" i="4"/>
  <c r="A480" i="4"/>
  <c r="A481" i="4"/>
  <c r="A482" i="4"/>
  <c r="A483" i="4"/>
  <c r="A484" i="4"/>
  <c r="A485" i="4"/>
  <c r="A486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3" i="4"/>
  <c r="A506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7" i="4"/>
  <c r="A528" i="4"/>
  <c r="A529" i="4"/>
  <c r="A530" i="4"/>
  <c r="A531" i="4"/>
  <c r="A532" i="4"/>
  <c r="A535" i="4"/>
  <c r="A536" i="4"/>
  <c r="A537" i="4"/>
  <c r="A538" i="4"/>
  <c r="A539" i="4"/>
  <c r="A540" i="4"/>
  <c r="A541" i="4"/>
  <c r="A542" i="4"/>
  <c r="A543" i="4"/>
  <c r="A544" i="4"/>
  <c r="A545" i="4"/>
  <c r="A548" i="4"/>
  <c r="A549" i="4"/>
  <c r="A550" i="4"/>
  <c r="A551" i="4"/>
  <c r="A552" i="4"/>
  <c r="A553" i="4"/>
  <c r="A554" i="4"/>
  <c r="A555" i="4"/>
  <c r="A556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9" i="4"/>
  <c r="A780" i="4"/>
  <c r="A781" i="4"/>
  <c r="A782" i="4"/>
  <c r="A357" i="4"/>
  <c r="A358" i="4"/>
  <c r="A369" i="4"/>
  <c r="A370" i="4"/>
  <c r="A487" i="4"/>
  <c r="A488" i="4"/>
  <c r="A557" i="4"/>
  <c r="A558" i="4"/>
  <c r="A776" i="4"/>
  <c r="A777" i="4"/>
  <c r="A2" i="4"/>
  <c r="A221" i="4"/>
  <c r="A784" i="4"/>
  <c r="A785" i="4"/>
  <c r="A471" i="4"/>
  <c r="A472" i="4"/>
  <c r="A422" i="4"/>
  <c r="A423" i="4"/>
  <c r="A504" i="4"/>
  <c r="A505" i="4"/>
  <c r="A546" i="4"/>
  <c r="A72" i="4"/>
  <c r="AZ693" i="1" l="1"/>
  <c r="AZ696" i="1"/>
  <c r="AZ692" i="1"/>
  <c r="K472" i="4"/>
  <c r="K422" i="4"/>
  <c r="K423" i="4"/>
  <c r="K504" i="4"/>
  <c r="K505" i="4"/>
  <c r="K546" i="4"/>
  <c r="K766" i="4"/>
  <c r="K767" i="4"/>
  <c r="K768" i="4"/>
  <c r="K776" i="4"/>
  <c r="K777" i="4"/>
  <c r="K2" i="4"/>
  <c r="K221" i="4"/>
  <c r="K784" i="4"/>
  <c r="K785" i="4"/>
  <c r="AF805" i="1" s="1"/>
  <c r="K471" i="4"/>
  <c r="AF787" i="1" l="1"/>
  <c r="AF804" i="1"/>
  <c r="AF803" i="1"/>
  <c r="AZ697" i="1"/>
  <c r="AZ695" i="1"/>
  <c r="AZ694" i="1"/>
  <c r="AZ691" i="1"/>
  <c r="AZ690" i="1"/>
  <c r="AZ704" i="1"/>
  <c r="AZ700" i="1"/>
  <c r="AZ703" i="1"/>
  <c r="AZ699" i="1"/>
  <c r="AZ702" i="1"/>
  <c r="AZ698" i="1"/>
  <c r="AZ701" i="1"/>
  <c r="AZ686" i="1"/>
  <c r="AZ689" i="1"/>
  <c r="AZ676" i="1"/>
  <c r="AZ687" i="1"/>
  <c r="AZ338" i="1"/>
  <c r="AU694" i="1"/>
  <c r="AU693" i="1"/>
  <c r="AU685" i="1"/>
  <c r="AU704" i="1"/>
  <c r="AU682" i="1"/>
  <c r="AU679" i="1"/>
  <c r="AU15" i="1"/>
  <c r="AU690" i="1"/>
  <c r="AU692" i="1"/>
  <c r="AU699" i="1"/>
  <c r="AU6" i="1"/>
  <c r="AP676" i="1"/>
  <c r="AP691" i="1"/>
  <c r="AP703" i="1"/>
  <c r="AK692" i="1"/>
  <c r="AP694" i="1"/>
  <c r="AP624" i="1"/>
  <c r="AK693" i="1"/>
  <c r="AK685" i="1"/>
  <c r="AK704" i="1"/>
  <c r="AK703" i="1"/>
  <c r="AK695" i="1"/>
  <c r="AK688" i="1"/>
  <c r="AK430" i="1"/>
  <c r="AK686" i="1"/>
  <c r="K782" i="4"/>
  <c r="AF802" i="1" s="1"/>
  <c r="K781" i="4"/>
  <c r="K780" i="4"/>
  <c r="AF800" i="1" s="1"/>
  <c r="K779" i="4"/>
  <c r="K771" i="4"/>
  <c r="K770" i="4"/>
  <c r="K769" i="4"/>
  <c r="AF788" i="1" s="1"/>
  <c r="K765" i="4"/>
  <c r="AF786" i="1" s="1"/>
  <c r="K764" i="4"/>
  <c r="AF785" i="1" s="1"/>
  <c r="K763" i="4"/>
  <c r="K762" i="4"/>
  <c r="K761" i="4"/>
  <c r="K760" i="4"/>
  <c r="K759" i="4"/>
  <c r="K758" i="4"/>
  <c r="K757" i="4"/>
  <c r="AF778" i="1" s="1"/>
  <c r="K756" i="4"/>
  <c r="K755" i="4"/>
  <c r="K754" i="4"/>
  <c r="AF775" i="1" s="1"/>
  <c r="K753" i="4"/>
  <c r="K752" i="4"/>
  <c r="K751" i="4"/>
  <c r="K750" i="4"/>
  <c r="K749" i="4"/>
  <c r="K748" i="4"/>
  <c r="K747" i="4"/>
  <c r="K746" i="4"/>
  <c r="K745" i="4"/>
  <c r="K744" i="4"/>
  <c r="K743" i="4"/>
  <c r="K742" i="4"/>
  <c r="K741" i="4"/>
  <c r="K740" i="4"/>
  <c r="K739" i="4"/>
  <c r="K738" i="4"/>
  <c r="K737" i="4"/>
  <c r="K736" i="4"/>
  <c r="K735" i="4"/>
  <c r="K734" i="4"/>
  <c r="K733" i="4"/>
  <c r="K732" i="4"/>
  <c r="K731" i="4"/>
  <c r="K730" i="4"/>
  <c r="K729" i="4"/>
  <c r="K728" i="4"/>
  <c r="K727" i="4"/>
  <c r="K726" i="4"/>
  <c r="K725" i="4"/>
  <c r="K724" i="4"/>
  <c r="K723" i="4"/>
  <c r="K722" i="4"/>
  <c r="K721" i="4"/>
  <c r="K720" i="4"/>
  <c r="K719" i="4"/>
  <c r="K718" i="4"/>
  <c r="K717" i="4"/>
  <c r="K716" i="4"/>
  <c r="K715" i="4"/>
  <c r="K714" i="4"/>
  <c r="K713" i="4"/>
  <c r="K712" i="4"/>
  <c r="K711" i="4"/>
  <c r="K710" i="4"/>
  <c r="K709" i="4"/>
  <c r="K708" i="4"/>
  <c r="K707" i="4"/>
  <c r="K706" i="4"/>
  <c r="K705" i="4"/>
  <c r="K704" i="4"/>
  <c r="K703" i="4"/>
  <c r="K702" i="4"/>
  <c r="K701" i="4"/>
  <c r="K700" i="4"/>
  <c r="K699" i="4"/>
  <c r="K698" i="4"/>
  <c r="K697" i="4"/>
  <c r="K696" i="4"/>
  <c r="K695" i="4"/>
  <c r="K694" i="4"/>
  <c r="K693" i="4"/>
  <c r="K692" i="4"/>
  <c r="K691" i="4"/>
  <c r="K690" i="4"/>
  <c r="K689" i="4"/>
  <c r="K688" i="4"/>
  <c r="K687" i="4"/>
  <c r="K686" i="4"/>
  <c r="K685" i="4"/>
  <c r="K684" i="4"/>
  <c r="K683" i="4"/>
  <c r="K682" i="4"/>
  <c r="K681" i="4"/>
  <c r="K680" i="4"/>
  <c r="K679" i="4"/>
  <c r="K678" i="4"/>
  <c r="K677" i="4"/>
  <c r="K676" i="4"/>
  <c r="K675" i="4"/>
  <c r="K674" i="4"/>
  <c r="K673" i="4"/>
  <c r="K672" i="4"/>
  <c r="K671" i="4"/>
  <c r="K670" i="4"/>
  <c r="K669" i="4"/>
  <c r="K668" i="4"/>
  <c r="K667" i="4"/>
  <c r="K666" i="4"/>
  <c r="K665" i="4"/>
  <c r="K664" i="4"/>
  <c r="K663" i="4"/>
  <c r="K662" i="4"/>
  <c r="K661" i="4"/>
  <c r="K660" i="4"/>
  <c r="K659" i="4"/>
  <c r="K658" i="4"/>
  <c r="K657" i="4"/>
  <c r="K656" i="4"/>
  <c r="K655" i="4"/>
  <c r="K654" i="4"/>
  <c r="K653" i="4"/>
  <c r="K652" i="4"/>
  <c r="K651" i="4"/>
  <c r="K650" i="4"/>
  <c r="K649" i="4"/>
  <c r="K648" i="4"/>
  <c r="K647" i="4"/>
  <c r="K646" i="4"/>
  <c r="K645" i="4"/>
  <c r="K644" i="4"/>
  <c r="K643" i="4"/>
  <c r="K642" i="4"/>
  <c r="K641" i="4"/>
  <c r="K640" i="4"/>
  <c r="K639" i="4"/>
  <c r="K638" i="4"/>
  <c r="K637" i="4"/>
  <c r="K636" i="4"/>
  <c r="K635" i="4"/>
  <c r="K634" i="4"/>
  <c r="K633" i="4"/>
  <c r="K632" i="4"/>
  <c r="K631" i="4"/>
  <c r="K630" i="4"/>
  <c r="K629" i="4"/>
  <c r="K628" i="4"/>
  <c r="K627" i="4"/>
  <c r="K626" i="4"/>
  <c r="K625" i="4"/>
  <c r="K624" i="4"/>
  <c r="K623" i="4"/>
  <c r="K622" i="4"/>
  <c r="K621" i="4"/>
  <c r="K620" i="4"/>
  <c r="K619" i="4"/>
  <c r="K618" i="4"/>
  <c r="K617" i="4"/>
  <c r="K616" i="4"/>
  <c r="K615" i="4"/>
  <c r="K614" i="4"/>
  <c r="K613" i="4"/>
  <c r="K612" i="4"/>
  <c r="K611" i="4"/>
  <c r="K610" i="4"/>
  <c r="K609" i="4"/>
  <c r="K608" i="4"/>
  <c r="K607" i="4"/>
  <c r="K606" i="4"/>
  <c r="K605" i="4"/>
  <c r="K604" i="4"/>
  <c r="K603" i="4"/>
  <c r="K602" i="4"/>
  <c r="K601" i="4"/>
  <c r="K600" i="4"/>
  <c r="K599" i="4"/>
  <c r="K598" i="4"/>
  <c r="K597" i="4"/>
  <c r="K596" i="4"/>
  <c r="K595" i="4"/>
  <c r="K594" i="4"/>
  <c r="K593" i="4"/>
  <c r="K592" i="4"/>
  <c r="K591" i="4"/>
  <c r="K590" i="4"/>
  <c r="K589" i="4"/>
  <c r="K588" i="4"/>
  <c r="K587" i="4"/>
  <c r="K586" i="4"/>
  <c r="K585" i="4"/>
  <c r="K584" i="4"/>
  <c r="K583" i="4"/>
  <c r="K582" i="4"/>
  <c r="K581" i="4"/>
  <c r="K580" i="4"/>
  <c r="K579" i="4"/>
  <c r="K578" i="4"/>
  <c r="K577" i="4"/>
  <c r="K576" i="4"/>
  <c r="K575" i="4"/>
  <c r="K574" i="4"/>
  <c r="K573" i="4"/>
  <c r="K572" i="4"/>
  <c r="K571" i="4"/>
  <c r="K570" i="4"/>
  <c r="K569" i="4"/>
  <c r="K568" i="4"/>
  <c r="K567" i="4"/>
  <c r="K566" i="4"/>
  <c r="K565" i="4"/>
  <c r="K564" i="4"/>
  <c r="K563" i="4"/>
  <c r="K562" i="4"/>
  <c r="K561" i="4"/>
  <c r="K560" i="4"/>
  <c r="K559" i="4"/>
  <c r="K558" i="4"/>
  <c r="K557" i="4"/>
  <c r="K556" i="4"/>
  <c r="K555" i="4"/>
  <c r="K554" i="4"/>
  <c r="K553" i="4"/>
  <c r="K552" i="4"/>
  <c r="K551" i="4"/>
  <c r="K550" i="4"/>
  <c r="K549" i="4"/>
  <c r="K548" i="4"/>
  <c r="K545" i="4"/>
  <c r="K544" i="4"/>
  <c r="K543" i="4"/>
  <c r="K542" i="4"/>
  <c r="K541" i="4"/>
  <c r="K540" i="4"/>
  <c r="K539" i="4"/>
  <c r="K538" i="4"/>
  <c r="K537" i="4"/>
  <c r="K536" i="4"/>
  <c r="K535" i="4"/>
  <c r="K532" i="4"/>
  <c r="K531" i="4"/>
  <c r="K530" i="4"/>
  <c r="K529" i="4"/>
  <c r="K528" i="4"/>
  <c r="K527" i="4"/>
  <c r="K524" i="4"/>
  <c r="K523" i="4"/>
  <c r="K522" i="4"/>
  <c r="K521" i="4"/>
  <c r="K520" i="4"/>
  <c r="K519" i="4"/>
  <c r="K518" i="4"/>
  <c r="K517" i="4"/>
  <c r="K516" i="4"/>
  <c r="K515" i="4"/>
  <c r="K514" i="4"/>
  <c r="K513" i="4"/>
  <c r="K512" i="4"/>
  <c r="K511" i="4"/>
  <c r="K510" i="4"/>
  <c r="K509" i="4"/>
  <c r="K506" i="4"/>
  <c r="K503" i="4"/>
  <c r="K500" i="4"/>
  <c r="K499" i="4"/>
  <c r="K498" i="4"/>
  <c r="K497" i="4"/>
  <c r="K496" i="4"/>
  <c r="K495" i="4"/>
  <c r="K494" i="4"/>
  <c r="K493" i="4"/>
  <c r="K492" i="4"/>
  <c r="K491" i="4"/>
  <c r="K490" i="4"/>
  <c r="K489" i="4"/>
  <c r="K488" i="4"/>
  <c r="K487" i="4"/>
  <c r="K486" i="4"/>
  <c r="K485" i="4"/>
  <c r="K484" i="4"/>
  <c r="K483" i="4"/>
  <c r="K482" i="4"/>
  <c r="K481" i="4"/>
  <c r="K480" i="4"/>
  <c r="K479" i="4"/>
  <c r="K478" i="4"/>
  <c r="K477" i="4"/>
  <c r="K476" i="4"/>
  <c r="K473" i="4"/>
  <c r="K470" i="4"/>
  <c r="K469" i="4"/>
  <c r="K468" i="4"/>
  <c r="K467" i="4"/>
  <c r="K466" i="4"/>
  <c r="K465" i="4"/>
  <c r="K464" i="4"/>
  <c r="K463" i="4"/>
  <c r="K462" i="4"/>
  <c r="K461" i="4"/>
  <c r="K460" i="4"/>
  <c r="K459" i="4"/>
  <c r="K458" i="4"/>
  <c r="K457" i="4"/>
  <c r="K456" i="4"/>
  <c r="K455" i="4"/>
  <c r="K454" i="4"/>
  <c r="K453" i="4"/>
  <c r="K452" i="4"/>
  <c r="K451" i="4"/>
  <c r="K450" i="4"/>
  <c r="K449" i="4"/>
  <c r="K448" i="4"/>
  <c r="K447" i="4"/>
  <c r="K446" i="4"/>
  <c r="K445" i="4"/>
  <c r="K444" i="4"/>
  <c r="K443" i="4"/>
  <c r="K442" i="4"/>
  <c r="K441" i="4"/>
  <c r="K440" i="4"/>
  <c r="K439" i="4"/>
  <c r="K438" i="4"/>
  <c r="K437" i="4"/>
  <c r="K434" i="4"/>
  <c r="K433" i="4"/>
  <c r="K430" i="4"/>
  <c r="K427" i="4"/>
  <c r="K424" i="4"/>
  <c r="K421" i="4"/>
  <c r="K420" i="4"/>
  <c r="K419" i="4"/>
  <c r="K418" i="4"/>
  <c r="K417" i="4"/>
  <c r="K416" i="4"/>
  <c r="K415" i="4"/>
  <c r="K414" i="4"/>
  <c r="K413" i="4"/>
  <c r="K412" i="4"/>
  <c r="K411" i="4"/>
  <c r="K410" i="4"/>
  <c r="K409" i="4"/>
  <c r="K408" i="4"/>
  <c r="K407" i="4"/>
  <c r="K406" i="4"/>
  <c r="K405" i="4"/>
  <c r="K404" i="4"/>
  <c r="K403" i="4"/>
  <c r="K402" i="4"/>
  <c r="K401" i="4"/>
  <c r="K400" i="4"/>
  <c r="K399" i="4"/>
  <c r="K398" i="4"/>
  <c r="K397" i="4"/>
  <c r="K396" i="4"/>
  <c r="K395" i="4"/>
  <c r="K394" i="4"/>
  <c r="K391" i="4"/>
  <c r="K390" i="4"/>
  <c r="K389" i="4"/>
  <c r="K386" i="4"/>
  <c r="K385" i="4"/>
  <c r="K384" i="4"/>
  <c r="K383" i="4"/>
  <c r="K382" i="4"/>
  <c r="K381" i="4"/>
  <c r="K380" i="4"/>
  <c r="K379" i="4"/>
  <c r="K378" i="4"/>
  <c r="K375" i="4"/>
  <c r="K374" i="4"/>
  <c r="K373" i="4"/>
  <c r="K372" i="4"/>
  <c r="K371" i="4"/>
  <c r="K370" i="4"/>
  <c r="K369" i="4"/>
  <c r="K368" i="4"/>
  <c r="K367" i="4"/>
  <c r="K366" i="4"/>
  <c r="K365" i="4"/>
  <c r="K364" i="4"/>
  <c r="K363" i="4"/>
  <c r="K362" i="4"/>
  <c r="K361" i="4"/>
  <c r="K360" i="4"/>
  <c r="K359" i="4"/>
  <c r="K358" i="4"/>
  <c r="K357" i="4"/>
  <c r="K356" i="4"/>
  <c r="K353" i="4"/>
  <c r="K352" i="4"/>
  <c r="K351" i="4"/>
  <c r="K350" i="4"/>
  <c r="K349" i="4"/>
  <c r="K348" i="4"/>
  <c r="K347" i="4"/>
  <c r="K346" i="4"/>
  <c r="K345" i="4"/>
  <c r="K344" i="4"/>
  <c r="K343" i="4"/>
  <c r="K342" i="4"/>
  <c r="K341" i="4"/>
  <c r="K340" i="4"/>
  <c r="K339" i="4"/>
  <c r="K338" i="4"/>
  <c r="K337" i="4"/>
  <c r="K336" i="4"/>
  <c r="K333" i="4"/>
  <c r="K332" i="4"/>
  <c r="K331" i="4"/>
  <c r="K330" i="4"/>
  <c r="K329" i="4"/>
  <c r="K328" i="4"/>
  <c r="K327" i="4"/>
  <c r="K326" i="4"/>
  <c r="K325" i="4"/>
  <c r="K324" i="4"/>
  <c r="K323" i="4"/>
  <c r="K322" i="4"/>
  <c r="K321" i="4"/>
  <c r="K320" i="4"/>
  <c r="K319" i="4"/>
  <c r="K318" i="4"/>
  <c r="K317" i="4"/>
  <c r="K316" i="4"/>
  <c r="K315" i="4"/>
  <c r="K314" i="4"/>
  <c r="K313" i="4"/>
  <c r="K312" i="4"/>
  <c r="K311" i="4"/>
  <c r="K310" i="4"/>
  <c r="K309" i="4"/>
  <c r="K308" i="4"/>
  <c r="K307" i="4"/>
  <c r="K306" i="4"/>
  <c r="K305" i="4"/>
  <c r="K304" i="4"/>
  <c r="K303" i="4"/>
  <c r="K302" i="4"/>
  <c r="K301" i="4"/>
  <c r="K300" i="4"/>
  <c r="K299" i="4"/>
  <c r="K296" i="4"/>
  <c r="K295" i="4"/>
  <c r="K294" i="4"/>
  <c r="K293" i="4"/>
  <c r="K292" i="4"/>
  <c r="K291" i="4"/>
  <c r="K290" i="4"/>
  <c r="K289" i="4"/>
  <c r="K288" i="4"/>
  <c r="K287" i="4"/>
  <c r="K286" i="4"/>
  <c r="K285" i="4"/>
  <c r="K284" i="4"/>
  <c r="K283" i="4"/>
  <c r="K282" i="4"/>
  <c r="K281" i="4"/>
  <c r="K278" i="4"/>
  <c r="K277" i="4"/>
  <c r="K276" i="4"/>
  <c r="K275" i="4"/>
  <c r="K274" i="4"/>
  <c r="K273" i="4"/>
  <c r="K272" i="4"/>
  <c r="K271" i="4"/>
  <c r="K270" i="4"/>
  <c r="K269" i="4"/>
  <c r="K268" i="4"/>
  <c r="K267" i="4"/>
  <c r="K266" i="4"/>
  <c r="K265" i="4"/>
  <c r="K264" i="4"/>
  <c r="K261" i="4"/>
  <c r="K260" i="4"/>
  <c r="K259" i="4"/>
  <c r="K258" i="4"/>
  <c r="K257" i="4"/>
  <c r="K256" i="4"/>
  <c r="K255" i="4"/>
  <c r="K254" i="4"/>
  <c r="K251" i="4"/>
  <c r="K250" i="4"/>
  <c r="K249" i="4"/>
  <c r="K248" i="4"/>
  <c r="K247" i="4"/>
  <c r="K246" i="4"/>
  <c r="K245" i="4"/>
  <c r="K244" i="4"/>
  <c r="K243" i="4"/>
  <c r="K242" i="4"/>
  <c r="K241" i="4"/>
  <c r="K240" i="4"/>
  <c r="K239" i="4"/>
  <c r="K238" i="4"/>
  <c r="K237" i="4"/>
  <c r="K234" i="4"/>
  <c r="K233" i="4"/>
  <c r="K230" i="4"/>
  <c r="K229" i="4"/>
  <c r="K228" i="4"/>
  <c r="K227" i="4"/>
  <c r="K226" i="4"/>
  <c r="K225" i="4"/>
  <c r="K224" i="4"/>
  <c r="K223" i="4"/>
  <c r="K220" i="4"/>
  <c r="K219" i="4"/>
  <c r="K218" i="4"/>
  <c r="K217" i="4"/>
  <c r="K216" i="4"/>
  <c r="K215" i="4"/>
  <c r="K214" i="4"/>
  <c r="K213" i="4"/>
  <c r="K212" i="4"/>
  <c r="K211" i="4"/>
  <c r="K210" i="4"/>
  <c r="K209" i="4"/>
  <c r="K208" i="4"/>
  <c r="K207" i="4"/>
  <c r="K206" i="4"/>
  <c r="K205" i="4"/>
  <c r="K204" i="4"/>
  <c r="K203" i="4"/>
  <c r="K202" i="4"/>
  <c r="K201" i="4"/>
  <c r="K200" i="4"/>
  <c r="K199" i="4"/>
  <c r="K198" i="4"/>
  <c r="K197" i="4"/>
  <c r="K196" i="4"/>
  <c r="K195" i="4"/>
  <c r="K194" i="4"/>
  <c r="K193" i="4"/>
  <c r="K192" i="4"/>
  <c r="K191" i="4"/>
  <c r="K190" i="4"/>
  <c r="K189" i="4"/>
  <c r="K188" i="4"/>
  <c r="K187" i="4"/>
  <c r="K186" i="4"/>
  <c r="K185" i="4"/>
  <c r="K184" i="4"/>
  <c r="K183" i="4"/>
  <c r="K182" i="4"/>
  <c r="K181" i="4"/>
  <c r="K180" i="4"/>
  <c r="K179" i="4"/>
  <c r="K178" i="4"/>
  <c r="K177" i="4"/>
  <c r="K176" i="4"/>
  <c r="K175" i="4"/>
  <c r="K174" i="4"/>
  <c r="K173" i="4"/>
  <c r="K172" i="4"/>
  <c r="K171" i="4"/>
  <c r="K170" i="4"/>
  <c r="K169" i="4"/>
  <c r="K168" i="4"/>
  <c r="K167" i="4"/>
  <c r="K166" i="4"/>
  <c r="K165" i="4"/>
  <c r="K164" i="4"/>
  <c r="K163" i="4"/>
  <c r="K162" i="4"/>
  <c r="K161" i="4"/>
  <c r="K160" i="4"/>
  <c r="K159" i="4"/>
  <c r="K158" i="4"/>
  <c r="K157" i="4"/>
  <c r="K156" i="4"/>
  <c r="K155" i="4"/>
  <c r="K154" i="4"/>
  <c r="K153" i="4"/>
  <c r="K152" i="4"/>
  <c r="K151" i="4"/>
  <c r="K150" i="4"/>
  <c r="K149" i="4"/>
  <c r="K148" i="4"/>
  <c r="K147" i="4"/>
  <c r="K146" i="4"/>
  <c r="K145" i="4"/>
  <c r="K144" i="4"/>
  <c r="K143" i="4"/>
  <c r="K142" i="4"/>
  <c r="K141" i="4"/>
  <c r="K140" i="4"/>
  <c r="K139" i="4"/>
  <c r="K138" i="4"/>
  <c r="K137" i="4"/>
  <c r="K136" i="4"/>
  <c r="K135" i="4"/>
  <c r="K134" i="4"/>
  <c r="K133" i="4"/>
  <c r="K132" i="4"/>
  <c r="K131" i="4"/>
  <c r="K130" i="4"/>
  <c r="K129" i="4"/>
  <c r="K128" i="4"/>
  <c r="K127" i="4"/>
  <c r="K126" i="4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AF739" i="1" l="1"/>
  <c r="AF747" i="1"/>
  <c r="AF727" i="1"/>
  <c r="AF755" i="1"/>
  <c r="AF743" i="1"/>
  <c r="AF751" i="1"/>
  <c r="AF759" i="1"/>
  <c r="AF767" i="1"/>
  <c r="AF762" i="1"/>
  <c r="AF791" i="1"/>
  <c r="AF781" i="1"/>
  <c r="AF792" i="1"/>
  <c r="AF794" i="1"/>
  <c r="AF783" i="1"/>
  <c r="AF744" i="1"/>
  <c r="AF752" i="1"/>
  <c r="AF760" i="1"/>
  <c r="AF801" i="1"/>
  <c r="AF793" i="1"/>
  <c r="AF763" i="1"/>
  <c r="AF771" i="1"/>
  <c r="AF729" i="1"/>
  <c r="AF737" i="1"/>
  <c r="AF741" i="1"/>
  <c r="AF749" i="1"/>
  <c r="AF757" i="1"/>
  <c r="AF765" i="1"/>
  <c r="AF773" i="1"/>
  <c r="AF795" i="1"/>
  <c r="AF797" i="1"/>
  <c r="AF768" i="1"/>
  <c r="AF776" i="1"/>
  <c r="AF796" i="1"/>
  <c r="AF779" i="1"/>
  <c r="AF742" i="1"/>
  <c r="AF750" i="1"/>
  <c r="AF758" i="1"/>
  <c r="AF766" i="1"/>
  <c r="AF774" i="1"/>
  <c r="AF782" i="1"/>
  <c r="AF799" i="1"/>
  <c r="AF784" i="1"/>
  <c r="AF740" i="1"/>
  <c r="AF748" i="1"/>
  <c r="AF756" i="1"/>
  <c r="AF764" i="1"/>
  <c r="AF772" i="1"/>
  <c r="AF780" i="1"/>
  <c r="AF731" i="1"/>
  <c r="AF789" i="1"/>
  <c r="AF745" i="1"/>
  <c r="AF753" i="1"/>
  <c r="AF761" i="1"/>
  <c r="AF769" i="1"/>
  <c r="AF777" i="1"/>
  <c r="AF746" i="1"/>
  <c r="AF754" i="1"/>
  <c r="AF770" i="1"/>
  <c r="AF798" i="1"/>
  <c r="AF707" i="1"/>
  <c r="AF711" i="1"/>
  <c r="AF719" i="1"/>
  <c r="AF705" i="1"/>
  <c r="AF713" i="1"/>
  <c r="AF721" i="1"/>
  <c r="AF715" i="1"/>
  <c r="AF723" i="1"/>
  <c r="AF702" i="1"/>
  <c r="AF709" i="1"/>
  <c r="AF717" i="1"/>
  <c r="AF725" i="1"/>
  <c r="AF733" i="1"/>
  <c r="AF735" i="1"/>
  <c r="AF693" i="1"/>
  <c r="AF790" i="1"/>
  <c r="AF706" i="1"/>
  <c r="AF714" i="1"/>
  <c r="AF722" i="1"/>
  <c r="AF730" i="1"/>
  <c r="AF738" i="1"/>
  <c r="AF692" i="1"/>
  <c r="AF716" i="1"/>
  <c r="AF724" i="1"/>
  <c r="AF732" i="1"/>
  <c r="AF710" i="1"/>
  <c r="AF718" i="1"/>
  <c r="AF726" i="1"/>
  <c r="AF734" i="1"/>
  <c r="AF704" i="1"/>
  <c r="AF712" i="1"/>
  <c r="AF720" i="1"/>
  <c r="AF728" i="1"/>
  <c r="AF736" i="1"/>
  <c r="AF708" i="1"/>
  <c r="AF699" i="1"/>
  <c r="AF703" i="1"/>
  <c r="AF697" i="1"/>
  <c r="AF698" i="1"/>
  <c r="AF685" i="1"/>
  <c r="AF684" i="1"/>
  <c r="AF683" i="1"/>
  <c r="AF678" i="1"/>
  <c r="AZ431" i="1"/>
  <c r="AF694" i="1"/>
  <c r="AF695" i="1"/>
  <c r="AP685" i="1"/>
  <c r="AF686" i="1"/>
  <c r="AK694" i="1"/>
  <c r="AP699" i="1"/>
  <c r="AF671" i="1"/>
  <c r="AF679" i="1"/>
  <c r="AF687" i="1"/>
  <c r="AP692" i="1"/>
  <c r="AF688" i="1"/>
  <c r="AF677" i="1"/>
  <c r="AP693" i="1"/>
  <c r="AF696" i="1"/>
  <c r="AP679" i="1"/>
  <c r="AP677" i="1"/>
  <c r="AK679" i="1"/>
  <c r="AP686" i="1"/>
  <c r="AZ685" i="1"/>
  <c r="AU224" i="1"/>
  <c r="AZ682" i="1"/>
  <c r="AU671" i="1"/>
  <c r="AU691" i="1"/>
  <c r="AZ681" i="1"/>
  <c r="AU681" i="1"/>
  <c r="AZ674" i="1"/>
  <c r="AZ679" i="1"/>
  <c r="AZ677" i="1"/>
  <c r="AZ672" i="1"/>
  <c r="AU687" i="1"/>
  <c r="AZ397" i="1"/>
  <c r="AP446" i="1"/>
  <c r="AP454" i="1"/>
  <c r="AK687" i="1"/>
  <c r="AP427" i="1"/>
  <c r="AP609" i="1"/>
  <c r="AP632" i="1"/>
  <c r="AK678" i="1"/>
  <c r="AK689" i="1"/>
  <c r="AP689" i="1"/>
  <c r="AP678" i="1"/>
  <c r="AK684" i="1"/>
  <c r="AP144" i="1"/>
  <c r="AP194" i="1"/>
  <c r="AP687" i="1"/>
  <c r="AU701" i="1"/>
  <c r="AU697" i="1"/>
  <c r="AU702" i="1"/>
  <c r="AU698" i="1"/>
  <c r="AU678" i="1"/>
  <c r="AU686" i="1"/>
  <c r="AK700" i="1"/>
  <c r="AK696" i="1"/>
  <c r="AP700" i="1"/>
  <c r="AP696" i="1"/>
  <c r="AP701" i="1"/>
  <c r="AP697" i="1"/>
  <c r="AP702" i="1"/>
  <c r="AP698" i="1"/>
  <c r="AU700" i="1"/>
  <c r="AU696" i="1"/>
  <c r="AZ673" i="1"/>
  <c r="AZ680" i="1"/>
  <c r="AF672" i="1"/>
  <c r="AF680" i="1"/>
  <c r="AK702" i="1"/>
  <c r="AK698" i="1"/>
  <c r="AK680" i="1"/>
  <c r="AK699" i="1"/>
  <c r="AP346" i="1"/>
  <c r="AP680" i="1"/>
  <c r="AU684" i="1"/>
  <c r="AU703" i="1"/>
  <c r="AU689" i="1"/>
  <c r="AZ684" i="1"/>
  <c r="AZ678" i="1"/>
  <c r="AZ665" i="1"/>
  <c r="AF673" i="1"/>
  <c r="AF681" i="1"/>
  <c r="AF689" i="1"/>
  <c r="AK682" i="1"/>
  <c r="AP283" i="1"/>
  <c r="AK691" i="1"/>
  <c r="AP684" i="1"/>
  <c r="AU152" i="1"/>
  <c r="AU688" i="1"/>
  <c r="AU680" i="1"/>
  <c r="AZ224" i="1"/>
  <c r="AZ675" i="1"/>
  <c r="AF690" i="1"/>
  <c r="AF682" i="1"/>
  <c r="AK701" i="1"/>
  <c r="AK697" i="1"/>
  <c r="AK690" i="1"/>
  <c r="AP688" i="1"/>
  <c r="AP682" i="1"/>
  <c r="AF691" i="1"/>
  <c r="AK683" i="1"/>
  <c r="AK681" i="1"/>
  <c r="AP690" i="1"/>
  <c r="AP539" i="1"/>
  <c r="AP683" i="1"/>
  <c r="AP681" i="1"/>
  <c r="AZ474" i="1"/>
  <c r="AZ683" i="1"/>
  <c r="AP476" i="1"/>
  <c r="AP255" i="1"/>
  <c r="AP695" i="1"/>
  <c r="AU683" i="1"/>
  <c r="AZ671" i="1"/>
  <c r="AF700" i="1"/>
  <c r="AU442" i="1"/>
  <c r="AU472" i="1"/>
  <c r="AU271" i="1"/>
  <c r="AZ190" i="1"/>
  <c r="AZ346" i="1"/>
  <c r="AP504" i="1"/>
  <c r="AP448" i="1"/>
  <c r="AP54" i="1"/>
  <c r="AP613" i="1"/>
  <c r="AP114" i="1"/>
  <c r="AK174" i="1"/>
  <c r="AK183" i="1"/>
  <c r="AP137" i="1"/>
  <c r="AF676" i="1"/>
  <c r="AZ669" i="1"/>
  <c r="AZ154" i="1"/>
  <c r="AU670" i="1"/>
  <c r="AU695" i="1"/>
  <c r="AZ663" i="1"/>
  <c r="AZ688" i="1"/>
  <c r="AK52" i="1"/>
  <c r="AK92" i="1"/>
  <c r="AP60" i="1"/>
  <c r="AP226" i="1"/>
  <c r="AP303" i="1"/>
  <c r="AU361" i="1"/>
  <c r="AZ244" i="1"/>
  <c r="AZ670" i="1"/>
  <c r="AF674" i="1"/>
  <c r="AF701" i="1"/>
  <c r="AU677" i="1"/>
  <c r="AF675" i="1"/>
  <c r="AK671" i="1"/>
  <c r="AU675" i="1"/>
  <c r="AP242" i="1"/>
  <c r="AP675" i="1"/>
  <c r="AU676" i="1"/>
  <c r="AP68" i="1"/>
  <c r="AZ71" i="1"/>
  <c r="AP147" i="1"/>
  <c r="AK308" i="1"/>
  <c r="AP591" i="1"/>
  <c r="AP72" i="1"/>
  <c r="AP357" i="1"/>
  <c r="AP447" i="1"/>
  <c r="AP13" i="1"/>
  <c r="AP307" i="1"/>
  <c r="AU117" i="1"/>
  <c r="AU182" i="1"/>
  <c r="AZ298" i="1"/>
  <c r="AP535" i="1"/>
  <c r="AP373" i="1"/>
  <c r="AP149" i="1"/>
  <c r="AZ15" i="1"/>
  <c r="AZ308" i="1"/>
  <c r="AZ259" i="1"/>
  <c r="AP554" i="1"/>
  <c r="AP37" i="1"/>
  <c r="AK251" i="1"/>
  <c r="AP401" i="1"/>
  <c r="AZ7" i="1"/>
  <c r="AF277" i="1"/>
  <c r="AF293" i="1"/>
  <c r="AF469" i="1"/>
  <c r="AP193" i="1"/>
  <c r="AU64" i="1"/>
  <c r="AP178" i="1"/>
  <c r="AZ18" i="1"/>
  <c r="AP343" i="1"/>
  <c r="AP28" i="1"/>
  <c r="AZ40" i="1"/>
  <c r="AP43" i="1"/>
  <c r="AP594" i="1"/>
  <c r="AP392" i="1"/>
  <c r="AP560" i="1"/>
  <c r="AP659" i="1"/>
  <c r="AP42" i="1"/>
  <c r="AP129" i="1"/>
  <c r="AP317" i="1"/>
  <c r="AU14" i="1"/>
  <c r="AU38" i="1"/>
  <c r="AZ520" i="1"/>
  <c r="AF15" i="1"/>
  <c r="AP80" i="1"/>
  <c r="AP464" i="1"/>
  <c r="AP125" i="1"/>
  <c r="AP235" i="1"/>
  <c r="AP380" i="1"/>
  <c r="AP391" i="1"/>
  <c r="AU12" i="1"/>
  <c r="AZ497" i="1"/>
  <c r="AP600" i="1"/>
  <c r="AP48" i="1"/>
  <c r="AZ167" i="1"/>
  <c r="AP225" i="1"/>
  <c r="AP190" i="1"/>
  <c r="AK260" i="1"/>
  <c r="AP203" i="1"/>
  <c r="AZ59" i="1"/>
  <c r="AF357" i="1"/>
  <c r="AF429" i="1"/>
  <c r="AP66" i="1"/>
  <c r="AP100" i="1"/>
  <c r="AZ260" i="1"/>
  <c r="AK51" i="1"/>
  <c r="AK85" i="1"/>
  <c r="AP75" i="1"/>
  <c r="AP309" i="1"/>
  <c r="AP123" i="1"/>
  <c r="AP240" i="1"/>
  <c r="AZ254" i="1"/>
  <c r="AK146" i="1"/>
  <c r="AP275" i="1"/>
  <c r="AP388" i="1"/>
  <c r="AP395" i="1"/>
  <c r="AU247" i="1"/>
  <c r="AZ47" i="1"/>
  <c r="AK47" i="1"/>
  <c r="AP413" i="1"/>
  <c r="AP127" i="1"/>
  <c r="AP151" i="1"/>
  <c r="AK40" i="1"/>
  <c r="AP98" i="1"/>
  <c r="AF179" i="1"/>
  <c r="AF219" i="1"/>
  <c r="AF243" i="1"/>
  <c r="AF259" i="1"/>
  <c r="AP34" i="1"/>
  <c r="AP53" i="1"/>
  <c r="AF77" i="1"/>
  <c r="AF101" i="1"/>
  <c r="AK367" i="1"/>
  <c r="AK417" i="1"/>
  <c r="AP50" i="1"/>
  <c r="AP120" i="1"/>
  <c r="AP107" i="1"/>
  <c r="AP322" i="1"/>
  <c r="AP141" i="1"/>
  <c r="AP254" i="1"/>
  <c r="AP244" i="1"/>
  <c r="AP414" i="1"/>
  <c r="AP38" i="1"/>
  <c r="AP273" i="1"/>
  <c r="AP132" i="1"/>
  <c r="AZ11" i="1"/>
  <c r="AF9" i="1"/>
  <c r="AP628" i="1"/>
  <c r="AP40" i="1"/>
  <c r="AP529" i="1"/>
  <c r="AK204" i="1"/>
  <c r="AP103" i="1"/>
  <c r="AP253" i="1"/>
  <c r="AP241" i="1"/>
  <c r="AP637" i="1"/>
  <c r="AP358" i="1"/>
  <c r="AZ6" i="1"/>
  <c r="AP569" i="1"/>
  <c r="AP354" i="1"/>
  <c r="AP295" i="1"/>
  <c r="AP47" i="1"/>
  <c r="AP189" i="1"/>
  <c r="AP67" i="1"/>
  <c r="AP526" i="1"/>
  <c r="AU19" i="1"/>
  <c r="AZ38" i="1"/>
  <c r="AZ10" i="1"/>
  <c r="AP665" i="1"/>
  <c r="AP219" i="1"/>
  <c r="AP626" i="1"/>
  <c r="AP191" i="1"/>
  <c r="AP452" i="1"/>
  <c r="AU77" i="1"/>
  <c r="AK37" i="1"/>
  <c r="AK62" i="1"/>
  <c r="AP664" i="1"/>
  <c r="AP140" i="1"/>
  <c r="AP174" i="1"/>
  <c r="AP319" i="1"/>
  <c r="AP164" i="1"/>
  <c r="AP179" i="1"/>
  <c r="AP160" i="1"/>
  <c r="AP483" i="1"/>
  <c r="AP308" i="1"/>
  <c r="AF10" i="1"/>
  <c r="AF11" i="1"/>
  <c r="AK179" i="1"/>
  <c r="AP206" i="1"/>
  <c r="AP86" i="1"/>
  <c r="AP341" i="1"/>
  <c r="AP355" i="1"/>
  <c r="AZ16" i="1"/>
  <c r="AZ17" i="1"/>
  <c r="AZ4" i="1"/>
  <c r="AZ9" i="1"/>
  <c r="AF45" i="1"/>
  <c r="AF93" i="1"/>
  <c r="AF109" i="1"/>
  <c r="AF333" i="1"/>
  <c r="AF365" i="1"/>
  <c r="AF437" i="1"/>
  <c r="AF485" i="1"/>
  <c r="AU222" i="1"/>
  <c r="AU669" i="1"/>
  <c r="AZ662" i="1"/>
  <c r="AZ145" i="1"/>
  <c r="AF107" i="1"/>
  <c r="AU430" i="1"/>
  <c r="AZ659" i="1"/>
  <c r="AU25" i="1"/>
  <c r="AU251" i="1"/>
  <c r="AZ215" i="1"/>
  <c r="AZ181" i="1"/>
  <c r="AU84" i="1"/>
  <c r="AZ199" i="1"/>
  <c r="AU215" i="1"/>
  <c r="AU497" i="1"/>
  <c r="AU53" i="1"/>
  <c r="AU520" i="1"/>
  <c r="AU338" i="1"/>
  <c r="AZ182" i="1"/>
  <c r="AU164" i="1"/>
  <c r="AU125" i="1"/>
  <c r="AZ85" i="1"/>
  <c r="AZ64" i="1"/>
  <c r="AZ325" i="1"/>
  <c r="AU197" i="1"/>
  <c r="AZ430" i="1"/>
  <c r="AZ117" i="1"/>
  <c r="AZ197" i="1"/>
  <c r="AZ247" i="1"/>
  <c r="AU181" i="1"/>
  <c r="AZ52" i="1"/>
  <c r="AZ146" i="1"/>
  <c r="AU40" i="1"/>
  <c r="AU535" i="1"/>
  <c r="AU308" i="1"/>
  <c r="AU367" i="1"/>
  <c r="AZ31" i="1"/>
  <c r="AZ125" i="1"/>
  <c r="AU325" i="1"/>
  <c r="AZ153" i="1"/>
  <c r="AZ217" i="1"/>
  <c r="AZ88" i="1"/>
  <c r="AU145" i="1"/>
  <c r="AZ26" i="1"/>
  <c r="AZ251" i="1"/>
  <c r="AU144" i="1"/>
  <c r="AZ245" i="1"/>
  <c r="AZ152" i="1"/>
  <c r="AZ183" i="1"/>
  <c r="AU369" i="1"/>
  <c r="AZ535" i="1"/>
  <c r="AZ53" i="1"/>
  <c r="AZ162" i="1"/>
  <c r="AU422" i="1"/>
  <c r="AU72" i="1"/>
  <c r="AU122" i="1"/>
  <c r="AU174" i="1"/>
  <c r="AU431" i="1"/>
  <c r="AU244" i="1"/>
  <c r="AZ204" i="1"/>
  <c r="AZ417" i="1"/>
  <c r="AU179" i="1"/>
  <c r="AU254" i="1"/>
  <c r="AZ144" i="1"/>
  <c r="AU397" i="1"/>
  <c r="AU212" i="1"/>
  <c r="AZ72" i="1"/>
  <c r="AZ97" i="1"/>
  <c r="AZ122" i="1"/>
  <c r="AZ290" i="1"/>
  <c r="AZ174" i="1"/>
  <c r="AZ73" i="1"/>
  <c r="AU52" i="1"/>
  <c r="AU245" i="1"/>
  <c r="AU146" i="1"/>
  <c r="AU258" i="1"/>
  <c r="AZ57" i="1"/>
  <c r="AZ134" i="1"/>
  <c r="AU44" i="1"/>
  <c r="AU51" i="1"/>
  <c r="AU330" i="1"/>
  <c r="AU204" i="1"/>
  <c r="AZ222" i="1"/>
  <c r="AU417" i="1"/>
  <c r="AZ24" i="1"/>
  <c r="AZ107" i="1"/>
  <c r="AU186" i="1"/>
  <c r="AU33" i="1"/>
  <c r="AU88" i="1"/>
  <c r="AZ27" i="1"/>
  <c r="AZ271" i="1"/>
  <c r="AZ369" i="1"/>
  <c r="AZ258" i="1"/>
  <c r="AU346" i="1"/>
  <c r="AU183" i="1"/>
  <c r="AZ422" i="1"/>
  <c r="AZ565" i="1"/>
  <c r="AZ395" i="1"/>
  <c r="AU16" i="1"/>
  <c r="AP9" i="1"/>
  <c r="AP5" i="1"/>
  <c r="AZ115" i="1"/>
  <c r="AF661" i="1"/>
  <c r="AP12" i="1"/>
  <c r="AU13" i="1"/>
  <c r="AU5" i="1"/>
  <c r="AZ133" i="1"/>
  <c r="AU18" i="1"/>
  <c r="AZ62" i="1"/>
  <c r="AU54" i="1"/>
  <c r="AU350" i="1"/>
  <c r="AU213" i="1"/>
  <c r="AU242" i="1"/>
  <c r="AU9" i="1"/>
  <c r="AU28" i="1"/>
  <c r="AU272" i="1"/>
  <c r="AU155" i="1"/>
  <c r="AZ114" i="1"/>
  <c r="AZ263" i="1"/>
  <c r="AZ498" i="1"/>
  <c r="AU463" i="1"/>
  <c r="AF29" i="1"/>
  <c r="AF61" i="1"/>
  <c r="AF229" i="1"/>
  <c r="AF245" i="1"/>
  <c r="AF261" i="1"/>
  <c r="AF325" i="1"/>
  <c r="AF660" i="1"/>
  <c r="AK369" i="1"/>
  <c r="AP49" i="1"/>
  <c r="AP93" i="1"/>
  <c r="AP88" i="1"/>
  <c r="AP186" i="1"/>
  <c r="AP378" i="1"/>
  <c r="AP540" i="1"/>
  <c r="AP256" i="1"/>
  <c r="AP438" i="1"/>
  <c r="AU96" i="1"/>
  <c r="AU162" i="1"/>
  <c r="AU195" i="1"/>
  <c r="AZ104" i="1"/>
  <c r="AK190" i="1"/>
  <c r="AU27" i="1"/>
  <c r="AU154" i="1"/>
  <c r="AK88" i="1"/>
  <c r="AP340" i="1"/>
  <c r="AP407" i="1"/>
  <c r="AU10" i="1"/>
  <c r="AU565" i="1"/>
  <c r="AU203" i="1"/>
  <c r="AU109" i="1"/>
  <c r="AZ305" i="1"/>
  <c r="AZ84" i="1"/>
  <c r="AZ361" i="1"/>
  <c r="AZ287" i="1"/>
  <c r="AZ387" i="1"/>
  <c r="AF43" i="1"/>
  <c r="AF51" i="1"/>
  <c r="AF115" i="1"/>
  <c r="AF131" i="1"/>
  <c r="AF139" i="1"/>
  <c r="AF155" i="1"/>
  <c r="AF171" i="1"/>
  <c r="AF211" i="1"/>
  <c r="AF235" i="1"/>
  <c r="AF251" i="1"/>
  <c r="AF267" i="1"/>
  <c r="AF275" i="1"/>
  <c r="AU661" i="1"/>
  <c r="AU104" i="1"/>
  <c r="AU97" i="1"/>
  <c r="AU106" i="1"/>
  <c r="AU290" i="1"/>
  <c r="AU115" i="1"/>
  <c r="AU73" i="1"/>
  <c r="AU395" i="1"/>
  <c r="AU494" i="1"/>
  <c r="AZ92" i="1"/>
  <c r="AZ460" i="1"/>
  <c r="AZ231" i="1"/>
  <c r="AZ376" i="1"/>
  <c r="AZ504" i="1"/>
  <c r="AK497" i="1"/>
  <c r="AP345" i="1"/>
  <c r="AP85" i="1"/>
  <c r="AP183" i="1"/>
  <c r="AU199" i="1"/>
  <c r="AF21" i="1"/>
  <c r="AF37" i="1"/>
  <c r="AF53" i="1"/>
  <c r="AF69" i="1"/>
  <c r="AF85" i="1"/>
  <c r="AF237" i="1"/>
  <c r="AF253" i="1"/>
  <c r="AF269" i="1"/>
  <c r="AF285" i="1"/>
  <c r="AF301" i="1"/>
  <c r="AF309" i="1"/>
  <c r="AF317" i="1"/>
  <c r="AF341" i="1"/>
  <c r="AF373" i="1"/>
  <c r="AF381" i="1"/>
  <c r="AF389" i="1"/>
  <c r="AF405" i="1"/>
  <c r="AF413" i="1"/>
  <c r="AF421" i="1"/>
  <c r="AF445" i="1"/>
  <c r="AF453" i="1"/>
  <c r="AF461" i="1"/>
  <c r="AF493" i="1"/>
  <c r="AF501" i="1"/>
  <c r="AF509" i="1"/>
  <c r="AF525" i="1"/>
  <c r="AF533" i="1"/>
  <c r="AF557" i="1"/>
  <c r="AP402" i="1"/>
  <c r="AU134" i="1"/>
  <c r="AU328" i="1"/>
  <c r="AU202" i="1"/>
  <c r="AU298" i="1"/>
  <c r="AZ25" i="1"/>
  <c r="AK104" i="1"/>
  <c r="AK198" i="1"/>
  <c r="AK259" i="1"/>
  <c r="AK153" i="1"/>
  <c r="AK122" i="1"/>
  <c r="AK39" i="1"/>
  <c r="AK38" i="1"/>
  <c r="AK125" i="1"/>
  <c r="AK442" i="1"/>
  <c r="AP162" i="1"/>
  <c r="AP497" i="1"/>
  <c r="AP55" i="1"/>
  <c r="AP601" i="1"/>
  <c r="AP31" i="1"/>
  <c r="AP251" i="1"/>
  <c r="AP110" i="1"/>
  <c r="AP77" i="1"/>
  <c r="AP350" i="1"/>
  <c r="AK107" i="1"/>
  <c r="AP282" i="1"/>
  <c r="AP117" i="1"/>
  <c r="AP33" i="1"/>
  <c r="AP210" i="1"/>
  <c r="AP64" i="1"/>
  <c r="AP589" i="1"/>
  <c r="AP166" i="1"/>
  <c r="AP279" i="1"/>
  <c r="AP524" i="1"/>
  <c r="AP26" i="1"/>
  <c r="AK17" i="1"/>
  <c r="AP472" i="1"/>
  <c r="AP517" i="1"/>
  <c r="AP536" i="1"/>
  <c r="AP522" i="1"/>
  <c r="AP566" i="1"/>
  <c r="AP14" i="1"/>
  <c r="AP30" i="1"/>
  <c r="AP268" i="1"/>
  <c r="AP78" i="1"/>
  <c r="AP394" i="1"/>
  <c r="AK258" i="1"/>
  <c r="AK97" i="1"/>
  <c r="AK397" i="1"/>
  <c r="AK27" i="1"/>
  <c r="AK182" i="1"/>
  <c r="AK144" i="1"/>
  <c r="AP667" i="1"/>
  <c r="AP89" i="1"/>
  <c r="AP365" i="1"/>
  <c r="AK25" i="1"/>
  <c r="AK64" i="1"/>
  <c r="AP272" i="1"/>
  <c r="AP173" i="1"/>
  <c r="AK217" i="1"/>
  <c r="AK254" i="1"/>
  <c r="AP281" i="1"/>
  <c r="AP63" i="1"/>
  <c r="AP329" i="1"/>
  <c r="AK224" i="1"/>
  <c r="AP635" i="1"/>
  <c r="AP426" i="1"/>
  <c r="AP214" i="1"/>
  <c r="AK657" i="1"/>
  <c r="AP430" i="1"/>
  <c r="AP126" i="1"/>
  <c r="AK26" i="1"/>
  <c r="AK20" i="1"/>
  <c r="AP442" i="1"/>
  <c r="AP238" i="1"/>
  <c r="AP260" i="1"/>
  <c r="AP39" i="1"/>
  <c r="AP36" i="1"/>
  <c r="AP41" i="1"/>
  <c r="AP57" i="1"/>
  <c r="AP263" i="1"/>
  <c r="AP168" i="1"/>
  <c r="AP218" i="1"/>
  <c r="AP196" i="1"/>
  <c r="AP326" i="1"/>
  <c r="AK215" i="1"/>
  <c r="AK186" i="1"/>
  <c r="AP432" i="1"/>
  <c r="AP113" i="1"/>
  <c r="AP274" i="1"/>
  <c r="AP393" i="1"/>
  <c r="AP563" i="1"/>
  <c r="AK325" i="1"/>
  <c r="AK126" i="1"/>
  <c r="AK73" i="1"/>
  <c r="AK498" i="1"/>
  <c r="AP247" i="1"/>
  <c r="AP264" i="1"/>
  <c r="AP465" i="1"/>
  <c r="AP498" i="1"/>
  <c r="AP612" i="1"/>
  <c r="AK133" i="1"/>
  <c r="AK199" i="1"/>
  <c r="AK431" i="1"/>
  <c r="AP434" i="1"/>
  <c r="AP131" i="1"/>
  <c r="AP390" i="1"/>
  <c r="AP424" i="1"/>
  <c r="AK71" i="1"/>
  <c r="AK202" i="1"/>
  <c r="AP106" i="1"/>
  <c r="AP467" i="1"/>
  <c r="AP204" i="1"/>
  <c r="AK162" i="1"/>
  <c r="AK167" i="1"/>
  <c r="AP177" i="1"/>
  <c r="AP222" i="1"/>
  <c r="AP422" i="1"/>
  <c r="AK268" i="1"/>
  <c r="AP96" i="1"/>
  <c r="AP118" i="1"/>
  <c r="AP155" i="1"/>
  <c r="AP232" i="1"/>
  <c r="AP115" i="1"/>
  <c r="AP236" i="1"/>
  <c r="AP250" i="1"/>
  <c r="AP418" i="1"/>
  <c r="AK298" i="1"/>
  <c r="AP342" i="1"/>
  <c r="AP217" i="1"/>
  <c r="AP135" i="1"/>
  <c r="AK72" i="1"/>
  <c r="AP32" i="1"/>
  <c r="AP167" i="1"/>
  <c r="AP234" i="1"/>
  <c r="AP425" i="1"/>
  <c r="AK134" i="1"/>
  <c r="AK244" i="1"/>
  <c r="AK181" i="1"/>
  <c r="AP187" i="1"/>
  <c r="AP97" i="1"/>
  <c r="AP481" i="1"/>
  <c r="AP663" i="1"/>
  <c r="AP312" i="1"/>
  <c r="AP51" i="1"/>
  <c r="AP555" i="1"/>
  <c r="AK271" i="1"/>
  <c r="AK117" i="1"/>
  <c r="AK222" i="1"/>
  <c r="AK164" i="1"/>
  <c r="AP553" i="1"/>
  <c r="AP223" i="1"/>
  <c r="AP70" i="1"/>
  <c r="AP199" i="1"/>
  <c r="AP128" i="1"/>
  <c r="AP299" i="1"/>
  <c r="AK110" i="1"/>
  <c r="AK16" i="1"/>
  <c r="AP104" i="1"/>
  <c r="AP195" i="1"/>
  <c r="AP290" i="1"/>
  <c r="AP325" i="1"/>
  <c r="AK42" i="1"/>
  <c r="AK106" i="1"/>
  <c r="AK290" i="1"/>
  <c r="AK115" i="1"/>
  <c r="AP647" i="1"/>
  <c r="AP108" i="1"/>
  <c r="AP101" i="1"/>
  <c r="AP276" i="1"/>
  <c r="AP116" i="1"/>
  <c r="AP148" i="1"/>
  <c r="AP198" i="1"/>
  <c r="AP494" i="1"/>
  <c r="AK535" i="1"/>
  <c r="AP112" i="1"/>
  <c r="AP228" i="1"/>
  <c r="AK148" i="1"/>
  <c r="AP501" i="1"/>
  <c r="AP471" i="1"/>
  <c r="AK18" i="1"/>
  <c r="AK145" i="1"/>
  <c r="AK84" i="1"/>
  <c r="AK477" i="1"/>
  <c r="AP288" i="1"/>
  <c r="AP239" i="1"/>
  <c r="AP35" i="1"/>
  <c r="AP121" i="1"/>
  <c r="AP99" i="1"/>
  <c r="AP318" i="1"/>
  <c r="AP139" i="1"/>
  <c r="AP27" i="1"/>
  <c r="AP351" i="1"/>
  <c r="AP582" i="1"/>
  <c r="AP473" i="1"/>
  <c r="AP512" i="1"/>
  <c r="AP542" i="1"/>
  <c r="AP453" i="1"/>
  <c r="AP651" i="1"/>
  <c r="AK59" i="1"/>
  <c r="AK231" i="1"/>
  <c r="AK361" i="1"/>
  <c r="AK443" i="1"/>
  <c r="AK315" i="1"/>
  <c r="AP455" i="1"/>
  <c r="AP56" i="1"/>
  <c r="AP249" i="1"/>
  <c r="AP150" i="1"/>
  <c r="AP202" i="1"/>
  <c r="AP511" i="1"/>
  <c r="AP215" i="1"/>
  <c r="AP462" i="1"/>
  <c r="AK422" i="1"/>
  <c r="AP52" i="1"/>
  <c r="AP245" i="1"/>
  <c r="AK565" i="1"/>
  <c r="AP516" i="1"/>
  <c r="AK672" i="1"/>
  <c r="AP233" i="1"/>
  <c r="AP532" i="1"/>
  <c r="AP379" i="1"/>
  <c r="AP243" i="1"/>
  <c r="AP145" i="1"/>
  <c r="AP320" i="1"/>
  <c r="AK655" i="1"/>
  <c r="AP76" i="1"/>
  <c r="AP92" i="1"/>
  <c r="AP81" i="1"/>
  <c r="AP119" i="1"/>
  <c r="AP159" i="1"/>
  <c r="AP185" i="1"/>
  <c r="AP399" i="1"/>
  <c r="AP408" i="1"/>
  <c r="AP182" i="1"/>
  <c r="AP224" i="1"/>
  <c r="AP8" i="1"/>
  <c r="AP95" i="1"/>
  <c r="AP546" i="1"/>
  <c r="AK31" i="1"/>
  <c r="AK53" i="1"/>
  <c r="AP420" i="1"/>
  <c r="AP328" i="1"/>
  <c r="AP44" i="1"/>
  <c r="AP138" i="1"/>
  <c r="AP289" i="1"/>
  <c r="AP332" i="1"/>
  <c r="AP146" i="1"/>
  <c r="AP302" i="1"/>
  <c r="AP73" i="1"/>
  <c r="AP258" i="1"/>
  <c r="AP216" i="1"/>
  <c r="AP252" i="1"/>
  <c r="AP293" i="1"/>
  <c r="AP382" i="1"/>
  <c r="AP458" i="1"/>
  <c r="AP403" i="1"/>
  <c r="AP466" i="1"/>
  <c r="AP474" i="1"/>
  <c r="AP634" i="1"/>
  <c r="AF16" i="1"/>
  <c r="AK209" i="1"/>
  <c r="AK238" i="1"/>
  <c r="AK337" i="1"/>
  <c r="AK669" i="1"/>
  <c r="AP271" i="1"/>
  <c r="AK673" i="1"/>
  <c r="AP62" i="1"/>
  <c r="AP334" i="1"/>
  <c r="AP221" i="1"/>
  <c r="AP213" i="1"/>
  <c r="AP102" i="1"/>
  <c r="AP208" i="1"/>
  <c r="AP230" i="1"/>
  <c r="AP674" i="1"/>
  <c r="AP91" i="1"/>
  <c r="AP161" i="1"/>
  <c r="AP45" i="1"/>
  <c r="AP261" i="1"/>
  <c r="AP220" i="1"/>
  <c r="AP545" i="1"/>
  <c r="AP400" i="1"/>
  <c r="AP296" i="1"/>
  <c r="AP278" i="1"/>
  <c r="AP311" i="1"/>
  <c r="AP175" i="1"/>
  <c r="AP384" i="1"/>
  <c r="AP633" i="1"/>
  <c r="AP459" i="1"/>
  <c r="AP59" i="1"/>
  <c r="AP313" i="1"/>
  <c r="AP381" i="1"/>
  <c r="AP491" i="1"/>
  <c r="AP486" i="1"/>
  <c r="AP200" i="1"/>
  <c r="AP643" i="1"/>
  <c r="AP197" i="1"/>
  <c r="AP534" i="1"/>
  <c r="AP376" i="1"/>
  <c r="AP531" i="1"/>
  <c r="AP579" i="1"/>
  <c r="AP404" i="1"/>
  <c r="AP597" i="1"/>
  <c r="AP444" i="1"/>
  <c r="AP572" i="1"/>
  <c r="AP544" i="1"/>
  <c r="AP658" i="1"/>
  <c r="AP622" i="1"/>
  <c r="AP584" i="1"/>
  <c r="AP662" i="1"/>
  <c r="AP521" i="1"/>
  <c r="AP592" i="1"/>
  <c r="AU231" i="1"/>
  <c r="AU169" i="1"/>
  <c r="AU376" i="1"/>
  <c r="AU287" i="1"/>
  <c r="AU387" i="1"/>
  <c r="AZ285" i="1"/>
  <c r="AZ328" i="1"/>
  <c r="AZ5" i="1"/>
  <c r="AK229" i="1"/>
  <c r="AK656" i="1"/>
  <c r="AP16" i="1"/>
  <c r="AP29" i="1"/>
  <c r="AP58" i="1"/>
  <c r="AP207" i="1"/>
  <c r="AP153" i="1"/>
  <c r="AP416" i="1"/>
  <c r="AP570" i="1"/>
  <c r="AP246" i="1"/>
  <c r="AP421" i="1"/>
  <c r="AP314" i="1"/>
  <c r="AP94" i="1"/>
  <c r="AP259" i="1"/>
  <c r="AP411" i="1"/>
  <c r="AP356" i="1"/>
  <c r="AP205" i="1"/>
  <c r="AP415" i="1"/>
  <c r="AP297" i="1"/>
  <c r="AP323" i="1"/>
  <c r="AP508" i="1"/>
  <c r="AP443" i="1"/>
  <c r="AP502" i="1"/>
  <c r="AP649" i="1"/>
  <c r="AP571" i="1"/>
  <c r="AP588" i="1"/>
  <c r="AP257" i="1"/>
  <c r="AP583" i="1"/>
  <c r="AP506" i="1"/>
  <c r="AP321" i="1"/>
  <c r="AP575" i="1"/>
  <c r="AP557" i="1"/>
  <c r="AP650" i="1"/>
  <c r="AP538" i="1"/>
  <c r="AP605" i="1"/>
  <c r="AP484" i="1"/>
  <c r="AP169" i="1"/>
  <c r="AP593" i="1"/>
  <c r="AP625" i="1"/>
  <c r="AP670" i="1"/>
  <c r="AP509" i="1"/>
  <c r="AP623" i="1"/>
  <c r="AP669" i="1"/>
  <c r="AP638" i="1"/>
  <c r="AP490" i="1"/>
  <c r="AP653" i="1"/>
  <c r="AP581" i="1"/>
  <c r="AU674" i="1"/>
  <c r="AU396" i="1"/>
  <c r="AZ280" i="1"/>
  <c r="AK91" i="1"/>
  <c r="AK360" i="1"/>
  <c r="AK280" i="1"/>
  <c r="AK9" i="1"/>
  <c r="AP294" i="1"/>
  <c r="AP65" i="1"/>
  <c r="AP435" i="1"/>
  <c r="AP165" i="1"/>
  <c r="AP648" i="1"/>
  <c r="AP82" i="1"/>
  <c r="AP603" i="1"/>
  <c r="AP227" i="1"/>
  <c r="AP523" i="1"/>
  <c r="AP333" i="1"/>
  <c r="AP468" i="1"/>
  <c r="AP188" i="1"/>
  <c r="AP304" i="1"/>
  <c r="AP657" i="1"/>
  <c r="AP352" i="1"/>
  <c r="AP172" i="1"/>
  <c r="AP124" i="1"/>
  <c r="AP618" i="1"/>
  <c r="AP440" i="1"/>
  <c r="AP460" i="1"/>
  <c r="AP500" i="1"/>
  <c r="AP353" i="1"/>
  <c r="AP574" i="1"/>
  <c r="AP552" i="1"/>
  <c r="AP456" i="1"/>
  <c r="AP567" i="1"/>
  <c r="AP578" i="1"/>
  <c r="AP487" i="1"/>
  <c r="AP362" i="1"/>
  <c r="AP450" i="1"/>
  <c r="AP423" i="1"/>
  <c r="AP642" i="1"/>
  <c r="AP298" i="1"/>
  <c r="AP549" i="1"/>
  <c r="AP585" i="1"/>
  <c r="AP617" i="1"/>
  <c r="AP510" i="1"/>
  <c r="AU229" i="1"/>
  <c r="AZ313" i="1"/>
  <c r="AZ314" i="1"/>
  <c r="AZ278" i="1"/>
  <c r="AZ396" i="1"/>
  <c r="AZ664" i="1"/>
  <c r="AZ2" i="1"/>
  <c r="AF27" i="1"/>
  <c r="AF59" i="1"/>
  <c r="AF75" i="1"/>
  <c r="AF99" i="1"/>
  <c r="AF147" i="1"/>
  <c r="AF163" i="1"/>
  <c r="AF203" i="1"/>
  <c r="AF283" i="1"/>
  <c r="AF299" i="1"/>
  <c r="AF315" i="1"/>
  <c r="AF323" i="1"/>
  <c r="AK143" i="1"/>
  <c r="AK287" i="1"/>
  <c r="AP364" i="1"/>
  <c r="AP156" i="1"/>
  <c r="AP248" i="1"/>
  <c r="AP122" i="1"/>
  <c r="AP69" i="1"/>
  <c r="AP109" i="1"/>
  <c r="AP209" i="1"/>
  <c r="AP457" i="1"/>
  <c r="AP359" i="1"/>
  <c r="AP661" i="1"/>
  <c r="AP507" i="1"/>
  <c r="AP105" i="1"/>
  <c r="AP337" i="1"/>
  <c r="AP280" i="1"/>
  <c r="AP556" i="1"/>
  <c r="AP405" i="1"/>
  <c r="AP71" i="1"/>
  <c r="AP561" i="1"/>
  <c r="AP410" i="1"/>
  <c r="AP604" i="1"/>
  <c r="AP154" i="1"/>
  <c r="AP338" i="1"/>
  <c r="AP573" i="1"/>
  <c r="AP518" i="1"/>
  <c r="AP520" i="1"/>
  <c r="AP596" i="1"/>
  <c r="AP439" i="1"/>
  <c r="AP428" i="1"/>
  <c r="AP377" i="1"/>
  <c r="AP385" i="1"/>
  <c r="AP441" i="1"/>
  <c r="AP503" i="1"/>
  <c r="AP586" i="1"/>
  <c r="AP525" i="1"/>
  <c r="AP485" i="1"/>
  <c r="AP339" i="1"/>
  <c r="AP655" i="1"/>
  <c r="AP324" i="1"/>
  <c r="AP370" i="1"/>
  <c r="AP590" i="1"/>
  <c r="AP477" i="1"/>
  <c r="AP627" i="1"/>
  <c r="AP527" i="1"/>
  <c r="AP587" i="1"/>
  <c r="AU94" i="1"/>
  <c r="AU336" i="1"/>
  <c r="AU260" i="1"/>
  <c r="AU461" i="1"/>
  <c r="AU163" i="1"/>
  <c r="AZ268" i="1"/>
  <c r="AZ169" i="1"/>
  <c r="AZ384" i="1"/>
  <c r="AZ246" i="1"/>
  <c r="AZ666" i="1"/>
  <c r="AZ668" i="1"/>
  <c r="AF19" i="1"/>
  <c r="AF35" i="1"/>
  <c r="AF67" i="1"/>
  <c r="AF83" i="1"/>
  <c r="AF91" i="1"/>
  <c r="AF123" i="1"/>
  <c r="AF187" i="1"/>
  <c r="AF195" i="1"/>
  <c r="AF227" i="1"/>
  <c r="AF291" i="1"/>
  <c r="AF307" i="1"/>
  <c r="AF331" i="1"/>
  <c r="AF20" i="1"/>
  <c r="AF669" i="1"/>
  <c r="AK285" i="1"/>
  <c r="AP611" i="1"/>
  <c r="AP61" i="1"/>
  <c r="AP46" i="1"/>
  <c r="AP130" i="1"/>
  <c r="AP79" i="1"/>
  <c r="AP83" i="1"/>
  <c r="AP87" i="1"/>
  <c r="AP229" i="1"/>
  <c r="AP371" i="1"/>
  <c r="AP184" i="1"/>
  <c r="AP348" i="1"/>
  <c r="AP310" i="1"/>
  <c r="AP330" i="1"/>
  <c r="AP285" i="1"/>
  <c r="AP90" i="1"/>
  <c r="AP417" i="1"/>
  <c r="AP265" i="1"/>
  <c r="AP412" i="1"/>
  <c r="AP136" i="1"/>
  <c r="AP551" i="1"/>
  <c r="AP499" i="1"/>
  <c r="AP368" i="1"/>
  <c r="AP562" i="1"/>
  <c r="AP361" i="1"/>
  <c r="AP488" i="1"/>
  <c r="AP445" i="1"/>
  <c r="AP437" i="1"/>
  <c r="AP475" i="1"/>
  <c r="AP397" i="1"/>
  <c r="AP231" i="1"/>
  <c r="AP431" i="1"/>
  <c r="AP577" i="1"/>
  <c r="AP629" i="1"/>
  <c r="AP568" i="1"/>
  <c r="AP533" i="1"/>
  <c r="AP639" i="1"/>
  <c r="AP608" i="1"/>
  <c r="AP656" i="1"/>
  <c r="AP666" i="1"/>
  <c r="AP654" i="1"/>
  <c r="AP537" i="1"/>
  <c r="AP513" i="1"/>
  <c r="AU91" i="1"/>
  <c r="AU360" i="1"/>
  <c r="AU143" i="1"/>
  <c r="AU477" i="1"/>
  <c r="AU386" i="1"/>
  <c r="AZ330" i="1"/>
  <c r="AZ238" i="1"/>
  <c r="AZ8" i="1"/>
  <c r="AF477" i="1"/>
  <c r="AF517" i="1"/>
  <c r="AF541" i="1"/>
  <c r="AF549" i="1"/>
  <c r="AF670" i="1"/>
  <c r="AK313" i="1"/>
  <c r="AK305" i="1"/>
  <c r="AK528" i="1"/>
  <c r="AK347" i="1"/>
  <c r="AP170" i="1"/>
  <c r="AP133" i="1"/>
  <c r="AP369" i="1"/>
  <c r="AP171" i="1"/>
  <c r="AP157" i="1"/>
  <c r="AP134" i="1"/>
  <c r="AP143" i="1"/>
  <c r="AP375" i="1"/>
  <c r="AP335" i="1"/>
  <c r="AP315" i="1"/>
  <c r="AP668" i="1"/>
  <c r="AP360" i="1"/>
  <c r="AP389" i="1"/>
  <c r="AP331" i="1"/>
  <c r="AP398" i="1"/>
  <c r="AP564" i="1"/>
  <c r="AP541" i="1"/>
  <c r="AP176" i="1"/>
  <c r="AP482" i="1"/>
  <c r="AP419" i="1"/>
  <c r="AP530" i="1"/>
  <c r="AP641" i="1"/>
  <c r="AP602" i="1"/>
  <c r="AP479" i="1"/>
  <c r="AP595" i="1"/>
  <c r="AP528" i="1"/>
  <c r="AP550" i="1"/>
  <c r="AP505" i="1"/>
  <c r="AP576" i="1"/>
  <c r="AP493" i="1"/>
  <c r="AP615" i="1"/>
  <c r="AP387" i="1"/>
  <c r="AP558" i="1"/>
  <c r="AP646" i="1"/>
  <c r="AP606" i="1"/>
  <c r="AP631" i="1"/>
  <c r="AP630" i="1"/>
  <c r="AP470" i="1"/>
  <c r="AP495" i="1"/>
  <c r="AU285" i="1"/>
  <c r="AU337" i="1"/>
  <c r="AZ229" i="1"/>
  <c r="AZ386" i="1"/>
  <c r="AF349" i="1"/>
  <c r="AF397" i="1"/>
  <c r="AK314" i="1"/>
  <c r="AK278" i="1"/>
  <c r="AK368" i="1"/>
  <c r="AP336" i="1"/>
  <c r="AP305" i="1"/>
  <c r="AP111" i="1"/>
  <c r="AP543" i="1"/>
  <c r="AP201" i="1"/>
  <c r="AP142" i="1"/>
  <c r="AP237" i="1"/>
  <c r="AP284" i="1"/>
  <c r="AP327" i="1"/>
  <c r="AP74" i="1"/>
  <c r="AP461" i="1"/>
  <c r="AP652" i="1"/>
  <c r="AP211" i="1"/>
  <c r="AP344" i="1"/>
  <c r="AP192" i="1"/>
  <c r="AP409" i="1"/>
  <c r="AP451" i="1"/>
  <c r="AP347" i="1"/>
  <c r="AP374" i="1"/>
  <c r="AP478" i="1"/>
  <c r="AP480" i="1"/>
  <c r="AP306" i="1"/>
  <c r="AP489" i="1"/>
  <c r="AP565" i="1"/>
  <c r="AP163" i="1"/>
  <c r="AP548" i="1"/>
  <c r="AP514" i="1"/>
  <c r="AP212" i="1"/>
  <c r="AP292" i="1"/>
  <c r="AP266" i="1"/>
  <c r="AP349" i="1"/>
  <c r="AP640" i="1"/>
  <c r="AP620" i="1"/>
  <c r="AP286" i="1"/>
  <c r="AP645" i="1"/>
  <c r="AP636" i="1"/>
  <c r="AP614" i="1"/>
  <c r="AP644" i="1"/>
  <c r="AU259" i="1"/>
  <c r="AZ94" i="1"/>
  <c r="AZ315" i="1"/>
  <c r="AZ3" i="1"/>
  <c r="AK324" i="1"/>
  <c r="AK169" i="1"/>
  <c r="AK376" i="1"/>
  <c r="AP152" i="1"/>
  <c r="AP4" i="1"/>
  <c r="AP671" i="1"/>
  <c r="AP158" i="1"/>
  <c r="AP262" i="1"/>
  <c r="AP300" i="1"/>
  <c r="AP267" i="1"/>
  <c r="AP269" i="1"/>
  <c r="AP25" i="1"/>
  <c r="AP291" i="1"/>
  <c r="AP84" i="1"/>
  <c r="AP277" i="1"/>
  <c r="AP270" i="1"/>
  <c r="AP463" i="1"/>
  <c r="AP180" i="1"/>
  <c r="AP660" i="1"/>
  <c r="AP433" i="1"/>
  <c r="AP301" i="1"/>
  <c r="AP383" i="1"/>
  <c r="AP429" i="1"/>
  <c r="AP436" i="1"/>
  <c r="AP363" i="1"/>
  <c r="AP366" i="1"/>
  <c r="AP372" i="1"/>
  <c r="AP367" i="1"/>
  <c r="AP449" i="1"/>
  <c r="AP181" i="1"/>
  <c r="AP580" i="1"/>
  <c r="AP386" i="1"/>
  <c r="AP496" i="1"/>
  <c r="AP607" i="1"/>
  <c r="AP316" i="1"/>
  <c r="AP616" i="1"/>
  <c r="AP621" i="1"/>
  <c r="AP492" i="1"/>
  <c r="AP406" i="1"/>
  <c r="AP287" i="1"/>
  <c r="AP519" i="1"/>
  <c r="AP599" i="1"/>
  <c r="AP559" i="1"/>
  <c r="AP610" i="1"/>
  <c r="AP469" i="1"/>
  <c r="AP396" i="1"/>
  <c r="AP619" i="1"/>
  <c r="AP515" i="1"/>
  <c r="AP547" i="1"/>
  <c r="AP598" i="1"/>
  <c r="AU313" i="1"/>
  <c r="AU305" i="1"/>
  <c r="AU280" i="1"/>
  <c r="AU347" i="1"/>
  <c r="AZ91" i="1"/>
  <c r="AZ360" i="1"/>
  <c r="AZ143" i="1"/>
  <c r="AZ136" i="1"/>
  <c r="AZ477" i="1"/>
  <c r="AZ337" i="1"/>
  <c r="AZ306" i="1"/>
  <c r="AZ667" i="1"/>
  <c r="AF659" i="1"/>
  <c r="AK219" i="1"/>
  <c r="AK264" i="1"/>
  <c r="AK66" i="1"/>
  <c r="AK242" i="1"/>
  <c r="AK147" i="1"/>
  <c r="AK275" i="1"/>
  <c r="AK300" i="1"/>
  <c r="AK171" i="1"/>
  <c r="AK408" i="1"/>
  <c r="AP6" i="1"/>
  <c r="AP20" i="1"/>
  <c r="AP24" i="1"/>
  <c r="AU7" i="1"/>
  <c r="AU57" i="1"/>
  <c r="AU42" i="1"/>
  <c r="AU126" i="1"/>
  <c r="AU75" i="1"/>
  <c r="AU79" i="1"/>
  <c r="AU47" i="1"/>
  <c r="AU289" i="1"/>
  <c r="AU351" i="1"/>
  <c r="AZ54" i="1"/>
  <c r="AZ19" i="1"/>
  <c r="AZ203" i="1"/>
  <c r="AZ350" i="1"/>
  <c r="AZ186" i="1"/>
  <c r="AZ109" i="1"/>
  <c r="AZ194" i="1"/>
  <c r="AZ660" i="1"/>
  <c r="AZ661" i="1"/>
  <c r="AF30" i="1"/>
  <c r="AF78" i="1"/>
  <c r="AF118" i="1"/>
  <c r="AF150" i="1"/>
  <c r="AF190" i="1"/>
  <c r="AF230" i="1"/>
  <c r="AK44" i="1"/>
  <c r="AK76" i="1"/>
  <c r="AK114" i="1"/>
  <c r="AK89" i="1"/>
  <c r="AK130" i="1"/>
  <c r="AK194" i="1"/>
  <c r="AK246" i="1"/>
  <c r="AK276" i="1"/>
  <c r="AK388" i="1"/>
  <c r="AU20" i="1"/>
  <c r="AU129" i="1"/>
  <c r="AU219" i="1"/>
  <c r="AU264" i="1"/>
  <c r="AU66" i="1"/>
  <c r="AU130" i="1"/>
  <c r="AU318" i="1"/>
  <c r="AZ28" i="1"/>
  <c r="AZ336" i="1"/>
  <c r="AZ272" i="1"/>
  <c r="AZ61" i="1"/>
  <c r="AZ155" i="1"/>
  <c r="AZ156" i="1"/>
  <c r="AZ408" i="1"/>
  <c r="AF46" i="1"/>
  <c r="AF70" i="1"/>
  <c r="AF94" i="1"/>
  <c r="AF126" i="1"/>
  <c r="AF158" i="1"/>
  <c r="AF182" i="1"/>
  <c r="AF214" i="1"/>
  <c r="AF39" i="1"/>
  <c r="AF63" i="1"/>
  <c r="AF87" i="1"/>
  <c r="AF111" i="1"/>
  <c r="AF135" i="1"/>
  <c r="AF167" i="1"/>
  <c r="AF191" i="1"/>
  <c r="AF223" i="1"/>
  <c r="AF247" i="1"/>
  <c r="AF271" i="1"/>
  <c r="AF303" i="1"/>
  <c r="AF335" i="1"/>
  <c r="AK121" i="1"/>
  <c r="AU24" i="1"/>
  <c r="AU89" i="1"/>
  <c r="AU119" i="1"/>
  <c r="AU138" i="1"/>
  <c r="AU233" i="1"/>
  <c r="AU434" i="1"/>
  <c r="AZ35" i="1"/>
  <c r="AZ118" i="1"/>
  <c r="AZ93" i="1"/>
  <c r="AZ69" i="1"/>
  <c r="AZ289" i="1"/>
  <c r="AF22" i="1"/>
  <c r="AF54" i="1"/>
  <c r="AF86" i="1"/>
  <c r="AF110" i="1"/>
  <c r="AF142" i="1"/>
  <c r="AF174" i="1"/>
  <c r="AF206" i="1"/>
  <c r="AF238" i="1"/>
  <c r="AF23" i="1"/>
  <c r="AF47" i="1"/>
  <c r="AF71" i="1"/>
  <c r="AF95" i="1"/>
  <c r="AF119" i="1"/>
  <c r="AF143" i="1"/>
  <c r="AF159" i="1"/>
  <c r="AF183" i="1"/>
  <c r="AF207" i="1"/>
  <c r="AF231" i="1"/>
  <c r="AF255" i="1"/>
  <c r="AF279" i="1"/>
  <c r="AF295" i="1"/>
  <c r="AF319" i="1"/>
  <c r="AK54" i="1"/>
  <c r="AK99" i="1"/>
  <c r="AK111" i="1"/>
  <c r="AK249" i="1"/>
  <c r="AK29" i="1"/>
  <c r="AK232" i="1"/>
  <c r="AK263" i="1"/>
  <c r="AK69" i="1"/>
  <c r="AK11" i="1"/>
  <c r="AP11" i="1"/>
  <c r="AP3" i="1"/>
  <c r="AP673" i="1"/>
  <c r="AP18" i="1"/>
  <c r="AP22" i="1"/>
  <c r="AU4" i="1"/>
  <c r="AU92" i="1"/>
  <c r="AU76" i="1"/>
  <c r="AU114" i="1"/>
  <c r="AU268" i="1"/>
  <c r="AU263" i="1"/>
  <c r="AU391" i="1"/>
  <c r="AZ42" i="1"/>
  <c r="AZ126" i="1"/>
  <c r="AZ75" i="1"/>
  <c r="AZ79" i="1"/>
  <c r="AZ202" i="1"/>
  <c r="AZ179" i="1"/>
  <c r="AZ195" i="1"/>
  <c r="AZ318" i="1"/>
  <c r="AZ434" i="1"/>
  <c r="AF38" i="1"/>
  <c r="AF62" i="1"/>
  <c r="AF102" i="1"/>
  <c r="AF134" i="1"/>
  <c r="AF166" i="1"/>
  <c r="AF198" i="1"/>
  <c r="AF222" i="1"/>
  <c r="AF31" i="1"/>
  <c r="AF55" i="1"/>
  <c r="AF79" i="1"/>
  <c r="AF103" i="1"/>
  <c r="AF127" i="1"/>
  <c r="AF151" i="1"/>
  <c r="AF175" i="1"/>
  <c r="AF199" i="1"/>
  <c r="AF215" i="1"/>
  <c r="AF239" i="1"/>
  <c r="AF263" i="1"/>
  <c r="AF287" i="1"/>
  <c r="AF311" i="1"/>
  <c r="AF327" i="1"/>
  <c r="AK35" i="1"/>
  <c r="AK28" i="1"/>
  <c r="AK19" i="1"/>
  <c r="AK350" i="1"/>
  <c r="AK213" i="1"/>
  <c r="AK109" i="1"/>
  <c r="AK214" i="1"/>
  <c r="AK195" i="1"/>
  <c r="AK351" i="1"/>
  <c r="AP10" i="1"/>
  <c r="AP2" i="1"/>
  <c r="AP672" i="1"/>
  <c r="AP17" i="1"/>
  <c r="AP21" i="1"/>
  <c r="AP19" i="1"/>
  <c r="AP23" i="1"/>
  <c r="AU3" i="1"/>
  <c r="AU673" i="1"/>
  <c r="AU99" i="1"/>
  <c r="AU217" i="1"/>
  <c r="AU111" i="1"/>
  <c r="AU29" i="1"/>
  <c r="AU232" i="1"/>
  <c r="AU226" i="1"/>
  <c r="AU246" i="1"/>
  <c r="AU171" i="1"/>
  <c r="AZ20" i="1"/>
  <c r="AZ96" i="1"/>
  <c r="AZ129" i="1"/>
  <c r="AZ219" i="1"/>
  <c r="AZ164" i="1"/>
  <c r="AZ66" i="1"/>
  <c r="AZ130" i="1"/>
  <c r="AZ119" i="1"/>
  <c r="AZ138" i="1"/>
  <c r="AZ233" i="1"/>
  <c r="AZ391" i="1"/>
  <c r="AK152" i="1"/>
  <c r="AK272" i="1"/>
  <c r="AK61" i="1"/>
  <c r="AK155" i="1"/>
  <c r="AK226" i="1"/>
  <c r="AK119" i="1"/>
  <c r="AK138" i="1"/>
  <c r="AK233" i="1"/>
  <c r="AU2" i="1"/>
  <c r="AU672" i="1"/>
  <c r="AU147" i="1"/>
  <c r="AU498" i="1"/>
  <c r="AZ89" i="1"/>
  <c r="AZ241" i="1"/>
  <c r="AZ354" i="1"/>
  <c r="AZ171" i="1"/>
  <c r="AK75" i="1"/>
  <c r="AK118" i="1"/>
  <c r="AK289" i="1"/>
  <c r="AU61" i="1"/>
  <c r="AU194" i="1"/>
  <c r="AU329" i="1"/>
  <c r="AU464" i="1"/>
  <c r="AU178" i="1"/>
  <c r="AU300" i="1"/>
  <c r="AZ76" i="1"/>
  <c r="AZ121" i="1"/>
  <c r="AZ206" i="1"/>
  <c r="AK96" i="1"/>
  <c r="AK129" i="1"/>
  <c r="AK79" i="1"/>
  <c r="AK93" i="1"/>
  <c r="AK166" i="1"/>
  <c r="AK206" i="1"/>
  <c r="AK463" i="1"/>
  <c r="AK178" i="1"/>
  <c r="AU8" i="1"/>
  <c r="AU35" i="1"/>
  <c r="AU30" i="1"/>
  <c r="AU133" i="1"/>
  <c r="AU118" i="1"/>
  <c r="AU93" i="1"/>
  <c r="AU315" i="1"/>
  <c r="AU156" i="1"/>
  <c r="AU562" i="1"/>
  <c r="AZ39" i="1"/>
  <c r="AZ99" i="1"/>
  <c r="AZ111" i="1"/>
  <c r="AZ249" i="1"/>
  <c r="AZ29" i="1"/>
  <c r="AZ232" i="1"/>
  <c r="AZ214" i="1"/>
  <c r="AZ226" i="1"/>
  <c r="AZ242" i="1"/>
  <c r="AZ147" i="1"/>
  <c r="AZ329" i="1"/>
  <c r="AZ178" i="1"/>
  <c r="AZ300" i="1"/>
  <c r="AZ562" i="1"/>
  <c r="AF117" i="1"/>
  <c r="AF125" i="1"/>
  <c r="AF133" i="1"/>
  <c r="AF141" i="1"/>
  <c r="AF149" i="1"/>
  <c r="AF157" i="1"/>
  <c r="AF165" i="1"/>
  <c r="AF173" i="1"/>
  <c r="AF181" i="1"/>
  <c r="AF189" i="1"/>
  <c r="AF197" i="1"/>
  <c r="AF205" i="1"/>
  <c r="AF213" i="1"/>
  <c r="AF221" i="1"/>
  <c r="AF32" i="1"/>
  <c r="AF48" i="1"/>
  <c r="AF64" i="1"/>
  <c r="AF80" i="1"/>
  <c r="AF96" i="1"/>
  <c r="AF112" i="1"/>
  <c r="AF128" i="1"/>
  <c r="AF144" i="1"/>
  <c r="AF160" i="1"/>
  <c r="AF176" i="1"/>
  <c r="AF192" i="1"/>
  <c r="AF208" i="1"/>
  <c r="AF224" i="1"/>
  <c r="AF232" i="1"/>
  <c r="AF24" i="1"/>
  <c r="AF40" i="1"/>
  <c r="AF56" i="1"/>
  <c r="AF72" i="1"/>
  <c r="AF88" i="1"/>
  <c r="AF104" i="1"/>
  <c r="AF120" i="1"/>
  <c r="AF136" i="1"/>
  <c r="AF152" i="1"/>
  <c r="AF168" i="1"/>
  <c r="AF184" i="1"/>
  <c r="AF200" i="1"/>
  <c r="AF216" i="1"/>
  <c r="AF28" i="1"/>
  <c r="AF36" i="1"/>
  <c r="AF44" i="1"/>
  <c r="AF52" i="1"/>
  <c r="AF60" i="1"/>
  <c r="AF68" i="1"/>
  <c r="AF76" i="1"/>
  <c r="AF84" i="1"/>
  <c r="AF92" i="1"/>
  <c r="AK95" i="1"/>
  <c r="AK34" i="1"/>
  <c r="AK22" i="1"/>
  <c r="AK103" i="1"/>
  <c r="AK112" i="1"/>
  <c r="AK78" i="1"/>
  <c r="AK201" i="1"/>
  <c r="AK124" i="1"/>
  <c r="AK462" i="1"/>
  <c r="AK165" i="1"/>
  <c r="AU37" i="1"/>
  <c r="AU46" i="1"/>
  <c r="AU116" i="1"/>
  <c r="AU167" i="1"/>
  <c r="AU103" i="1"/>
  <c r="AU139" i="1"/>
  <c r="AU371" i="1"/>
  <c r="AU331" i="1"/>
  <c r="AU137" i="1"/>
  <c r="AU250" i="1"/>
  <c r="AU327" i="1"/>
  <c r="AU124" i="1"/>
  <c r="AZ33" i="1"/>
  <c r="AZ106" i="1"/>
  <c r="AZ77" i="1"/>
  <c r="AZ403" i="1"/>
  <c r="AZ161" i="1"/>
  <c r="AZ158" i="1"/>
  <c r="AZ160" i="1"/>
  <c r="AZ175" i="1"/>
  <c r="AZ49" i="1"/>
  <c r="AZ200" i="1"/>
  <c r="AZ281" i="1"/>
  <c r="AZ86" i="1"/>
  <c r="AZ261" i="1"/>
  <c r="AZ132" i="1"/>
  <c r="AZ124" i="1"/>
  <c r="AK221" i="1"/>
  <c r="AK58" i="1"/>
  <c r="AK100" i="1"/>
  <c r="AK151" i="1"/>
  <c r="AK296" i="1"/>
  <c r="AK158" i="1"/>
  <c r="AK160" i="1"/>
  <c r="AK175" i="1"/>
  <c r="AK49" i="1"/>
  <c r="AK235" i="1"/>
  <c r="AK459" i="1"/>
  <c r="AK269" i="1"/>
  <c r="AK128" i="1"/>
  <c r="AK281" i="1"/>
  <c r="AK230" i="1"/>
  <c r="AK293" i="1"/>
  <c r="AK141" i="1"/>
  <c r="AK192" i="1"/>
  <c r="AU31" i="1"/>
  <c r="AU45" i="1"/>
  <c r="AU85" i="1"/>
  <c r="AU95" i="1"/>
  <c r="AU314" i="1"/>
  <c r="AU278" i="1"/>
  <c r="AU34" i="1"/>
  <c r="AU22" i="1"/>
  <c r="AU23" i="1"/>
  <c r="AU113" i="1"/>
  <c r="AU252" i="1"/>
  <c r="AU269" i="1"/>
  <c r="AU128" i="1"/>
  <c r="AU70" i="1"/>
  <c r="AU188" i="1"/>
  <c r="AU474" i="1"/>
  <c r="AU159" i="1"/>
  <c r="AZ30" i="1"/>
  <c r="AZ32" i="1"/>
  <c r="AZ50" i="1"/>
  <c r="AZ68" i="1"/>
  <c r="AZ65" i="1"/>
  <c r="AZ127" i="1"/>
  <c r="AZ205" i="1"/>
  <c r="AZ170" i="1"/>
  <c r="AZ344" i="1"/>
  <c r="AZ212" i="1"/>
  <c r="AZ218" i="1"/>
  <c r="AZ137" i="1"/>
  <c r="AZ250" i="1"/>
  <c r="AZ327" i="1"/>
  <c r="AZ159" i="1"/>
  <c r="AZ165" i="1"/>
  <c r="AZ277" i="1"/>
  <c r="AF248" i="1"/>
  <c r="AF264" i="1"/>
  <c r="AK33" i="1"/>
  <c r="AK98" i="1"/>
  <c r="AK48" i="1"/>
  <c r="AK74" i="1"/>
  <c r="AK212" i="1"/>
  <c r="AK90" i="1"/>
  <c r="AK375" i="1"/>
  <c r="AK216" i="1"/>
  <c r="AK176" i="1"/>
  <c r="AK243" i="1"/>
  <c r="AK234" i="1"/>
  <c r="AK67" i="1"/>
  <c r="AK348" i="1"/>
  <c r="AK168" i="1"/>
  <c r="AK177" i="1"/>
  <c r="AK159" i="1"/>
  <c r="AK335" i="1"/>
  <c r="AK658" i="1"/>
  <c r="AU100" i="1"/>
  <c r="AU121" i="1"/>
  <c r="AU265" i="1"/>
  <c r="AU21" i="1"/>
  <c r="AU191" i="1"/>
  <c r="AU36" i="1"/>
  <c r="AU80" i="1"/>
  <c r="AU459" i="1"/>
  <c r="AU297" i="1"/>
  <c r="AU368" i="1"/>
  <c r="AU177" i="1"/>
  <c r="AU382" i="1"/>
  <c r="AU312" i="1"/>
  <c r="AZ83" i="1"/>
  <c r="AZ81" i="1"/>
  <c r="AZ102" i="1"/>
  <c r="AZ225" i="1"/>
  <c r="AZ82" i="1"/>
  <c r="AZ367" i="1"/>
  <c r="AZ180" i="1"/>
  <c r="AZ139" i="1"/>
  <c r="AZ371" i="1"/>
  <c r="AZ331" i="1"/>
  <c r="AZ311" i="1"/>
  <c r="AZ252" i="1"/>
  <c r="AZ269" i="1"/>
  <c r="AZ128" i="1"/>
  <c r="AZ70" i="1"/>
  <c r="AZ188" i="1"/>
  <c r="AZ177" i="1"/>
  <c r="AZ382" i="1"/>
  <c r="AZ312" i="1"/>
  <c r="AZ522" i="1"/>
  <c r="AF240" i="1"/>
  <c r="AF256" i="1"/>
  <c r="AK30" i="1"/>
  <c r="AK32" i="1"/>
  <c r="AK50" i="1"/>
  <c r="AK94" i="1"/>
  <c r="AK43" i="1"/>
  <c r="AK131" i="1"/>
  <c r="AK149" i="1"/>
  <c r="AK237" i="1"/>
  <c r="AK265" i="1"/>
  <c r="AK197" i="1"/>
  <c r="AK139" i="1"/>
  <c r="AK371" i="1"/>
  <c r="AK331" i="1"/>
  <c r="AK223" i="1"/>
  <c r="AK163" i="1"/>
  <c r="AK63" i="1"/>
  <c r="AK255" i="1"/>
  <c r="AK86" i="1"/>
  <c r="AK189" i="1"/>
  <c r="AK55" i="1"/>
  <c r="AK666" i="1"/>
  <c r="AK675" i="1"/>
  <c r="AK312" i="1"/>
  <c r="AU39" i="1"/>
  <c r="AU110" i="1"/>
  <c r="AU59" i="1"/>
  <c r="AU58" i="1"/>
  <c r="AU98" i="1"/>
  <c r="AU237" i="1"/>
  <c r="AU87" i="1"/>
  <c r="AU157" i="1"/>
  <c r="AU41" i="1"/>
  <c r="AU60" i="1"/>
  <c r="AU354" i="1"/>
  <c r="AU192" i="1"/>
  <c r="AU55" i="1"/>
  <c r="AU414" i="1"/>
  <c r="AU530" i="1"/>
  <c r="AU282" i="1"/>
  <c r="AZ37" i="1"/>
  <c r="AZ46" i="1"/>
  <c r="AZ56" i="1"/>
  <c r="AZ116" i="1"/>
  <c r="AZ264" i="1"/>
  <c r="AZ103" i="1"/>
  <c r="AZ74" i="1"/>
  <c r="AZ23" i="1"/>
  <c r="AZ113" i="1"/>
  <c r="AZ459" i="1"/>
  <c r="AZ176" i="1"/>
  <c r="AZ297" i="1"/>
  <c r="AZ368" i="1"/>
  <c r="AZ414" i="1"/>
  <c r="AZ530" i="1"/>
  <c r="AZ335" i="1"/>
  <c r="AK57" i="1"/>
  <c r="AK77" i="1"/>
  <c r="AK403" i="1"/>
  <c r="AK21" i="1"/>
  <c r="AK23" i="1"/>
  <c r="AK113" i="1"/>
  <c r="AK404" i="1"/>
  <c r="AK329" i="1"/>
  <c r="AK292" i="1"/>
  <c r="AK429" i="1"/>
  <c r="AK297" i="1"/>
  <c r="AK327" i="1"/>
  <c r="AK196" i="1"/>
  <c r="AU221" i="1"/>
  <c r="AU43" i="1"/>
  <c r="AU131" i="1"/>
  <c r="AU149" i="1"/>
  <c r="AU185" i="1"/>
  <c r="AU123" i="1"/>
  <c r="AU375" i="1"/>
  <c r="AU63" i="1"/>
  <c r="AU255" i="1"/>
  <c r="AU270" i="1"/>
  <c r="AU201" i="1"/>
  <c r="AU293" i="1"/>
  <c r="AU141" i="1"/>
  <c r="AZ45" i="1"/>
  <c r="AZ95" i="1"/>
  <c r="AZ34" i="1"/>
  <c r="AZ191" i="1"/>
  <c r="AZ36" i="1"/>
  <c r="AZ80" i="1"/>
  <c r="AZ216" i="1"/>
  <c r="AZ292" i="1"/>
  <c r="AZ307" i="1"/>
  <c r="AZ192" i="1"/>
  <c r="AZ55" i="1"/>
  <c r="AZ481" i="1"/>
  <c r="AZ388" i="1"/>
  <c r="AK68" i="1"/>
  <c r="AK65" i="1"/>
  <c r="AK127" i="1"/>
  <c r="AK205" i="1"/>
  <c r="AK277" i="1"/>
  <c r="AK665" i="1"/>
  <c r="AK674" i="1"/>
  <c r="AK36" i="1"/>
  <c r="AK80" i="1"/>
  <c r="AK284" i="1"/>
  <c r="AK256" i="1"/>
  <c r="AK120" i="1"/>
  <c r="AK220" i="1"/>
  <c r="AK187" i="1"/>
  <c r="AU403" i="1"/>
  <c r="AU161" i="1"/>
  <c r="AU112" i="1"/>
  <c r="AU78" i="1"/>
  <c r="AU223" i="1"/>
  <c r="AU404" i="1"/>
  <c r="AU184" i="1"/>
  <c r="AU230" i="1"/>
  <c r="AU348" i="1"/>
  <c r="AU168" i="1"/>
  <c r="AU120" i="1"/>
  <c r="AU436" i="1"/>
  <c r="AU220" i="1"/>
  <c r="AU187" i="1"/>
  <c r="AU522" i="1"/>
  <c r="AU165" i="1"/>
  <c r="AU189" i="1"/>
  <c r="AZ100" i="1"/>
  <c r="AZ151" i="1"/>
  <c r="AZ296" i="1"/>
  <c r="AZ265" i="1"/>
  <c r="AZ21" i="1"/>
  <c r="AZ87" i="1"/>
  <c r="AZ157" i="1"/>
  <c r="AZ41" i="1"/>
  <c r="AZ257" i="1"/>
  <c r="AZ60" i="1"/>
  <c r="AZ321" i="1"/>
  <c r="AZ63" i="1"/>
  <c r="AZ255" i="1"/>
  <c r="AZ270" i="1"/>
  <c r="AZ201" i="1"/>
  <c r="AZ293" i="1"/>
  <c r="AZ141" i="1"/>
  <c r="AZ220" i="1"/>
  <c r="AZ187" i="1"/>
  <c r="AZ427" i="1"/>
  <c r="AF100" i="1"/>
  <c r="AF108" i="1"/>
  <c r="AF116" i="1"/>
  <c r="AF124" i="1"/>
  <c r="AF132" i="1"/>
  <c r="AF140" i="1"/>
  <c r="AF148" i="1"/>
  <c r="AF156" i="1"/>
  <c r="AF164" i="1"/>
  <c r="AK24" i="1"/>
  <c r="AK46" i="1"/>
  <c r="AK56" i="1"/>
  <c r="AK83" i="1"/>
  <c r="AK81" i="1"/>
  <c r="AK102" i="1"/>
  <c r="AK225" i="1"/>
  <c r="AK136" i="1"/>
  <c r="AK170" i="1"/>
  <c r="AK185" i="1"/>
  <c r="AK87" i="1"/>
  <c r="AK157" i="1"/>
  <c r="AK41" i="1"/>
  <c r="AK257" i="1"/>
  <c r="AK60" i="1"/>
  <c r="AK664" i="1"/>
  <c r="AK670" i="1"/>
  <c r="AK200" i="1"/>
  <c r="AK353" i="1"/>
  <c r="AK270" i="1"/>
  <c r="AK304" i="1"/>
  <c r="AK667" i="1"/>
  <c r="AK676" i="1"/>
  <c r="AK662" i="1"/>
  <c r="AU32" i="1"/>
  <c r="AU50" i="1"/>
  <c r="AU68" i="1"/>
  <c r="AU65" i="1"/>
  <c r="AU127" i="1"/>
  <c r="AU205" i="1"/>
  <c r="AU136" i="1"/>
  <c r="AU170" i="1"/>
  <c r="AU158" i="1"/>
  <c r="AU160" i="1"/>
  <c r="AU175" i="1"/>
  <c r="AU101" i="1"/>
  <c r="AU353" i="1"/>
  <c r="AU276" i="1"/>
  <c r="AU304" i="1"/>
  <c r="AU435" i="1"/>
  <c r="AZ44" i="1"/>
  <c r="AZ51" i="1"/>
  <c r="AZ110" i="1"/>
  <c r="AZ58" i="1"/>
  <c r="AZ209" i="1"/>
  <c r="AZ98" i="1"/>
  <c r="AZ228" i="1"/>
  <c r="AZ48" i="1"/>
  <c r="AZ237" i="1"/>
  <c r="AZ123" i="1"/>
  <c r="AZ90" i="1"/>
  <c r="AZ375" i="1"/>
  <c r="AZ404" i="1"/>
  <c r="AZ184" i="1"/>
  <c r="AZ230" i="1"/>
  <c r="AZ348" i="1"/>
  <c r="AZ168" i="1"/>
  <c r="AZ120" i="1"/>
  <c r="AZ436" i="1"/>
  <c r="AZ435" i="1"/>
  <c r="AZ227" i="1"/>
  <c r="AF565" i="1"/>
  <c r="AK154" i="1"/>
  <c r="AK45" i="1"/>
  <c r="AK116" i="1"/>
  <c r="AK82" i="1"/>
  <c r="AK161" i="1"/>
  <c r="AK123" i="1"/>
  <c r="AK279" i="1"/>
  <c r="AK137" i="1"/>
  <c r="AK140" i="1"/>
  <c r="AK184" i="1"/>
  <c r="AK307" i="1"/>
  <c r="AK188" i="1"/>
  <c r="AK132" i="1"/>
  <c r="AK668" i="1"/>
  <c r="AK677" i="1"/>
  <c r="AU83" i="1"/>
  <c r="AU81" i="1"/>
  <c r="AU102" i="1"/>
  <c r="AU225" i="1"/>
  <c r="AU82" i="1"/>
  <c r="AU142" i="1"/>
  <c r="AU344" i="1"/>
  <c r="AU306" i="1"/>
  <c r="AU200" i="1"/>
  <c r="AU281" i="1"/>
  <c r="AU86" i="1"/>
  <c r="AU261" i="1"/>
  <c r="AU132" i="1"/>
  <c r="AU462" i="1"/>
  <c r="AU335" i="1"/>
  <c r="AZ221" i="1"/>
  <c r="AZ291" i="1"/>
  <c r="AZ43" i="1"/>
  <c r="AZ131" i="1"/>
  <c r="AZ149" i="1"/>
  <c r="AZ185" i="1"/>
  <c r="AZ112" i="1"/>
  <c r="AZ78" i="1"/>
  <c r="AZ223" i="1"/>
  <c r="AZ163" i="1"/>
  <c r="AZ101" i="1"/>
  <c r="AZ353" i="1"/>
  <c r="AZ276" i="1"/>
  <c r="AZ67" i="1"/>
  <c r="AZ304" i="1"/>
  <c r="AZ462" i="1"/>
  <c r="AF172" i="1"/>
  <c r="AF180" i="1"/>
  <c r="AF188" i="1"/>
  <c r="AF196" i="1"/>
  <c r="AF204" i="1"/>
  <c r="AF212" i="1"/>
  <c r="AF220" i="1"/>
  <c r="AF228" i="1"/>
  <c r="AZ319" i="1"/>
  <c r="AZ316" i="1"/>
  <c r="AF246" i="1"/>
  <c r="AF254" i="1"/>
  <c r="AF262" i="1"/>
  <c r="AF270" i="1"/>
  <c r="AF278" i="1"/>
  <c r="AF286" i="1"/>
  <c r="AF294" i="1"/>
  <c r="AF302" i="1"/>
  <c r="AF310" i="1"/>
  <c r="AF318" i="1"/>
  <c r="AF326" i="1"/>
  <c r="AF334" i="1"/>
  <c r="AF342" i="1"/>
  <c r="AF350" i="1"/>
  <c r="AF358" i="1"/>
  <c r="AF366" i="1"/>
  <c r="AF374" i="1"/>
  <c r="AF382" i="1"/>
  <c r="AF390" i="1"/>
  <c r="AF398" i="1"/>
  <c r="AF406" i="1"/>
  <c r="AK460" i="1"/>
  <c r="AU49" i="1"/>
  <c r="AU67" i="1"/>
  <c r="AZ528" i="1"/>
  <c r="AK338" i="1"/>
  <c r="AU180" i="1"/>
  <c r="AU69" i="1"/>
  <c r="AU408" i="1"/>
  <c r="AU393" i="1"/>
  <c r="AZ213" i="1"/>
  <c r="AK344" i="1"/>
  <c r="AK250" i="1"/>
  <c r="AK382" i="1"/>
  <c r="AK663" i="1"/>
  <c r="AU26" i="1"/>
  <c r="AU62" i="1"/>
  <c r="AU56" i="1"/>
  <c r="AU153" i="1"/>
  <c r="AU74" i="1"/>
  <c r="AU311" i="1"/>
  <c r="AU218" i="1"/>
  <c r="AU227" i="1"/>
  <c r="AU427" i="1"/>
  <c r="AZ463" i="1"/>
  <c r="AF17" i="1"/>
  <c r="AF25" i="1"/>
  <c r="AF33" i="1"/>
  <c r="AF41" i="1"/>
  <c r="AF49" i="1"/>
  <c r="AF57" i="1"/>
  <c r="AF65" i="1"/>
  <c r="AF73" i="1"/>
  <c r="AF81" i="1"/>
  <c r="AF89" i="1"/>
  <c r="AF97" i="1"/>
  <c r="AK286" i="1"/>
  <c r="AK311" i="1"/>
  <c r="AU71" i="1"/>
  <c r="AU107" i="1"/>
  <c r="AU374" i="1"/>
  <c r="AU151" i="1"/>
  <c r="AZ472" i="1"/>
  <c r="AK306" i="1"/>
  <c r="AK274" i="1"/>
  <c r="AK354" i="1"/>
  <c r="AK261" i="1"/>
  <c r="AU249" i="1"/>
  <c r="AU238" i="1"/>
  <c r="AU48" i="1"/>
  <c r="AU214" i="1"/>
  <c r="AU257" i="1"/>
  <c r="AU241" i="1"/>
  <c r="AU216" i="1"/>
  <c r="AU292" i="1"/>
  <c r="AU307" i="1"/>
  <c r="AZ347" i="1"/>
  <c r="AF236" i="1"/>
  <c r="AF244" i="1"/>
  <c r="AF252" i="1"/>
  <c r="AF260" i="1"/>
  <c r="AF268" i="1"/>
  <c r="AF276" i="1"/>
  <c r="AF284" i="1"/>
  <c r="AF292" i="1"/>
  <c r="AF300" i="1"/>
  <c r="AF308" i="1"/>
  <c r="AF316" i="1"/>
  <c r="AF324" i="1"/>
  <c r="AF332" i="1"/>
  <c r="AF340" i="1"/>
  <c r="AF348" i="1"/>
  <c r="AF356" i="1"/>
  <c r="AF364" i="1"/>
  <c r="AF372" i="1"/>
  <c r="AF380" i="1"/>
  <c r="AF388" i="1"/>
  <c r="AF396" i="1"/>
  <c r="AF404" i="1"/>
  <c r="AF412" i="1"/>
  <c r="AF420" i="1"/>
  <c r="AF428" i="1"/>
  <c r="AF436" i="1"/>
  <c r="AF444" i="1"/>
  <c r="AF452" i="1"/>
  <c r="AF460" i="1"/>
  <c r="AF468" i="1"/>
  <c r="AF476" i="1"/>
  <c r="AF484" i="1"/>
  <c r="AF492" i="1"/>
  <c r="AF500" i="1"/>
  <c r="AF508" i="1"/>
  <c r="AF516" i="1"/>
  <c r="AF524" i="1"/>
  <c r="AF532" i="1"/>
  <c r="AF540" i="1"/>
  <c r="AF548" i="1"/>
  <c r="AF556" i="1"/>
  <c r="AF564" i="1"/>
  <c r="AF572" i="1"/>
  <c r="AF580" i="1"/>
  <c r="AF588" i="1"/>
  <c r="AF596" i="1"/>
  <c r="AF604" i="1"/>
  <c r="AF612" i="1"/>
  <c r="AF620" i="1"/>
  <c r="AF628" i="1"/>
  <c r="AF636" i="1"/>
  <c r="AF644" i="1"/>
  <c r="AF652" i="1"/>
  <c r="AK328" i="1"/>
  <c r="AK423" i="1"/>
  <c r="AK467" i="1"/>
  <c r="AK352" i="1"/>
  <c r="AK379" i="1"/>
  <c r="AK425" i="1"/>
  <c r="AK340" i="1"/>
  <c r="AK236" i="1"/>
  <c r="AK418" i="1"/>
  <c r="AK600" i="1"/>
  <c r="AK479" i="1"/>
  <c r="AK150" i="1"/>
  <c r="AK334" i="1"/>
  <c r="AK562" i="1"/>
  <c r="AK569" i="1"/>
  <c r="AK514" i="1"/>
  <c r="AK349" i="1"/>
  <c r="AK490" i="1"/>
  <c r="AK452" i="1"/>
  <c r="AK283" i="1"/>
  <c r="AU17" i="1"/>
  <c r="AU190" i="1"/>
  <c r="AU210" i="1"/>
  <c r="AU286" i="1"/>
  <c r="AU291" i="1"/>
  <c r="AU90" i="1"/>
  <c r="AU321" i="1"/>
  <c r="AU504" i="1"/>
  <c r="AZ22" i="1"/>
  <c r="AZ266" i="1"/>
  <c r="AF573" i="1"/>
  <c r="AF581" i="1"/>
  <c r="AF589" i="1"/>
  <c r="AF597" i="1"/>
  <c r="AF605" i="1"/>
  <c r="AF613" i="1"/>
  <c r="AF621" i="1"/>
  <c r="AF629" i="1"/>
  <c r="AF637" i="1"/>
  <c r="AF645" i="1"/>
  <c r="AF653" i="1"/>
  <c r="AF664" i="1"/>
  <c r="AF6" i="1"/>
  <c r="AK332" i="1"/>
  <c r="AK365" i="1"/>
  <c r="AK180" i="1"/>
  <c r="AK342" i="1"/>
  <c r="AK310" i="1"/>
  <c r="AK273" i="1"/>
  <c r="AK218" i="1"/>
  <c r="AK326" i="1"/>
  <c r="AK432" i="1"/>
  <c r="AK359" i="1"/>
  <c r="AK362" i="1"/>
  <c r="AK547" i="1"/>
  <c r="AK495" i="1"/>
  <c r="AK364" i="1"/>
  <c r="AF414" i="1"/>
  <c r="AF422" i="1"/>
  <c r="AF430" i="1"/>
  <c r="AF438" i="1"/>
  <c r="AF446" i="1"/>
  <c r="AF454" i="1"/>
  <c r="AF462" i="1"/>
  <c r="AF470" i="1"/>
  <c r="AF478" i="1"/>
  <c r="AF486" i="1"/>
  <c r="AF494" i="1"/>
  <c r="AF502" i="1"/>
  <c r="AF510" i="1"/>
  <c r="AF518" i="1"/>
  <c r="AF526" i="1"/>
  <c r="AF534" i="1"/>
  <c r="AF542" i="1"/>
  <c r="AF550" i="1"/>
  <c r="AF558" i="1"/>
  <c r="AF566" i="1"/>
  <c r="AF574" i="1"/>
  <c r="AF582" i="1"/>
  <c r="AF590" i="1"/>
  <c r="AF598" i="1"/>
  <c r="AF606" i="1"/>
  <c r="AF614" i="1"/>
  <c r="AF622" i="1"/>
  <c r="AF630" i="1"/>
  <c r="AF638" i="1"/>
  <c r="AF646" i="1"/>
  <c r="AF654" i="1"/>
  <c r="AF665" i="1"/>
  <c r="AF5" i="1"/>
  <c r="AK301" i="1"/>
  <c r="AK374" i="1"/>
  <c r="AK398" i="1"/>
  <c r="AK644" i="1"/>
  <c r="AK599" i="1"/>
  <c r="AK395" i="1"/>
  <c r="AK266" i="1"/>
  <c r="AK303" i="1"/>
  <c r="AK252" i="1"/>
  <c r="AK323" i="1"/>
  <c r="AK512" i="1"/>
  <c r="AK356" i="1"/>
  <c r="AK333" i="1"/>
  <c r="AK411" i="1"/>
  <c r="AK380" i="1"/>
  <c r="AF343" i="1"/>
  <c r="AF351" i="1"/>
  <c r="AF359" i="1"/>
  <c r="AF367" i="1"/>
  <c r="AF375" i="1"/>
  <c r="AF383" i="1"/>
  <c r="AF391" i="1"/>
  <c r="AF399" i="1"/>
  <c r="AF407" i="1"/>
  <c r="AF415" i="1"/>
  <c r="AF423" i="1"/>
  <c r="AF431" i="1"/>
  <c r="AF439" i="1"/>
  <c r="AF447" i="1"/>
  <c r="AF455" i="1"/>
  <c r="AF463" i="1"/>
  <c r="AF471" i="1"/>
  <c r="AF479" i="1"/>
  <c r="AF487" i="1"/>
  <c r="AF495" i="1"/>
  <c r="AF503" i="1"/>
  <c r="AF511" i="1"/>
  <c r="AF519" i="1"/>
  <c r="AF527" i="1"/>
  <c r="AF535" i="1"/>
  <c r="AF543" i="1"/>
  <c r="AF551" i="1"/>
  <c r="AF559" i="1"/>
  <c r="AF567" i="1"/>
  <c r="AF575" i="1"/>
  <c r="AF583" i="1"/>
  <c r="AF591" i="1"/>
  <c r="AF599" i="1"/>
  <c r="AF607" i="1"/>
  <c r="AF615" i="1"/>
  <c r="AF623" i="1"/>
  <c r="AF631" i="1"/>
  <c r="AF639" i="1"/>
  <c r="AF647" i="1"/>
  <c r="AF655" i="1"/>
  <c r="AF666" i="1"/>
  <c r="AF4" i="1"/>
  <c r="AK330" i="1"/>
  <c r="AK245" i="1"/>
  <c r="AK384" i="1"/>
  <c r="AK135" i="1"/>
  <c r="AK142" i="1"/>
  <c r="AK453" i="1"/>
  <c r="AK355" i="1"/>
  <c r="AK633" i="1"/>
  <c r="AK609" i="1"/>
  <c r="AK391" i="1"/>
  <c r="AK378" i="1"/>
  <c r="AK552" i="1"/>
  <c r="AK653" i="1"/>
  <c r="AF663" i="1"/>
  <c r="AF7" i="1"/>
  <c r="AF272" i="1"/>
  <c r="AF280" i="1"/>
  <c r="AF288" i="1"/>
  <c r="AF296" i="1"/>
  <c r="AF304" i="1"/>
  <c r="AF312" i="1"/>
  <c r="AF320" i="1"/>
  <c r="AF328" i="1"/>
  <c r="AF336" i="1"/>
  <c r="AF344" i="1"/>
  <c r="AF352" i="1"/>
  <c r="AF360" i="1"/>
  <c r="AF368" i="1"/>
  <c r="AF376" i="1"/>
  <c r="AF384" i="1"/>
  <c r="AF392" i="1"/>
  <c r="AF400" i="1"/>
  <c r="AF408" i="1"/>
  <c r="AF416" i="1"/>
  <c r="AF424" i="1"/>
  <c r="AF432" i="1"/>
  <c r="AF440" i="1"/>
  <c r="AF448" i="1"/>
  <c r="AF456" i="1"/>
  <c r="AF464" i="1"/>
  <c r="AF472" i="1"/>
  <c r="AF480" i="1"/>
  <c r="AF488" i="1"/>
  <c r="AF496" i="1"/>
  <c r="AF504" i="1"/>
  <c r="AF512" i="1"/>
  <c r="AF520" i="1"/>
  <c r="AF528" i="1"/>
  <c r="AF536" i="1"/>
  <c r="AF544" i="1"/>
  <c r="AF552" i="1"/>
  <c r="AF560" i="1"/>
  <c r="AF568" i="1"/>
  <c r="AF576" i="1"/>
  <c r="AF584" i="1"/>
  <c r="AF592" i="1"/>
  <c r="AF600" i="1"/>
  <c r="AF608" i="1"/>
  <c r="AF616" i="1"/>
  <c r="AF624" i="1"/>
  <c r="AF632" i="1"/>
  <c r="AF640" i="1"/>
  <c r="AF648" i="1"/>
  <c r="AF656" i="1"/>
  <c r="AF14" i="1"/>
  <c r="AF667" i="1"/>
  <c r="AF3" i="1"/>
  <c r="AK210" i="1"/>
  <c r="AK228" i="1"/>
  <c r="AK539" i="1"/>
  <c r="AK248" i="1"/>
  <c r="AK241" i="1"/>
  <c r="AK541" i="1"/>
  <c r="AK385" i="1"/>
  <c r="AK401" i="1"/>
  <c r="AF105" i="1"/>
  <c r="AF113" i="1"/>
  <c r="AF121" i="1"/>
  <c r="AF129" i="1"/>
  <c r="AF137" i="1"/>
  <c r="AF145" i="1"/>
  <c r="AF153" i="1"/>
  <c r="AF161" i="1"/>
  <c r="AF169" i="1"/>
  <c r="AF177" i="1"/>
  <c r="AF185" i="1"/>
  <c r="AF193" i="1"/>
  <c r="AF201" i="1"/>
  <c r="AF209" i="1"/>
  <c r="AF217" i="1"/>
  <c r="AF225" i="1"/>
  <c r="AF233" i="1"/>
  <c r="AF241" i="1"/>
  <c r="AF249" i="1"/>
  <c r="AF257" i="1"/>
  <c r="AF265" i="1"/>
  <c r="AF273" i="1"/>
  <c r="AF281" i="1"/>
  <c r="AF289" i="1"/>
  <c r="AF297" i="1"/>
  <c r="AF305" i="1"/>
  <c r="AF313" i="1"/>
  <c r="AF321" i="1"/>
  <c r="AF329" i="1"/>
  <c r="AF337" i="1"/>
  <c r="AF345" i="1"/>
  <c r="AF353" i="1"/>
  <c r="AF361" i="1"/>
  <c r="AF369" i="1"/>
  <c r="AF377" i="1"/>
  <c r="AF385" i="1"/>
  <c r="AF393" i="1"/>
  <c r="AF401" i="1"/>
  <c r="AF409" i="1"/>
  <c r="AF417" i="1"/>
  <c r="AF425" i="1"/>
  <c r="AF433" i="1"/>
  <c r="AF441" i="1"/>
  <c r="AF449" i="1"/>
  <c r="AF457" i="1"/>
  <c r="AF465" i="1"/>
  <c r="AF473" i="1"/>
  <c r="AF481" i="1"/>
  <c r="AF489" i="1"/>
  <c r="AF497" i="1"/>
  <c r="AF505" i="1"/>
  <c r="AF513" i="1"/>
  <c r="AF521" i="1"/>
  <c r="AF529" i="1"/>
  <c r="AF537" i="1"/>
  <c r="AF545" i="1"/>
  <c r="AF553" i="1"/>
  <c r="AF561" i="1"/>
  <c r="AF569" i="1"/>
  <c r="AF577" i="1"/>
  <c r="AF585" i="1"/>
  <c r="AF593" i="1"/>
  <c r="AF601" i="1"/>
  <c r="AF609" i="1"/>
  <c r="AF617" i="1"/>
  <c r="AF625" i="1"/>
  <c r="AF633" i="1"/>
  <c r="AF641" i="1"/>
  <c r="AF649" i="1"/>
  <c r="AF657" i="1"/>
  <c r="AF13" i="1"/>
  <c r="AF668" i="1"/>
  <c r="AF2" i="1"/>
  <c r="AK336" i="1"/>
  <c r="AK203" i="1"/>
  <c r="AK291" i="1"/>
  <c r="AK318" i="1"/>
  <c r="AK299" i="1"/>
  <c r="AK321" i="1"/>
  <c r="AK396" i="1"/>
  <c r="AK70" i="1"/>
  <c r="AK434" i="1"/>
  <c r="AK454" i="1"/>
  <c r="AK557" i="1"/>
  <c r="AF34" i="1"/>
  <c r="AF50" i="1"/>
  <c r="AF66" i="1"/>
  <c r="AF82" i="1"/>
  <c r="AF98" i="1"/>
  <c r="AF114" i="1"/>
  <c r="AF130" i="1"/>
  <c r="AF146" i="1"/>
  <c r="AF162" i="1"/>
  <c r="AF178" i="1"/>
  <c r="AF186" i="1"/>
  <c r="AF210" i="1"/>
  <c r="AF226" i="1"/>
  <c r="AF242" i="1"/>
  <c r="AF258" i="1"/>
  <c r="AF274" i="1"/>
  <c r="AF290" i="1"/>
  <c r="AF306" i="1"/>
  <c r="AF322" i="1"/>
  <c r="AF338" i="1"/>
  <c r="AF354" i="1"/>
  <c r="AF370" i="1"/>
  <c r="AF386" i="1"/>
  <c r="AF402" i="1"/>
  <c r="AF418" i="1"/>
  <c r="AF442" i="1"/>
  <c r="AF458" i="1"/>
  <c r="AF474" i="1"/>
  <c r="AF490" i="1"/>
  <c r="AF506" i="1"/>
  <c r="AF514" i="1"/>
  <c r="AF522" i="1"/>
  <c r="AF530" i="1"/>
  <c r="AF538" i="1"/>
  <c r="AF554" i="1"/>
  <c r="AF562" i="1"/>
  <c r="AF570" i="1"/>
  <c r="AF578" i="1"/>
  <c r="AF586" i="1"/>
  <c r="AF594" i="1"/>
  <c r="AF602" i="1"/>
  <c r="AF610" i="1"/>
  <c r="AF618" i="1"/>
  <c r="AF626" i="1"/>
  <c r="AF634" i="1"/>
  <c r="AF642" i="1"/>
  <c r="AF650" i="1"/>
  <c r="AF658" i="1"/>
  <c r="AF12" i="1"/>
  <c r="AK15" i="1"/>
  <c r="AK108" i="1"/>
  <c r="AK412" i="1"/>
  <c r="AK566" i="1"/>
  <c r="AK536" i="1"/>
  <c r="AK156" i="1"/>
  <c r="AK519" i="1"/>
  <c r="AK407" i="1"/>
  <c r="AK444" i="1"/>
  <c r="AK240" i="1"/>
  <c r="AK413" i="1"/>
  <c r="AK399" i="1"/>
  <c r="AK420" i="1"/>
  <c r="AK339" i="1"/>
  <c r="AK439" i="1"/>
  <c r="AF18" i="1"/>
  <c r="AF26" i="1"/>
  <c r="AF42" i="1"/>
  <c r="AF58" i="1"/>
  <c r="AF74" i="1"/>
  <c r="AF90" i="1"/>
  <c r="AF106" i="1"/>
  <c r="AF122" i="1"/>
  <c r="AF138" i="1"/>
  <c r="AF154" i="1"/>
  <c r="AF170" i="1"/>
  <c r="AF194" i="1"/>
  <c r="AF202" i="1"/>
  <c r="AF218" i="1"/>
  <c r="AF234" i="1"/>
  <c r="AF250" i="1"/>
  <c r="AF266" i="1"/>
  <c r="AF282" i="1"/>
  <c r="AF298" i="1"/>
  <c r="AF314" i="1"/>
  <c r="AF330" i="1"/>
  <c r="AF346" i="1"/>
  <c r="AF362" i="1"/>
  <c r="AF378" i="1"/>
  <c r="AF394" i="1"/>
  <c r="AF410" i="1"/>
  <c r="AF426" i="1"/>
  <c r="AF434" i="1"/>
  <c r="AF450" i="1"/>
  <c r="AF466" i="1"/>
  <c r="AF482" i="1"/>
  <c r="AF498" i="1"/>
  <c r="AF546" i="1"/>
  <c r="AF339" i="1"/>
  <c r="AF347" i="1"/>
  <c r="AF355" i="1"/>
  <c r="AF363" i="1"/>
  <c r="AF371" i="1"/>
  <c r="AF379" i="1"/>
  <c r="AF387" i="1"/>
  <c r="AF395" i="1"/>
  <c r="AF403" i="1"/>
  <c r="AF411" i="1"/>
  <c r="AF419" i="1"/>
  <c r="AF427" i="1"/>
  <c r="AF435" i="1"/>
  <c r="AF443" i="1"/>
  <c r="AF451" i="1"/>
  <c r="AF459" i="1"/>
  <c r="AF467" i="1"/>
  <c r="AF475" i="1"/>
  <c r="AF483" i="1"/>
  <c r="AF491" i="1"/>
  <c r="AF499" i="1"/>
  <c r="AF507" i="1"/>
  <c r="AF515" i="1"/>
  <c r="AF523" i="1"/>
  <c r="AF531" i="1"/>
  <c r="AF539" i="1"/>
  <c r="AF547" i="1"/>
  <c r="AF555" i="1"/>
  <c r="AF563" i="1"/>
  <c r="AF571" i="1"/>
  <c r="AF579" i="1"/>
  <c r="AF587" i="1"/>
  <c r="AF595" i="1"/>
  <c r="AF603" i="1"/>
  <c r="AF611" i="1"/>
  <c r="AF619" i="1"/>
  <c r="AF627" i="1"/>
  <c r="AF635" i="1"/>
  <c r="AF643" i="1"/>
  <c r="AF651" i="1"/>
  <c r="AF662" i="1"/>
  <c r="AF8" i="1"/>
  <c r="AK346" i="1"/>
  <c r="AK105" i="1"/>
  <c r="AK461" i="1"/>
  <c r="AK247" i="1"/>
  <c r="AK191" i="1"/>
  <c r="AK387" i="1"/>
  <c r="AK386" i="1"/>
  <c r="AK503" i="1"/>
  <c r="AK101" i="1"/>
  <c r="AK464" i="1"/>
  <c r="AK239" i="1"/>
  <c r="AK457" i="1"/>
  <c r="AK648" i="1"/>
  <c r="AK173" i="1"/>
  <c r="AK207" i="1"/>
  <c r="AK518" i="1"/>
  <c r="AK570" i="1"/>
  <c r="AK421" i="1"/>
  <c r="AK597" i="1"/>
  <c r="AK548" i="1"/>
  <c r="AK563" i="1"/>
  <c r="AK515" i="1"/>
  <c r="AK595" i="1"/>
  <c r="AK555" i="1"/>
  <c r="AK606" i="1"/>
  <c r="AK554" i="1"/>
  <c r="AK642" i="1"/>
  <c r="AK604" i="1"/>
  <c r="AK652" i="1"/>
  <c r="AK650" i="1"/>
  <c r="AK533" i="1"/>
  <c r="AK509" i="1"/>
  <c r="AK620" i="1"/>
  <c r="AK643" i="1"/>
  <c r="AK558" i="1"/>
  <c r="AK357" i="1"/>
  <c r="AK484" i="1"/>
  <c r="AK441" i="1"/>
  <c r="AK516" i="1"/>
  <c r="AK592" i="1"/>
  <c r="AK435" i="1"/>
  <c r="AK424" i="1"/>
  <c r="AK373" i="1"/>
  <c r="AK381" i="1"/>
  <c r="AK437" i="1"/>
  <c r="AK499" i="1"/>
  <c r="AK574" i="1"/>
  <c r="AK400" i="1"/>
  <c r="AK593" i="1"/>
  <c r="AK590" i="1"/>
  <c r="AK440" i="1"/>
  <c r="AK568" i="1"/>
  <c r="AK616" i="1"/>
  <c r="AK602" i="1"/>
  <c r="AK627" i="1"/>
  <c r="AK626" i="1"/>
  <c r="AK466" i="1"/>
  <c r="AK491" i="1"/>
  <c r="AK607" i="1"/>
  <c r="AK438" i="1"/>
  <c r="AK14" i="1"/>
  <c r="AK6" i="1"/>
  <c r="AU644" i="1"/>
  <c r="AU599" i="1"/>
  <c r="AK629" i="1"/>
  <c r="AK426" i="1"/>
  <c r="AK390" i="1"/>
  <c r="AK394" i="1"/>
  <c r="AK560" i="1"/>
  <c r="AK537" i="1"/>
  <c r="AK172" i="1"/>
  <c r="AK478" i="1"/>
  <c r="AK415" i="1"/>
  <c r="AK526" i="1"/>
  <c r="AK585" i="1"/>
  <c r="AK433" i="1"/>
  <c r="AK470" i="1"/>
  <c r="AK630" i="1"/>
  <c r="AK471" i="1"/>
  <c r="AK393" i="1"/>
  <c r="AK551" i="1"/>
  <c r="AK582" i="1"/>
  <c r="AK601" i="1"/>
  <c r="AK522" i="1"/>
  <c r="AK480" i="1"/>
  <c r="AK416" i="1"/>
  <c r="AK465" i="1"/>
  <c r="AK647" i="1"/>
  <c r="AK282" i="1"/>
  <c r="AK641" i="1"/>
  <c r="AK632" i="1"/>
  <c r="AK610" i="1"/>
  <c r="AK640" i="1"/>
  <c r="AK556" i="1"/>
  <c r="AK605" i="1"/>
  <c r="AK13" i="1"/>
  <c r="AK5" i="1"/>
  <c r="AU660" i="1"/>
  <c r="AU105" i="1"/>
  <c r="AK455" i="1"/>
  <c r="AK405" i="1"/>
  <c r="AK447" i="1"/>
  <c r="AK578" i="1"/>
  <c r="AK343" i="1"/>
  <c r="AK370" i="1"/>
  <c r="AK474" i="1"/>
  <c r="AK476" i="1"/>
  <c r="AK469" i="1"/>
  <c r="AK302" i="1"/>
  <c r="AK637" i="1"/>
  <c r="AK598" i="1"/>
  <c r="AK475" i="1"/>
  <c r="AK591" i="1"/>
  <c r="AK524" i="1"/>
  <c r="AK546" i="1"/>
  <c r="AK501" i="1"/>
  <c r="AK587" i="1"/>
  <c r="AK227" i="1"/>
  <c r="AK532" i="1"/>
  <c r="AK483" i="1"/>
  <c r="AK358" i="1"/>
  <c r="AK446" i="1"/>
  <c r="AK589" i="1"/>
  <c r="AK540" i="1"/>
  <c r="AK392" i="1"/>
  <c r="AK615" i="1"/>
  <c r="AK511" i="1"/>
  <c r="AK525" i="1"/>
  <c r="AK543" i="1"/>
  <c r="AK594" i="1"/>
  <c r="AK428" i="1"/>
  <c r="AK628" i="1"/>
  <c r="AK12" i="1"/>
  <c r="AK4" i="1"/>
  <c r="AU659" i="1"/>
  <c r="AK319" i="1"/>
  <c r="AK504" i="1"/>
  <c r="AK363" i="1"/>
  <c r="AK445" i="1"/>
  <c r="AK507" i="1"/>
  <c r="AK211" i="1"/>
  <c r="AK468" i="1"/>
  <c r="AK458" i="1"/>
  <c r="AK576" i="1"/>
  <c r="AK508" i="1"/>
  <c r="AK485" i="1"/>
  <c r="AK561" i="1"/>
  <c r="AK544" i="1"/>
  <c r="AK510" i="1"/>
  <c r="AK538" i="1"/>
  <c r="AK208" i="1"/>
  <c r="AK572" i="1"/>
  <c r="AK542" i="1"/>
  <c r="AK521" i="1"/>
  <c r="AK481" i="1"/>
  <c r="AK341" i="1"/>
  <c r="AK621" i="1"/>
  <c r="AK654" i="1"/>
  <c r="AK618" i="1"/>
  <c r="AK580" i="1"/>
  <c r="AK517" i="1"/>
  <c r="AK588" i="1"/>
  <c r="AK549" i="1"/>
  <c r="AK3" i="1"/>
  <c r="AU365" i="1"/>
  <c r="AK406" i="1"/>
  <c r="AK622" i="1"/>
  <c r="AK322" i="1"/>
  <c r="AK309" i="1"/>
  <c r="AK377" i="1"/>
  <c r="AK487" i="1"/>
  <c r="AK513" i="1"/>
  <c r="AK482" i="1"/>
  <c r="AK531" i="1"/>
  <c r="AK492" i="1"/>
  <c r="AK603" i="1"/>
  <c r="AK612" i="1"/>
  <c r="AK493" i="1"/>
  <c r="AK617" i="1"/>
  <c r="AK488" i="1"/>
  <c r="AK402" i="1"/>
  <c r="AK267" i="1"/>
  <c r="AK427" i="1"/>
  <c r="AK573" i="1"/>
  <c r="AK625" i="1"/>
  <c r="AK564" i="1"/>
  <c r="AK448" i="1"/>
  <c r="AK419" i="1"/>
  <c r="AK505" i="1"/>
  <c r="AK619" i="1"/>
  <c r="AK634" i="1"/>
  <c r="AK486" i="1"/>
  <c r="AK649" i="1"/>
  <c r="AK577" i="1"/>
  <c r="AK451" i="1"/>
  <c r="AK624" i="1"/>
  <c r="AK10" i="1"/>
  <c r="AK2" i="1"/>
  <c r="AU332" i="1"/>
  <c r="AU301" i="1"/>
  <c r="AU135" i="1"/>
  <c r="AU539" i="1"/>
  <c r="AK316" i="1"/>
  <c r="AK645" i="1"/>
  <c r="AK389" i="1"/>
  <c r="AK559" i="1"/>
  <c r="AK567" i="1"/>
  <c r="AK584" i="1"/>
  <c r="AK414" i="1"/>
  <c r="AK409" i="1"/>
  <c r="AK639" i="1"/>
  <c r="AK193" i="1"/>
  <c r="AK530" i="1"/>
  <c r="AK372" i="1"/>
  <c r="AK527" i="1"/>
  <c r="AK575" i="1"/>
  <c r="AK288" i="1"/>
  <c r="AK489" i="1"/>
  <c r="AK611" i="1"/>
  <c r="AK295" i="1"/>
  <c r="AK383" i="1"/>
  <c r="AK651" i="1"/>
  <c r="AK320" i="1"/>
  <c r="AK638" i="1"/>
  <c r="AK294" i="1"/>
  <c r="AK545" i="1"/>
  <c r="AK581" i="1"/>
  <c r="AK613" i="1"/>
  <c r="AK506" i="1"/>
  <c r="AK596" i="1"/>
  <c r="AK450" i="1"/>
  <c r="AK660" i="1"/>
  <c r="AU460" i="1"/>
  <c r="AU384" i="1"/>
  <c r="AU296" i="1"/>
  <c r="AK520" i="1"/>
  <c r="AK410" i="1"/>
  <c r="AK494" i="1"/>
  <c r="AK614" i="1"/>
  <c r="AK436" i="1"/>
  <c r="AK456" i="1"/>
  <c r="AK608" i="1"/>
  <c r="AK496" i="1"/>
  <c r="AK253" i="1"/>
  <c r="AK579" i="1"/>
  <c r="AK502" i="1"/>
  <c r="AK550" i="1"/>
  <c r="AK317" i="1"/>
  <c r="AK571" i="1"/>
  <c r="AK553" i="1"/>
  <c r="AK646" i="1"/>
  <c r="AK534" i="1"/>
  <c r="AK472" i="1"/>
  <c r="AK262" i="1"/>
  <c r="AK345" i="1"/>
  <c r="AK449" i="1"/>
  <c r="AK636" i="1"/>
  <c r="AK529" i="1"/>
  <c r="AK635" i="1"/>
  <c r="AK366" i="1"/>
  <c r="AK586" i="1"/>
  <c r="AK473" i="1"/>
  <c r="AK623" i="1"/>
  <c r="AK523" i="1"/>
  <c r="AK583" i="1"/>
  <c r="AK500" i="1"/>
  <c r="AK631" i="1"/>
  <c r="AK8" i="1"/>
  <c r="AK659" i="1"/>
  <c r="AU11" i="1"/>
  <c r="AU209" i="1"/>
  <c r="AU228" i="1"/>
  <c r="AK7" i="1"/>
  <c r="AK661" i="1"/>
  <c r="AP7" i="1"/>
  <c r="AP15" i="1"/>
  <c r="AU412" i="1"/>
  <c r="AU566" i="1"/>
  <c r="AU398" i="1"/>
  <c r="AU299" i="1"/>
  <c r="AU173" i="1"/>
  <c r="AU664" i="1"/>
  <c r="AU275" i="1"/>
  <c r="AU356" i="1"/>
  <c r="AU385" i="1"/>
  <c r="AU444" i="1"/>
  <c r="AU240" i="1"/>
  <c r="AU410" i="1"/>
  <c r="AU418" i="1"/>
  <c r="AU390" i="1"/>
  <c r="AU394" i="1"/>
  <c r="AU560" i="1"/>
  <c r="AU537" i="1"/>
  <c r="AU172" i="1"/>
  <c r="AU478" i="1"/>
  <c r="AU415" i="1"/>
  <c r="AU526" i="1"/>
  <c r="AU637" i="1"/>
  <c r="AU598" i="1"/>
  <c r="AU475" i="1"/>
  <c r="AU591" i="1"/>
  <c r="AU524" i="1"/>
  <c r="AU546" i="1"/>
  <c r="AU501" i="1"/>
  <c r="AU587" i="1"/>
  <c r="AU573" i="1"/>
  <c r="AU625" i="1"/>
  <c r="AU564" i="1"/>
  <c r="AU529" i="1"/>
  <c r="AU635" i="1"/>
  <c r="AU366" i="1"/>
  <c r="AU586" i="1"/>
  <c r="AU473" i="1"/>
  <c r="AU623" i="1"/>
  <c r="AU523" i="1"/>
  <c r="AU583" i="1"/>
  <c r="AU438" i="1"/>
  <c r="AU108" i="1"/>
  <c r="AU234" i="1"/>
  <c r="AU256" i="1"/>
  <c r="AU388" i="1"/>
  <c r="AZ461" i="1"/>
  <c r="AZ453" i="1"/>
  <c r="AZ355" i="1"/>
  <c r="AZ657" i="1"/>
  <c r="AZ13" i="1"/>
  <c r="AZ467" i="1"/>
  <c r="AZ326" i="1"/>
  <c r="AZ378" i="1"/>
  <c r="AZ351" i="1"/>
  <c r="AZ454" i="1"/>
  <c r="AZ413" i="1"/>
  <c r="AZ399" i="1"/>
  <c r="AZ547" i="1"/>
  <c r="AZ495" i="1"/>
  <c r="AZ172" i="1"/>
  <c r="AZ478" i="1"/>
  <c r="AZ415" i="1"/>
  <c r="AZ526" i="1"/>
  <c r="AZ637" i="1"/>
  <c r="AZ598" i="1"/>
  <c r="AZ475" i="1"/>
  <c r="AZ591" i="1"/>
  <c r="AZ524" i="1"/>
  <c r="AZ546" i="1"/>
  <c r="AZ538" i="1"/>
  <c r="AZ208" i="1"/>
  <c r="AZ288" i="1"/>
  <c r="AZ515" i="1"/>
  <c r="AZ595" i="1"/>
  <c r="AZ440" i="1"/>
  <c r="AZ568" i="1"/>
  <c r="AZ540" i="1"/>
  <c r="AZ505" i="1"/>
  <c r="AZ586" i="1"/>
  <c r="AZ473" i="1"/>
  <c r="AZ650" i="1"/>
  <c r="AZ533" i="1"/>
  <c r="AZ509" i="1"/>
  <c r="AZ628" i="1"/>
  <c r="AZ140" i="1"/>
  <c r="AZ148" i="1"/>
  <c r="AZ531" i="1"/>
  <c r="AZ283" i="1"/>
  <c r="AZ450" i="1"/>
  <c r="AU536" i="1"/>
  <c r="AU303" i="1"/>
  <c r="AU323" i="1"/>
  <c r="AU457" i="1"/>
  <c r="AU648" i="1"/>
  <c r="AU207" i="1"/>
  <c r="AU340" i="1"/>
  <c r="AU236" i="1"/>
  <c r="AU405" i="1"/>
  <c r="AU447" i="1"/>
  <c r="AU578" i="1"/>
  <c r="AU343" i="1"/>
  <c r="AU370" i="1"/>
  <c r="AU476" i="1"/>
  <c r="AU469" i="1"/>
  <c r="AU302" i="1"/>
  <c r="AU508" i="1"/>
  <c r="AU485" i="1"/>
  <c r="AU561" i="1"/>
  <c r="AU544" i="1"/>
  <c r="AU510" i="1"/>
  <c r="AU538" i="1"/>
  <c r="AU208" i="1"/>
  <c r="AU572" i="1"/>
  <c r="AU489" i="1"/>
  <c r="AU611" i="1"/>
  <c r="AU295" i="1"/>
  <c r="AU383" i="1"/>
  <c r="AU554" i="1"/>
  <c r="AU642" i="1"/>
  <c r="AU604" i="1"/>
  <c r="AU652" i="1"/>
  <c r="AU662" i="1"/>
  <c r="AU650" i="1"/>
  <c r="AU533" i="1"/>
  <c r="AU509" i="1"/>
  <c r="AU605" i="1"/>
  <c r="AU416" i="1"/>
  <c r="AU324" i="1"/>
  <c r="AU341" i="1"/>
  <c r="AU339" i="1"/>
  <c r="AZ105" i="1"/>
  <c r="AZ248" i="1"/>
  <c r="AZ275" i="1"/>
  <c r="AZ356" i="1"/>
  <c r="AZ385" i="1"/>
  <c r="AZ444" i="1"/>
  <c r="AZ240" i="1"/>
  <c r="AZ410" i="1"/>
  <c r="AZ418" i="1"/>
  <c r="AZ390" i="1"/>
  <c r="AZ394" i="1"/>
  <c r="AZ560" i="1"/>
  <c r="AZ537" i="1"/>
  <c r="AZ370" i="1"/>
  <c r="AZ476" i="1"/>
  <c r="AZ469" i="1"/>
  <c r="AZ302" i="1"/>
  <c r="AZ508" i="1"/>
  <c r="AZ485" i="1"/>
  <c r="AZ561" i="1"/>
  <c r="AZ544" i="1"/>
  <c r="AZ510" i="1"/>
  <c r="AZ488" i="1"/>
  <c r="AZ402" i="1"/>
  <c r="AZ400" i="1"/>
  <c r="AZ593" i="1"/>
  <c r="AZ590" i="1"/>
  <c r="AZ589" i="1"/>
  <c r="AZ621" i="1"/>
  <c r="AZ638" i="1"/>
  <c r="AZ652" i="1"/>
  <c r="AZ626" i="1"/>
  <c r="AZ466" i="1"/>
  <c r="AZ491" i="1"/>
  <c r="AZ607" i="1"/>
  <c r="AZ624" i="1"/>
  <c r="AZ189" i="1"/>
  <c r="AZ267" i="1"/>
  <c r="AZ295" i="1"/>
  <c r="AU198" i="1"/>
  <c r="AU273" i="1"/>
  <c r="AU266" i="1"/>
  <c r="AU609" i="1"/>
  <c r="AU176" i="1"/>
  <c r="AU656" i="1"/>
  <c r="AU429" i="1"/>
  <c r="AU379" i="1"/>
  <c r="AU425" i="1"/>
  <c r="AU432" i="1"/>
  <c r="AU359" i="1"/>
  <c r="AU362" i="1"/>
  <c r="AU363" i="1"/>
  <c r="AU445" i="1"/>
  <c r="AU507" i="1"/>
  <c r="AU211" i="1"/>
  <c r="AU468" i="1"/>
  <c r="AU458" i="1"/>
  <c r="AU576" i="1"/>
  <c r="AU492" i="1"/>
  <c r="AU603" i="1"/>
  <c r="AU612" i="1"/>
  <c r="AU493" i="1"/>
  <c r="AU617" i="1"/>
  <c r="AU488" i="1"/>
  <c r="AU402" i="1"/>
  <c r="AU288" i="1"/>
  <c r="AU262" i="1"/>
  <c r="AU345" i="1"/>
  <c r="AU449" i="1"/>
  <c r="AU636" i="1"/>
  <c r="AU616" i="1"/>
  <c r="AU668" i="1"/>
  <c r="AU602" i="1"/>
  <c r="AU627" i="1"/>
  <c r="AU626" i="1"/>
  <c r="AU466" i="1"/>
  <c r="AU491" i="1"/>
  <c r="AU607" i="1"/>
  <c r="AU628" i="1"/>
  <c r="AU549" i="1"/>
  <c r="AU166" i="1"/>
  <c r="AU443" i="1"/>
  <c r="AZ142" i="1"/>
  <c r="AZ299" i="1"/>
  <c r="AZ173" i="1"/>
  <c r="AZ303" i="1"/>
  <c r="AZ323" i="1"/>
  <c r="AZ457" i="1"/>
  <c r="AZ648" i="1"/>
  <c r="AZ207" i="1"/>
  <c r="AZ340" i="1"/>
  <c r="AZ236" i="1"/>
  <c r="AZ405" i="1"/>
  <c r="AZ447" i="1"/>
  <c r="AZ578" i="1"/>
  <c r="AZ343" i="1"/>
  <c r="AZ468" i="1"/>
  <c r="AZ458" i="1"/>
  <c r="AZ576" i="1"/>
  <c r="AZ492" i="1"/>
  <c r="AZ603" i="1"/>
  <c r="AZ612" i="1"/>
  <c r="AZ493" i="1"/>
  <c r="AZ617" i="1"/>
  <c r="AZ527" i="1"/>
  <c r="AZ575" i="1"/>
  <c r="AZ601" i="1"/>
  <c r="AZ480" i="1"/>
  <c r="AZ446" i="1"/>
  <c r="AZ448" i="1"/>
  <c r="AZ419" i="1"/>
  <c r="AZ366" i="1"/>
  <c r="AZ627" i="1"/>
  <c r="AZ632" i="1"/>
  <c r="AZ610" i="1"/>
  <c r="AZ640" i="1"/>
  <c r="AZ556" i="1"/>
  <c r="AZ631" i="1"/>
  <c r="AZ512" i="1"/>
  <c r="AZ423" i="1"/>
  <c r="AZ428" i="1"/>
  <c r="AU665" i="1"/>
  <c r="AU206" i="1"/>
  <c r="AU633" i="1"/>
  <c r="AU541" i="1"/>
  <c r="AU274" i="1"/>
  <c r="AU380" i="1"/>
  <c r="AU629" i="1"/>
  <c r="AU455" i="1"/>
  <c r="AU322" i="1"/>
  <c r="AU309" i="1"/>
  <c r="AU666" i="1"/>
  <c r="AU377" i="1"/>
  <c r="AU487" i="1"/>
  <c r="AU513" i="1"/>
  <c r="AU482" i="1"/>
  <c r="AU196" i="1"/>
  <c r="AU409" i="1"/>
  <c r="AU639" i="1"/>
  <c r="AU193" i="1"/>
  <c r="AU372" i="1"/>
  <c r="AU527" i="1"/>
  <c r="AU575" i="1"/>
  <c r="AU283" i="1"/>
  <c r="AU515" i="1"/>
  <c r="AU595" i="1"/>
  <c r="AU555" i="1"/>
  <c r="AU606" i="1"/>
  <c r="AU465" i="1"/>
  <c r="AU647" i="1"/>
  <c r="AU641" i="1"/>
  <c r="AU632" i="1"/>
  <c r="AU610" i="1"/>
  <c r="AU640" i="1"/>
  <c r="AU556" i="1"/>
  <c r="AU663" i="1"/>
  <c r="AU655" i="1"/>
  <c r="AU284" i="1"/>
  <c r="AU235" i="1"/>
  <c r="AZ442" i="1"/>
  <c r="AZ365" i="1"/>
  <c r="AZ398" i="1"/>
  <c r="AZ536" i="1"/>
  <c r="AZ609" i="1"/>
  <c r="AZ656" i="1"/>
  <c r="AZ14" i="1"/>
  <c r="AZ429" i="1"/>
  <c r="AZ379" i="1"/>
  <c r="AZ425" i="1"/>
  <c r="AZ432" i="1"/>
  <c r="AZ359" i="1"/>
  <c r="AZ362" i="1"/>
  <c r="AZ363" i="1"/>
  <c r="AZ445" i="1"/>
  <c r="AZ507" i="1"/>
  <c r="AZ211" i="1"/>
  <c r="AZ377" i="1"/>
  <c r="AZ487" i="1"/>
  <c r="AZ513" i="1"/>
  <c r="AZ482" i="1"/>
  <c r="AZ196" i="1"/>
  <c r="AZ409" i="1"/>
  <c r="AZ639" i="1"/>
  <c r="AZ193" i="1"/>
  <c r="AZ372" i="1"/>
  <c r="AZ646" i="1"/>
  <c r="AZ534" i="1"/>
  <c r="AZ532" i="1"/>
  <c r="AZ483" i="1"/>
  <c r="AZ358" i="1"/>
  <c r="AZ651" i="1"/>
  <c r="AZ320" i="1"/>
  <c r="AZ604" i="1"/>
  <c r="AZ641" i="1"/>
  <c r="AZ525" i="1"/>
  <c r="AZ543" i="1"/>
  <c r="AZ594" i="1"/>
  <c r="AZ596" i="1"/>
  <c r="AZ643" i="1"/>
  <c r="AZ243" i="1"/>
  <c r="AZ426" i="1"/>
  <c r="AZ279" i="1"/>
  <c r="AZ451" i="1"/>
  <c r="AU342" i="1"/>
  <c r="AU528" i="1"/>
  <c r="AU310" i="1"/>
  <c r="AU407" i="1"/>
  <c r="AU239" i="1"/>
  <c r="AU352" i="1"/>
  <c r="AU411" i="1"/>
  <c r="AU319" i="1"/>
  <c r="AU439" i="1"/>
  <c r="AU316" i="1"/>
  <c r="AU645" i="1"/>
  <c r="AU389" i="1"/>
  <c r="AU559" i="1"/>
  <c r="AU567" i="1"/>
  <c r="AU584" i="1"/>
  <c r="AU253" i="1"/>
  <c r="AU579" i="1"/>
  <c r="AU502" i="1"/>
  <c r="AU550" i="1"/>
  <c r="AU317" i="1"/>
  <c r="AU571" i="1"/>
  <c r="AU553" i="1"/>
  <c r="AU646" i="1"/>
  <c r="AU534" i="1"/>
  <c r="AU400" i="1"/>
  <c r="AU593" i="1"/>
  <c r="AU590" i="1"/>
  <c r="AU440" i="1"/>
  <c r="AU568" i="1"/>
  <c r="AU540" i="1"/>
  <c r="AU392" i="1"/>
  <c r="AU615" i="1"/>
  <c r="AU511" i="1"/>
  <c r="AU525" i="1"/>
  <c r="AU543" i="1"/>
  <c r="AU594" i="1"/>
  <c r="AU451" i="1"/>
  <c r="AU624" i="1"/>
  <c r="AU140" i="1"/>
  <c r="AU148" i="1"/>
  <c r="AU531" i="1"/>
  <c r="AZ332" i="1"/>
  <c r="AZ301" i="1"/>
  <c r="AZ374" i="1"/>
  <c r="AZ135" i="1"/>
  <c r="AZ539" i="1"/>
  <c r="AZ273" i="1"/>
  <c r="AZ541" i="1"/>
  <c r="AZ274" i="1"/>
  <c r="AZ380" i="1"/>
  <c r="AZ629" i="1"/>
  <c r="AZ455" i="1"/>
  <c r="AZ322" i="1"/>
  <c r="AZ309" i="1"/>
  <c r="AZ645" i="1"/>
  <c r="AZ389" i="1"/>
  <c r="AZ559" i="1"/>
  <c r="AZ567" i="1"/>
  <c r="AZ584" i="1"/>
  <c r="AZ253" i="1"/>
  <c r="AZ579" i="1"/>
  <c r="AZ502" i="1"/>
  <c r="AZ550" i="1"/>
  <c r="AZ317" i="1"/>
  <c r="AZ571" i="1"/>
  <c r="AZ553" i="1"/>
  <c r="AZ563" i="1"/>
  <c r="AZ574" i="1"/>
  <c r="AZ542" i="1"/>
  <c r="AZ521" i="1"/>
  <c r="AZ564" i="1"/>
  <c r="AZ529" i="1"/>
  <c r="AZ635" i="1"/>
  <c r="AZ602" i="1"/>
  <c r="AZ511" i="1"/>
  <c r="AZ658" i="1"/>
  <c r="AZ12" i="1"/>
  <c r="AZ517" i="1"/>
  <c r="AZ588" i="1"/>
  <c r="AZ500" i="1"/>
  <c r="AZ108" i="1"/>
  <c r="AZ234" i="1"/>
  <c r="AZ256" i="1"/>
  <c r="AZ392" i="1"/>
  <c r="AU519" i="1"/>
  <c r="AU653" i="1"/>
  <c r="AU622" i="1"/>
  <c r="AU614" i="1"/>
  <c r="AU456" i="1"/>
  <c r="AU608" i="1"/>
  <c r="AU496" i="1"/>
  <c r="AU349" i="1"/>
  <c r="AU570" i="1"/>
  <c r="AU490" i="1"/>
  <c r="AU421" i="1"/>
  <c r="AU597" i="1"/>
  <c r="AU548" i="1"/>
  <c r="AU452" i="1"/>
  <c r="AU563" i="1"/>
  <c r="AU667" i="1"/>
  <c r="AU601" i="1"/>
  <c r="AU480" i="1"/>
  <c r="AU589" i="1"/>
  <c r="AU621" i="1"/>
  <c r="AU654" i="1"/>
  <c r="AU618" i="1"/>
  <c r="AU580" i="1"/>
  <c r="AU658" i="1"/>
  <c r="AU517" i="1"/>
  <c r="AU588" i="1"/>
  <c r="AU596" i="1"/>
  <c r="AU450" i="1"/>
  <c r="AU277" i="1"/>
  <c r="AU267" i="1"/>
  <c r="AZ198" i="1"/>
  <c r="AZ633" i="1"/>
  <c r="AZ407" i="1"/>
  <c r="AZ239" i="1"/>
  <c r="AZ352" i="1"/>
  <c r="AZ411" i="1"/>
  <c r="AZ439" i="1"/>
  <c r="AZ456" i="1"/>
  <c r="AZ608" i="1"/>
  <c r="AZ496" i="1"/>
  <c r="AZ349" i="1"/>
  <c r="AZ570" i="1"/>
  <c r="AZ490" i="1"/>
  <c r="AZ421" i="1"/>
  <c r="AZ597" i="1"/>
  <c r="AZ548" i="1"/>
  <c r="AZ452" i="1"/>
  <c r="AZ499" i="1"/>
  <c r="AZ582" i="1"/>
  <c r="AZ573" i="1"/>
  <c r="AZ625" i="1"/>
  <c r="AZ383" i="1"/>
  <c r="AZ554" i="1"/>
  <c r="AZ642" i="1"/>
  <c r="AZ615" i="1"/>
  <c r="AZ580" i="1"/>
  <c r="AZ486" i="1"/>
  <c r="AZ649" i="1"/>
  <c r="AZ577" i="1"/>
  <c r="AZ620" i="1"/>
  <c r="AZ416" i="1"/>
  <c r="AZ324" i="1"/>
  <c r="AZ341" i="1"/>
  <c r="AZ339" i="1"/>
  <c r="AU453" i="1"/>
  <c r="AU355" i="1"/>
  <c r="AU657" i="1"/>
  <c r="AU503" i="1"/>
  <c r="AU333" i="1"/>
  <c r="AU552" i="1"/>
  <c r="AU401" i="1"/>
  <c r="AU557" i="1"/>
  <c r="AU406" i="1"/>
  <c r="AU420" i="1"/>
  <c r="AU600" i="1"/>
  <c r="AU479" i="1"/>
  <c r="AU150" i="1"/>
  <c r="AU334" i="1"/>
  <c r="AU518" i="1"/>
  <c r="AU569" i="1"/>
  <c r="AU514" i="1"/>
  <c r="AU516" i="1"/>
  <c r="AU592" i="1"/>
  <c r="AU424" i="1"/>
  <c r="AU373" i="1"/>
  <c r="AU381" i="1"/>
  <c r="AU437" i="1"/>
  <c r="AU499" i="1"/>
  <c r="AU574" i="1"/>
  <c r="AU532" i="1"/>
  <c r="AU483" i="1"/>
  <c r="AU358" i="1"/>
  <c r="AU446" i="1"/>
  <c r="AU448" i="1"/>
  <c r="AU419" i="1"/>
  <c r="AU505" i="1"/>
  <c r="AU619" i="1"/>
  <c r="AU634" i="1"/>
  <c r="AU486" i="1"/>
  <c r="AU649" i="1"/>
  <c r="AU577" i="1"/>
  <c r="AU500" i="1"/>
  <c r="AU631" i="1"/>
  <c r="AU512" i="1"/>
  <c r="AU423" i="1"/>
  <c r="AU428" i="1"/>
  <c r="AZ342" i="1"/>
  <c r="AZ310" i="1"/>
  <c r="AZ519" i="1"/>
  <c r="AZ464" i="1"/>
  <c r="AZ653" i="1"/>
  <c r="AZ622" i="1"/>
  <c r="AZ494" i="1"/>
  <c r="AZ614" i="1"/>
  <c r="AZ334" i="1"/>
  <c r="AZ518" i="1"/>
  <c r="AZ569" i="1"/>
  <c r="AZ514" i="1"/>
  <c r="AZ516" i="1"/>
  <c r="AZ592" i="1"/>
  <c r="AZ424" i="1"/>
  <c r="AZ373" i="1"/>
  <c r="AZ381" i="1"/>
  <c r="AZ437" i="1"/>
  <c r="AZ551" i="1"/>
  <c r="AZ489" i="1"/>
  <c r="AZ611" i="1"/>
  <c r="AZ449" i="1"/>
  <c r="AZ636" i="1"/>
  <c r="AZ616" i="1"/>
  <c r="AZ647" i="1"/>
  <c r="AZ618" i="1"/>
  <c r="AZ634" i="1"/>
  <c r="AZ581" i="1"/>
  <c r="AZ613" i="1"/>
  <c r="AZ506" i="1"/>
  <c r="AZ438" i="1"/>
  <c r="AZ549" i="1"/>
  <c r="AZ166" i="1"/>
  <c r="AZ443" i="1"/>
  <c r="AZ294" i="1"/>
  <c r="AU248" i="1"/>
  <c r="AU467" i="1"/>
  <c r="AU326" i="1"/>
  <c r="AU378" i="1"/>
  <c r="AU454" i="1"/>
  <c r="AU413" i="1"/>
  <c r="AU399" i="1"/>
  <c r="AU547" i="1"/>
  <c r="AU495" i="1"/>
  <c r="AU364" i="1"/>
  <c r="AU558" i="1"/>
  <c r="AU357" i="1"/>
  <c r="AU484" i="1"/>
  <c r="AU441" i="1"/>
  <c r="AU585" i="1"/>
  <c r="AU433" i="1"/>
  <c r="AU470" i="1"/>
  <c r="AU630" i="1"/>
  <c r="AU471" i="1"/>
  <c r="AU551" i="1"/>
  <c r="AU582" i="1"/>
  <c r="AU542" i="1"/>
  <c r="AU521" i="1"/>
  <c r="AU481" i="1"/>
  <c r="AU651" i="1"/>
  <c r="AU320" i="1"/>
  <c r="AU638" i="1"/>
  <c r="AU294" i="1"/>
  <c r="AU545" i="1"/>
  <c r="AU581" i="1"/>
  <c r="AU613" i="1"/>
  <c r="AU506" i="1"/>
  <c r="AU620" i="1"/>
  <c r="AU643" i="1"/>
  <c r="AU243" i="1"/>
  <c r="AU426" i="1"/>
  <c r="AU279" i="1"/>
  <c r="AZ210" i="1"/>
  <c r="AZ286" i="1"/>
  <c r="AZ412" i="1"/>
  <c r="AZ566" i="1"/>
  <c r="AZ644" i="1"/>
  <c r="AZ599" i="1"/>
  <c r="AZ503" i="1"/>
  <c r="AZ333" i="1"/>
  <c r="AZ552" i="1"/>
  <c r="AZ401" i="1"/>
  <c r="AZ557" i="1"/>
  <c r="AZ406" i="1"/>
  <c r="AZ420" i="1"/>
  <c r="AZ600" i="1"/>
  <c r="AZ479" i="1"/>
  <c r="AZ150" i="1"/>
  <c r="AZ364" i="1"/>
  <c r="AZ558" i="1"/>
  <c r="AZ357" i="1"/>
  <c r="AZ484" i="1"/>
  <c r="AZ441" i="1"/>
  <c r="AZ585" i="1"/>
  <c r="AZ433" i="1"/>
  <c r="AZ470" i="1"/>
  <c r="AZ630" i="1"/>
  <c r="AZ471" i="1"/>
  <c r="AZ501" i="1"/>
  <c r="AZ587" i="1"/>
  <c r="AZ572" i="1"/>
  <c r="AZ262" i="1"/>
  <c r="AZ345" i="1"/>
  <c r="AZ555" i="1"/>
  <c r="AZ606" i="1"/>
  <c r="AZ465" i="1"/>
  <c r="AZ654" i="1"/>
  <c r="AZ619" i="1"/>
  <c r="AZ545" i="1"/>
  <c r="AZ623" i="1"/>
  <c r="AZ523" i="1"/>
  <c r="AZ583" i="1"/>
  <c r="AZ605" i="1"/>
  <c r="AZ655" i="1"/>
  <c r="AZ284" i="1"/>
  <c r="AZ235" i="1"/>
  <c r="AZ393" i="1"/>
  <c r="AZ282" i="1"/>
</calcChain>
</file>

<file path=xl/sharedStrings.xml><?xml version="1.0" encoding="utf-8"?>
<sst xmlns="http://schemas.openxmlformats.org/spreadsheetml/2006/main" count="45030" uniqueCount="1918">
  <si>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</si>
  <si>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</si>
  <si>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</si>
  <si>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</si>
  <si>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</si>
  <si>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</si>
  <si>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</si>
  <si>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</si>
  <si>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</si>
  <si>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</si>
  <si>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</si>
  <si>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</si>
  <si>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</si>
  <si>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</si>
  <si>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</si>
  <si>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</si>
  <si>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</si>
  <si>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</si>
  <si>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</si>
  <si>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</si>
  <si>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</si>
  <si>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</si>
  <si>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</si>
  <si>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</si>
  <si>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</si>
  <si>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</si>
  <si>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</si>
  <si>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</si>
  <si>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</si>
  <si>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</si>
  <si>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</si>
  <si>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</si>
  <si>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</si>
  <si>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</si>
  <si>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</si>
  <si>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</si>
  <si>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</si>
  <si>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</si>
  <si>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</si>
  <si>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</si>
  <si>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</si>
  <si>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</si>
  <si>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</si>
  <si>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</si>
  <si>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</si>
  <si>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</si>
  <si>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</si>
  <si>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</si>
  <si>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</si>
  <si>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</si>
  <si>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</si>
  <si>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</si>
  <si>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</si>
  <si>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</si>
  <si>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</si>
  <si>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</si>
  <si>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</si>
  <si>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</si>
  <si>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</si>
  <si>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</si>
  <si>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</si>
  <si>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</si>
  <si>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</si>
  <si>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</si>
  <si>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</si>
  <si>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</si>
  <si>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</si>
  <si>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</si>
  <si>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</si>
  <si>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</si>
  <si>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</si>
  <si>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</si>
  <si>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</si>
  <si>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</si>
  <si>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</si>
  <si>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</si>
  <si>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</si>
  <si>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</si>
  <si>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</si>
  <si>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</si>
  <si>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</si>
  <si>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</si>
  <si>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</si>
  <si>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</si>
  <si>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</si>
  <si>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</si>
  <si>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</si>
  <si>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</si>
  <si>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</si>
  <si>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</si>
  <si>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</si>
  <si>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</si>
  <si>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</si>
  <si>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</si>
  <si>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</si>
  <si>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</si>
  <si>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</si>
  <si>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</si>
  <si>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</si>
  <si>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</si>
  <si>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</si>
  <si>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</si>
  <si>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</si>
  <si>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</si>
  <si>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</si>
  <si>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</si>
  <si>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</si>
  <si>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</si>
  <si>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</si>
  <si>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</si>
  <si>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</si>
  <si>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</si>
  <si>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</si>
  <si>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</si>
  <si>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</si>
  <si>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</si>
  <si>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</si>
  <si>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</si>
  <si>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</si>
  <si>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</si>
  <si>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</si>
  <si>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</si>
  <si>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</si>
  <si>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</si>
  <si>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</si>
  <si>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</si>
  <si>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</si>
  <si>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</si>
  <si>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</si>
  <si>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</si>
  <si>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</si>
  <si>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</si>
  <si>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</si>
  <si>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</si>
  <si>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</si>
  <si>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</si>
  <si>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</si>
  <si>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</si>
  <si>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</si>
  <si>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</si>
  <si>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</si>
  <si>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</si>
  <si>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</si>
  <si>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</si>
  <si>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</si>
  <si>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</si>
  <si>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</si>
  <si>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</si>
  <si>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</si>
  <si>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</si>
  <si>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</si>
  <si>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</si>
  <si>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</si>
  <si>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</si>
  <si>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</si>
  <si>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</si>
  <si>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</si>
  <si>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</si>
  <si>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</si>
  <si>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</si>
  <si>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</si>
  <si>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</si>
  <si>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</si>
  <si>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</si>
  <si>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</si>
  <si>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</si>
  <si>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</si>
  <si>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</si>
  <si>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</si>
  <si>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</si>
  <si>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</si>
  <si>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</si>
  <si>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</si>
  <si>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</si>
  <si>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</si>
  <si>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</si>
  <si>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</si>
  <si>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</si>
  <si>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</si>
  <si>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</si>
  <si>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</si>
  <si>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</si>
  <si>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</si>
  <si>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</si>
  <si>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</si>
  <si>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</si>
  <si>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</si>
  <si>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</si>
  <si>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</si>
  <si>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</si>
  <si>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</si>
  <si>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</si>
  <si>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</si>
  <si>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</si>
  <si>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</si>
  <si>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</si>
  <si>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</si>
  <si>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</si>
  <si>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</si>
  <si>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</si>
  <si>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</si>
  <si>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</si>
  <si>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</si>
  <si>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</si>
  <si>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</si>
  <si>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</si>
  <si>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</si>
  <si>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</si>
  <si>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</si>
  <si>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</si>
  <si>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</si>
  <si>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</si>
  <si>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</si>
  <si>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</si>
  <si>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</si>
  <si>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</si>
  <si>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</si>
  <si>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</si>
  <si>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</si>
  <si>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</si>
  <si>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</si>
  <si>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</si>
  <si>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</si>
  <si>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</si>
  <si>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</si>
  <si>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</si>
  <si>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</si>
  <si>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</si>
  <si>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</si>
  <si>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</si>
  <si>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</si>
  <si>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</si>
  <si>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</si>
  <si>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</si>
  <si>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</si>
  <si>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</si>
  <si>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</si>
  <si>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</si>
  <si>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</si>
  <si>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</si>
  <si>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</si>
  <si>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</si>
  <si>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</si>
  <si>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</si>
  <si>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</si>
  <si>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</si>
  <si>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</si>
  <si>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</si>
  <si>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</si>
  <si>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</si>
  <si>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</si>
  <si>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</si>
  <si>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</si>
  <si>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</si>
  <si>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</si>
  <si>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</si>
  <si>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</si>
  <si>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</si>
  <si>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</si>
  <si>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</si>
  <si>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</si>
  <si>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</si>
  <si>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</si>
  <si>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</si>
  <si>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</si>
  <si>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</si>
  <si>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</si>
  <si>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</si>
  <si>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</si>
  <si>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</si>
  <si>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</si>
  <si>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</si>
  <si>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</si>
  <si>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</si>
  <si>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</si>
  <si>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</si>
  <si>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</si>
  <si>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</si>
  <si>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</si>
  <si>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</si>
  <si>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</si>
  <si>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</si>
  <si>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</si>
  <si>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</si>
  <si>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</si>
  <si>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</si>
  <si>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</si>
  <si>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</si>
  <si>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</si>
  <si>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</si>
  <si>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</si>
  <si>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</si>
  <si>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</si>
  <si>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</si>
  <si>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</si>
  <si>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</si>
  <si>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</si>
  <si>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</si>
  <si>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</si>
  <si>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</si>
  <si>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</si>
  <si>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</si>
  <si>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</si>
  <si>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</si>
  <si>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</si>
  <si>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</si>
  <si>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</si>
  <si>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</si>
  <si>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</si>
  <si>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</si>
  <si>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</si>
  <si>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</si>
  <si>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</si>
  <si>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</si>
  <si>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</si>
  <si>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</si>
  <si>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</si>
  <si>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</si>
  <si>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</si>
  <si>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</si>
  <si>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</si>
  <si>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</si>
  <si>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</si>
  <si>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</si>
  <si>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</si>
  <si>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</si>
  <si>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</si>
  <si>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</si>
  <si>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</si>
  <si>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</si>
  <si>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</si>
  <si>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</si>
  <si>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</si>
  <si>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</si>
  <si>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</si>
  <si>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</si>
  <si>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</si>
  <si>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</si>
  <si>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</si>
  <si>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</si>
  <si>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</si>
  <si>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</si>
  <si>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</si>
  <si>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</si>
  <si>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</si>
  <si>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</si>
  <si>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</si>
  <si>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</si>
  <si>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</si>
  <si>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</si>
  <si>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</si>
  <si>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</si>
  <si>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</si>
  <si>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</si>
  <si>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</si>
  <si>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</si>
  <si>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</si>
  <si>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</si>
  <si>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</si>
  <si>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</si>
  <si>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</si>
  <si>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</si>
  <si>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</si>
  <si>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</si>
  <si>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</si>
  <si>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</si>
  <si>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</si>
  <si>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</si>
  <si>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</si>
  <si>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</si>
  <si>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</si>
  <si>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</si>
  <si>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</si>
  <si>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</si>
  <si>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</si>
  <si>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</si>
  <si>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</si>
  <si>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</si>
  <si>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</si>
  <si>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</si>
  <si>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</si>
  <si>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</si>
  <si>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</si>
  <si>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</si>
  <si>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</si>
  <si>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</si>
  <si>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</si>
  <si>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</si>
  <si>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</si>
  <si>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</si>
  <si>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</si>
  <si>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</si>
  <si>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</si>
  <si>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</si>
  <si>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</si>
  <si>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</si>
  <si>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</si>
  <si>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</si>
  <si>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</si>
  <si>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</si>
  <si>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</si>
  <si>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</si>
  <si>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</si>
  <si>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</si>
  <si>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</si>
  <si>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</si>
  <si>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</si>
  <si>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</si>
  <si>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</si>
  <si>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</si>
  <si>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</si>
  <si>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</si>
  <si>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</si>
  <si>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</si>
  <si>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</si>
  <si>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</si>
  <si>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</si>
  <si>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</si>
  <si>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</si>
  <si>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</si>
  <si>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</si>
  <si>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</si>
  <si>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</si>
  <si>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</si>
  <si>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</si>
  <si>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</si>
  <si>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</si>
  <si>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</si>
  <si>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</si>
  <si>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</si>
  <si>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</si>
  <si>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</si>
  <si>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</si>
  <si>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</si>
  <si>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</si>
  <si>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</si>
  <si>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</si>
  <si>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</si>
  <si>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</si>
  <si>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</si>
  <si>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</si>
  <si>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</si>
  <si>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</si>
  <si>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</si>
  <si>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</si>
  <si>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</si>
  <si>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</si>
  <si>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</si>
  <si>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</si>
  <si>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</si>
  <si>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</si>
  <si>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</si>
  <si>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</si>
  <si>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</si>
  <si>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</si>
  <si>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</si>
  <si>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</si>
  <si>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</si>
  <si>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</si>
  <si>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</si>
  <si>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</si>
  <si>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</si>
  <si>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</si>
  <si>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</si>
  <si>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</si>
  <si>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</si>
  <si>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</si>
  <si>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</si>
  <si>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</si>
  <si>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</si>
  <si>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</si>
  <si>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</si>
  <si>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</si>
  <si>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</si>
  <si>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</si>
  <si>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</si>
  <si>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</si>
  <si>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</si>
  <si>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</si>
  <si>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</si>
  <si>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アサルト／凰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</si>
  <si>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</si>
  <si>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</si>
  <si>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</si>
  <si>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</si>
  <si>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</si>
  <si>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</si>
  <si>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</si>
  <si>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</si>
  <si>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</si>
  <si>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</si>
  <si>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</si>
  <si>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</si>
  <si>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</si>
  <si>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</si>
  <si>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</si>
  <si>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</si>
  <si>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</si>
  <si>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</si>
  <si>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エース／凰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</si>
  <si>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</si>
  <si>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</si>
  <si>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</si>
  <si>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</si>
  <si>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</si>
  <si>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</si>
  <si>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</si>
  <si>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</si>
  <si>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</si>
  <si>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</si>
  <si>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</si>
  <si>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防壁の装衣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</si>
  <si>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</si>
  <si>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</si>
  <si>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</si>
  <si>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</si>
  <si>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</si>
  <si>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</si>
  <si>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</si>
  <si>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</si>
  <si>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</si>
  <si>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</si>
  <si>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</si>
  <si>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</si>
  <si>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</si>
  <si>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</si>
  <si>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</si>
  <si>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</si>
  <si>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</si>
  <si>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</si>
  <si>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</si>
  <si>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</si>
  <si>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</si>
  <si>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</si>
  <si>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</si>
  <si>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</si>
  <si>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X字型に固定ダメージ[大]</t>
  </si>
  <si>
    <t>幻光の交叉線／絶</t>
  </si>
  <si>
    <t>X字型に攻撃[大]</t>
  </si>
  <si>
    <t xml:space="preserve">光芒の加護 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</si>
  <si>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</si>
  <si>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</si>
  <si>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</si>
  <si>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</si>
  <si>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</si>
  <si>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</si>
  <si>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</si>
  <si>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</si>
  <si>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</si>
  <si>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</si>
  <si>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</si>
  <si>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 xml:space="preserve">光芒の無双 </t>
  </si>
  <si>
    <t>味方全体の攻撃力をUP[中]</t>
  </si>
  <si>
    <t>斬紅の叡智</t>
  </si>
  <si>
    <t>味方斬属性の攻撃力と防御力をUP[中]</t>
  </si>
  <si>
    <t xml:space="preserve">蒼突の聖護 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</si>
  <si>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</si>
  <si>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</si>
  <si>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</si>
  <si>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</si>
  <si>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</si>
  <si>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</si>
  <si>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</si>
  <si>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</si>
  <si>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</si>
  <si>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</si>
  <si>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</si>
  <si>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</si>
  <si>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</si>
  <si>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</si>
  <si>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</si>
  <si>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</si>
  <si>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 xml:space="preserve">紫打の叡智 </t>
  </si>
  <si>
    <t>味方打属性の攻撃力と防御力をUP[中]</t>
  </si>
  <si>
    <t xml:space="preserve">遠翠の叡智 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</si>
  <si>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</si>
  <si>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</si>
  <si>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</si>
  <si>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</si>
  <si>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</si>
  <si>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</si>
  <si>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</si>
  <si>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 xml:space="preserve">浄化の一撃 </t>
  </si>
  <si>
    <t>単体固定ダメージ+味方ステータスDOWN解除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</si>
  <si>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</si>
  <si>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</si>
  <si>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</si>
  <si>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</si>
  <si>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</si>
  <si>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</si>
  <si>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</si>
  <si>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</si>
  <si>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</si>
  <si>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</si>
  <si>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</si>
  <si>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</si>
  <si>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</si>
  <si>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</si>
  <si>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</si>
  <si>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</si>
  <si>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</si>
  <si>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</si>
  <si>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</si>
  <si>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</si>
  <si>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</si>
  <si>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</si>
  <si>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</si>
  <si>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</si>
  <si>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</si>
  <si>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</si>
  <si>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</si>
  <si>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</si>
  <si>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</si>
  <si>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</si>
  <si>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</si>
  <si>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</si>
  <si>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</si>
  <si>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</si>
  <si>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</si>
  <si>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</si>
  <si>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</si>
  <si>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</si>
  <si>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</si>
  <si>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</si>
  <si>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</si>
  <si>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</si>
  <si>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</si>
  <si>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</si>
  <si>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</si>
  <si>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</si>
  <si>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</si>
  <si>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</si>
  <si>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</si>
  <si>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 xml:space="preserve">蒼突の叡智 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</si>
  <si>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</si>
  <si>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</si>
  <si>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</si>
  <si>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</si>
  <si>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</si>
  <si>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</si>
  <si>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</si>
  <si>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</si>
  <si>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</si>
  <si>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</si>
  <si>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</si>
  <si>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</si>
  <si>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</si>
  <si>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</si>
  <si>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</si>
  <si>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</si>
  <si>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</si>
  <si>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</si>
  <si>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</si>
  <si>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</si>
  <si>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</si>
  <si>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</si>
  <si>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</si>
  <si>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</si>
  <si>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</si>
  <si>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</si>
  <si>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</si>
  <si>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</si>
  <si>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</si>
  <si>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</si>
  <si>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</si>
  <si>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</si>
  <si>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</si>
  <si>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</si>
  <si>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 xml:space="preserve">天幻神の四連撃／真 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</si>
  <si>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</si>
  <si>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</si>
  <si>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</si>
  <si>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</si>
  <si>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</si>
  <si>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</si>
  <si>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</si>
  <si>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</si>
  <si>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</si>
  <si>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</si>
  <si>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</si>
  <si>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</si>
  <si>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</si>
  <si>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</si>
  <si>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</si>
  <si>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</si>
  <si>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 xml:space="preserve">突鋭の五連撃 </t>
  </si>
  <si>
    <t>ランダム5連続攻撃[小][低確率]でダメージ2倍</t>
  </si>
  <si>
    <t xml:space="preserve">光芒の覇道 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</si>
  <si>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</si>
  <si>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</si>
  <si>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</si>
  <si>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</si>
  <si>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</si>
  <si>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</si>
  <si>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</si>
  <si>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</si>
  <si>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</si>
  <si>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</si>
  <si>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</si>
  <si>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</si>
  <si>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</si>
  <si>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</si>
  <si>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</si>
  <si>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</si>
  <si>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</si>
  <si>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</si>
  <si>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</si>
  <si>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</si>
  <si>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</si>
  <si>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</si>
  <si>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</si>
  <si>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</si>
  <si>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</si>
  <si>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</si>
  <si>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</si>
  <si>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</si>
  <si>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</si>
  <si>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</si>
  <si>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</si>
  <si>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</si>
  <si>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</si>
  <si>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</si>
  <si>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</si>
  <si>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</si>
  <si>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</si>
  <si>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</si>
  <si>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</si>
  <si>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</si>
  <si>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</si>
  <si>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</si>
  <si>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X字型に攻撃[特大]</t>
  </si>
  <si>
    <t>浄化の一撃</t>
  </si>
  <si>
    <t>単体固定ﾀﾞﾒｰｼﾞ+ｽﾃｰﾀｽDOWN解除</t>
  </si>
  <si>
    <t>地雷幻の一撃／絶</t>
  </si>
  <si>
    <t>敵単体攻撃[大]自分の防御力UP[大]</t>
  </si>
  <si>
    <t>孤狼絶吼</t>
  </si>
  <si>
    <t>覆滅の焔</t>
  </si>
  <si>
    <t xml:space="preserve">地幻射の五連撃 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</si>
  <si>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</si>
  <si>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</si>
  <si>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</si>
  <si>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</si>
  <si>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</si>
  <si>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</si>
  <si>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</si>
  <si>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</si>
  <si>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</si>
  <si>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</si>
  <si>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</si>
  <si>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</si>
  <si>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</si>
  <si>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</si>
  <si>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</si>
  <si>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</si>
  <si>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</si>
  <si>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</si>
  <si>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</si>
  <si>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</si>
  <si>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</si>
  <si>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単体固定ダメージ[中]+味方ステータスDOWN解除</t>
  </si>
  <si>
    <t xml:space="preserve">蒼突の叛逆／絶 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</si>
  <si>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</si>
  <si>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</si>
  <si>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</si>
  <si>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</si>
  <si>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</si>
  <si>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</si>
  <si>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</si>
  <si>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</si>
  <si>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</si>
  <si>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</si>
  <si>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 xml:space="preserve">神護 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</si>
  <si>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</si>
  <si>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</si>
  <si>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</si>
  <si>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</si>
  <si>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</si>
  <si>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</si>
  <si>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</si>
  <si>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</si>
  <si>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</si>
  <si>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</si>
  <si>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</si>
  <si>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</si>
  <si>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</si>
  <si>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</si>
  <si>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</si>
  <si>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</si>
  <si>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</si>
  <si>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</si>
  <si>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狼虎滅却 天地神明</t>
  </si>
  <si>
    <t>破邪剣征 桜花天昇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</si>
  <si>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</si>
  <si>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</si>
  <si>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</si>
  <si>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</si>
  <si>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</si>
  <si>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</si>
  <si>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</si>
  <si>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</si>
  <si>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</si>
  <si>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</si>
  <si>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</si>
  <si>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</si>
  <si>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</si>
  <si>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</si>
  <si>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</si>
  <si>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</si>
  <si>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</si>
  <si>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</si>
  <si>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</si>
  <si>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</si>
  <si>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</si>
  <si>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</si>
  <si>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</si>
  <si>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</si>
  <si>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</si>
  <si>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</si>
  <si>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 xml:space="preserve">聖天消滅／斬紅 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</si>
  <si>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</si>
  <si>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</si>
  <si>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</si>
  <si>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</si>
  <si>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</si>
  <si>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</si>
  <si>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</si>
  <si>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</si>
  <si>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</si>
  <si>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</si>
  <si>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</si>
  <si>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</si>
  <si>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</si>
  <si>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</si>
  <si>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</si>
  <si>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</si>
  <si>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</si>
  <si>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</si>
  <si>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 xml:space="preserve">対翠の突風／真 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</si>
  <si>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</si>
  <si>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</si>
  <si>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</si>
  <si>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</si>
  <si>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</si>
  <si>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</si>
  <si>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</si>
  <si>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</si>
  <si>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</si>
  <si>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 xml:space="preserve">光芒の神護 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</si>
  <si>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</si>
  <si>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</si>
  <si>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</si>
  <si>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</si>
  <si>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</si>
  <si>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</si>
  <si>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</si>
  <si>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</si>
  <si>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</si>
  <si>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</si>
  <si>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</si>
  <si>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</si>
  <si>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</si>
  <si>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</si>
  <si>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</si>
  <si>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</si>
  <si>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</si>
  <si>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</si>
  <si>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</si>
  <si>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</si>
  <si>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</si>
  <si>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</si>
  <si>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</si>
  <si>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</si>
  <si>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</si>
  <si>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</si>
  <si>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</si>
  <si>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単体固定ﾀﾞﾒｰｼﾞ[大]+味方ｽﾃｰﾀｽDOWN解除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</si>
  <si>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</si>
  <si>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</si>
  <si>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</si>
  <si>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</si>
  <si>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</si>
  <si>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</si>
  <si>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</si>
  <si>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</si>
  <si>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</si>
  <si>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 xml:space="preserve">天護 </t>
  </si>
  <si>
    <t>縦一列攻撃[特大]自分の攻撃力UP[特大]</t>
  </si>
  <si>
    <t>遠翠の天威</t>
  </si>
  <si>
    <t>味方遠属性の攻撃力をUP[極大]</t>
  </si>
  <si>
    <t>幻槍の包囲陣／鳳</t>
  </si>
  <si>
    <t xml:space="preserve">斬紅の英傑 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</si>
  <si>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</si>
  <si>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</si>
  <si>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</si>
  <si>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</si>
  <si>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</si>
  <si>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</si>
  <si>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 xml:space="preserve">天幻氷の縦十字／煌 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</si>
  <si>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</si>
  <si>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</si>
  <si>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</si>
  <si>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</si>
  <si>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</si>
  <si>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</si>
  <si>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</si>
  <si>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</si>
  <si>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</si>
  <si>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</si>
  <si>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</si>
  <si>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</si>
  <si>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</si>
  <si>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</si>
  <si>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</si>
  <si>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</si>
  <si>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</si>
  <si>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遠に強く打に弱い縦一列攻撃[極大]</t>
  </si>
  <si>
    <t>闘神消滅／光芒</t>
  </si>
  <si>
    <t>敵全体の攻撃力と防御力をDOWN[極大]</t>
  </si>
  <si>
    <t>幻光の交叉線／鳳</t>
  </si>
  <si>
    <t>X字型に攻撃[極大]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</si>
  <si>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</si>
  <si>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</si>
  <si>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</si>
  <si>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</si>
  <si>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</si>
  <si>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</si>
  <si>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</si>
  <si>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</si>
  <si>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</si>
  <si>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</si>
  <si>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</si>
  <si>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</si>
  <si>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</si>
  <si>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</si>
  <si>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 xml:space="preserve">対紅の突風／鳳 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</si>
  <si>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</si>
  <si>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</si>
  <si>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</si>
  <si>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</si>
  <si>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</si>
  <si>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</si>
  <si>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</si>
  <si>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</si>
  <si>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</si>
  <si>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</si>
  <si>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単体固定ﾀﾞﾒｰｼﾞ[極大]+味方ｽﾃｰﾀｽDOWN解除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</si>
  <si>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</si>
  <si>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</si>
  <si>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</si>
  <si>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</si>
  <si>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</si>
  <si>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</si>
  <si>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</si>
  <si>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</si>
  <si>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</si>
  <si>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 xml:space="preserve">不死者の猛撃 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</si>
  <si>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</si>
  <si>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</si>
  <si>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</si>
  <si>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</si>
  <si>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</si>
  <si>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</si>
  <si>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</si>
  <si>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</si>
  <si>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</si>
  <si>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 xml:space="preserve">赤火竜の障壁 </t>
  </si>
  <si>
    <t>敵の状態異常スキルを完全無効化</t>
  </si>
  <si>
    <t xml:space="preserve">戦乙女の剛撃 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</si>
  <si>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</si>
  <si>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</si>
  <si>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</si>
  <si>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</si>
  <si>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</si>
  <si>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</si>
  <si>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</si>
  <si>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</si>
  <si>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</si>
  <si>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</si>
  <si>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</si>
  <si>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</si>
  <si>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</si>
  <si>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</si>
  <si>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</si>
  <si>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</si>
  <si>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</si>
  <si>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</si>
  <si>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</si>
  <si>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</si>
  <si>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</si>
  <si>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</si>
  <si>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</si>
  <si>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</si>
  <si>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</si>
  <si>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</si>
  <si>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</si>
  <si>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</si>
  <si>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</si>
  <si>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</si>
  <si>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</si>
  <si>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</si>
  <si>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</si>
  <si>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</si>
  <si>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攻撃回数が多いほどバトル獲得スコアが大UP(3分間)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ダイ</t>
    </rPh>
    <rPh sb="23" eb="25">
      <t>フンカン</t>
    </rPh>
    <phoneticPr fontId="1"/>
  </si>
  <si>
    <t>騎士団スコア特大UP・キリ番CB最大値UP(3回)</t>
    <rPh sb="0" eb="3">
      <t>キシダン</t>
    </rPh>
    <rPh sb="6" eb="8">
      <t>トクダイ</t>
    </rPh>
    <rPh sb="13" eb="14">
      <t>バン</t>
    </rPh>
    <rPh sb="16" eb="19">
      <t>サイダイチ</t>
    </rPh>
    <rPh sb="23" eb="24">
      <t>カイ</t>
    </rPh>
    <phoneticPr fontId="1"/>
  </si>
  <si>
    <t>強襲無効、攻撃力・スキル発動率極大UP＆ユニット1体をタレント状態にする(5分間)</t>
    <rPh sb="0" eb="2">
      <t>キョウシュウ</t>
    </rPh>
    <rPh sb="2" eb="4">
      <t>ムコウ</t>
    </rPh>
    <rPh sb="5" eb="8">
      <t>コウゲキリョク</t>
    </rPh>
    <rPh sb="12" eb="14">
      <t>ハツドウ</t>
    </rPh>
    <rPh sb="14" eb="15">
      <t>リツ</t>
    </rPh>
    <rPh sb="15" eb="17">
      <t>キョクダイ</t>
    </rPh>
    <rPh sb="25" eb="26">
      <t>タイ</t>
    </rPh>
    <rPh sb="31" eb="33">
      <t>ジョウタイ</t>
    </rPh>
    <rPh sb="38" eb="40">
      <t>フンカン</t>
    </rPh>
    <phoneticPr fontId="1"/>
  </si>
  <si>
    <t>強襲無効、攻撃力・スキル発動率特大UP(3分間)</t>
    <rPh sb="0" eb="2">
      <t>キョウシュウ</t>
    </rPh>
    <rPh sb="2" eb="4">
      <t>ムコウ</t>
    </rPh>
    <rPh sb="5" eb="8">
      <t>コウゲキリョク</t>
    </rPh>
    <rPh sb="12" eb="14">
      <t>ハツドウ</t>
    </rPh>
    <rPh sb="14" eb="15">
      <t>リツ</t>
    </rPh>
    <rPh sb="15" eb="17">
      <t>トクダイ</t>
    </rPh>
    <rPh sb="21" eb="23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</si>
  <si>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</si>
  <si>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</si>
  <si>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</si>
  <si>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騎士団員のTPを小アップ(自分を除く)</t>
    <rPh sb="0" eb="2">
      <t>キシ</t>
    </rPh>
    <rPh sb="2" eb="4">
      <t>ダンイン</t>
    </rPh>
    <rPh sb="8" eb="9">
      <t>ショウ</t>
    </rPh>
    <rPh sb="13" eb="15">
      <t>ジブン</t>
    </rPh>
    <rPh sb="16" eb="17">
      <t>ノゾ</t>
    </rPh>
    <phoneticPr fontId="1"/>
  </si>
  <si>
    <t>強襲が発生無効、バトル時に攻・防特大UP＆ユニット1体をタレント状態にする(3分間)</t>
    <rPh sb="0" eb="2">
      <t>キョウシュウ</t>
    </rPh>
    <rPh sb="3" eb="5">
      <t>ハッセイ</t>
    </rPh>
    <rPh sb="5" eb="7">
      <t>ムコウ</t>
    </rPh>
    <rPh sb="11" eb="12">
      <t>ジ</t>
    </rPh>
    <rPh sb="13" eb="14">
      <t>コウ</t>
    </rPh>
    <rPh sb="15" eb="16">
      <t>フセ</t>
    </rPh>
    <rPh sb="16" eb="18">
      <t>トクダイ</t>
    </rPh>
    <rPh sb="26" eb="27">
      <t>タイ</t>
    </rPh>
    <rPh sb="32" eb="34">
      <t>ジョウタイ</t>
    </rPh>
    <rPh sb="39" eb="41">
      <t>フンカン</t>
    </rPh>
    <phoneticPr fontId="1"/>
  </si>
  <si>
    <t>-</t>
    <phoneticPr fontId="1"/>
  </si>
  <si>
    <t>バトルで敵を全滅するとBPが大回復(バトル3回)</t>
  </si>
  <si>
    <t>騎士団全体の攻・防が大UP(3分間)</t>
  </si>
  <si>
    <t>騎士団全体のスキル発動率が中UP(3分間)</t>
  </si>
  <si>
    <t>中確率でパーティ全員を復帰(全滅時のみ使用可)</t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</si>
  <si>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</si>
  <si>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</si>
  <si>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</si>
  <si>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</si>
  <si>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</si>
  <si>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</si>
  <si>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</si>
  <si>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</si>
  <si>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</si>
  <si>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</si>
  <si>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</si>
  <si>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</si>
  <si>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</si>
  <si>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</si>
  <si>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</si>
  <si>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</si>
  <si>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</si>
  <si>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</si>
  <si>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</si>
  <si>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</si>
  <si>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</si>
  <si>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</si>
  <si>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</si>
  <si>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</si>
  <si>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</si>
  <si>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</si>
  <si>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</si>
  <si>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</si>
  <si>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</si>
  <si>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</si>
  <si>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</si>
  <si>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</si>
  <si>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</si>
  <si>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</si>
  <si>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</si>
  <si>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</si>
  <si>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</si>
  <si>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</si>
  <si>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</si>
  <si>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</si>
  <si>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</si>
  <si>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</si>
  <si>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</si>
  <si>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</si>
  <si>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</si>
  <si>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</si>
  <si>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</si>
  <si>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</si>
  <si>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</si>
  <si>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</si>
  <si>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</si>
  <si>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</si>
  <si>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</si>
  <si>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</si>
  <si>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</si>
  <si>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</si>
  <si>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</si>
  <si>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</si>
  <si>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</si>
  <si>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</si>
  <si>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</si>
  <si>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</si>
  <si>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</si>
  <si>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</si>
  <si>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</si>
  <si>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</si>
  <si>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キリ番CB時の獲得ポイント中UP(3分間)</t>
    <phoneticPr fontId="1"/>
  </si>
  <si>
    <t>キリ番CB時の獲得ポイント大UP(3分間)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</si>
  <si>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</si>
  <si>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</si>
  <si>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</si>
  <si>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</si>
  <si>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</si>
  <si>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</si>
  <si>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</si>
  <si>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</si>
  <si>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</si>
  <si>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</si>
  <si>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</si>
  <si>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</si>
  <si>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</si>
  <si>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</si>
  <si>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</si>
  <si>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</si>
  <si>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</si>
  <si>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強襲CBの発生確率・強襲時獲得ポイント中UP(3分間)</t>
    <phoneticPr fontId="1"/>
  </si>
  <si>
    <t>キリ番CB時の獲得ポイント特大UP(3分間)</t>
    <rPh sb="13" eb="15">
      <t>トクダイ</t>
    </rPh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</si>
  <si>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</si>
  <si>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</si>
  <si>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</si>
  <si>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</si>
  <si>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</si>
  <si>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</si>
  <si>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強襲CBの発生確率・強襲時獲得ポイント特大UP＆ユニット1体をタレント状態にする(3分間)</t>
    <rPh sb="19" eb="21">
      <t>トクダイ</t>
    </rPh>
    <rPh sb="29" eb="30">
      <t>タイ</t>
    </rPh>
    <rPh sb="35" eb="37">
      <t>ジョウタイ</t>
    </rPh>
    <rPh sb="42" eb="44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</si>
  <si>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</si>
  <si>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</si>
  <si>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</si>
  <si>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</si>
  <si>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</si>
  <si>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</si>
  <si>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</si>
  <si>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</si>
  <si>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</si>
  <si>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</si>
  <si>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</si>
  <si>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</si>
  <si>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</si>
  <si>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</si>
  <si>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</si>
  <si>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</si>
  <si>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</si>
  <si>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</si>
  <si>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</si>
  <si>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</si>
  <si>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</si>
  <si>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</si>
  <si>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</si>
  <si>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</si>
  <si>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</si>
  <si>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</si>
  <si>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</si>
  <si>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</si>
  <si>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</si>
  <si>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X字型攻撃[極大]自分の防御力UP[極大]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</si>
  <si>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</si>
  <si>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</si>
  <si>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</si>
  <si>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</si>
  <si>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</si>
  <si>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</si>
  <si>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</si>
  <si>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</si>
  <si>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</si>
  <si>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</si>
  <si>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</si>
  <si>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</si>
  <si>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</si>
  <si>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</si>
  <si>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</si>
  <si>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</si>
  <si>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</si>
  <si>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</si>
  <si>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</si>
  <si>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</si>
  <si>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</si>
  <si>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</si>
  <si>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</si>
  <si>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</si>
  <si>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</si>
  <si>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</si>
  <si>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</si>
  <si>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</si>
  <si>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</si>
  <si>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</si>
  <si>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</si>
  <si>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</si>
  <si>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</si>
  <si>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</si>
  <si>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</si>
  <si>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</si>
  <si>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</si>
  <si>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</si>
  <si>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</si>
  <si>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</si>
  <si>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</si>
  <si>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</si>
  <si>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</si>
  <si>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</si>
  <si>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</si>
  <si>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</si>
  <si>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</si>
  <si>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</si>
  <si>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</si>
  <si>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</si>
  <si>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</si>
  <si>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</si>
  <si>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</si>
  <si>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</si>
  <si>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</si>
  <si>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</si>
  <si>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</si>
  <si>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</si>
  <si>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</si>
  <si>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</si>
  <si>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</si>
  <si>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</si>
  <si>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</si>
  <si>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</si>
  <si>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</si>
  <si>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</si>
  <si>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</si>
  <si>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</si>
  <si>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</si>
  <si>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</si>
  <si>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</si>
  <si>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</si>
  <si>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</si>
  <si>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</si>
  <si>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</si>
  <si>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</si>
  <si>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</si>
  <si>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</si>
  <si>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</si>
  <si>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</si>
  <si>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</si>
  <si>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</si>
  <si>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</si>
  <si>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</si>
  <si>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</si>
  <si>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</si>
  <si>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</si>
  <si>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騎士団全体のスキル発動率が特大UP(3分間)</t>
    <rPh sb="0" eb="3">
      <t>キシダン</t>
    </rPh>
    <rPh sb="3" eb="5">
      <t>ゼンタイ</t>
    </rPh>
    <rPh sb="9" eb="11">
      <t>ハツドウ</t>
    </rPh>
    <rPh sb="11" eb="12">
      <t>リツ</t>
    </rPh>
    <rPh sb="13" eb="15">
      <t>トクダイ</t>
    </rPh>
    <rPh sb="19" eb="21">
      <t>フンカン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</si>
  <si>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</si>
  <si>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騎士団全体の攻撃力が特大UP(3分間)</t>
    <rPh sb="0" eb="5">
      <t>キシダンゼンタイ</t>
    </rPh>
    <rPh sb="6" eb="9">
      <t>コウゲキリョク</t>
    </rPh>
    <rPh sb="10" eb="12">
      <t>トクダイ</t>
    </rPh>
    <rPh sb="16" eb="18">
      <t>フンカン</t>
    </rPh>
    <phoneticPr fontId="1"/>
  </si>
  <si>
    <t>喧嘩上等！</t>
  </si>
  <si>
    <t>強襲が発生無効、バトル時に攻・防特大UP(5分間)</t>
    <rPh sb="0" eb="2">
      <t>キョウシュウ</t>
    </rPh>
    <rPh sb="3" eb="5">
      <t>ハッセイ</t>
    </rPh>
    <rPh sb="5" eb="7">
      <t>ムコウ</t>
    </rPh>
    <rPh sb="11" eb="12">
      <t>ジ</t>
    </rPh>
    <rPh sb="13" eb="14">
      <t>コウ</t>
    </rPh>
    <rPh sb="15" eb="16">
      <t>フセ</t>
    </rPh>
    <rPh sb="16" eb="18">
      <t>トクダイ</t>
    </rPh>
    <rPh sb="22" eb="24">
      <t>フンカン</t>
    </rPh>
    <phoneticPr fontId="1"/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</si>
  <si>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</si>
  <si>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</si>
  <si>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</si>
  <si>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</si>
  <si>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</si>
  <si>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</si>
  <si>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</si>
  <si>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</si>
  <si>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</si>
  <si>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</si>
  <si>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</si>
  <si>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</si>
  <si>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</si>
  <si>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</si>
  <si>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</si>
  <si>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</si>
  <si>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城の強度Lvが特大UP(3分間)</t>
    <rPh sb="0" eb="1">
      <t>シロ</t>
    </rPh>
    <rPh sb="2" eb="4">
      <t>キョウド</t>
    </rPh>
    <rPh sb="7" eb="9">
      <t>トクダイ</t>
    </rPh>
    <rPh sb="13" eb="15">
      <t>フンカン</t>
    </rPh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</si>
  <si>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</si>
  <si>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</si>
  <si>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</si>
  <si>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</si>
  <si>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</si>
  <si>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</si>
  <si>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</si>
  <si>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</si>
  <si>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</si>
  <si>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</si>
  <si>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</si>
  <si>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</si>
  <si>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</si>
  <si>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</si>
  <si>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</si>
  <si>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</si>
  <si>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</si>
  <si>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</si>
  <si>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</si>
  <si>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</si>
  <si>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</si>
  <si>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</si>
  <si>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</si>
  <si>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</si>
  <si>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斬に強く突に弱い縦一列攻撃[特大]</t>
    <rPh sb="0" eb="1">
      <t>ザン</t>
    </rPh>
    <rPh sb="2" eb="3">
      <t>ツヨ</t>
    </rPh>
    <rPh sb="4" eb="5">
      <t>トツ</t>
    </rPh>
    <rPh sb="6" eb="7">
      <t>ヨワ</t>
    </rPh>
    <rPh sb="8" eb="9">
      <t>タテ</t>
    </rPh>
    <rPh sb="9" eb="11">
      <t>イチレツ</t>
    </rPh>
    <rPh sb="11" eb="13">
      <t>コウゲキ</t>
    </rPh>
    <rPh sb="14" eb="16">
      <t>トクダイ</t>
    </rPh>
    <phoneticPr fontId="1"/>
  </si>
  <si>
    <t>突に強く斬に弱い十字型攻撃[極大]</t>
    <rPh sb="0" eb="1">
      <t>トツ</t>
    </rPh>
    <rPh sb="2" eb="3">
      <t>ツヨ</t>
    </rPh>
    <rPh sb="4" eb="5">
      <t>ザン</t>
    </rPh>
    <rPh sb="6" eb="7">
      <t>ヨワ</t>
    </rPh>
    <rPh sb="8" eb="11">
      <t>ジュウジガタ</t>
    </rPh>
    <rPh sb="11" eb="13">
      <t>コウゲキ</t>
    </rPh>
    <rPh sb="14" eb="16">
      <t>キョクダイ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</si>
  <si>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</si>
  <si>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</si>
  <si>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</si>
  <si>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</si>
  <si>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</si>
  <si>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</si>
  <si>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</si>
  <si>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</si>
  <si>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</si>
  <si>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</si>
  <si>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</si>
  <si>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</si>
  <si>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</si>
  <si>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</si>
  <si>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</si>
  <si>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</si>
  <si>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</si>
  <si>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</si>
  <si>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</si>
  <si>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</si>
  <si>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</si>
  <si>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</si>
  <si>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</si>
  <si>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</si>
  <si>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</si>
  <si>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</si>
  <si>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</si>
  <si>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</si>
  <si>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</si>
  <si>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縦一列攻撃（宝箱優先／追加ダメージ）[極大]</t>
    <rPh sb="0" eb="3">
      <t>タテイチレツ</t>
    </rPh>
    <rPh sb="3" eb="5">
      <t>コウゲキ</t>
    </rPh>
    <rPh sb="19" eb="21">
      <t>キョクダイ</t>
    </rPh>
    <rPh sb="20" eb="21">
      <t>ダイ</t>
    </rPh>
    <phoneticPr fontId="1"/>
  </si>
  <si>
    <t>エクスターライズ／煌</t>
    <rPh sb="9" eb="10">
      <t>キラ</t>
    </rPh>
    <phoneticPr fontId="1"/>
  </si>
  <si>
    <t>攻撃回数が多いほどバトル獲得スコアが特大UP＆ユニット1体をタレント状態にする(3分間)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</si>
  <si>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</si>
  <si>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</si>
  <si>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</si>
  <si>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</si>
  <si>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</si>
  <si>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</si>
  <si>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</si>
  <si>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</si>
  <si>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</si>
  <si>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</si>
  <si>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</si>
  <si>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</si>
  <si>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</si>
  <si>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</si>
  <si>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</si>
  <si>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</si>
  <si>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</si>
  <si>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</si>
  <si>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</si>
  <si>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</si>
  <si>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</si>
  <si>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突に強く斬に弱い十字型攻撃[特大]</t>
    <rPh sb="0" eb="1">
      <t>トツ</t>
    </rPh>
    <rPh sb="2" eb="3">
      <t>ツヨ</t>
    </rPh>
    <rPh sb="4" eb="5">
      <t>ザン</t>
    </rPh>
    <rPh sb="6" eb="7">
      <t>ヨワ</t>
    </rPh>
    <rPh sb="8" eb="11">
      <t>ジュウジガタ</t>
    </rPh>
    <rPh sb="11" eb="13">
      <t>コウゲキ</t>
    </rPh>
    <rPh sb="14" eb="16">
      <t>トクダイ</t>
    </rPh>
    <phoneticPr fontId="1"/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</si>
  <si>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</si>
  <si>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</si>
  <si>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</si>
  <si>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</si>
  <si>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</si>
  <si>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</si>
  <si>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</si>
  <si>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</si>
  <si>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</si>
  <si>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</si>
  <si>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</si>
  <si>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</si>
  <si>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</si>
  <si>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</si>
  <si>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</si>
  <si>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</si>
  <si>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</si>
  <si>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</si>
  <si>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</si>
  <si>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</si>
  <si>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</si>
  <si>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</si>
  <si>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</si>
  <si>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</si>
  <si>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</si>
  <si>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斬に強く突に弱い横一列攻撃[極大]</t>
    <rPh sb="0" eb="1">
      <t>ザン</t>
    </rPh>
    <rPh sb="4" eb="5">
      <t>トツ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</si>
  <si>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</si>
  <si>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</si>
  <si>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</si>
  <si>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</si>
  <si>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</si>
  <si>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</si>
  <si>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</si>
  <si>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</si>
  <si>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</si>
  <si>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</si>
  <si>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</si>
  <si>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</si>
  <si>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</si>
  <si>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</si>
  <si>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</si>
  <si>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</si>
  <si>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</si>
  <si>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</si>
  <si>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</si>
  <si>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</si>
  <si>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</si>
  <si>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</si>
  <si>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</si>
  <si>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</si>
  <si>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</si>
  <si>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</si>
  <si>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</si>
  <si>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</si>
  <si>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</si>
  <si>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</si>
  <si>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</si>
  <si>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</si>
  <si>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</si>
  <si>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</si>
  <si>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</si>
  <si>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</si>
  <si>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</si>
  <si>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</si>
  <si>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</si>
  <si>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</si>
  <si>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</si>
  <si>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</si>
  <si>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</si>
  <si>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</si>
  <si>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</si>
  <si>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</si>
  <si>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</si>
  <si>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</si>
  <si>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</si>
  <si>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</si>
  <si>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</si>
  <si>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</si>
  <si>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</si>
  <si>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</si>
  <si>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</si>
  <si>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</si>
  <si>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</si>
  <si>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</si>
  <si>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</si>
  <si>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</si>
  <si>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</si>
  <si>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</si>
  <si>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</si>
  <si>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</si>
  <si>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</si>
  <si>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</si>
  <si>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</si>
  <si>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</si>
  <si>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</si>
  <si>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</si>
  <si>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</si>
  <si>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</si>
  <si>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</si>
  <si>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</si>
  <si>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</si>
  <si>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</si>
  <si>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</si>
  <si>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</si>
  <si>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</si>
  <si>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</si>
  <si>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</si>
  <si>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</si>
  <si>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</si>
  <si>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</si>
  <si>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</si>
  <si>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</si>
  <si>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</si>
  <si>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</si>
  <si>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</si>
  <si>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</si>
  <si>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</si>
  <si>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</si>
  <si>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</si>
  <si>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</si>
  <si>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</si>
  <si>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</si>
  <si>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</si>
  <si>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</si>
  <si>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敵全体攻撃[極大]自分の攻撃力UP[極大]</t>
    <rPh sb="0" eb="1">
      <t>テキ</t>
    </rPh>
    <rPh sb="1" eb="3">
      <t>ゼンタイ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</si>
  <si>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</si>
  <si>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</si>
  <si>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</si>
  <si>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</si>
  <si>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</si>
  <si>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</si>
  <si>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</si>
  <si>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</si>
  <si>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</si>
  <si>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</si>
  <si>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</si>
  <si>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</si>
  <si>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</si>
  <si>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</si>
  <si>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</si>
  <si>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</si>
  <si>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</si>
  <si>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</si>
  <si>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</si>
  <si>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</si>
  <si>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</si>
  <si>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</si>
  <si>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不屈の闘志／真</t>
    <rPh sb="0" eb="2">
      <t>フクツ</t>
    </rPh>
    <rPh sb="3" eb="5">
      <t>トウシ</t>
    </rPh>
    <rPh sb="6" eb="7">
      <t>シン</t>
    </rPh>
    <phoneticPr fontId="1"/>
  </si>
  <si>
    <t>紫打の練気</t>
    <rPh sb="0" eb="2">
      <t>ムラサキダ</t>
    </rPh>
    <rPh sb="3" eb="5">
      <t>ネリキ</t>
    </rPh>
    <phoneticPr fontId="1"/>
  </si>
  <si>
    <t>騎士団全体の防御力が特大UP＆ユニット1体をタレント状態にする(3分間)</t>
    <rPh sb="0" eb="3">
      <t>キシダン</t>
    </rPh>
    <rPh sb="3" eb="5">
      <t>ゼンタイ</t>
    </rPh>
    <rPh sb="6" eb="9">
      <t>ボウギョリョク</t>
    </rPh>
    <rPh sb="20" eb="21">
      <t>タイ</t>
    </rPh>
    <rPh sb="26" eb="28">
      <t>ジョウタイ</t>
    </rPh>
    <rPh sb="33" eb="35">
      <t>フンカン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</si>
  <si>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</si>
  <si>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</si>
  <si>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</si>
  <si>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</si>
  <si>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</si>
  <si>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</si>
  <si>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</si>
  <si>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</si>
  <si>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</si>
  <si>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</si>
  <si>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</si>
  <si>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</si>
  <si>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</si>
  <si>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</si>
  <si>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</si>
  <si>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</si>
  <si>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</si>
  <si>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</si>
  <si>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</si>
  <si>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</si>
  <si>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</si>
  <si>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</si>
  <si>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</si>
  <si>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</si>
  <si>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</si>
  <si>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</si>
  <si>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</si>
  <si>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</si>
  <si>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</si>
  <si>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</si>
  <si>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</si>
  <si>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</si>
  <si>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</si>
  <si>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</si>
  <si>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</si>
  <si>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</si>
  <si>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</si>
  <si>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</si>
  <si>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</si>
  <si>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</si>
  <si>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</si>
  <si>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</si>
  <si>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</si>
  <si>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</si>
  <si>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</si>
  <si>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</si>
  <si>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</si>
  <si>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</si>
  <si>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</si>
  <si>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</si>
  <si>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</si>
  <si>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</si>
  <si>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</si>
  <si>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</si>
  <si>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</si>
  <si>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</si>
  <si>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</si>
  <si>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</si>
  <si>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</si>
  <si>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</si>
  <si>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</si>
  <si>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縦一列に攻撃[超極大]</t>
    <rPh sb="0" eb="1">
      <t>タテ</t>
    </rPh>
    <rPh sb="1" eb="3">
      <t>イチレツ</t>
    </rPh>
    <rPh sb="4" eb="6">
      <t>コウゲキ</t>
    </rPh>
    <rPh sb="7" eb="8">
      <t>チョウ</t>
    </rPh>
    <rPh sb="8" eb="10">
      <t>キョクダイ</t>
    </rPh>
    <phoneticPr fontId="1"/>
  </si>
  <si>
    <t>騎士団全体の攻・防が特大UP(3分間)</t>
    <rPh sb="0" eb="5">
      <t>キシダンゼンタイ</t>
    </rPh>
    <rPh sb="6" eb="7">
      <t>コウ</t>
    </rPh>
    <rPh sb="8" eb="9">
      <t>ボウ</t>
    </rPh>
    <rPh sb="10" eb="12">
      <t>トクダイ</t>
    </rPh>
    <rPh sb="16" eb="18">
      <t>フンカン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</si>
  <si>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</si>
  <si>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</si>
  <si>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対戦騎士団全体の防御力が特大DOWN(5分間)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4">
      <t>トクダイ</t>
    </rPh>
    <rPh sb="20" eb="22">
      <t>フンカン</t>
    </rPh>
    <phoneticPr fontId="1"/>
  </si>
  <si>
    <t>突に強く斬に弱い横一列攻撃[超極大]</t>
    <rPh sb="0" eb="1">
      <t>トツ</t>
    </rPh>
    <rPh sb="2" eb="3">
      <t>ツヨ</t>
    </rPh>
    <rPh sb="4" eb="5">
      <t>ザン</t>
    </rPh>
    <rPh sb="6" eb="7">
      <t>ヨワ</t>
    </rPh>
    <rPh sb="8" eb="11">
      <t>ヨコイチレツ</t>
    </rPh>
    <rPh sb="11" eb="13">
      <t>コウゲキ</t>
    </rPh>
    <rPh sb="14" eb="15">
      <t>チョウ</t>
    </rPh>
    <rPh sb="15" eb="17">
      <t>キョクダイ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</si>
  <si>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</si>
  <si>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</si>
  <si>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</si>
  <si>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</si>
  <si>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</si>
  <si>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</si>
  <si>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</si>
  <si>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</si>
  <si>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</si>
  <si>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</si>
  <si>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</si>
  <si>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</si>
  <si>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</si>
  <si>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</si>
  <si>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</si>
  <si>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</si>
  <si>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</si>
  <si>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ﾗﾝﾀﾞﾑで3～5連撃。攻撃毎に与ﾀﾞﾒ2倍[低確率]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</si>
  <si>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</si>
  <si>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</si>
  <si>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</si>
  <si>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</si>
  <si>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</si>
  <si>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騎士団全体の攻撃力が特大UP＆ユニット1体をタレント状態にする(3分間)</t>
    <rPh sb="0" eb="3">
      <t>キシダン</t>
    </rPh>
    <rPh sb="6" eb="9">
      <t>コウゲキリョク</t>
    </rPh>
    <rPh sb="10" eb="12">
      <t>トクダイ</t>
    </rPh>
    <rPh sb="20" eb="21">
      <t>タイ</t>
    </rPh>
    <rPh sb="26" eb="28">
      <t>ジョウタイ</t>
    </rPh>
    <rPh sb="33" eb="35">
      <t>フンカン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</si>
  <si>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</si>
  <si>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</si>
  <si>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</si>
  <si>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</si>
  <si>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</si>
  <si>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</si>
  <si>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</si>
  <si>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</si>
  <si>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</si>
  <si>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</si>
  <si>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</si>
  <si>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</si>
  <si>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</si>
  <si>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</si>
  <si>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</si>
  <si>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</si>
  <si>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</si>
  <si>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</si>
  <si>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</si>
  <si>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</si>
  <si>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</si>
  <si>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</si>
  <si>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</si>
  <si>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</si>
  <si>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</si>
  <si>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</si>
  <si>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</si>
  <si>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</si>
  <si>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</si>
  <si>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</si>
  <si>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</si>
  <si>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</si>
  <si>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</si>
  <si>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</si>
  <si>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</si>
  <si>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</si>
  <si>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</si>
  <si>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</si>
  <si>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</si>
  <si>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</si>
  <si>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</si>
  <si>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</si>
  <si>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</si>
  <si>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</si>
  <si>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</si>
  <si>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</si>
  <si>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</si>
  <si>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</si>
  <si>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</si>
  <si>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</si>
  <si>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</si>
  <si>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</si>
  <si>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</si>
  <si>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</si>
  <si>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</si>
  <si>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</si>
  <si>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</si>
  <si>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</si>
  <si>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</si>
  <si>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</si>
  <si>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</si>
  <si>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</si>
  <si>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</si>
  <si>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</si>
  <si>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</si>
  <si>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</si>
  <si>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</si>
  <si>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</si>
  <si>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</si>
  <si>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</si>
  <si>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</si>
  <si>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</si>
  <si>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</si>
  <si>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</si>
  <si>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</si>
  <si>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</si>
  <si>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</si>
  <si>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</si>
  <si>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騎士団全体の攻撃力が特大UP(3分間)</t>
    <rPh sb="10" eb="12">
      <t>トクダイ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</si>
  <si>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</si>
  <si>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</si>
  <si>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</si>
  <si>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</si>
  <si>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</si>
  <si>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</si>
  <si>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</si>
  <si>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</si>
  <si>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</si>
  <si>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</si>
  <si>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</si>
  <si>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</si>
  <si>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</si>
  <si>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</si>
  <si>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</si>
  <si>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</si>
  <si>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</si>
  <si>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</si>
  <si>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</si>
  <si>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</si>
  <si>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</si>
  <si>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</si>
  <si>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</si>
  <si>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</si>
  <si>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</si>
  <si>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</si>
  <si>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</si>
  <si>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</si>
  <si>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</si>
  <si>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</si>
  <si>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</si>
  <si>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</si>
  <si>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</si>
  <si>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</si>
  <si>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</si>
  <si>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</si>
  <si>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</si>
  <si>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騎士団全体の攻・防が特大UP＆ユニット1体をタレント状態にする(3分間)</t>
    <rPh sb="0" eb="3">
      <t>キシダン</t>
    </rPh>
    <rPh sb="6" eb="7">
      <t>コウ</t>
    </rPh>
    <rPh sb="8" eb="9">
      <t>ボウ</t>
    </rPh>
    <rPh sb="10" eb="12">
      <t>トクダイ</t>
    </rPh>
    <rPh sb="20" eb="21">
      <t>タイ</t>
    </rPh>
    <rPh sb="26" eb="28">
      <t>ジョウタイ</t>
    </rPh>
    <rPh sb="33" eb="35">
      <t>フンカン</t>
    </rPh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</si>
  <si>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</si>
  <si>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</si>
  <si>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</si>
  <si>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</si>
  <si>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</si>
  <si>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</si>
  <si>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</si>
  <si>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</si>
  <si>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</si>
  <si>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</si>
  <si>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</si>
  <si>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</si>
  <si>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</si>
  <si>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</si>
  <si>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自分の攻撃力と防御力をUP[超極大]</t>
    <rPh sb="0" eb="2">
      <t>ジブン</t>
    </rPh>
    <rPh sb="3" eb="6">
      <t>コウゲキリョク</t>
    </rPh>
    <rPh sb="7" eb="10">
      <t>ボウギョリョク</t>
    </rPh>
    <rPh sb="14" eb="15">
      <t>チョウ</t>
    </rPh>
    <rPh sb="15" eb="17">
      <t>キョクダイ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</si>
  <si>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</si>
  <si>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</si>
  <si>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</si>
  <si>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</si>
  <si>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</si>
  <si>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</si>
  <si>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</si>
  <si>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</si>
  <si>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</si>
  <si>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</si>
  <si>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</si>
  <si>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</si>
  <si>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</si>
  <si>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</si>
  <si>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</si>
  <si>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</si>
  <si>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</si>
  <si>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</si>
  <si>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</si>
  <si>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</si>
  <si>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</si>
  <si>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</si>
  <si>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</si>
  <si>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</si>
  <si>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</si>
  <si>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</si>
  <si>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</si>
  <si>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</si>
  <si>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</si>
  <si>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</si>
  <si>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</si>
  <si>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</si>
  <si>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</si>
  <si>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</si>
  <si>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</si>
  <si>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</si>
  <si>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</si>
  <si>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</si>
  <si>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</si>
  <si>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</si>
  <si>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</si>
  <si>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</si>
  <si>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</si>
  <si>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</si>
  <si>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 xml:space="preserve">対紅の突風／鳳 </t>
    <rPh sb="0" eb="1">
      <t>タイ</t>
    </rPh>
    <phoneticPr fontId="1"/>
  </si>
  <si>
    <t>アサルト／鳳</t>
    <phoneticPr fontId="1"/>
  </si>
  <si>
    <t xml:space="preserve">対翠の突風／鳳 </t>
    <rPh sb="0" eb="1">
      <t>タイ</t>
    </rPh>
    <rPh sb="1" eb="2">
      <t>ミドリ</t>
    </rPh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</si>
  <si>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</si>
  <si>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</si>
  <si>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遠に強く打に弱い縦一列攻撃[極大]</t>
    <rPh sb="0" eb="1">
      <t>エン</t>
    </rPh>
    <rPh sb="2" eb="3">
      <t>ツヨ</t>
    </rPh>
    <rPh sb="4" eb="5">
      <t>ダ</t>
    </rPh>
    <rPh sb="6" eb="7">
      <t>ヨワ</t>
    </rPh>
    <rPh sb="8" eb="13">
      <t>タテイチレツコウゲキ</t>
    </rPh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</si>
  <si>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</si>
  <si>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</si>
  <si>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</si>
  <si>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</si>
  <si>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</si>
  <si>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</si>
  <si>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</si>
  <si>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</si>
  <si>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</si>
  <si>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</si>
  <si>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</si>
  <si>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</si>
  <si>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</si>
  <si>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</si>
  <si>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</si>
  <si>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</si>
  <si>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</si>
  <si>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</si>
  <si>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</si>
  <si>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</si>
  <si>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</si>
  <si>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</si>
  <si>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</si>
  <si>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</si>
  <si>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</si>
  <si>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</si>
  <si>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</si>
  <si>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</si>
  <si>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</si>
  <si>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</si>
  <si>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</si>
  <si>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</si>
  <si>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</si>
  <si>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</si>
  <si>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X字型に攻撃[超極大]</t>
    <rPh sb="7" eb="8">
      <t>チョウ</t>
    </rPh>
    <rPh sb="8" eb="10">
      <t>キョクダイ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</si>
  <si>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</si>
  <si>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</si>
  <si>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</si>
  <si>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</si>
  <si>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</si>
  <si>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</si>
  <si>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</si>
  <si>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強襲が発生無効、バトル時に攻・防特大UP(5分間)</t>
    <rPh sb="16" eb="18">
      <t>トクダイ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</si>
  <si>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</si>
  <si>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</si>
  <si>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</si>
  <si>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</si>
  <si>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</si>
  <si>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</si>
  <si>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</si>
  <si>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</si>
  <si>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</si>
  <si>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</si>
  <si>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強襲CBの発生確率・強襲時獲得Pt特大UP(3分間)</t>
    <rPh sb="17" eb="19">
      <t>トクダイ</t>
    </rPh>
    <phoneticPr fontId="1"/>
  </si>
  <si>
    <t>キリ番CB時の獲得ポイント特大UP(8回)</t>
    <rPh sb="13" eb="15">
      <t>トクダイ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</si>
  <si>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</si>
  <si>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</si>
  <si>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</si>
  <si>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</si>
  <si>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騎士団全体の攻・防が特大UP(3分間)</t>
    <rPh sb="10" eb="12">
      <t>トクダイ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</si>
  <si>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</si>
  <si>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</si>
  <si>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</si>
  <si>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</si>
  <si>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</si>
  <si>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</si>
  <si>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</si>
  <si>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</si>
  <si>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強襲CBの発生率・強襲時獲得ポイント大アップ(3分)</t>
    <rPh sb="0" eb="2">
      <t>キョウシュウ</t>
    </rPh>
    <rPh sb="5" eb="7">
      <t>ハッセイ</t>
    </rPh>
    <rPh sb="7" eb="8">
      <t>リツ</t>
    </rPh>
    <rPh sb="9" eb="11">
      <t>キョウシュウ</t>
    </rPh>
    <rPh sb="11" eb="12">
      <t>ジ</t>
    </rPh>
    <rPh sb="12" eb="14">
      <t>カクトク</t>
    </rPh>
    <rPh sb="18" eb="19">
      <t>ダイ</t>
    </rPh>
    <rPh sb="24" eb="25">
      <t>フン</t>
    </rPh>
    <phoneticPr fontId="1"/>
  </si>
  <si>
    <t>不屈の闘気</t>
    <phoneticPr fontId="1"/>
  </si>
  <si>
    <t>精鋭化ユニット</t>
    <rPh sb="0" eb="3">
      <t>セイエイカ</t>
    </rPh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</si>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</sst>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9"/>
      <color rgb="FF000000"/>
      <name val="Arial"/>
      <family val="2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8"/>
      <color rgb="FFFF0000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6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1" applyNumberFormat="1" applyFont="1" applyBorder="1" applyAlignment="1">
      <alignment vertical="center"/>
    </xf>
    <xf numFmtId="0" fontId="9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NumberFormat="1" applyFont="1" applyFill="1" applyBorder="1" applyAlignment="1">
      <alignment horizontal="left" vertical="center" wrapText="1"/>
    </xf>
    <xf numFmtId="38" fontId="4" fillId="5" borderId="1" xfId="1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5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5" borderId="1" xfId="1" applyNumberFormat="1" applyFont="1" applyFill="1" applyBorder="1" applyAlignment="1">
      <alignment vertical="center"/>
    </xf>
    <xf numFmtId="0" fontId="10" fillId="2" borderId="1" xfId="0" applyNumberFormat="1" applyFont="1" applyFill="1" applyBorder="1" applyAlignment="1">
      <alignment vertical="center"/>
    </xf>
    <xf numFmtId="0" fontId="10" fillId="3" borderId="1" xfId="0" applyNumberFormat="1" applyFont="1" applyFill="1" applyBorder="1" applyAlignment="1">
      <alignment vertical="center"/>
    </xf>
    <xf numFmtId="0" fontId="10" fillId="5" borderId="1" xfId="0" applyNumberFormat="1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38" fontId="10" fillId="0" borderId="1" xfId="0" applyNumberFormat="1" applyFont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9" fillId="0" borderId="1" xfId="0" applyFont="1" applyFill="1" applyBorder="1" applyAlignment="1">
      <alignment vertical="center"/>
    </xf>
    <xf numFmtId="3" fontId="11" fillId="0" borderId="1" xfId="0" applyNumberFormat="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1" xfId="0" applyFont="1" applyBorder="1">
      <alignment vertical="center"/>
    </xf>
    <xf numFmtId="0" fontId="13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71"/>
  <sheetViews>
    <sheetView topLeftCell="AY807" workbookViewId="0">
      <selection activeCell="A72" sqref="A72:BK826"/>
    </sheetView>
  </sheetViews>
  <sheetFormatPr defaultColWidth="24.125" defaultRowHeight="10.5" x14ac:dyDescent="0.15"/>
  <cols>
    <col min="1" max="1" width="6.25" style="10" bestFit="1" customWidth="1"/>
    <col min="2" max="2" width="23.625" style="10" bestFit="1" customWidth="1"/>
    <col min="3" max="3" width="20.125" style="10" bestFit="1" customWidth="1"/>
    <col min="4" max="4" width="9.125" style="10" bestFit="1" customWidth="1"/>
    <col min="5" max="5" width="20.125" style="10" customWidth="1"/>
    <col min="6" max="6" width="7.125" style="10" bestFit="1" customWidth="1"/>
    <col min="7" max="7" width="6.375" style="10" bestFit="1" customWidth="1"/>
    <col min="8" max="8" width="12.125" style="10" bestFit="1" customWidth="1"/>
    <col min="9" max="9" width="7.125" style="10" bestFit="1" customWidth="1"/>
    <col min="10" max="10" width="6.375" style="10" bestFit="1" customWidth="1"/>
    <col min="11" max="11" width="4.125" style="10" bestFit="1" customWidth="1"/>
    <col min="12" max="12" width="7.125" style="10" bestFit="1" customWidth="1"/>
    <col min="13" max="13" width="6.375" style="10" bestFit="1" customWidth="1"/>
    <col min="14" max="14" width="3.25" style="10" bestFit="1" customWidth="1"/>
    <col min="15" max="15" width="7.125" style="10" bestFit="1" customWidth="1"/>
    <col min="16" max="16" width="6.375" style="10" bestFit="1" customWidth="1"/>
    <col min="17" max="17" width="4.25" style="10" bestFit="1" customWidth="1"/>
    <col min="18" max="18" width="7.125" style="10" bestFit="1" customWidth="1"/>
    <col min="19" max="19" width="6.375" style="10" bestFit="1" customWidth="1"/>
    <col min="20" max="20" width="5.5" style="11" bestFit="1" customWidth="1"/>
    <col min="21" max="21" width="7.125" style="10" bestFit="1" customWidth="1"/>
    <col min="22" max="22" width="6.375" style="10" bestFit="1" customWidth="1"/>
    <col min="23" max="23" width="5.5" style="12" bestFit="1" customWidth="1"/>
    <col min="24" max="24" width="7.125" style="10" bestFit="1" customWidth="1"/>
    <col min="25" max="25" width="6.375" style="10" bestFit="1" customWidth="1"/>
    <col min="26" max="26" width="5.5" style="12" bestFit="1" customWidth="1"/>
    <col min="27" max="27" width="7.125" style="10" bestFit="1" customWidth="1"/>
    <col min="28" max="28" width="6.375" style="10" bestFit="1" customWidth="1"/>
    <col min="29" max="29" width="4.25" style="10" bestFit="1" customWidth="1"/>
    <col min="30" max="30" width="7.125" style="10" bestFit="1" customWidth="1"/>
    <col min="31" max="31" width="6.375" style="10" bestFit="1" customWidth="1"/>
    <col min="32" max="32" width="5.5" style="12" bestFit="1" customWidth="1"/>
    <col min="33" max="33" width="7.125" style="10" bestFit="1" customWidth="1"/>
    <col min="34" max="34" width="6.375" style="10" bestFit="1" customWidth="1"/>
    <col min="35" max="35" width="14.375" style="10" bestFit="1" customWidth="1"/>
    <col min="36" max="36" width="7" style="10" bestFit="1" customWidth="1"/>
    <col min="37" max="37" width="32.75" style="10" bestFit="1" customWidth="1"/>
    <col min="38" max="38" width="7.125" style="10" bestFit="1" customWidth="1"/>
    <col min="39" max="39" width="6.375" style="10" bestFit="1" customWidth="1"/>
    <col min="40" max="40" width="13.5" style="10" bestFit="1" customWidth="1"/>
    <col min="41" max="41" width="7" style="10" bestFit="1" customWidth="1"/>
    <col min="42" max="42" width="29" style="10" bestFit="1" customWidth="1"/>
    <col min="43" max="43" width="7.125" style="10" bestFit="1" customWidth="1"/>
    <col min="44" max="44" width="6.375" style="10" bestFit="1" customWidth="1"/>
    <col min="45" max="45" width="18.375" style="10" bestFit="1" customWidth="1"/>
    <col min="46" max="46" width="7" style="10" bestFit="1" customWidth="1"/>
    <col min="47" max="47" width="58.5" style="10" bestFit="1" customWidth="1"/>
    <col min="48" max="48" width="7.125" style="10" bestFit="1" customWidth="1"/>
    <col min="49" max="49" width="6.375" style="10" bestFit="1" customWidth="1"/>
    <col min="50" max="50" width="18.375" style="10" bestFit="1" customWidth="1"/>
    <col min="51" max="51" width="7" style="10" bestFit="1" customWidth="1"/>
    <col min="52" max="52" width="47" style="10" bestFit="1" customWidth="1"/>
    <col min="53" max="53" width="7.125" style="10" bestFit="1" customWidth="1"/>
    <col min="54" max="54" width="6.375" style="10" bestFit="1" customWidth="1"/>
    <col min="55" max="55" width="9.75" style="10" bestFit="1" customWidth="1"/>
    <col min="56" max="56" width="7.125" style="10" bestFit="1" customWidth="1"/>
    <col min="57" max="57" width="15.5" style="10" bestFit="1" customWidth="1"/>
    <col min="58" max="58" width="15.125" style="10" bestFit="1" customWidth="1"/>
    <col min="59" max="59" width="7.125" style="10" bestFit="1" customWidth="1"/>
    <col min="60" max="60" width="6.375" style="10" bestFit="1" customWidth="1"/>
    <col min="61" max="61" width="9.75" style="10" bestFit="1" customWidth="1"/>
    <col min="62" max="62" width="7.125" style="10" bestFit="1" customWidth="1"/>
    <col min="63" max="63" width="6.25" style="10" bestFit="1" customWidth="1"/>
    <col min="64" max="16384" width="24.125" style="10"/>
  </cols>
  <sheetData>
    <row r="1" spans="1:63" s="9" customFormat="1" x14ac:dyDescent="0.15">
      <c r="A1" s="7" t="s">
        <v>1017</v>
      </c>
      <c r="B1" s="8" t="s">
        <v>1025</v>
      </c>
      <c r="C1" s="28" t="s">
        <v>0</v>
      </c>
      <c r="D1" s="28"/>
      <c r="E1" s="28"/>
      <c r="F1" s="8" t="s">
        <v>1023</v>
      </c>
      <c r="G1" s="29" t="s">
        <v>1018</v>
      </c>
      <c r="H1" s="29" t="s">
        <v>1</v>
      </c>
      <c r="I1" s="29" t="s">
        <v>1020</v>
      </c>
      <c r="J1" s="30" t="s">
        <v>1018</v>
      </c>
      <c r="K1" s="30" t="s">
        <v>2</v>
      </c>
      <c r="L1" s="30" t="s">
        <v>1020</v>
      </c>
      <c r="M1" s="31" t="s">
        <v>1018</v>
      </c>
      <c r="N1" s="31" t="s">
        <v>3</v>
      </c>
      <c r="O1" s="31" t="s">
        <v>1020</v>
      </c>
      <c r="P1" s="28" t="s">
        <v>1018</v>
      </c>
      <c r="Q1" s="28" t="s">
        <v>4</v>
      </c>
      <c r="R1" s="28" t="s">
        <v>1020</v>
      </c>
      <c r="S1" s="29" t="s">
        <v>1018</v>
      </c>
      <c r="T1" s="32" t="s">
        <v>5</v>
      </c>
      <c r="U1" s="29" t="s">
        <v>1020</v>
      </c>
      <c r="V1" s="30" t="s">
        <v>1018</v>
      </c>
      <c r="W1" s="33" t="s">
        <v>6</v>
      </c>
      <c r="X1" s="30" t="s">
        <v>1020</v>
      </c>
      <c r="Y1" s="31" t="s">
        <v>1018</v>
      </c>
      <c r="Z1" s="34" t="s">
        <v>7</v>
      </c>
      <c r="AA1" s="31" t="s">
        <v>1020</v>
      </c>
      <c r="AB1" s="28" t="s">
        <v>1018</v>
      </c>
      <c r="AC1" s="28" t="s">
        <v>8</v>
      </c>
      <c r="AD1" s="28" t="s">
        <v>1020</v>
      </c>
      <c r="AE1" s="29" t="s">
        <v>1018</v>
      </c>
      <c r="AF1" s="35" t="s">
        <v>9</v>
      </c>
      <c r="AG1" s="29" t="s">
        <v>1020</v>
      </c>
      <c r="AH1" s="30" t="s">
        <v>1018</v>
      </c>
      <c r="AI1" s="36" t="s">
        <v>977</v>
      </c>
      <c r="AJ1" s="36" t="s">
        <v>1021</v>
      </c>
      <c r="AK1" s="36" t="s">
        <v>978</v>
      </c>
      <c r="AL1" s="30" t="s">
        <v>1020</v>
      </c>
      <c r="AM1" s="31" t="s">
        <v>1018</v>
      </c>
      <c r="AN1" s="9" t="s">
        <v>979</v>
      </c>
      <c r="AO1" s="9" t="s">
        <v>1021</v>
      </c>
      <c r="AP1" s="9" t="s">
        <v>1026</v>
      </c>
      <c r="AQ1" s="31" t="s">
        <v>1020</v>
      </c>
      <c r="AR1" s="28" t="s">
        <v>1018</v>
      </c>
      <c r="AS1" s="8" t="s">
        <v>10</v>
      </c>
      <c r="AT1" s="8" t="s">
        <v>1021</v>
      </c>
      <c r="AU1" s="8" t="s">
        <v>980</v>
      </c>
      <c r="AV1" s="28" t="s">
        <v>1020</v>
      </c>
      <c r="AW1" s="29" t="s">
        <v>1018</v>
      </c>
      <c r="AX1" s="37" t="s">
        <v>11</v>
      </c>
      <c r="AY1" s="37" t="s">
        <v>1021</v>
      </c>
      <c r="AZ1" s="37" t="s">
        <v>981</v>
      </c>
      <c r="BA1" s="29" t="s">
        <v>1020</v>
      </c>
      <c r="BB1" s="30" t="s">
        <v>1018</v>
      </c>
      <c r="BC1" s="36" t="s">
        <v>12</v>
      </c>
      <c r="BD1" s="30" t="s">
        <v>1020</v>
      </c>
      <c r="BE1" s="31" t="s">
        <v>1018</v>
      </c>
      <c r="BF1" s="9" t="s">
        <v>13</v>
      </c>
      <c r="BG1" s="31" t="s">
        <v>1020</v>
      </c>
      <c r="BH1" s="30" t="s">
        <v>1018</v>
      </c>
      <c r="BI1" s="36" t="s">
        <v>1769</v>
      </c>
      <c r="BJ1" s="30" t="s">
        <v>1020</v>
      </c>
      <c r="BK1" s="7" t="s">
        <v>1017</v>
      </c>
    </row>
    <row r="2" spans="1:63" x14ac:dyDescent="0.15">
      <c r="A2" s="10" t="s">
        <v>1016</v>
      </c>
      <c r="B2" s="10" t="s">
        <v>1454</v>
      </c>
      <c r="C2" s="38" t="str">
        <f>"./images/thumbnail/"&amp;データ!B2&amp;".jpg"</f>
        <v>./images/thumbnail/.jpg</v>
      </c>
      <c r="D2" s="38" t="s">
        <v>1455</v>
      </c>
      <c r="E2" s="38" t="str">
        <f>"./images/thumbnail/"&amp;データ!B2&amp;".jpg"</f>
        <v>./images/thumbnail/.jpg</v>
      </c>
      <c r="F2" s="38" t="s">
        <v>1116</v>
      </c>
      <c r="G2" s="38" t="s">
        <v>1319</v>
      </c>
      <c r="H2" s="38">
        <f>データ!C2</f>
        <v>0</v>
      </c>
      <c r="I2" s="38" t="s">
        <v>1024</v>
      </c>
      <c r="J2" s="38" t="s">
        <v>1320</v>
      </c>
      <c r="K2" s="38">
        <f>データ!D2</f>
        <v>0</v>
      </c>
      <c r="L2" s="38" t="s">
        <v>1024</v>
      </c>
      <c r="M2" s="38" t="s">
        <v>1321</v>
      </c>
      <c r="N2" s="38">
        <f>データ!E2</f>
        <v>0</v>
      </c>
      <c r="O2" s="38" t="s">
        <v>1024</v>
      </c>
      <c r="P2" s="38" t="s">
        <v>1319</v>
      </c>
      <c r="Q2" s="38">
        <f>データ!F2</f>
        <v>0</v>
      </c>
      <c r="R2" s="38" t="s">
        <v>1024</v>
      </c>
      <c r="S2" s="38" t="s">
        <v>1319</v>
      </c>
      <c r="T2" s="39">
        <f>データ!G2</f>
        <v>0</v>
      </c>
      <c r="U2" s="40" t="s">
        <v>1024</v>
      </c>
      <c r="V2" s="40" t="s">
        <v>1319</v>
      </c>
      <c r="W2" s="39">
        <f>データ!H2</f>
        <v>0</v>
      </c>
      <c r="X2" s="40" t="s">
        <v>1024</v>
      </c>
      <c r="Y2" s="40" t="s">
        <v>1319</v>
      </c>
      <c r="Z2" s="39">
        <f>データ!I2</f>
        <v>0</v>
      </c>
      <c r="AA2" s="40" t="s">
        <v>1024</v>
      </c>
      <c r="AB2" s="40" t="s">
        <v>1322</v>
      </c>
      <c r="AC2" s="39">
        <f>データ!J2</f>
        <v>0</v>
      </c>
      <c r="AD2" s="38" t="s">
        <v>1024</v>
      </c>
      <c r="AE2" s="40" t="s">
        <v>1323</v>
      </c>
      <c r="AF2" s="39">
        <f>データ!K2</f>
        <v>0</v>
      </c>
      <c r="AG2" s="40" t="s">
        <v>1024</v>
      </c>
      <c r="AH2" s="40" t="s">
        <v>1324</v>
      </c>
      <c r="AI2" s="39">
        <f>データ!L2</f>
        <v>0</v>
      </c>
      <c r="AJ2" s="10" t="s">
        <v>1113</v>
      </c>
      <c r="AK2" s="39" t="e">
        <f>データ!M2</f>
        <v>#N/A</v>
      </c>
      <c r="AL2" s="38" t="s">
        <v>1024</v>
      </c>
      <c r="AM2" s="40" t="s">
        <v>1325</v>
      </c>
      <c r="AN2" s="39">
        <f>データ!N2</f>
        <v>0</v>
      </c>
      <c r="AO2" s="10" t="s">
        <v>1113</v>
      </c>
      <c r="AP2" s="39" t="e">
        <f>データ!O2</f>
        <v>#N/A</v>
      </c>
      <c r="AQ2" s="41" t="s">
        <v>1024</v>
      </c>
      <c r="AR2" s="40" t="s">
        <v>1324</v>
      </c>
      <c r="AS2" s="39">
        <f>データ!P2</f>
        <v>0</v>
      </c>
      <c r="AT2" s="10" t="s">
        <v>1113</v>
      </c>
      <c r="AU2" s="39" t="e">
        <f>データ!Q2</f>
        <v>#N/A</v>
      </c>
      <c r="AV2" s="10" t="s">
        <v>1024</v>
      </c>
      <c r="AW2" s="40" t="s">
        <v>1324</v>
      </c>
      <c r="AX2" s="39">
        <f>データ!R2</f>
        <v>0</v>
      </c>
      <c r="AY2" s="10" t="s">
        <v>1113</v>
      </c>
      <c r="AZ2" s="39" t="e">
        <f>データ!S2</f>
        <v>#N/A</v>
      </c>
      <c r="BA2" s="41" t="s">
        <v>1024</v>
      </c>
      <c r="BB2" s="40" t="s">
        <v>1319</v>
      </c>
      <c r="BC2" s="39">
        <f>データ!T2</f>
        <v>0</v>
      </c>
      <c r="BD2" s="41" t="s">
        <v>1024</v>
      </c>
      <c r="BE2" s="40" t="s">
        <v>1320</v>
      </c>
      <c r="BF2" s="39">
        <f>データ!U2</f>
        <v>0</v>
      </c>
      <c r="BG2" s="41" t="s">
        <v>1024</v>
      </c>
      <c r="BH2" s="40" t="s">
        <v>1319</v>
      </c>
      <c r="BI2" s="39">
        <f>データ!V2</f>
        <v>0</v>
      </c>
      <c r="BJ2" s="41" t="s">
        <v>1024</v>
      </c>
      <c r="BK2" s="10" t="s">
        <v>1019</v>
      </c>
    </row>
    <row r="3" spans="1:63" x14ac:dyDescent="0.15">
      <c r="A3" s="10" t="s">
        <v>1016</v>
      </c>
      <c r="B3" s="10" t="s">
        <v>1454</v>
      </c>
      <c r="C3" s="38" t="str">
        <f>"./images/thumbnail/"&amp;データ!B3&amp;".jpg"</f>
        <v>./images/thumbnail/.jpg</v>
      </c>
      <c r="D3" s="38" t="s">
        <v>1455</v>
      </c>
      <c r="E3" s="38" t="str">
        <f>"./images/thumbnail/"&amp;データ!B3&amp;".jpg"</f>
        <v>./images/thumbnail/.jpg</v>
      </c>
      <c r="F3" s="38" t="s">
        <v>1116</v>
      </c>
      <c r="G3" s="38" t="s">
        <v>1319</v>
      </c>
      <c r="H3" s="38">
        <f>データ!C3</f>
        <v>0</v>
      </c>
      <c r="I3" s="38" t="s">
        <v>1024</v>
      </c>
      <c r="J3" s="38" t="s">
        <v>1320</v>
      </c>
      <c r="K3" s="38">
        <f>データ!D3</f>
        <v>0</v>
      </c>
      <c r="L3" s="38" t="s">
        <v>1024</v>
      </c>
      <c r="M3" s="38" t="s">
        <v>1321</v>
      </c>
      <c r="N3" s="38">
        <f>データ!E3</f>
        <v>0</v>
      </c>
      <c r="O3" s="38" t="s">
        <v>1024</v>
      </c>
      <c r="P3" s="38" t="s">
        <v>1319</v>
      </c>
      <c r="Q3" s="38">
        <f>データ!F3</f>
        <v>0</v>
      </c>
      <c r="R3" s="38" t="s">
        <v>1024</v>
      </c>
      <c r="S3" s="38" t="s">
        <v>1319</v>
      </c>
      <c r="T3" s="39">
        <f>データ!G3</f>
        <v>0</v>
      </c>
      <c r="U3" s="40" t="s">
        <v>1024</v>
      </c>
      <c r="V3" s="40" t="s">
        <v>1319</v>
      </c>
      <c r="W3" s="39">
        <f>データ!H3</f>
        <v>0</v>
      </c>
      <c r="X3" s="40" t="s">
        <v>1024</v>
      </c>
      <c r="Y3" s="40" t="s">
        <v>1319</v>
      </c>
      <c r="Z3" s="39">
        <f>データ!I3</f>
        <v>0</v>
      </c>
      <c r="AA3" s="40" t="s">
        <v>1024</v>
      </c>
      <c r="AB3" s="40" t="s">
        <v>1322</v>
      </c>
      <c r="AC3" s="39">
        <f>データ!J3</f>
        <v>0</v>
      </c>
      <c r="AD3" s="38" t="s">
        <v>1024</v>
      </c>
      <c r="AE3" s="40" t="s">
        <v>1323</v>
      </c>
      <c r="AF3" s="39">
        <f>データ!K3</f>
        <v>0</v>
      </c>
      <c r="AG3" s="40" t="s">
        <v>1024</v>
      </c>
      <c r="AH3" s="40" t="s">
        <v>1324</v>
      </c>
      <c r="AI3" s="39">
        <f>データ!L3</f>
        <v>0</v>
      </c>
      <c r="AJ3" s="10" t="s">
        <v>1113</v>
      </c>
      <c r="AK3" s="39" t="e">
        <f>データ!M3</f>
        <v>#N/A</v>
      </c>
      <c r="AL3" s="38" t="s">
        <v>1024</v>
      </c>
      <c r="AM3" s="40" t="s">
        <v>1325</v>
      </c>
      <c r="AN3" s="39">
        <f>データ!N3</f>
        <v>0</v>
      </c>
      <c r="AO3" s="10" t="s">
        <v>1113</v>
      </c>
      <c r="AP3" s="39" t="e">
        <f>データ!O3</f>
        <v>#N/A</v>
      </c>
      <c r="AQ3" s="41" t="s">
        <v>1024</v>
      </c>
      <c r="AR3" s="40" t="s">
        <v>1324</v>
      </c>
      <c r="AS3" s="39">
        <f>データ!P3</f>
        <v>0</v>
      </c>
      <c r="AT3" s="10" t="s">
        <v>1113</v>
      </c>
      <c r="AU3" s="39" t="e">
        <f>データ!Q3</f>
        <v>#N/A</v>
      </c>
      <c r="AV3" s="10" t="s">
        <v>1024</v>
      </c>
      <c r="AW3" s="40" t="s">
        <v>1324</v>
      </c>
      <c r="AX3" s="39">
        <f>データ!R3</f>
        <v>0</v>
      </c>
      <c r="AY3" s="10" t="s">
        <v>1113</v>
      </c>
      <c r="AZ3" s="39" t="e">
        <f>データ!S3</f>
        <v>#N/A</v>
      </c>
      <c r="BA3" s="41" t="s">
        <v>1024</v>
      </c>
      <c r="BB3" s="40" t="s">
        <v>1319</v>
      </c>
      <c r="BC3" s="39">
        <f>データ!T3</f>
        <v>0</v>
      </c>
      <c r="BD3" s="41" t="s">
        <v>1024</v>
      </c>
      <c r="BE3" s="40" t="s">
        <v>1320</v>
      </c>
      <c r="BF3" s="39">
        <f>データ!U3</f>
        <v>0</v>
      </c>
      <c r="BG3" s="41" t="s">
        <v>1024</v>
      </c>
      <c r="BH3" s="40" t="s">
        <v>1319</v>
      </c>
      <c r="BI3" s="39">
        <f>データ!V3</f>
        <v>0</v>
      </c>
      <c r="BJ3" s="41" t="s">
        <v>1024</v>
      </c>
      <c r="BK3" s="10" t="s">
        <v>1019</v>
      </c>
    </row>
    <row r="4" spans="1:63" x14ac:dyDescent="0.15">
      <c r="A4" s="10" t="s">
        <v>1016</v>
      </c>
      <c r="B4" s="10" t="s">
        <v>1454</v>
      </c>
      <c r="C4" s="38" t="str">
        <f>"./images/thumbnail/"&amp;データ!B4&amp;".jpg"</f>
        <v>./images/thumbnail/.jpg</v>
      </c>
      <c r="D4" s="38" t="s">
        <v>1455</v>
      </c>
      <c r="E4" s="38" t="str">
        <f>"./images/thumbnail/"&amp;データ!B4&amp;".jpg"</f>
        <v>./images/thumbnail/.jpg</v>
      </c>
      <c r="F4" s="38" t="s">
        <v>1116</v>
      </c>
      <c r="G4" s="38" t="s">
        <v>1319</v>
      </c>
      <c r="H4" s="38">
        <f>データ!C4</f>
        <v>0</v>
      </c>
      <c r="I4" s="38" t="s">
        <v>1024</v>
      </c>
      <c r="J4" s="38" t="s">
        <v>1320</v>
      </c>
      <c r="K4" s="38">
        <f>データ!D4</f>
        <v>0</v>
      </c>
      <c r="L4" s="38" t="s">
        <v>1024</v>
      </c>
      <c r="M4" s="38" t="s">
        <v>1321</v>
      </c>
      <c r="N4" s="38">
        <f>データ!E4</f>
        <v>0</v>
      </c>
      <c r="O4" s="38" t="s">
        <v>1024</v>
      </c>
      <c r="P4" s="38" t="s">
        <v>1319</v>
      </c>
      <c r="Q4" s="38">
        <f>データ!F4</f>
        <v>0</v>
      </c>
      <c r="R4" s="38" t="s">
        <v>1024</v>
      </c>
      <c r="S4" s="38" t="s">
        <v>1319</v>
      </c>
      <c r="T4" s="39">
        <f>データ!G4</f>
        <v>0</v>
      </c>
      <c r="U4" s="40" t="s">
        <v>1024</v>
      </c>
      <c r="V4" s="40" t="s">
        <v>1319</v>
      </c>
      <c r="W4" s="39">
        <f>データ!H4</f>
        <v>0</v>
      </c>
      <c r="X4" s="40" t="s">
        <v>1024</v>
      </c>
      <c r="Y4" s="40" t="s">
        <v>1319</v>
      </c>
      <c r="Z4" s="39">
        <f>データ!I4</f>
        <v>0</v>
      </c>
      <c r="AA4" s="40" t="s">
        <v>1024</v>
      </c>
      <c r="AB4" s="40" t="s">
        <v>1322</v>
      </c>
      <c r="AC4" s="39">
        <f>データ!J4</f>
        <v>0</v>
      </c>
      <c r="AD4" s="38" t="s">
        <v>1024</v>
      </c>
      <c r="AE4" s="40" t="s">
        <v>1323</v>
      </c>
      <c r="AF4" s="39">
        <f>データ!K4</f>
        <v>0</v>
      </c>
      <c r="AG4" s="40" t="s">
        <v>1024</v>
      </c>
      <c r="AH4" s="40" t="s">
        <v>1324</v>
      </c>
      <c r="AI4" s="39">
        <f>データ!L4</f>
        <v>0</v>
      </c>
      <c r="AJ4" s="10" t="s">
        <v>1113</v>
      </c>
      <c r="AK4" s="39" t="e">
        <f>データ!M4</f>
        <v>#N/A</v>
      </c>
      <c r="AL4" s="10" t="s">
        <v>1024</v>
      </c>
      <c r="AM4" s="40" t="s">
        <v>1325</v>
      </c>
      <c r="AN4" s="39">
        <f>データ!N4</f>
        <v>0</v>
      </c>
      <c r="AO4" s="10" t="s">
        <v>1113</v>
      </c>
      <c r="AP4" s="39" t="e">
        <f>データ!O4</f>
        <v>#N/A</v>
      </c>
      <c r="AQ4" s="41" t="s">
        <v>1024</v>
      </c>
      <c r="AR4" s="40" t="s">
        <v>1324</v>
      </c>
      <c r="AS4" s="39">
        <f>データ!P4</f>
        <v>0</v>
      </c>
      <c r="AT4" s="10" t="s">
        <v>1113</v>
      </c>
      <c r="AU4" s="39" t="e">
        <f>データ!Q4</f>
        <v>#N/A</v>
      </c>
      <c r="AV4" s="10" t="s">
        <v>1024</v>
      </c>
      <c r="AW4" s="40" t="s">
        <v>1324</v>
      </c>
      <c r="AX4" s="39">
        <f>データ!R4</f>
        <v>0</v>
      </c>
      <c r="AY4" s="10" t="s">
        <v>1113</v>
      </c>
      <c r="AZ4" s="39" t="e">
        <f>データ!S4</f>
        <v>#N/A</v>
      </c>
      <c r="BA4" s="41" t="s">
        <v>1024</v>
      </c>
      <c r="BB4" s="40" t="s">
        <v>1319</v>
      </c>
      <c r="BC4" s="39">
        <f>データ!T4</f>
        <v>0</v>
      </c>
      <c r="BD4" s="41" t="s">
        <v>1024</v>
      </c>
      <c r="BE4" s="40" t="s">
        <v>1320</v>
      </c>
      <c r="BF4" s="39">
        <f>データ!U4</f>
        <v>0</v>
      </c>
      <c r="BG4" s="41" t="s">
        <v>1024</v>
      </c>
      <c r="BH4" s="40" t="s">
        <v>1319</v>
      </c>
      <c r="BI4" s="39">
        <f>データ!V4</f>
        <v>0</v>
      </c>
      <c r="BJ4" s="41" t="s">
        <v>1024</v>
      </c>
      <c r="BK4" s="10" t="s">
        <v>1019</v>
      </c>
    </row>
    <row r="5" spans="1:63" x14ac:dyDescent="0.15">
      <c r="A5" s="10" t="s">
        <v>1016</v>
      </c>
      <c r="B5" s="10" t="s">
        <v>1454</v>
      </c>
      <c r="C5" s="38" t="str">
        <f>"./images/thumbnail/"&amp;データ!B5&amp;".jpg"</f>
        <v>./images/thumbnail/.jpg</v>
      </c>
      <c r="D5" s="38" t="s">
        <v>1455</v>
      </c>
      <c r="E5" s="38" t="str">
        <f>"./images/thumbnail/"&amp;データ!B5&amp;".jpg"</f>
        <v>./images/thumbnail/.jpg</v>
      </c>
      <c r="F5" s="38" t="s">
        <v>1116</v>
      </c>
      <c r="G5" s="38" t="s">
        <v>1319</v>
      </c>
      <c r="H5" s="38">
        <f>データ!C5</f>
        <v>0</v>
      </c>
      <c r="I5" s="38" t="s">
        <v>1024</v>
      </c>
      <c r="J5" s="38" t="s">
        <v>1320</v>
      </c>
      <c r="K5" s="38">
        <f>データ!D5</f>
        <v>0</v>
      </c>
      <c r="L5" s="38" t="s">
        <v>1024</v>
      </c>
      <c r="M5" s="38" t="s">
        <v>1321</v>
      </c>
      <c r="N5" s="38">
        <f>データ!E5</f>
        <v>0</v>
      </c>
      <c r="O5" s="38" t="s">
        <v>1024</v>
      </c>
      <c r="P5" s="38" t="s">
        <v>1319</v>
      </c>
      <c r="Q5" s="38">
        <f>データ!F5</f>
        <v>0</v>
      </c>
      <c r="R5" s="38" t="s">
        <v>1024</v>
      </c>
      <c r="S5" s="38" t="s">
        <v>1319</v>
      </c>
      <c r="T5" s="39">
        <f>データ!G5</f>
        <v>0</v>
      </c>
      <c r="U5" s="40" t="s">
        <v>1024</v>
      </c>
      <c r="V5" s="40" t="s">
        <v>1319</v>
      </c>
      <c r="W5" s="39">
        <f>データ!H5</f>
        <v>0</v>
      </c>
      <c r="X5" s="40" t="s">
        <v>1024</v>
      </c>
      <c r="Y5" s="40" t="s">
        <v>1319</v>
      </c>
      <c r="Z5" s="39">
        <f>データ!I5</f>
        <v>0</v>
      </c>
      <c r="AA5" s="40" t="s">
        <v>1024</v>
      </c>
      <c r="AB5" s="40" t="s">
        <v>1322</v>
      </c>
      <c r="AC5" s="39">
        <f>データ!J5</f>
        <v>0</v>
      </c>
      <c r="AD5" s="38" t="s">
        <v>1024</v>
      </c>
      <c r="AE5" s="40" t="s">
        <v>1323</v>
      </c>
      <c r="AF5" s="39">
        <f>データ!K5</f>
        <v>0</v>
      </c>
      <c r="AG5" s="40" t="s">
        <v>1024</v>
      </c>
      <c r="AH5" s="40" t="s">
        <v>1324</v>
      </c>
      <c r="AI5" s="39">
        <f>データ!L5</f>
        <v>0</v>
      </c>
      <c r="AJ5" s="10" t="s">
        <v>1113</v>
      </c>
      <c r="AK5" s="39" t="e">
        <f>データ!M5</f>
        <v>#N/A</v>
      </c>
      <c r="AL5" s="10" t="s">
        <v>1024</v>
      </c>
      <c r="AM5" s="40" t="s">
        <v>1325</v>
      </c>
      <c r="AN5" s="39">
        <f>データ!N5</f>
        <v>0</v>
      </c>
      <c r="AO5" s="10" t="s">
        <v>1113</v>
      </c>
      <c r="AP5" s="39" t="e">
        <f>データ!O5</f>
        <v>#N/A</v>
      </c>
      <c r="AQ5" s="41" t="s">
        <v>1024</v>
      </c>
      <c r="AR5" s="40" t="s">
        <v>1324</v>
      </c>
      <c r="AS5" s="39">
        <f>データ!P5</f>
        <v>0</v>
      </c>
      <c r="AT5" s="10" t="s">
        <v>1113</v>
      </c>
      <c r="AU5" s="39" t="e">
        <f>データ!Q5</f>
        <v>#N/A</v>
      </c>
      <c r="AV5" s="10" t="s">
        <v>1024</v>
      </c>
      <c r="AW5" s="40" t="s">
        <v>1324</v>
      </c>
      <c r="AX5" s="39">
        <f>データ!R5</f>
        <v>0</v>
      </c>
      <c r="AY5" s="10" t="s">
        <v>1113</v>
      </c>
      <c r="AZ5" s="39" t="e">
        <f>データ!S5</f>
        <v>#N/A</v>
      </c>
      <c r="BA5" s="41" t="s">
        <v>1024</v>
      </c>
      <c r="BB5" s="40" t="s">
        <v>1319</v>
      </c>
      <c r="BC5" s="39">
        <f>データ!T5</f>
        <v>0</v>
      </c>
      <c r="BD5" s="41" t="s">
        <v>1024</v>
      </c>
      <c r="BE5" s="40" t="s">
        <v>1320</v>
      </c>
      <c r="BF5" s="39">
        <f>データ!U5</f>
        <v>0</v>
      </c>
      <c r="BG5" s="41" t="s">
        <v>1024</v>
      </c>
      <c r="BH5" s="40" t="s">
        <v>1319</v>
      </c>
      <c r="BI5" s="39">
        <f>データ!V5</f>
        <v>0</v>
      </c>
      <c r="BJ5" s="41" t="s">
        <v>1024</v>
      </c>
      <c r="BK5" s="10" t="s">
        <v>1019</v>
      </c>
    </row>
    <row r="6" spans="1:63" x14ac:dyDescent="0.15">
      <c r="A6" s="10" t="s">
        <v>1016</v>
      </c>
      <c r="B6" s="10" t="s">
        <v>1454</v>
      </c>
      <c r="C6" s="38" t="str">
        <f>"./images/thumbnail/"&amp;データ!B6&amp;".jpg"</f>
        <v>./images/thumbnail/.jpg</v>
      </c>
      <c r="D6" s="38" t="s">
        <v>1455</v>
      </c>
      <c r="E6" s="38" t="str">
        <f>"./images/thumbnail/"&amp;データ!B6&amp;".jpg"</f>
        <v>./images/thumbnail/.jpg</v>
      </c>
      <c r="F6" s="38" t="s">
        <v>1116</v>
      </c>
      <c r="G6" s="38" t="s">
        <v>1319</v>
      </c>
      <c r="H6" s="38">
        <f>データ!C6</f>
        <v>0</v>
      </c>
      <c r="I6" s="38" t="s">
        <v>1024</v>
      </c>
      <c r="J6" s="38" t="s">
        <v>1320</v>
      </c>
      <c r="K6" s="38">
        <f>データ!D6</f>
        <v>0</v>
      </c>
      <c r="L6" s="38" t="s">
        <v>1024</v>
      </c>
      <c r="M6" s="38" t="s">
        <v>1321</v>
      </c>
      <c r="N6" s="38">
        <f>データ!E6</f>
        <v>0</v>
      </c>
      <c r="O6" s="38" t="s">
        <v>1024</v>
      </c>
      <c r="P6" s="38" t="s">
        <v>1319</v>
      </c>
      <c r="Q6" s="38">
        <f>データ!F6</f>
        <v>0</v>
      </c>
      <c r="R6" s="38" t="s">
        <v>1024</v>
      </c>
      <c r="S6" s="38" t="s">
        <v>1319</v>
      </c>
      <c r="T6" s="39">
        <f>データ!G6</f>
        <v>0</v>
      </c>
      <c r="U6" s="40" t="s">
        <v>1024</v>
      </c>
      <c r="V6" s="40" t="s">
        <v>1319</v>
      </c>
      <c r="W6" s="39">
        <f>データ!H6</f>
        <v>0</v>
      </c>
      <c r="X6" s="40" t="s">
        <v>1024</v>
      </c>
      <c r="Y6" s="40" t="s">
        <v>1319</v>
      </c>
      <c r="Z6" s="39">
        <f>データ!I6</f>
        <v>0</v>
      </c>
      <c r="AA6" s="40" t="s">
        <v>1024</v>
      </c>
      <c r="AB6" s="40" t="s">
        <v>1322</v>
      </c>
      <c r="AC6" s="39">
        <f>データ!J6</f>
        <v>0</v>
      </c>
      <c r="AD6" s="38" t="s">
        <v>1024</v>
      </c>
      <c r="AE6" s="40" t="s">
        <v>1323</v>
      </c>
      <c r="AF6" s="39">
        <f>データ!K6</f>
        <v>0</v>
      </c>
      <c r="AG6" s="40" t="s">
        <v>1024</v>
      </c>
      <c r="AH6" s="40" t="s">
        <v>1324</v>
      </c>
      <c r="AI6" s="39">
        <f>データ!L6</f>
        <v>0</v>
      </c>
      <c r="AJ6" s="10" t="s">
        <v>1113</v>
      </c>
      <c r="AK6" s="39" t="e">
        <f>データ!M6</f>
        <v>#N/A</v>
      </c>
      <c r="AL6" s="38" t="s">
        <v>1024</v>
      </c>
      <c r="AM6" s="40" t="s">
        <v>1325</v>
      </c>
      <c r="AN6" s="39">
        <f>データ!N6</f>
        <v>0</v>
      </c>
      <c r="AO6" s="10" t="s">
        <v>1113</v>
      </c>
      <c r="AP6" s="39" t="e">
        <f>データ!O6</f>
        <v>#N/A</v>
      </c>
      <c r="AQ6" s="41" t="s">
        <v>1024</v>
      </c>
      <c r="AR6" s="40" t="s">
        <v>1324</v>
      </c>
      <c r="AS6" s="39">
        <f>データ!P6</f>
        <v>0</v>
      </c>
      <c r="AT6" s="10" t="s">
        <v>1113</v>
      </c>
      <c r="AU6" s="39" t="e">
        <f>データ!Q6</f>
        <v>#N/A</v>
      </c>
      <c r="AV6" s="10" t="s">
        <v>1024</v>
      </c>
      <c r="AW6" s="40" t="s">
        <v>1324</v>
      </c>
      <c r="AX6" s="39">
        <f>データ!R6</f>
        <v>0</v>
      </c>
      <c r="AY6" s="10" t="s">
        <v>1113</v>
      </c>
      <c r="AZ6" s="39" t="e">
        <f>データ!S6</f>
        <v>#N/A</v>
      </c>
      <c r="BA6" s="41" t="s">
        <v>1024</v>
      </c>
      <c r="BB6" s="40" t="s">
        <v>1319</v>
      </c>
      <c r="BC6" s="39">
        <f>データ!T6</f>
        <v>0</v>
      </c>
      <c r="BD6" s="41" t="s">
        <v>1024</v>
      </c>
      <c r="BE6" s="40" t="s">
        <v>1320</v>
      </c>
      <c r="BF6" s="39">
        <f>データ!U6</f>
        <v>0</v>
      </c>
      <c r="BG6" s="41" t="s">
        <v>1024</v>
      </c>
      <c r="BH6" s="40" t="s">
        <v>1319</v>
      </c>
      <c r="BI6" s="39">
        <f>データ!V6</f>
        <v>0</v>
      </c>
      <c r="BJ6" s="41" t="s">
        <v>1024</v>
      </c>
      <c r="BK6" s="10" t="s">
        <v>1019</v>
      </c>
    </row>
    <row r="7" spans="1:63" x14ac:dyDescent="0.15">
      <c r="A7" s="10" t="s">
        <v>1016</v>
      </c>
      <c r="B7" s="10" t="s">
        <v>1454</v>
      </c>
      <c r="C7" s="38" t="str">
        <f>"./images/thumbnail/"&amp;データ!B7&amp;".jpg"</f>
        <v>./images/thumbnail/.jpg</v>
      </c>
      <c r="D7" s="38" t="s">
        <v>1455</v>
      </c>
      <c r="E7" s="38" t="str">
        <f>"./images/thumbnail/"&amp;データ!B7&amp;".jpg"</f>
        <v>./images/thumbnail/.jpg</v>
      </c>
      <c r="F7" s="38" t="s">
        <v>1116</v>
      </c>
      <c r="G7" s="38" t="s">
        <v>1319</v>
      </c>
      <c r="H7" s="38">
        <f>データ!C7</f>
        <v>0</v>
      </c>
      <c r="I7" s="38" t="s">
        <v>1024</v>
      </c>
      <c r="J7" s="38" t="s">
        <v>1320</v>
      </c>
      <c r="K7" s="38">
        <f>データ!D7</f>
        <v>0</v>
      </c>
      <c r="L7" s="38" t="s">
        <v>1024</v>
      </c>
      <c r="M7" s="38" t="s">
        <v>1321</v>
      </c>
      <c r="N7" s="38">
        <f>データ!E7</f>
        <v>0</v>
      </c>
      <c r="O7" s="38" t="s">
        <v>1024</v>
      </c>
      <c r="P7" s="38" t="s">
        <v>1319</v>
      </c>
      <c r="Q7" s="38">
        <f>データ!F7</f>
        <v>0</v>
      </c>
      <c r="R7" s="38" t="s">
        <v>1024</v>
      </c>
      <c r="S7" s="38" t="s">
        <v>1319</v>
      </c>
      <c r="T7" s="39">
        <f>データ!G7</f>
        <v>0</v>
      </c>
      <c r="U7" s="40" t="s">
        <v>1024</v>
      </c>
      <c r="V7" s="40" t="s">
        <v>1319</v>
      </c>
      <c r="W7" s="39">
        <f>データ!H7</f>
        <v>0</v>
      </c>
      <c r="X7" s="40" t="s">
        <v>1024</v>
      </c>
      <c r="Y7" s="40" t="s">
        <v>1319</v>
      </c>
      <c r="Z7" s="39">
        <f>データ!I7</f>
        <v>0</v>
      </c>
      <c r="AA7" s="40" t="s">
        <v>1024</v>
      </c>
      <c r="AB7" s="40" t="s">
        <v>1322</v>
      </c>
      <c r="AC7" s="39">
        <f>データ!J7</f>
        <v>0</v>
      </c>
      <c r="AD7" s="38" t="s">
        <v>1024</v>
      </c>
      <c r="AE7" s="40" t="s">
        <v>1323</v>
      </c>
      <c r="AF7" s="39">
        <f>データ!K7</f>
        <v>0</v>
      </c>
      <c r="AG7" s="40" t="s">
        <v>1024</v>
      </c>
      <c r="AH7" s="40" t="s">
        <v>1324</v>
      </c>
      <c r="AI7" s="39">
        <f>データ!L7</f>
        <v>0</v>
      </c>
      <c r="AJ7" s="10" t="s">
        <v>1113</v>
      </c>
      <c r="AK7" s="39" t="e">
        <f>データ!M7</f>
        <v>#N/A</v>
      </c>
      <c r="AL7" s="10" t="s">
        <v>1024</v>
      </c>
      <c r="AM7" s="40" t="s">
        <v>1325</v>
      </c>
      <c r="AN7" s="39">
        <f>データ!N7</f>
        <v>0</v>
      </c>
      <c r="AO7" s="10" t="s">
        <v>1113</v>
      </c>
      <c r="AP7" s="39" t="e">
        <f>データ!O7</f>
        <v>#N/A</v>
      </c>
      <c r="AQ7" s="41" t="s">
        <v>1024</v>
      </c>
      <c r="AR7" s="40" t="s">
        <v>1324</v>
      </c>
      <c r="AS7" s="39">
        <f>データ!P7</f>
        <v>0</v>
      </c>
      <c r="AT7" s="10" t="s">
        <v>1113</v>
      </c>
      <c r="AU7" s="39" t="e">
        <f>データ!Q7</f>
        <v>#N/A</v>
      </c>
      <c r="AV7" s="10" t="s">
        <v>1024</v>
      </c>
      <c r="AW7" s="40" t="s">
        <v>1324</v>
      </c>
      <c r="AX7" s="39">
        <f>データ!R7</f>
        <v>0</v>
      </c>
      <c r="AY7" s="10" t="s">
        <v>1113</v>
      </c>
      <c r="AZ7" s="39" t="e">
        <f>データ!S7</f>
        <v>#N/A</v>
      </c>
      <c r="BA7" s="41" t="s">
        <v>1024</v>
      </c>
      <c r="BB7" s="40" t="s">
        <v>1319</v>
      </c>
      <c r="BC7" s="39">
        <f>データ!T7</f>
        <v>0</v>
      </c>
      <c r="BD7" s="41" t="s">
        <v>1024</v>
      </c>
      <c r="BE7" s="40" t="s">
        <v>1320</v>
      </c>
      <c r="BF7" s="39">
        <f>データ!U7</f>
        <v>0</v>
      </c>
      <c r="BG7" s="41" t="s">
        <v>1024</v>
      </c>
      <c r="BH7" s="40" t="s">
        <v>1319</v>
      </c>
      <c r="BI7" s="39">
        <f>データ!V7</f>
        <v>0</v>
      </c>
      <c r="BJ7" s="41" t="s">
        <v>1024</v>
      </c>
      <c r="BK7" s="10" t="s">
        <v>1019</v>
      </c>
    </row>
    <row r="8" spans="1:63" x14ac:dyDescent="0.15">
      <c r="A8" s="10" t="s">
        <v>1016</v>
      </c>
      <c r="B8" s="10" t="s">
        <v>1454</v>
      </c>
      <c r="C8" s="38" t="str">
        <f>"./images/thumbnail/"&amp;データ!B8&amp;".jpg"</f>
        <v>./images/thumbnail/.jpg</v>
      </c>
      <c r="D8" s="38" t="s">
        <v>1455</v>
      </c>
      <c r="E8" s="38" t="str">
        <f>"./images/thumbnail/"&amp;データ!B8&amp;".jpg"</f>
        <v>./images/thumbnail/.jpg</v>
      </c>
      <c r="F8" s="38" t="s">
        <v>1116</v>
      </c>
      <c r="G8" s="38" t="s">
        <v>1319</v>
      </c>
      <c r="H8" s="38">
        <f>データ!C8</f>
        <v>0</v>
      </c>
      <c r="I8" s="38" t="s">
        <v>1024</v>
      </c>
      <c r="J8" s="38" t="s">
        <v>1320</v>
      </c>
      <c r="K8" s="38">
        <f>データ!D8</f>
        <v>0</v>
      </c>
      <c r="L8" s="38" t="s">
        <v>1024</v>
      </c>
      <c r="M8" s="38" t="s">
        <v>1321</v>
      </c>
      <c r="N8" s="38">
        <f>データ!E8</f>
        <v>0</v>
      </c>
      <c r="O8" s="38" t="s">
        <v>1024</v>
      </c>
      <c r="P8" s="38" t="s">
        <v>1319</v>
      </c>
      <c r="Q8" s="38">
        <f>データ!F8</f>
        <v>0</v>
      </c>
      <c r="R8" s="38" t="s">
        <v>1024</v>
      </c>
      <c r="S8" s="38" t="s">
        <v>1319</v>
      </c>
      <c r="T8" s="39">
        <f>データ!G8</f>
        <v>0</v>
      </c>
      <c r="U8" s="40" t="s">
        <v>1024</v>
      </c>
      <c r="V8" s="40" t="s">
        <v>1319</v>
      </c>
      <c r="W8" s="39">
        <f>データ!H8</f>
        <v>0</v>
      </c>
      <c r="X8" s="40" t="s">
        <v>1024</v>
      </c>
      <c r="Y8" s="40" t="s">
        <v>1319</v>
      </c>
      <c r="Z8" s="39">
        <f>データ!I8</f>
        <v>0</v>
      </c>
      <c r="AA8" s="40" t="s">
        <v>1024</v>
      </c>
      <c r="AB8" s="40" t="s">
        <v>1322</v>
      </c>
      <c r="AC8" s="39">
        <f>データ!J8</f>
        <v>0</v>
      </c>
      <c r="AD8" s="38" t="s">
        <v>1024</v>
      </c>
      <c r="AE8" s="40" t="s">
        <v>1323</v>
      </c>
      <c r="AF8" s="39">
        <f>データ!K8</f>
        <v>0</v>
      </c>
      <c r="AG8" s="40" t="s">
        <v>1024</v>
      </c>
      <c r="AH8" s="40" t="s">
        <v>1324</v>
      </c>
      <c r="AI8" s="39">
        <f>データ!L8</f>
        <v>0</v>
      </c>
      <c r="AJ8" s="10" t="s">
        <v>1113</v>
      </c>
      <c r="AK8" s="39" t="e">
        <f>データ!M8</f>
        <v>#N/A</v>
      </c>
      <c r="AL8" s="10" t="s">
        <v>1024</v>
      </c>
      <c r="AM8" s="40" t="s">
        <v>1325</v>
      </c>
      <c r="AN8" s="39">
        <f>データ!N8</f>
        <v>0</v>
      </c>
      <c r="AO8" s="10" t="s">
        <v>1113</v>
      </c>
      <c r="AP8" s="39" t="e">
        <f>データ!O8</f>
        <v>#N/A</v>
      </c>
      <c r="AQ8" s="41" t="s">
        <v>1024</v>
      </c>
      <c r="AR8" s="40" t="s">
        <v>1324</v>
      </c>
      <c r="AS8" s="39">
        <f>データ!P8</f>
        <v>0</v>
      </c>
      <c r="AT8" s="10" t="s">
        <v>1113</v>
      </c>
      <c r="AU8" s="39" t="e">
        <f>データ!Q8</f>
        <v>#N/A</v>
      </c>
      <c r="AV8" s="10" t="s">
        <v>1024</v>
      </c>
      <c r="AW8" s="40" t="s">
        <v>1324</v>
      </c>
      <c r="AX8" s="39">
        <f>データ!R8</f>
        <v>0</v>
      </c>
      <c r="AY8" s="10" t="s">
        <v>1113</v>
      </c>
      <c r="AZ8" s="39" t="e">
        <f>データ!S8</f>
        <v>#N/A</v>
      </c>
      <c r="BA8" s="41" t="s">
        <v>1024</v>
      </c>
      <c r="BB8" s="40" t="s">
        <v>1319</v>
      </c>
      <c r="BC8" s="39">
        <f>データ!T8</f>
        <v>0</v>
      </c>
      <c r="BD8" s="41" t="s">
        <v>1024</v>
      </c>
      <c r="BE8" s="40" t="s">
        <v>1320</v>
      </c>
      <c r="BF8" s="39">
        <f>データ!U8</f>
        <v>0</v>
      </c>
      <c r="BG8" s="41" t="s">
        <v>1024</v>
      </c>
      <c r="BH8" s="40" t="s">
        <v>1319</v>
      </c>
      <c r="BI8" s="39">
        <f>データ!V8</f>
        <v>0</v>
      </c>
      <c r="BJ8" s="41" t="s">
        <v>1024</v>
      </c>
      <c r="BK8" s="10" t="s">
        <v>1019</v>
      </c>
    </row>
    <row r="9" spans="1:63" x14ac:dyDescent="0.15">
      <c r="A9" s="10" t="s">
        <v>1016</v>
      </c>
      <c r="B9" s="10" t="s">
        <v>1454</v>
      </c>
      <c r="C9" s="38" t="str">
        <f>"./images/thumbnail/"&amp;データ!B9&amp;".jpg"</f>
        <v>./images/thumbnail/.jpg</v>
      </c>
      <c r="D9" s="38" t="s">
        <v>1455</v>
      </c>
      <c r="E9" s="38" t="str">
        <f>"./images/thumbnail/"&amp;データ!B9&amp;".jpg"</f>
        <v>./images/thumbnail/.jpg</v>
      </c>
      <c r="F9" s="38" t="s">
        <v>1116</v>
      </c>
      <c r="G9" s="38" t="s">
        <v>1319</v>
      </c>
      <c r="H9" s="38">
        <f>データ!C9</f>
        <v>0</v>
      </c>
      <c r="I9" s="38" t="s">
        <v>1024</v>
      </c>
      <c r="J9" s="38" t="s">
        <v>1320</v>
      </c>
      <c r="K9" s="38">
        <f>データ!D9</f>
        <v>0</v>
      </c>
      <c r="L9" s="38" t="s">
        <v>1024</v>
      </c>
      <c r="M9" s="38" t="s">
        <v>1321</v>
      </c>
      <c r="N9" s="38">
        <f>データ!E9</f>
        <v>0</v>
      </c>
      <c r="O9" s="38" t="s">
        <v>1024</v>
      </c>
      <c r="P9" s="38" t="s">
        <v>1319</v>
      </c>
      <c r="Q9" s="38">
        <f>データ!F9</f>
        <v>0</v>
      </c>
      <c r="R9" s="38" t="s">
        <v>1024</v>
      </c>
      <c r="S9" s="38" t="s">
        <v>1319</v>
      </c>
      <c r="T9" s="39">
        <f>データ!G9</f>
        <v>0</v>
      </c>
      <c r="U9" s="40" t="s">
        <v>1024</v>
      </c>
      <c r="V9" s="40" t="s">
        <v>1319</v>
      </c>
      <c r="W9" s="39">
        <f>データ!H9</f>
        <v>0</v>
      </c>
      <c r="X9" s="40" t="s">
        <v>1024</v>
      </c>
      <c r="Y9" s="40" t="s">
        <v>1319</v>
      </c>
      <c r="Z9" s="39">
        <f>データ!I9</f>
        <v>0</v>
      </c>
      <c r="AA9" s="40" t="s">
        <v>1024</v>
      </c>
      <c r="AB9" s="40" t="s">
        <v>1322</v>
      </c>
      <c r="AC9" s="39">
        <f>データ!J9</f>
        <v>0</v>
      </c>
      <c r="AD9" s="38" t="s">
        <v>1024</v>
      </c>
      <c r="AE9" s="40" t="s">
        <v>1323</v>
      </c>
      <c r="AF9" s="39">
        <f>データ!K9</f>
        <v>0</v>
      </c>
      <c r="AG9" s="40" t="s">
        <v>1024</v>
      </c>
      <c r="AH9" s="40" t="s">
        <v>1324</v>
      </c>
      <c r="AI9" s="39">
        <f>データ!L9</f>
        <v>0</v>
      </c>
      <c r="AJ9" s="10" t="s">
        <v>1113</v>
      </c>
      <c r="AK9" s="39" t="e">
        <f>データ!M9</f>
        <v>#N/A</v>
      </c>
      <c r="AL9" s="10" t="s">
        <v>1024</v>
      </c>
      <c r="AM9" s="40" t="s">
        <v>1325</v>
      </c>
      <c r="AN9" s="39">
        <f>データ!N9</f>
        <v>0</v>
      </c>
      <c r="AO9" s="10" t="s">
        <v>1113</v>
      </c>
      <c r="AP9" s="39" t="e">
        <f>データ!O9</f>
        <v>#N/A</v>
      </c>
      <c r="AQ9" s="41" t="s">
        <v>1024</v>
      </c>
      <c r="AR9" s="40" t="s">
        <v>1324</v>
      </c>
      <c r="AS9" s="39">
        <f>データ!P9</f>
        <v>0</v>
      </c>
      <c r="AT9" s="10" t="s">
        <v>1113</v>
      </c>
      <c r="AU9" s="39" t="e">
        <f>データ!Q9</f>
        <v>#N/A</v>
      </c>
      <c r="AV9" s="10" t="s">
        <v>1024</v>
      </c>
      <c r="AW9" s="40" t="s">
        <v>1324</v>
      </c>
      <c r="AX9" s="39">
        <f>データ!R9</f>
        <v>0</v>
      </c>
      <c r="AY9" s="10" t="s">
        <v>1113</v>
      </c>
      <c r="AZ9" s="39" t="e">
        <f>データ!S9</f>
        <v>#N/A</v>
      </c>
      <c r="BA9" s="41" t="s">
        <v>1024</v>
      </c>
      <c r="BB9" s="40" t="s">
        <v>1319</v>
      </c>
      <c r="BC9" s="39">
        <f>データ!T9</f>
        <v>0</v>
      </c>
      <c r="BD9" s="41" t="s">
        <v>1024</v>
      </c>
      <c r="BE9" s="40" t="s">
        <v>1320</v>
      </c>
      <c r="BF9" s="39">
        <f>データ!U9</f>
        <v>0</v>
      </c>
      <c r="BG9" s="41" t="s">
        <v>1024</v>
      </c>
      <c r="BH9" s="40" t="s">
        <v>1319</v>
      </c>
      <c r="BI9" s="39">
        <f>データ!V9</f>
        <v>0</v>
      </c>
      <c r="BJ9" s="41" t="s">
        <v>1024</v>
      </c>
      <c r="BK9" s="10" t="s">
        <v>1019</v>
      </c>
    </row>
    <row r="10" spans="1:63" x14ac:dyDescent="0.15">
      <c r="A10" s="10" t="s">
        <v>1016</v>
      </c>
      <c r="B10" s="10" t="s">
        <v>1454</v>
      </c>
      <c r="C10" s="38" t="str">
        <f>"./images/thumbnail/"&amp;データ!B10&amp;".jpg"</f>
        <v>./images/thumbnail/.jpg</v>
      </c>
      <c r="D10" s="38" t="s">
        <v>1455</v>
      </c>
      <c r="E10" s="38" t="str">
        <f>"./images/thumbnail/"&amp;データ!B10&amp;".jpg"</f>
        <v>./images/thumbnail/.jpg</v>
      </c>
      <c r="F10" s="38" t="s">
        <v>1116</v>
      </c>
      <c r="G10" s="38" t="s">
        <v>1319</v>
      </c>
      <c r="H10" s="38">
        <f>データ!C10</f>
        <v>0</v>
      </c>
      <c r="I10" s="38" t="s">
        <v>1024</v>
      </c>
      <c r="J10" s="38" t="s">
        <v>1320</v>
      </c>
      <c r="K10" s="38">
        <f>データ!D10</f>
        <v>0</v>
      </c>
      <c r="L10" s="38" t="s">
        <v>1024</v>
      </c>
      <c r="M10" s="38" t="s">
        <v>1321</v>
      </c>
      <c r="N10" s="38">
        <f>データ!E10</f>
        <v>0</v>
      </c>
      <c r="O10" s="38" t="s">
        <v>1024</v>
      </c>
      <c r="P10" s="38" t="s">
        <v>1319</v>
      </c>
      <c r="Q10" s="38">
        <f>データ!F10</f>
        <v>0</v>
      </c>
      <c r="R10" s="38" t="s">
        <v>1024</v>
      </c>
      <c r="S10" s="38" t="s">
        <v>1319</v>
      </c>
      <c r="T10" s="39">
        <f>データ!G10</f>
        <v>0</v>
      </c>
      <c r="U10" s="40" t="s">
        <v>1024</v>
      </c>
      <c r="V10" s="40" t="s">
        <v>1319</v>
      </c>
      <c r="W10" s="39">
        <f>データ!H10</f>
        <v>0</v>
      </c>
      <c r="X10" s="40" t="s">
        <v>1024</v>
      </c>
      <c r="Y10" s="40" t="s">
        <v>1319</v>
      </c>
      <c r="Z10" s="39">
        <f>データ!I10</f>
        <v>0</v>
      </c>
      <c r="AA10" s="40" t="s">
        <v>1024</v>
      </c>
      <c r="AB10" s="40" t="s">
        <v>1322</v>
      </c>
      <c r="AC10" s="39">
        <f>データ!J10</f>
        <v>0</v>
      </c>
      <c r="AD10" s="38" t="s">
        <v>1024</v>
      </c>
      <c r="AE10" s="40" t="s">
        <v>1323</v>
      </c>
      <c r="AF10" s="39">
        <f>データ!K10</f>
        <v>0</v>
      </c>
      <c r="AG10" s="40" t="s">
        <v>1024</v>
      </c>
      <c r="AH10" s="40" t="s">
        <v>1324</v>
      </c>
      <c r="AI10" s="39">
        <f>データ!L10</f>
        <v>0</v>
      </c>
      <c r="AJ10" s="10" t="s">
        <v>1113</v>
      </c>
      <c r="AK10" s="39" t="e">
        <f>データ!M10</f>
        <v>#N/A</v>
      </c>
      <c r="AL10" s="10" t="s">
        <v>1024</v>
      </c>
      <c r="AM10" s="40" t="s">
        <v>1325</v>
      </c>
      <c r="AN10" s="39">
        <f>データ!N10</f>
        <v>0</v>
      </c>
      <c r="AO10" s="10" t="s">
        <v>1113</v>
      </c>
      <c r="AP10" s="39" t="e">
        <f>データ!O10</f>
        <v>#N/A</v>
      </c>
      <c r="AQ10" s="41" t="s">
        <v>1024</v>
      </c>
      <c r="AR10" s="40" t="s">
        <v>1324</v>
      </c>
      <c r="AS10" s="39">
        <f>データ!P10</f>
        <v>0</v>
      </c>
      <c r="AT10" s="10" t="s">
        <v>1113</v>
      </c>
      <c r="AU10" s="39" t="e">
        <f>データ!Q10</f>
        <v>#N/A</v>
      </c>
      <c r="AV10" s="10" t="s">
        <v>1024</v>
      </c>
      <c r="AW10" s="40" t="s">
        <v>1324</v>
      </c>
      <c r="AX10" s="39">
        <f>データ!R10</f>
        <v>0</v>
      </c>
      <c r="AY10" s="10" t="s">
        <v>1113</v>
      </c>
      <c r="AZ10" s="39" t="e">
        <f>データ!S10</f>
        <v>#N/A</v>
      </c>
      <c r="BA10" s="41" t="s">
        <v>1024</v>
      </c>
      <c r="BB10" s="40" t="s">
        <v>1319</v>
      </c>
      <c r="BC10" s="39">
        <f>データ!T10</f>
        <v>0</v>
      </c>
      <c r="BD10" s="41" t="s">
        <v>1024</v>
      </c>
      <c r="BE10" s="40" t="s">
        <v>1320</v>
      </c>
      <c r="BF10" s="39">
        <f>データ!U10</f>
        <v>0</v>
      </c>
      <c r="BG10" s="41" t="s">
        <v>1024</v>
      </c>
      <c r="BH10" s="40" t="s">
        <v>1319</v>
      </c>
      <c r="BI10" s="39">
        <f>データ!V10</f>
        <v>0</v>
      </c>
      <c r="BJ10" s="41" t="s">
        <v>1024</v>
      </c>
      <c r="BK10" s="10" t="s">
        <v>1019</v>
      </c>
    </row>
    <row r="11" spans="1:63" x14ac:dyDescent="0.15">
      <c r="A11" s="10" t="s">
        <v>1016</v>
      </c>
      <c r="B11" s="10" t="s">
        <v>1454</v>
      </c>
      <c r="C11" s="38" t="str">
        <f>"./images/thumbnail/"&amp;データ!B11&amp;".jpg"</f>
        <v>./images/thumbnail/.jpg</v>
      </c>
      <c r="D11" s="38" t="s">
        <v>1455</v>
      </c>
      <c r="E11" s="38" t="str">
        <f>"./images/thumbnail/"&amp;データ!B11&amp;".jpg"</f>
        <v>./images/thumbnail/.jpg</v>
      </c>
      <c r="F11" s="38" t="s">
        <v>1116</v>
      </c>
      <c r="G11" s="38" t="s">
        <v>1319</v>
      </c>
      <c r="H11" s="38">
        <f>データ!C11</f>
        <v>0</v>
      </c>
      <c r="I11" s="38" t="s">
        <v>1024</v>
      </c>
      <c r="J11" s="38" t="s">
        <v>1320</v>
      </c>
      <c r="K11" s="38">
        <f>データ!D11</f>
        <v>0</v>
      </c>
      <c r="L11" s="38" t="s">
        <v>1024</v>
      </c>
      <c r="M11" s="38" t="s">
        <v>1321</v>
      </c>
      <c r="N11" s="38">
        <f>データ!E11</f>
        <v>0</v>
      </c>
      <c r="O11" s="38" t="s">
        <v>1024</v>
      </c>
      <c r="P11" s="38" t="s">
        <v>1319</v>
      </c>
      <c r="Q11" s="38">
        <f>データ!F11</f>
        <v>0</v>
      </c>
      <c r="R11" s="38" t="s">
        <v>1024</v>
      </c>
      <c r="S11" s="38" t="s">
        <v>1319</v>
      </c>
      <c r="T11" s="39">
        <f>データ!G11</f>
        <v>0</v>
      </c>
      <c r="U11" s="40" t="s">
        <v>1024</v>
      </c>
      <c r="V11" s="40" t="s">
        <v>1319</v>
      </c>
      <c r="W11" s="39">
        <f>データ!H11</f>
        <v>0</v>
      </c>
      <c r="X11" s="40" t="s">
        <v>1024</v>
      </c>
      <c r="Y11" s="40" t="s">
        <v>1319</v>
      </c>
      <c r="Z11" s="39">
        <f>データ!I11</f>
        <v>0</v>
      </c>
      <c r="AA11" s="40" t="s">
        <v>1024</v>
      </c>
      <c r="AB11" s="40" t="s">
        <v>1322</v>
      </c>
      <c r="AC11" s="39">
        <f>データ!J11</f>
        <v>0</v>
      </c>
      <c r="AD11" s="38" t="s">
        <v>1024</v>
      </c>
      <c r="AE11" s="40" t="s">
        <v>1323</v>
      </c>
      <c r="AF11" s="39">
        <f>データ!K11</f>
        <v>0</v>
      </c>
      <c r="AG11" s="40" t="s">
        <v>1024</v>
      </c>
      <c r="AH11" s="40" t="s">
        <v>1324</v>
      </c>
      <c r="AI11" s="39">
        <f>データ!L11</f>
        <v>0</v>
      </c>
      <c r="AJ11" s="10" t="s">
        <v>1113</v>
      </c>
      <c r="AK11" s="39" t="e">
        <f>データ!M11</f>
        <v>#N/A</v>
      </c>
      <c r="AL11" s="10" t="s">
        <v>1024</v>
      </c>
      <c r="AM11" s="40" t="s">
        <v>1325</v>
      </c>
      <c r="AN11" s="39">
        <f>データ!N11</f>
        <v>0</v>
      </c>
      <c r="AO11" s="10" t="s">
        <v>1113</v>
      </c>
      <c r="AP11" s="39" t="e">
        <f>データ!O11</f>
        <v>#N/A</v>
      </c>
      <c r="AQ11" s="41" t="s">
        <v>1024</v>
      </c>
      <c r="AR11" s="40" t="s">
        <v>1324</v>
      </c>
      <c r="AS11" s="39">
        <f>データ!P11</f>
        <v>0</v>
      </c>
      <c r="AT11" s="10" t="s">
        <v>1113</v>
      </c>
      <c r="AU11" s="39" t="e">
        <f>データ!Q11</f>
        <v>#N/A</v>
      </c>
      <c r="AV11" s="10" t="s">
        <v>1024</v>
      </c>
      <c r="AW11" s="40" t="s">
        <v>1324</v>
      </c>
      <c r="AX11" s="39">
        <f>データ!R11</f>
        <v>0</v>
      </c>
      <c r="AY11" s="10" t="s">
        <v>1113</v>
      </c>
      <c r="AZ11" s="39" t="e">
        <f>データ!S11</f>
        <v>#N/A</v>
      </c>
      <c r="BA11" s="41" t="s">
        <v>1024</v>
      </c>
      <c r="BB11" s="40" t="s">
        <v>1319</v>
      </c>
      <c r="BC11" s="39">
        <f>データ!T11</f>
        <v>0</v>
      </c>
      <c r="BD11" s="41" t="s">
        <v>1024</v>
      </c>
      <c r="BE11" s="40" t="s">
        <v>1320</v>
      </c>
      <c r="BF11" s="39">
        <f>データ!U11</f>
        <v>0</v>
      </c>
      <c r="BG11" s="41" t="s">
        <v>1024</v>
      </c>
      <c r="BH11" s="40" t="s">
        <v>1319</v>
      </c>
      <c r="BI11" s="39">
        <f>データ!V11</f>
        <v>0</v>
      </c>
      <c r="BJ11" s="41" t="s">
        <v>1024</v>
      </c>
      <c r="BK11" s="10" t="s">
        <v>1019</v>
      </c>
    </row>
    <row r="12" spans="1:63" x14ac:dyDescent="0.15">
      <c r="A12" s="10" t="s">
        <v>1016</v>
      </c>
      <c r="B12" s="10" t="s">
        <v>1454</v>
      </c>
      <c r="C12" s="38" t="str">
        <f>"./images/thumbnail/"&amp;データ!B12&amp;".jpg"</f>
        <v>./images/thumbnail/.jpg</v>
      </c>
      <c r="D12" s="38" t="s">
        <v>1455</v>
      </c>
      <c r="E12" s="38" t="str">
        <f>"./images/thumbnail/"&amp;データ!B12&amp;".jpg"</f>
        <v>./images/thumbnail/.jpg</v>
      </c>
      <c r="F12" s="38" t="s">
        <v>1116</v>
      </c>
      <c r="G12" s="38" t="s">
        <v>1319</v>
      </c>
      <c r="H12" s="38">
        <f>データ!C12</f>
        <v>0</v>
      </c>
      <c r="I12" s="38" t="s">
        <v>1024</v>
      </c>
      <c r="J12" s="38" t="s">
        <v>1320</v>
      </c>
      <c r="K12" s="38">
        <f>データ!D12</f>
        <v>0</v>
      </c>
      <c r="L12" s="38" t="s">
        <v>1024</v>
      </c>
      <c r="M12" s="38" t="s">
        <v>1321</v>
      </c>
      <c r="N12" s="38">
        <f>データ!E12</f>
        <v>0</v>
      </c>
      <c r="O12" s="38" t="s">
        <v>1024</v>
      </c>
      <c r="P12" s="38" t="s">
        <v>1319</v>
      </c>
      <c r="Q12" s="38">
        <f>データ!F12</f>
        <v>0</v>
      </c>
      <c r="R12" s="38" t="s">
        <v>1024</v>
      </c>
      <c r="S12" s="38" t="s">
        <v>1319</v>
      </c>
      <c r="T12" s="39">
        <f>データ!G12</f>
        <v>0</v>
      </c>
      <c r="U12" s="40" t="s">
        <v>1024</v>
      </c>
      <c r="V12" s="40" t="s">
        <v>1319</v>
      </c>
      <c r="W12" s="39">
        <f>データ!H12</f>
        <v>0</v>
      </c>
      <c r="X12" s="40" t="s">
        <v>1024</v>
      </c>
      <c r="Y12" s="40" t="s">
        <v>1319</v>
      </c>
      <c r="Z12" s="39">
        <f>データ!I12</f>
        <v>0</v>
      </c>
      <c r="AA12" s="40" t="s">
        <v>1024</v>
      </c>
      <c r="AB12" s="40" t="s">
        <v>1322</v>
      </c>
      <c r="AC12" s="39">
        <f>データ!J12</f>
        <v>0</v>
      </c>
      <c r="AD12" s="38" t="s">
        <v>1024</v>
      </c>
      <c r="AE12" s="40" t="s">
        <v>1323</v>
      </c>
      <c r="AF12" s="39">
        <f>データ!K12</f>
        <v>0</v>
      </c>
      <c r="AG12" s="40" t="s">
        <v>1024</v>
      </c>
      <c r="AH12" s="40" t="s">
        <v>1324</v>
      </c>
      <c r="AI12" s="39">
        <f>データ!L12</f>
        <v>0</v>
      </c>
      <c r="AJ12" s="10" t="s">
        <v>1113</v>
      </c>
      <c r="AK12" s="39" t="e">
        <f>データ!M12</f>
        <v>#N/A</v>
      </c>
      <c r="AL12" s="10" t="s">
        <v>1024</v>
      </c>
      <c r="AM12" s="40" t="s">
        <v>1325</v>
      </c>
      <c r="AN12" s="39">
        <f>データ!N12</f>
        <v>0</v>
      </c>
      <c r="AO12" s="10" t="s">
        <v>1113</v>
      </c>
      <c r="AP12" s="39" t="e">
        <f>データ!O12</f>
        <v>#N/A</v>
      </c>
      <c r="AQ12" s="41" t="s">
        <v>1024</v>
      </c>
      <c r="AR12" s="40" t="s">
        <v>1324</v>
      </c>
      <c r="AS12" s="39">
        <f>データ!P12</f>
        <v>0</v>
      </c>
      <c r="AT12" s="10" t="s">
        <v>1113</v>
      </c>
      <c r="AU12" s="39" t="e">
        <f>データ!Q12</f>
        <v>#N/A</v>
      </c>
      <c r="AV12" s="10" t="s">
        <v>1024</v>
      </c>
      <c r="AW12" s="40" t="s">
        <v>1324</v>
      </c>
      <c r="AX12" s="39">
        <f>データ!R12</f>
        <v>0</v>
      </c>
      <c r="AY12" s="10" t="s">
        <v>1113</v>
      </c>
      <c r="AZ12" s="39" t="e">
        <f>データ!S12</f>
        <v>#N/A</v>
      </c>
      <c r="BA12" s="41" t="s">
        <v>1024</v>
      </c>
      <c r="BB12" s="40" t="s">
        <v>1319</v>
      </c>
      <c r="BC12" s="39">
        <f>データ!T12</f>
        <v>0</v>
      </c>
      <c r="BD12" s="41" t="s">
        <v>1024</v>
      </c>
      <c r="BE12" s="40" t="s">
        <v>1320</v>
      </c>
      <c r="BF12" s="39">
        <f>データ!U12</f>
        <v>0</v>
      </c>
      <c r="BG12" s="41" t="s">
        <v>1024</v>
      </c>
      <c r="BH12" s="40" t="s">
        <v>1319</v>
      </c>
      <c r="BI12" s="39">
        <f>データ!V12</f>
        <v>0</v>
      </c>
      <c r="BJ12" s="41" t="s">
        <v>1024</v>
      </c>
      <c r="BK12" s="10" t="s">
        <v>1019</v>
      </c>
    </row>
    <row r="13" spans="1:63" x14ac:dyDescent="0.15">
      <c r="A13" s="10" t="s">
        <v>1016</v>
      </c>
      <c r="B13" s="10" t="s">
        <v>1454</v>
      </c>
      <c r="C13" s="38" t="str">
        <f>"./images/thumbnail/"&amp;データ!B13&amp;".jpg"</f>
        <v>./images/thumbnail/.jpg</v>
      </c>
      <c r="D13" s="38" t="s">
        <v>1455</v>
      </c>
      <c r="E13" s="38" t="str">
        <f>"./images/thumbnail/"&amp;データ!B13&amp;".jpg"</f>
        <v>./images/thumbnail/.jpg</v>
      </c>
      <c r="F13" s="38" t="s">
        <v>1116</v>
      </c>
      <c r="G13" s="38" t="s">
        <v>1319</v>
      </c>
      <c r="H13" s="38">
        <f>データ!C13</f>
        <v>0</v>
      </c>
      <c r="I13" s="38" t="s">
        <v>1024</v>
      </c>
      <c r="J13" s="38" t="s">
        <v>1320</v>
      </c>
      <c r="K13" s="38">
        <f>データ!D13</f>
        <v>0</v>
      </c>
      <c r="L13" s="38" t="s">
        <v>1024</v>
      </c>
      <c r="M13" s="38" t="s">
        <v>1321</v>
      </c>
      <c r="N13" s="38">
        <f>データ!E13</f>
        <v>0</v>
      </c>
      <c r="O13" s="38" t="s">
        <v>1024</v>
      </c>
      <c r="P13" s="38" t="s">
        <v>1319</v>
      </c>
      <c r="Q13" s="38">
        <f>データ!F13</f>
        <v>0</v>
      </c>
      <c r="R13" s="38" t="s">
        <v>1024</v>
      </c>
      <c r="S13" s="38" t="s">
        <v>1319</v>
      </c>
      <c r="T13" s="39">
        <f>データ!G13</f>
        <v>0</v>
      </c>
      <c r="U13" s="40" t="s">
        <v>1024</v>
      </c>
      <c r="V13" s="40" t="s">
        <v>1319</v>
      </c>
      <c r="W13" s="39">
        <f>データ!H13</f>
        <v>0</v>
      </c>
      <c r="X13" s="40" t="s">
        <v>1024</v>
      </c>
      <c r="Y13" s="40" t="s">
        <v>1319</v>
      </c>
      <c r="Z13" s="39">
        <f>データ!I13</f>
        <v>0</v>
      </c>
      <c r="AA13" s="40" t="s">
        <v>1024</v>
      </c>
      <c r="AB13" s="40" t="s">
        <v>1322</v>
      </c>
      <c r="AC13" s="39">
        <f>データ!J13</f>
        <v>0</v>
      </c>
      <c r="AD13" s="38" t="s">
        <v>1024</v>
      </c>
      <c r="AE13" s="40" t="s">
        <v>1323</v>
      </c>
      <c r="AF13" s="39">
        <f>データ!K13</f>
        <v>0</v>
      </c>
      <c r="AG13" s="40" t="s">
        <v>1024</v>
      </c>
      <c r="AH13" s="40" t="s">
        <v>1324</v>
      </c>
      <c r="AI13" s="39">
        <f>データ!L13</f>
        <v>0</v>
      </c>
      <c r="AJ13" s="10" t="s">
        <v>1113</v>
      </c>
      <c r="AK13" s="39" t="e">
        <f>データ!M13</f>
        <v>#N/A</v>
      </c>
      <c r="AL13" s="10" t="s">
        <v>1024</v>
      </c>
      <c r="AM13" s="40" t="s">
        <v>1325</v>
      </c>
      <c r="AN13" s="39">
        <f>データ!N13</f>
        <v>0</v>
      </c>
      <c r="AO13" s="10" t="s">
        <v>1113</v>
      </c>
      <c r="AP13" s="39" t="e">
        <f>データ!O13</f>
        <v>#N/A</v>
      </c>
      <c r="AQ13" s="41" t="s">
        <v>1024</v>
      </c>
      <c r="AR13" s="40" t="s">
        <v>1324</v>
      </c>
      <c r="AS13" s="39">
        <f>データ!P13</f>
        <v>0</v>
      </c>
      <c r="AT13" s="10" t="s">
        <v>1113</v>
      </c>
      <c r="AU13" s="39" t="e">
        <f>データ!Q13</f>
        <v>#N/A</v>
      </c>
      <c r="AV13" s="10" t="s">
        <v>1024</v>
      </c>
      <c r="AW13" s="40" t="s">
        <v>1324</v>
      </c>
      <c r="AX13" s="39">
        <f>データ!R13</f>
        <v>0</v>
      </c>
      <c r="AY13" s="10" t="s">
        <v>1113</v>
      </c>
      <c r="AZ13" s="39" t="e">
        <f>データ!S13</f>
        <v>#N/A</v>
      </c>
      <c r="BA13" s="41" t="s">
        <v>1024</v>
      </c>
      <c r="BB13" s="40" t="s">
        <v>1319</v>
      </c>
      <c r="BC13" s="39">
        <f>データ!T13</f>
        <v>0</v>
      </c>
      <c r="BD13" s="41" t="s">
        <v>1024</v>
      </c>
      <c r="BE13" s="40" t="s">
        <v>1320</v>
      </c>
      <c r="BF13" s="39">
        <f>データ!U13</f>
        <v>0</v>
      </c>
      <c r="BG13" s="41" t="s">
        <v>1024</v>
      </c>
      <c r="BH13" s="40" t="s">
        <v>1319</v>
      </c>
      <c r="BI13" s="39">
        <f>データ!V13</f>
        <v>0</v>
      </c>
      <c r="BJ13" s="41" t="s">
        <v>1024</v>
      </c>
      <c r="BK13" s="10" t="s">
        <v>1019</v>
      </c>
    </row>
    <row r="14" spans="1:63" x14ac:dyDescent="0.15">
      <c r="A14" s="10" t="s">
        <v>1016</v>
      </c>
      <c r="B14" s="10" t="s">
        <v>1454</v>
      </c>
      <c r="C14" s="38" t="str">
        <f>"./images/thumbnail/"&amp;データ!B14&amp;".jpg"</f>
        <v>./images/thumbnail/.jpg</v>
      </c>
      <c r="D14" s="38" t="s">
        <v>1455</v>
      </c>
      <c r="E14" s="38" t="str">
        <f>"./images/thumbnail/"&amp;データ!B14&amp;".jpg"</f>
        <v>./images/thumbnail/.jpg</v>
      </c>
      <c r="F14" s="38" t="s">
        <v>1116</v>
      </c>
      <c r="G14" s="38" t="s">
        <v>1319</v>
      </c>
      <c r="H14" s="38">
        <f>データ!C14</f>
        <v>0</v>
      </c>
      <c r="I14" s="38" t="s">
        <v>1024</v>
      </c>
      <c r="J14" s="38" t="s">
        <v>1320</v>
      </c>
      <c r="K14" s="38">
        <f>データ!D14</f>
        <v>0</v>
      </c>
      <c r="L14" s="38" t="s">
        <v>1024</v>
      </c>
      <c r="M14" s="38" t="s">
        <v>1321</v>
      </c>
      <c r="N14" s="38">
        <f>データ!E14</f>
        <v>0</v>
      </c>
      <c r="O14" s="38" t="s">
        <v>1024</v>
      </c>
      <c r="P14" s="38" t="s">
        <v>1319</v>
      </c>
      <c r="Q14" s="38">
        <f>データ!F14</f>
        <v>0</v>
      </c>
      <c r="R14" s="38" t="s">
        <v>1024</v>
      </c>
      <c r="S14" s="38" t="s">
        <v>1319</v>
      </c>
      <c r="T14" s="39">
        <f>データ!G14</f>
        <v>0</v>
      </c>
      <c r="U14" s="40" t="s">
        <v>1024</v>
      </c>
      <c r="V14" s="40" t="s">
        <v>1319</v>
      </c>
      <c r="W14" s="39">
        <f>データ!H14</f>
        <v>0</v>
      </c>
      <c r="X14" s="40" t="s">
        <v>1024</v>
      </c>
      <c r="Y14" s="40" t="s">
        <v>1319</v>
      </c>
      <c r="Z14" s="39">
        <f>データ!I14</f>
        <v>0</v>
      </c>
      <c r="AA14" s="40" t="s">
        <v>1024</v>
      </c>
      <c r="AB14" s="40" t="s">
        <v>1322</v>
      </c>
      <c r="AC14" s="39">
        <f>データ!J14</f>
        <v>0</v>
      </c>
      <c r="AD14" s="38" t="s">
        <v>1024</v>
      </c>
      <c r="AE14" s="40" t="s">
        <v>1323</v>
      </c>
      <c r="AF14" s="39">
        <f>データ!K14</f>
        <v>0</v>
      </c>
      <c r="AG14" s="40" t="s">
        <v>1024</v>
      </c>
      <c r="AH14" s="40" t="s">
        <v>1324</v>
      </c>
      <c r="AI14" s="39">
        <f>データ!L14</f>
        <v>0</v>
      </c>
      <c r="AJ14" s="10" t="s">
        <v>1113</v>
      </c>
      <c r="AK14" s="39" t="e">
        <f>データ!M14</f>
        <v>#N/A</v>
      </c>
      <c r="AL14" s="10" t="s">
        <v>1024</v>
      </c>
      <c r="AM14" s="40" t="s">
        <v>1325</v>
      </c>
      <c r="AN14" s="39">
        <f>データ!N14</f>
        <v>0</v>
      </c>
      <c r="AO14" s="10" t="s">
        <v>1113</v>
      </c>
      <c r="AP14" s="39" t="e">
        <f>データ!O14</f>
        <v>#N/A</v>
      </c>
      <c r="AQ14" s="41" t="s">
        <v>1024</v>
      </c>
      <c r="AR14" s="40" t="s">
        <v>1324</v>
      </c>
      <c r="AS14" s="39">
        <f>データ!P14</f>
        <v>0</v>
      </c>
      <c r="AT14" s="10" t="s">
        <v>1113</v>
      </c>
      <c r="AU14" s="39" t="e">
        <f>データ!Q14</f>
        <v>#N/A</v>
      </c>
      <c r="AV14" s="10" t="s">
        <v>1024</v>
      </c>
      <c r="AW14" s="40" t="s">
        <v>1324</v>
      </c>
      <c r="AX14" s="39">
        <f>データ!R14</f>
        <v>0</v>
      </c>
      <c r="AY14" s="10" t="s">
        <v>1113</v>
      </c>
      <c r="AZ14" s="39" t="e">
        <f>データ!S14</f>
        <v>#N/A</v>
      </c>
      <c r="BA14" s="41" t="s">
        <v>1024</v>
      </c>
      <c r="BB14" s="40" t="s">
        <v>1319</v>
      </c>
      <c r="BC14" s="39">
        <f>データ!T14</f>
        <v>0</v>
      </c>
      <c r="BD14" s="41" t="s">
        <v>1024</v>
      </c>
      <c r="BE14" s="40" t="s">
        <v>1320</v>
      </c>
      <c r="BF14" s="39">
        <f>データ!U14</f>
        <v>0</v>
      </c>
      <c r="BG14" s="41" t="s">
        <v>1024</v>
      </c>
      <c r="BH14" s="40" t="s">
        <v>1319</v>
      </c>
      <c r="BI14" s="39">
        <f>データ!V14</f>
        <v>0</v>
      </c>
      <c r="BJ14" s="41" t="s">
        <v>1024</v>
      </c>
      <c r="BK14" s="10" t="s">
        <v>1019</v>
      </c>
    </row>
    <row r="15" spans="1:63" x14ac:dyDescent="0.15">
      <c r="A15" s="10" t="s">
        <v>1016</v>
      </c>
      <c r="B15" s="10" t="s">
        <v>1454</v>
      </c>
      <c r="C15" s="38" t="str">
        <f>"./images/thumbnail/"&amp;データ!B15&amp;".jpg"</f>
        <v>./images/thumbnail/.jpg</v>
      </c>
      <c r="D15" s="38" t="s">
        <v>1455</v>
      </c>
      <c r="E15" s="38" t="str">
        <f>"./images/thumbnail/"&amp;データ!B15&amp;".jpg"</f>
        <v>./images/thumbnail/.jpg</v>
      </c>
      <c r="F15" s="38" t="s">
        <v>1116</v>
      </c>
      <c r="G15" s="38" t="s">
        <v>1319</v>
      </c>
      <c r="H15" s="38">
        <f>データ!C15</f>
        <v>0</v>
      </c>
      <c r="I15" s="38" t="s">
        <v>1024</v>
      </c>
      <c r="J15" s="38" t="s">
        <v>1320</v>
      </c>
      <c r="K15" s="38">
        <f>データ!D15</f>
        <v>0</v>
      </c>
      <c r="L15" s="38" t="s">
        <v>1024</v>
      </c>
      <c r="M15" s="38" t="s">
        <v>1321</v>
      </c>
      <c r="N15" s="38">
        <f>データ!E15</f>
        <v>0</v>
      </c>
      <c r="O15" s="38" t="s">
        <v>1024</v>
      </c>
      <c r="P15" s="38" t="s">
        <v>1319</v>
      </c>
      <c r="Q15" s="38">
        <f>データ!F15</f>
        <v>0</v>
      </c>
      <c r="R15" s="38" t="s">
        <v>1024</v>
      </c>
      <c r="S15" s="38" t="s">
        <v>1319</v>
      </c>
      <c r="T15" s="39">
        <f>データ!G15</f>
        <v>0</v>
      </c>
      <c r="U15" s="40" t="s">
        <v>1024</v>
      </c>
      <c r="V15" s="40" t="s">
        <v>1319</v>
      </c>
      <c r="W15" s="39">
        <f>データ!H15</f>
        <v>0</v>
      </c>
      <c r="X15" s="40" t="s">
        <v>1024</v>
      </c>
      <c r="Y15" s="40" t="s">
        <v>1319</v>
      </c>
      <c r="Z15" s="39">
        <f>データ!I15</f>
        <v>0</v>
      </c>
      <c r="AA15" s="40" t="s">
        <v>1024</v>
      </c>
      <c r="AB15" s="40" t="s">
        <v>1322</v>
      </c>
      <c r="AC15" s="39">
        <f>データ!J15</f>
        <v>0</v>
      </c>
      <c r="AD15" s="38" t="s">
        <v>1024</v>
      </c>
      <c r="AE15" s="40" t="s">
        <v>1323</v>
      </c>
      <c r="AF15" s="39">
        <f>データ!K15</f>
        <v>0</v>
      </c>
      <c r="AG15" s="40" t="s">
        <v>1024</v>
      </c>
      <c r="AH15" s="40" t="s">
        <v>1324</v>
      </c>
      <c r="AI15" s="39">
        <f>データ!L15</f>
        <v>0</v>
      </c>
      <c r="AJ15" s="10" t="s">
        <v>1113</v>
      </c>
      <c r="AK15" s="39" t="e">
        <f>データ!M15</f>
        <v>#N/A</v>
      </c>
      <c r="AL15" s="10" t="s">
        <v>1024</v>
      </c>
      <c r="AM15" s="40" t="s">
        <v>1325</v>
      </c>
      <c r="AN15" s="39">
        <f>データ!N15</f>
        <v>0</v>
      </c>
      <c r="AO15" s="10" t="s">
        <v>1113</v>
      </c>
      <c r="AP15" s="39" t="e">
        <f>データ!O15</f>
        <v>#N/A</v>
      </c>
      <c r="AQ15" s="41" t="s">
        <v>1024</v>
      </c>
      <c r="AR15" s="40" t="s">
        <v>1324</v>
      </c>
      <c r="AS15" s="39">
        <f>データ!P15</f>
        <v>0</v>
      </c>
      <c r="AT15" s="10" t="s">
        <v>1113</v>
      </c>
      <c r="AU15" s="39" t="e">
        <f>データ!Q15</f>
        <v>#N/A</v>
      </c>
      <c r="AV15" s="10" t="s">
        <v>1024</v>
      </c>
      <c r="AW15" s="40" t="s">
        <v>1324</v>
      </c>
      <c r="AX15" s="39">
        <f>データ!R15</f>
        <v>0</v>
      </c>
      <c r="AY15" s="10" t="s">
        <v>1113</v>
      </c>
      <c r="AZ15" s="39" t="e">
        <f>データ!S15</f>
        <v>#N/A</v>
      </c>
      <c r="BA15" s="41" t="s">
        <v>1024</v>
      </c>
      <c r="BB15" s="40" t="s">
        <v>1319</v>
      </c>
      <c r="BC15" s="39">
        <f>データ!T15</f>
        <v>0</v>
      </c>
      <c r="BD15" s="41" t="s">
        <v>1024</v>
      </c>
      <c r="BE15" s="40" t="s">
        <v>1320</v>
      </c>
      <c r="BF15" s="39">
        <f>データ!U15</f>
        <v>0</v>
      </c>
      <c r="BG15" s="41" t="s">
        <v>1024</v>
      </c>
      <c r="BH15" s="40" t="s">
        <v>1319</v>
      </c>
      <c r="BI15" s="39">
        <f>データ!V15</f>
        <v>0</v>
      </c>
      <c r="BJ15" s="41" t="s">
        <v>1024</v>
      </c>
      <c r="BK15" s="10" t="s">
        <v>1019</v>
      </c>
    </row>
    <row r="16" spans="1:63" x14ac:dyDescent="0.15">
      <c r="A16" s="10" t="s">
        <v>1016</v>
      </c>
      <c r="B16" s="10" t="s">
        <v>1454</v>
      </c>
      <c r="C16" s="38" t="str">
        <f>"./images/thumbnail/"&amp;データ!B16&amp;".jpg"</f>
        <v>./images/thumbnail/.jpg</v>
      </c>
      <c r="D16" s="38" t="s">
        <v>1455</v>
      </c>
      <c r="E16" s="38" t="str">
        <f>"./images/thumbnail/"&amp;データ!B16&amp;".jpg"</f>
        <v>./images/thumbnail/.jpg</v>
      </c>
      <c r="F16" s="38" t="s">
        <v>1116</v>
      </c>
      <c r="G16" s="38" t="s">
        <v>1319</v>
      </c>
      <c r="H16" s="38">
        <f>データ!C16</f>
        <v>0</v>
      </c>
      <c r="I16" s="38" t="s">
        <v>1024</v>
      </c>
      <c r="J16" s="38" t="s">
        <v>1320</v>
      </c>
      <c r="K16" s="38">
        <f>データ!D16</f>
        <v>0</v>
      </c>
      <c r="L16" s="38" t="s">
        <v>1024</v>
      </c>
      <c r="M16" s="38" t="s">
        <v>1321</v>
      </c>
      <c r="N16" s="38">
        <f>データ!E16</f>
        <v>0</v>
      </c>
      <c r="O16" s="38" t="s">
        <v>1024</v>
      </c>
      <c r="P16" s="38" t="s">
        <v>1319</v>
      </c>
      <c r="Q16" s="38">
        <f>データ!F16</f>
        <v>0</v>
      </c>
      <c r="R16" s="38" t="s">
        <v>1024</v>
      </c>
      <c r="S16" s="38" t="s">
        <v>1319</v>
      </c>
      <c r="T16" s="39">
        <f>データ!G16</f>
        <v>0</v>
      </c>
      <c r="U16" s="40" t="s">
        <v>1024</v>
      </c>
      <c r="V16" s="40" t="s">
        <v>1319</v>
      </c>
      <c r="W16" s="39">
        <f>データ!H16</f>
        <v>0</v>
      </c>
      <c r="X16" s="40" t="s">
        <v>1024</v>
      </c>
      <c r="Y16" s="40" t="s">
        <v>1319</v>
      </c>
      <c r="Z16" s="39">
        <f>データ!I16</f>
        <v>0</v>
      </c>
      <c r="AA16" s="40" t="s">
        <v>1024</v>
      </c>
      <c r="AB16" s="40" t="s">
        <v>1322</v>
      </c>
      <c r="AC16" s="39">
        <f>データ!J16</f>
        <v>0</v>
      </c>
      <c r="AD16" s="38" t="s">
        <v>1024</v>
      </c>
      <c r="AE16" s="40" t="s">
        <v>1323</v>
      </c>
      <c r="AF16" s="39">
        <f>データ!K16</f>
        <v>0</v>
      </c>
      <c r="AG16" s="40" t="s">
        <v>1024</v>
      </c>
      <c r="AH16" s="40" t="s">
        <v>1324</v>
      </c>
      <c r="AI16" s="39">
        <f>データ!L16</f>
        <v>0</v>
      </c>
      <c r="AJ16" s="10" t="s">
        <v>1113</v>
      </c>
      <c r="AK16" s="39" t="e">
        <f>データ!M16</f>
        <v>#N/A</v>
      </c>
      <c r="AL16" s="10" t="s">
        <v>1024</v>
      </c>
      <c r="AM16" s="40" t="s">
        <v>1325</v>
      </c>
      <c r="AN16" s="39">
        <f>データ!N16</f>
        <v>0</v>
      </c>
      <c r="AO16" s="10" t="s">
        <v>1113</v>
      </c>
      <c r="AP16" s="39" t="e">
        <f>データ!O16</f>
        <v>#N/A</v>
      </c>
      <c r="AQ16" s="41" t="s">
        <v>1024</v>
      </c>
      <c r="AR16" s="40" t="s">
        <v>1324</v>
      </c>
      <c r="AS16" s="39">
        <f>データ!P16</f>
        <v>0</v>
      </c>
      <c r="AT16" s="10" t="s">
        <v>1113</v>
      </c>
      <c r="AU16" s="39" t="e">
        <f>データ!Q16</f>
        <v>#N/A</v>
      </c>
      <c r="AV16" s="10" t="s">
        <v>1024</v>
      </c>
      <c r="AW16" s="40" t="s">
        <v>1324</v>
      </c>
      <c r="AX16" s="39">
        <f>データ!R16</f>
        <v>0</v>
      </c>
      <c r="AY16" s="10" t="s">
        <v>1113</v>
      </c>
      <c r="AZ16" s="39" t="e">
        <f>データ!S16</f>
        <v>#N/A</v>
      </c>
      <c r="BA16" s="41" t="s">
        <v>1024</v>
      </c>
      <c r="BB16" s="40" t="s">
        <v>1319</v>
      </c>
      <c r="BC16" s="39">
        <f>データ!T16</f>
        <v>0</v>
      </c>
      <c r="BD16" s="41" t="s">
        <v>1024</v>
      </c>
      <c r="BE16" s="40" t="s">
        <v>1320</v>
      </c>
      <c r="BF16" s="39">
        <f>データ!U16</f>
        <v>0</v>
      </c>
      <c r="BG16" s="41" t="s">
        <v>1024</v>
      </c>
      <c r="BH16" s="40" t="s">
        <v>1319</v>
      </c>
      <c r="BI16" s="39">
        <f>データ!V16</f>
        <v>0</v>
      </c>
      <c r="BJ16" s="41" t="s">
        <v>1024</v>
      </c>
      <c r="BK16" s="10" t="s">
        <v>1019</v>
      </c>
    </row>
    <row r="17" spans="1:63" x14ac:dyDescent="0.15">
      <c r="A17" s="10" t="s">
        <v>1016</v>
      </c>
      <c r="B17" s="10" t="s">
        <v>1454</v>
      </c>
      <c r="C17" s="38" t="str">
        <f>"./images/thumbnail/"&amp;データ!B17&amp;".jpg"</f>
        <v>./images/thumbnail/.jpg</v>
      </c>
      <c r="D17" s="38" t="s">
        <v>1455</v>
      </c>
      <c r="E17" s="38" t="str">
        <f>"./images/thumbnail/"&amp;データ!B17&amp;".jpg"</f>
        <v>./images/thumbnail/.jpg</v>
      </c>
      <c r="F17" s="38" t="s">
        <v>1116</v>
      </c>
      <c r="G17" s="38" t="s">
        <v>1319</v>
      </c>
      <c r="H17" s="38">
        <f>データ!C17</f>
        <v>0</v>
      </c>
      <c r="I17" s="38" t="s">
        <v>1024</v>
      </c>
      <c r="J17" s="38" t="s">
        <v>1320</v>
      </c>
      <c r="K17" s="38">
        <f>データ!D17</f>
        <v>0</v>
      </c>
      <c r="L17" s="38" t="s">
        <v>1024</v>
      </c>
      <c r="M17" s="38" t="s">
        <v>1321</v>
      </c>
      <c r="N17" s="38">
        <f>データ!E17</f>
        <v>0</v>
      </c>
      <c r="O17" s="38" t="s">
        <v>1024</v>
      </c>
      <c r="P17" s="38" t="s">
        <v>1319</v>
      </c>
      <c r="Q17" s="38">
        <f>データ!F17</f>
        <v>0</v>
      </c>
      <c r="R17" s="38" t="s">
        <v>1024</v>
      </c>
      <c r="S17" s="38" t="s">
        <v>1319</v>
      </c>
      <c r="T17" s="39">
        <f>データ!G17</f>
        <v>0</v>
      </c>
      <c r="U17" s="40" t="s">
        <v>1024</v>
      </c>
      <c r="V17" s="40" t="s">
        <v>1319</v>
      </c>
      <c r="W17" s="39">
        <f>データ!H17</f>
        <v>0</v>
      </c>
      <c r="X17" s="40" t="s">
        <v>1024</v>
      </c>
      <c r="Y17" s="40" t="s">
        <v>1319</v>
      </c>
      <c r="Z17" s="39">
        <f>データ!I17</f>
        <v>0</v>
      </c>
      <c r="AA17" s="40" t="s">
        <v>1024</v>
      </c>
      <c r="AB17" s="40" t="s">
        <v>1322</v>
      </c>
      <c r="AC17" s="39">
        <f>データ!J17</f>
        <v>0</v>
      </c>
      <c r="AD17" s="38" t="s">
        <v>1024</v>
      </c>
      <c r="AE17" s="40" t="s">
        <v>1323</v>
      </c>
      <c r="AF17" s="39">
        <f>データ!K17</f>
        <v>0</v>
      </c>
      <c r="AG17" s="40" t="s">
        <v>1024</v>
      </c>
      <c r="AH17" s="40" t="s">
        <v>1324</v>
      </c>
      <c r="AI17" s="39">
        <f>データ!L17</f>
        <v>0</v>
      </c>
      <c r="AJ17" s="10" t="s">
        <v>1113</v>
      </c>
      <c r="AK17" s="39" t="e">
        <f>データ!M17</f>
        <v>#N/A</v>
      </c>
      <c r="AL17" s="10" t="s">
        <v>1024</v>
      </c>
      <c r="AM17" s="40" t="s">
        <v>1325</v>
      </c>
      <c r="AN17" s="39">
        <f>データ!N17</f>
        <v>0</v>
      </c>
      <c r="AO17" s="10" t="s">
        <v>1113</v>
      </c>
      <c r="AP17" s="39" t="e">
        <f>データ!O17</f>
        <v>#N/A</v>
      </c>
      <c r="AQ17" s="41" t="s">
        <v>1024</v>
      </c>
      <c r="AR17" s="40" t="s">
        <v>1324</v>
      </c>
      <c r="AS17" s="39">
        <f>データ!P17</f>
        <v>0</v>
      </c>
      <c r="AT17" s="10" t="s">
        <v>1113</v>
      </c>
      <c r="AU17" s="39" t="e">
        <f>データ!Q17</f>
        <v>#N/A</v>
      </c>
      <c r="AV17" s="10" t="s">
        <v>1024</v>
      </c>
      <c r="AW17" s="40" t="s">
        <v>1324</v>
      </c>
      <c r="AX17" s="39">
        <f>データ!R17</f>
        <v>0</v>
      </c>
      <c r="AY17" s="10" t="s">
        <v>1113</v>
      </c>
      <c r="AZ17" s="39" t="e">
        <f>データ!S17</f>
        <v>#N/A</v>
      </c>
      <c r="BA17" s="41" t="s">
        <v>1024</v>
      </c>
      <c r="BB17" s="40" t="s">
        <v>1319</v>
      </c>
      <c r="BC17" s="39">
        <f>データ!T17</f>
        <v>0</v>
      </c>
      <c r="BD17" s="41" t="s">
        <v>1024</v>
      </c>
      <c r="BE17" s="40" t="s">
        <v>1320</v>
      </c>
      <c r="BF17" s="39">
        <f>データ!U17</f>
        <v>0</v>
      </c>
      <c r="BG17" s="41" t="s">
        <v>1024</v>
      </c>
      <c r="BH17" s="40" t="s">
        <v>1319</v>
      </c>
      <c r="BI17" s="39">
        <f>データ!V17</f>
        <v>0</v>
      </c>
      <c r="BJ17" s="41" t="s">
        <v>1024</v>
      </c>
      <c r="BK17" s="10" t="s">
        <v>1019</v>
      </c>
    </row>
    <row r="18" spans="1:63" x14ac:dyDescent="0.15">
      <c r="A18" s="10" t="s">
        <v>1016</v>
      </c>
      <c r="B18" s="10" t="s">
        <v>1454</v>
      </c>
      <c r="C18" s="38" t="str">
        <f>"./images/thumbnail/"&amp;データ!B18&amp;".jpg"</f>
        <v>./images/thumbnail/.jpg</v>
      </c>
      <c r="D18" s="38" t="s">
        <v>1455</v>
      </c>
      <c r="E18" s="38" t="str">
        <f>"./images/thumbnail/"&amp;データ!B18&amp;".jpg"</f>
        <v>./images/thumbnail/.jpg</v>
      </c>
      <c r="F18" s="38" t="s">
        <v>1116</v>
      </c>
      <c r="G18" s="38" t="s">
        <v>1319</v>
      </c>
      <c r="H18" s="38">
        <f>データ!C18</f>
        <v>0</v>
      </c>
      <c r="I18" s="38" t="s">
        <v>1024</v>
      </c>
      <c r="J18" s="38" t="s">
        <v>1320</v>
      </c>
      <c r="K18" s="38">
        <f>データ!D18</f>
        <v>0</v>
      </c>
      <c r="L18" s="38" t="s">
        <v>1024</v>
      </c>
      <c r="M18" s="38" t="s">
        <v>1321</v>
      </c>
      <c r="N18" s="38">
        <f>データ!E18</f>
        <v>0</v>
      </c>
      <c r="O18" s="38" t="s">
        <v>1024</v>
      </c>
      <c r="P18" s="38" t="s">
        <v>1319</v>
      </c>
      <c r="Q18" s="38">
        <f>データ!F18</f>
        <v>0</v>
      </c>
      <c r="R18" s="38" t="s">
        <v>1024</v>
      </c>
      <c r="S18" s="38" t="s">
        <v>1319</v>
      </c>
      <c r="T18" s="39">
        <f>データ!G18</f>
        <v>0</v>
      </c>
      <c r="U18" s="40" t="s">
        <v>1024</v>
      </c>
      <c r="V18" s="40" t="s">
        <v>1319</v>
      </c>
      <c r="W18" s="39">
        <f>データ!H18</f>
        <v>0</v>
      </c>
      <c r="X18" s="40" t="s">
        <v>1024</v>
      </c>
      <c r="Y18" s="40" t="s">
        <v>1319</v>
      </c>
      <c r="Z18" s="39">
        <f>データ!I18</f>
        <v>0</v>
      </c>
      <c r="AA18" s="40" t="s">
        <v>1024</v>
      </c>
      <c r="AB18" s="40" t="s">
        <v>1322</v>
      </c>
      <c r="AC18" s="39">
        <f>データ!J18</f>
        <v>0</v>
      </c>
      <c r="AD18" s="38" t="s">
        <v>1024</v>
      </c>
      <c r="AE18" s="40" t="s">
        <v>1323</v>
      </c>
      <c r="AF18" s="39">
        <f>データ!K18</f>
        <v>0</v>
      </c>
      <c r="AG18" s="40" t="s">
        <v>1024</v>
      </c>
      <c r="AH18" s="40" t="s">
        <v>1324</v>
      </c>
      <c r="AI18" s="39">
        <f>データ!L18</f>
        <v>0</v>
      </c>
      <c r="AJ18" s="10" t="s">
        <v>1113</v>
      </c>
      <c r="AK18" s="39" t="e">
        <f>データ!M18</f>
        <v>#N/A</v>
      </c>
      <c r="AL18" s="10" t="s">
        <v>1024</v>
      </c>
      <c r="AM18" s="40" t="s">
        <v>1325</v>
      </c>
      <c r="AN18" s="39">
        <f>データ!N18</f>
        <v>0</v>
      </c>
      <c r="AO18" s="10" t="s">
        <v>1113</v>
      </c>
      <c r="AP18" s="39" t="e">
        <f>データ!O18</f>
        <v>#N/A</v>
      </c>
      <c r="AQ18" s="41" t="s">
        <v>1024</v>
      </c>
      <c r="AR18" s="40" t="s">
        <v>1324</v>
      </c>
      <c r="AS18" s="39">
        <f>データ!P18</f>
        <v>0</v>
      </c>
      <c r="AT18" s="10" t="s">
        <v>1113</v>
      </c>
      <c r="AU18" s="39" t="e">
        <f>データ!Q18</f>
        <v>#N/A</v>
      </c>
      <c r="AV18" s="10" t="s">
        <v>1024</v>
      </c>
      <c r="AW18" s="40" t="s">
        <v>1324</v>
      </c>
      <c r="AX18" s="39">
        <f>データ!R18</f>
        <v>0</v>
      </c>
      <c r="AY18" s="10" t="s">
        <v>1113</v>
      </c>
      <c r="AZ18" s="39" t="e">
        <f>データ!S18</f>
        <v>#N/A</v>
      </c>
      <c r="BA18" s="41" t="s">
        <v>1024</v>
      </c>
      <c r="BB18" s="40" t="s">
        <v>1319</v>
      </c>
      <c r="BC18" s="39">
        <f>データ!T18</f>
        <v>0</v>
      </c>
      <c r="BD18" s="41" t="s">
        <v>1024</v>
      </c>
      <c r="BE18" s="40" t="s">
        <v>1320</v>
      </c>
      <c r="BF18" s="39">
        <f>データ!U18</f>
        <v>0</v>
      </c>
      <c r="BG18" s="41" t="s">
        <v>1024</v>
      </c>
      <c r="BH18" s="40" t="s">
        <v>1319</v>
      </c>
      <c r="BI18" s="39">
        <f>データ!V18</f>
        <v>0</v>
      </c>
      <c r="BJ18" s="41" t="s">
        <v>1024</v>
      </c>
      <c r="BK18" s="10" t="s">
        <v>1019</v>
      </c>
    </row>
    <row r="19" spans="1:63" x14ac:dyDescent="0.15">
      <c r="A19" s="10" t="s">
        <v>1016</v>
      </c>
      <c r="B19" s="10" t="s">
        <v>1454</v>
      </c>
      <c r="C19" s="38" t="str">
        <f>"./images/thumbnail/"&amp;データ!B19&amp;".jpg"</f>
        <v>./images/thumbnail/.jpg</v>
      </c>
      <c r="D19" s="38" t="s">
        <v>1455</v>
      </c>
      <c r="E19" s="38" t="str">
        <f>"./images/thumbnail/"&amp;データ!B19&amp;".jpg"</f>
        <v>./images/thumbnail/.jpg</v>
      </c>
      <c r="F19" s="38" t="s">
        <v>1116</v>
      </c>
      <c r="G19" s="38" t="s">
        <v>1319</v>
      </c>
      <c r="H19" s="38">
        <f>データ!C19</f>
        <v>0</v>
      </c>
      <c r="I19" s="38" t="s">
        <v>1024</v>
      </c>
      <c r="J19" s="38" t="s">
        <v>1320</v>
      </c>
      <c r="K19" s="38">
        <f>データ!D19</f>
        <v>0</v>
      </c>
      <c r="L19" s="38" t="s">
        <v>1024</v>
      </c>
      <c r="M19" s="38" t="s">
        <v>1321</v>
      </c>
      <c r="N19" s="38">
        <f>データ!E19</f>
        <v>0</v>
      </c>
      <c r="O19" s="38" t="s">
        <v>1024</v>
      </c>
      <c r="P19" s="38" t="s">
        <v>1319</v>
      </c>
      <c r="Q19" s="38">
        <f>データ!F19</f>
        <v>0</v>
      </c>
      <c r="R19" s="38" t="s">
        <v>1024</v>
      </c>
      <c r="S19" s="38" t="s">
        <v>1319</v>
      </c>
      <c r="T19" s="39">
        <f>データ!G19</f>
        <v>0</v>
      </c>
      <c r="U19" s="40" t="s">
        <v>1024</v>
      </c>
      <c r="V19" s="40" t="s">
        <v>1319</v>
      </c>
      <c r="W19" s="39">
        <f>データ!H19</f>
        <v>0</v>
      </c>
      <c r="X19" s="40" t="s">
        <v>1024</v>
      </c>
      <c r="Y19" s="40" t="s">
        <v>1319</v>
      </c>
      <c r="Z19" s="39">
        <f>データ!I19</f>
        <v>0</v>
      </c>
      <c r="AA19" s="40" t="s">
        <v>1024</v>
      </c>
      <c r="AB19" s="40" t="s">
        <v>1322</v>
      </c>
      <c r="AC19" s="39">
        <f>データ!J19</f>
        <v>0</v>
      </c>
      <c r="AD19" s="38" t="s">
        <v>1024</v>
      </c>
      <c r="AE19" s="40" t="s">
        <v>1323</v>
      </c>
      <c r="AF19" s="39">
        <f>データ!K19</f>
        <v>0</v>
      </c>
      <c r="AG19" s="40" t="s">
        <v>1024</v>
      </c>
      <c r="AH19" s="40" t="s">
        <v>1324</v>
      </c>
      <c r="AI19" s="39">
        <f>データ!L19</f>
        <v>0</v>
      </c>
      <c r="AJ19" s="10" t="s">
        <v>1113</v>
      </c>
      <c r="AK19" s="39" t="e">
        <f>データ!M19</f>
        <v>#N/A</v>
      </c>
      <c r="AL19" s="10" t="s">
        <v>1024</v>
      </c>
      <c r="AM19" s="40" t="s">
        <v>1325</v>
      </c>
      <c r="AN19" s="39">
        <f>データ!N19</f>
        <v>0</v>
      </c>
      <c r="AO19" s="10" t="s">
        <v>1113</v>
      </c>
      <c r="AP19" s="39" t="e">
        <f>データ!O19</f>
        <v>#N/A</v>
      </c>
      <c r="AQ19" s="41" t="s">
        <v>1024</v>
      </c>
      <c r="AR19" s="40" t="s">
        <v>1324</v>
      </c>
      <c r="AS19" s="39">
        <f>データ!P19</f>
        <v>0</v>
      </c>
      <c r="AT19" s="10" t="s">
        <v>1113</v>
      </c>
      <c r="AU19" s="39" t="e">
        <f>データ!Q19</f>
        <v>#N/A</v>
      </c>
      <c r="AV19" s="10" t="s">
        <v>1024</v>
      </c>
      <c r="AW19" s="40" t="s">
        <v>1324</v>
      </c>
      <c r="AX19" s="39">
        <f>データ!R19</f>
        <v>0</v>
      </c>
      <c r="AY19" s="10" t="s">
        <v>1113</v>
      </c>
      <c r="AZ19" s="39" t="e">
        <f>データ!S19</f>
        <v>#N/A</v>
      </c>
      <c r="BA19" s="41" t="s">
        <v>1024</v>
      </c>
      <c r="BB19" s="40" t="s">
        <v>1319</v>
      </c>
      <c r="BC19" s="39">
        <f>データ!T19</f>
        <v>0</v>
      </c>
      <c r="BD19" s="41" t="s">
        <v>1024</v>
      </c>
      <c r="BE19" s="40" t="s">
        <v>1320</v>
      </c>
      <c r="BF19" s="39">
        <f>データ!U19</f>
        <v>0</v>
      </c>
      <c r="BG19" s="41" t="s">
        <v>1024</v>
      </c>
      <c r="BH19" s="40" t="s">
        <v>1319</v>
      </c>
      <c r="BI19" s="39">
        <f>データ!V19</f>
        <v>0</v>
      </c>
      <c r="BJ19" s="41" t="s">
        <v>1024</v>
      </c>
      <c r="BK19" s="10" t="s">
        <v>1019</v>
      </c>
    </row>
    <row r="20" spans="1:63" x14ac:dyDescent="0.15">
      <c r="A20" s="10" t="s">
        <v>1016</v>
      </c>
      <c r="B20" s="10" t="s">
        <v>1454</v>
      </c>
      <c r="C20" s="38" t="str">
        <f>"./images/thumbnail/"&amp;データ!B20&amp;".jpg"</f>
        <v>./images/thumbnail/.jpg</v>
      </c>
      <c r="D20" s="38" t="s">
        <v>1455</v>
      </c>
      <c r="E20" s="38" t="str">
        <f>"./images/thumbnail/"&amp;データ!B20&amp;".jpg"</f>
        <v>./images/thumbnail/.jpg</v>
      </c>
      <c r="F20" s="38" t="s">
        <v>1116</v>
      </c>
      <c r="G20" s="38" t="s">
        <v>1319</v>
      </c>
      <c r="H20" s="38">
        <f>データ!C20</f>
        <v>0</v>
      </c>
      <c r="I20" s="38" t="s">
        <v>1024</v>
      </c>
      <c r="J20" s="38" t="s">
        <v>1320</v>
      </c>
      <c r="K20" s="38">
        <f>データ!D20</f>
        <v>0</v>
      </c>
      <c r="L20" s="38" t="s">
        <v>1024</v>
      </c>
      <c r="M20" s="38" t="s">
        <v>1321</v>
      </c>
      <c r="N20" s="38">
        <f>データ!E20</f>
        <v>0</v>
      </c>
      <c r="O20" s="38" t="s">
        <v>1024</v>
      </c>
      <c r="P20" s="38" t="s">
        <v>1319</v>
      </c>
      <c r="Q20" s="38">
        <f>データ!F20</f>
        <v>0</v>
      </c>
      <c r="R20" s="38" t="s">
        <v>1024</v>
      </c>
      <c r="S20" s="38" t="s">
        <v>1319</v>
      </c>
      <c r="T20" s="39">
        <f>データ!G20</f>
        <v>0</v>
      </c>
      <c r="U20" s="40" t="s">
        <v>1024</v>
      </c>
      <c r="V20" s="40" t="s">
        <v>1319</v>
      </c>
      <c r="W20" s="39">
        <f>データ!H20</f>
        <v>0</v>
      </c>
      <c r="X20" s="40" t="s">
        <v>1024</v>
      </c>
      <c r="Y20" s="40" t="s">
        <v>1319</v>
      </c>
      <c r="Z20" s="39">
        <f>データ!I20</f>
        <v>0</v>
      </c>
      <c r="AA20" s="40" t="s">
        <v>1024</v>
      </c>
      <c r="AB20" s="40" t="s">
        <v>1322</v>
      </c>
      <c r="AC20" s="39">
        <f>データ!J20</f>
        <v>0</v>
      </c>
      <c r="AD20" s="38" t="s">
        <v>1024</v>
      </c>
      <c r="AE20" s="40" t="s">
        <v>1323</v>
      </c>
      <c r="AF20" s="39">
        <f>データ!K20</f>
        <v>0</v>
      </c>
      <c r="AG20" s="40" t="s">
        <v>1024</v>
      </c>
      <c r="AH20" s="40" t="s">
        <v>1324</v>
      </c>
      <c r="AI20" s="39">
        <f>データ!L20</f>
        <v>0</v>
      </c>
      <c r="AJ20" s="10" t="s">
        <v>1113</v>
      </c>
      <c r="AK20" s="39" t="e">
        <f>データ!M20</f>
        <v>#N/A</v>
      </c>
      <c r="AL20" s="10" t="s">
        <v>1024</v>
      </c>
      <c r="AM20" s="40" t="s">
        <v>1325</v>
      </c>
      <c r="AN20" s="39">
        <f>データ!N20</f>
        <v>0</v>
      </c>
      <c r="AO20" s="10" t="s">
        <v>1113</v>
      </c>
      <c r="AP20" s="39" t="e">
        <f>データ!O20</f>
        <v>#N/A</v>
      </c>
      <c r="AQ20" s="41" t="s">
        <v>1024</v>
      </c>
      <c r="AR20" s="40" t="s">
        <v>1324</v>
      </c>
      <c r="AS20" s="39">
        <f>データ!P20</f>
        <v>0</v>
      </c>
      <c r="AT20" s="10" t="s">
        <v>1113</v>
      </c>
      <c r="AU20" s="39" t="e">
        <f>データ!Q20</f>
        <v>#N/A</v>
      </c>
      <c r="AV20" s="10" t="s">
        <v>1024</v>
      </c>
      <c r="AW20" s="40" t="s">
        <v>1324</v>
      </c>
      <c r="AX20" s="39">
        <f>データ!R20</f>
        <v>0</v>
      </c>
      <c r="AY20" s="10" t="s">
        <v>1113</v>
      </c>
      <c r="AZ20" s="39" t="e">
        <f>データ!S20</f>
        <v>#N/A</v>
      </c>
      <c r="BA20" s="41" t="s">
        <v>1024</v>
      </c>
      <c r="BB20" s="40" t="s">
        <v>1319</v>
      </c>
      <c r="BC20" s="39">
        <f>データ!T20</f>
        <v>0</v>
      </c>
      <c r="BD20" s="41" t="s">
        <v>1024</v>
      </c>
      <c r="BE20" s="40" t="s">
        <v>1320</v>
      </c>
      <c r="BF20" s="39">
        <f>データ!U20</f>
        <v>0</v>
      </c>
      <c r="BG20" s="41" t="s">
        <v>1024</v>
      </c>
      <c r="BH20" s="40" t="s">
        <v>1319</v>
      </c>
      <c r="BI20" s="39">
        <f>データ!V20</f>
        <v>0</v>
      </c>
      <c r="BJ20" s="41" t="s">
        <v>1024</v>
      </c>
      <c r="BK20" s="10" t="s">
        <v>1019</v>
      </c>
    </row>
    <row r="21" spans="1:63" x14ac:dyDescent="0.15">
      <c r="A21" s="10" t="s">
        <v>1016</v>
      </c>
      <c r="B21" s="10" t="s">
        <v>1454</v>
      </c>
      <c r="C21" s="38" t="str">
        <f>"./images/thumbnail/"&amp;データ!B21&amp;".jpg"</f>
        <v>./images/thumbnail/.jpg</v>
      </c>
      <c r="D21" s="38" t="s">
        <v>1455</v>
      </c>
      <c r="E21" s="38" t="str">
        <f>"./images/thumbnail/"&amp;データ!B21&amp;".jpg"</f>
        <v>./images/thumbnail/.jpg</v>
      </c>
      <c r="F21" s="38" t="s">
        <v>1116</v>
      </c>
      <c r="G21" s="38" t="s">
        <v>1319</v>
      </c>
      <c r="H21" s="38">
        <f>データ!C21</f>
        <v>0</v>
      </c>
      <c r="I21" s="38" t="s">
        <v>1024</v>
      </c>
      <c r="J21" s="38" t="s">
        <v>1320</v>
      </c>
      <c r="K21" s="38">
        <f>データ!D21</f>
        <v>0</v>
      </c>
      <c r="L21" s="38" t="s">
        <v>1024</v>
      </c>
      <c r="M21" s="38" t="s">
        <v>1321</v>
      </c>
      <c r="N21" s="38">
        <f>データ!E21</f>
        <v>0</v>
      </c>
      <c r="O21" s="38" t="s">
        <v>1024</v>
      </c>
      <c r="P21" s="38" t="s">
        <v>1319</v>
      </c>
      <c r="Q21" s="38">
        <f>データ!F21</f>
        <v>0</v>
      </c>
      <c r="R21" s="38" t="s">
        <v>1024</v>
      </c>
      <c r="S21" s="38" t="s">
        <v>1319</v>
      </c>
      <c r="T21" s="39">
        <f>データ!G21</f>
        <v>0</v>
      </c>
      <c r="U21" s="40" t="s">
        <v>1024</v>
      </c>
      <c r="V21" s="40" t="s">
        <v>1319</v>
      </c>
      <c r="W21" s="39">
        <f>データ!H21</f>
        <v>0</v>
      </c>
      <c r="X21" s="40" t="s">
        <v>1024</v>
      </c>
      <c r="Y21" s="40" t="s">
        <v>1319</v>
      </c>
      <c r="Z21" s="39">
        <f>データ!I21</f>
        <v>0</v>
      </c>
      <c r="AA21" s="40" t="s">
        <v>1024</v>
      </c>
      <c r="AB21" s="40" t="s">
        <v>1322</v>
      </c>
      <c r="AC21" s="39">
        <f>データ!J21</f>
        <v>0</v>
      </c>
      <c r="AD21" s="38" t="s">
        <v>1024</v>
      </c>
      <c r="AE21" s="40" t="s">
        <v>1323</v>
      </c>
      <c r="AF21" s="39">
        <f>データ!K21</f>
        <v>0</v>
      </c>
      <c r="AG21" s="40" t="s">
        <v>1024</v>
      </c>
      <c r="AH21" s="40" t="s">
        <v>1324</v>
      </c>
      <c r="AI21" s="39">
        <f>データ!L21</f>
        <v>0</v>
      </c>
      <c r="AJ21" s="10" t="s">
        <v>1113</v>
      </c>
      <c r="AK21" s="39" t="e">
        <f>データ!M21</f>
        <v>#N/A</v>
      </c>
      <c r="AL21" s="10" t="s">
        <v>1024</v>
      </c>
      <c r="AM21" s="40" t="s">
        <v>1325</v>
      </c>
      <c r="AN21" s="39">
        <f>データ!N21</f>
        <v>0</v>
      </c>
      <c r="AO21" s="10" t="s">
        <v>1113</v>
      </c>
      <c r="AP21" s="39" t="e">
        <f>データ!O21</f>
        <v>#N/A</v>
      </c>
      <c r="AQ21" s="41" t="s">
        <v>1024</v>
      </c>
      <c r="AR21" s="40" t="s">
        <v>1324</v>
      </c>
      <c r="AS21" s="39">
        <f>データ!P21</f>
        <v>0</v>
      </c>
      <c r="AT21" s="10" t="s">
        <v>1113</v>
      </c>
      <c r="AU21" s="39" t="e">
        <f>データ!Q21</f>
        <v>#N/A</v>
      </c>
      <c r="AV21" s="10" t="s">
        <v>1024</v>
      </c>
      <c r="AW21" s="40" t="s">
        <v>1324</v>
      </c>
      <c r="AX21" s="39">
        <f>データ!R21</f>
        <v>0</v>
      </c>
      <c r="AY21" s="10" t="s">
        <v>1113</v>
      </c>
      <c r="AZ21" s="39" t="e">
        <f>データ!S21</f>
        <v>#N/A</v>
      </c>
      <c r="BA21" s="41" t="s">
        <v>1024</v>
      </c>
      <c r="BB21" s="40" t="s">
        <v>1319</v>
      </c>
      <c r="BC21" s="39">
        <f>データ!T21</f>
        <v>0</v>
      </c>
      <c r="BD21" s="41" t="s">
        <v>1024</v>
      </c>
      <c r="BE21" s="40" t="s">
        <v>1320</v>
      </c>
      <c r="BF21" s="39">
        <f>データ!U21</f>
        <v>0</v>
      </c>
      <c r="BG21" s="41" t="s">
        <v>1024</v>
      </c>
      <c r="BH21" s="40" t="s">
        <v>1319</v>
      </c>
      <c r="BI21" s="39">
        <f>データ!V21</f>
        <v>0</v>
      </c>
      <c r="BJ21" s="41" t="s">
        <v>1024</v>
      </c>
      <c r="BK21" s="10" t="s">
        <v>1019</v>
      </c>
    </row>
    <row r="22" spans="1:63" x14ac:dyDescent="0.15">
      <c r="A22" s="10" t="s">
        <v>1016</v>
      </c>
      <c r="B22" s="10" t="s">
        <v>1454</v>
      </c>
      <c r="C22" s="38" t="str">
        <f>"./images/thumbnail/"&amp;データ!B22&amp;".jpg"</f>
        <v>./images/thumbnail/.jpg</v>
      </c>
      <c r="D22" s="38" t="s">
        <v>1455</v>
      </c>
      <c r="E22" s="38" t="str">
        <f>"./images/thumbnail/"&amp;データ!B22&amp;".jpg"</f>
        <v>./images/thumbnail/.jpg</v>
      </c>
      <c r="F22" s="38" t="s">
        <v>1116</v>
      </c>
      <c r="G22" s="38" t="s">
        <v>1319</v>
      </c>
      <c r="H22" s="38">
        <f>データ!C22</f>
        <v>0</v>
      </c>
      <c r="I22" s="38" t="s">
        <v>1024</v>
      </c>
      <c r="J22" s="38" t="s">
        <v>1320</v>
      </c>
      <c r="K22" s="38">
        <f>データ!D22</f>
        <v>0</v>
      </c>
      <c r="L22" s="38" t="s">
        <v>1024</v>
      </c>
      <c r="M22" s="38" t="s">
        <v>1321</v>
      </c>
      <c r="N22" s="38">
        <f>データ!E22</f>
        <v>0</v>
      </c>
      <c r="O22" s="38" t="s">
        <v>1024</v>
      </c>
      <c r="P22" s="38" t="s">
        <v>1319</v>
      </c>
      <c r="Q22" s="38">
        <f>データ!F22</f>
        <v>0</v>
      </c>
      <c r="R22" s="38" t="s">
        <v>1024</v>
      </c>
      <c r="S22" s="38" t="s">
        <v>1319</v>
      </c>
      <c r="T22" s="39">
        <f>データ!G22</f>
        <v>0</v>
      </c>
      <c r="U22" s="40" t="s">
        <v>1024</v>
      </c>
      <c r="V22" s="40" t="s">
        <v>1319</v>
      </c>
      <c r="W22" s="39">
        <f>データ!H22</f>
        <v>0</v>
      </c>
      <c r="X22" s="40" t="s">
        <v>1024</v>
      </c>
      <c r="Y22" s="40" t="s">
        <v>1319</v>
      </c>
      <c r="Z22" s="39">
        <f>データ!I22</f>
        <v>0</v>
      </c>
      <c r="AA22" s="40" t="s">
        <v>1024</v>
      </c>
      <c r="AB22" s="40" t="s">
        <v>1322</v>
      </c>
      <c r="AC22" s="39">
        <f>データ!J22</f>
        <v>0</v>
      </c>
      <c r="AD22" s="38" t="s">
        <v>1024</v>
      </c>
      <c r="AE22" s="40" t="s">
        <v>1323</v>
      </c>
      <c r="AF22" s="39">
        <f>データ!K22</f>
        <v>0</v>
      </c>
      <c r="AG22" s="40" t="s">
        <v>1024</v>
      </c>
      <c r="AH22" s="40" t="s">
        <v>1324</v>
      </c>
      <c r="AI22" s="39">
        <f>データ!L22</f>
        <v>0</v>
      </c>
      <c r="AJ22" s="10" t="s">
        <v>1113</v>
      </c>
      <c r="AK22" s="39" t="e">
        <f>データ!M22</f>
        <v>#N/A</v>
      </c>
      <c r="AL22" s="10" t="s">
        <v>1024</v>
      </c>
      <c r="AM22" s="40" t="s">
        <v>1325</v>
      </c>
      <c r="AN22" s="39">
        <f>データ!N22</f>
        <v>0</v>
      </c>
      <c r="AO22" s="10" t="s">
        <v>1113</v>
      </c>
      <c r="AP22" s="39" t="e">
        <f>データ!O22</f>
        <v>#N/A</v>
      </c>
      <c r="AQ22" s="41" t="s">
        <v>1024</v>
      </c>
      <c r="AR22" s="40" t="s">
        <v>1324</v>
      </c>
      <c r="AS22" s="39">
        <f>データ!P22</f>
        <v>0</v>
      </c>
      <c r="AT22" s="10" t="s">
        <v>1113</v>
      </c>
      <c r="AU22" s="39" t="e">
        <f>データ!Q22</f>
        <v>#N/A</v>
      </c>
      <c r="AV22" s="10" t="s">
        <v>1024</v>
      </c>
      <c r="AW22" s="40" t="s">
        <v>1324</v>
      </c>
      <c r="AX22" s="39">
        <f>データ!R22</f>
        <v>0</v>
      </c>
      <c r="AY22" s="10" t="s">
        <v>1113</v>
      </c>
      <c r="AZ22" s="39" t="e">
        <f>データ!S22</f>
        <v>#N/A</v>
      </c>
      <c r="BA22" s="41" t="s">
        <v>1024</v>
      </c>
      <c r="BB22" s="40" t="s">
        <v>1319</v>
      </c>
      <c r="BC22" s="39">
        <f>データ!T22</f>
        <v>0</v>
      </c>
      <c r="BD22" s="41" t="s">
        <v>1024</v>
      </c>
      <c r="BE22" s="40" t="s">
        <v>1320</v>
      </c>
      <c r="BF22" s="39">
        <f>データ!U22</f>
        <v>0</v>
      </c>
      <c r="BG22" s="41" t="s">
        <v>1024</v>
      </c>
      <c r="BH22" s="40" t="s">
        <v>1319</v>
      </c>
      <c r="BI22" s="39">
        <f>データ!V22</f>
        <v>0</v>
      </c>
      <c r="BJ22" s="41" t="s">
        <v>1024</v>
      </c>
      <c r="BK22" s="10" t="s">
        <v>1019</v>
      </c>
    </row>
    <row r="23" spans="1:63" x14ac:dyDescent="0.15">
      <c r="A23" s="10" t="s">
        <v>1016</v>
      </c>
      <c r="B23" s="10" t="s">
        <v>1454</v>
      </c>
      <c r="C23" s="38" t="str">
        <f>"./images/thumbnail/"&amp;データ!B23&amp;".jpg"</f>
        <v>./images/thumbnail/.jpg</v>
      </c>
      <c r="D23" s="38" t="s">
        <v>1455</v>
      </c>
      <c r="E23" s="38" t="str">
        <f>"./images/thumbnail/"&amp;データ!B23&amp;".jpg"</f>
        <v>./images/thumbnail/.jpg</v>
      </c>
      <c r="F23" s="38" t="s">
        <v>1116</v>
      </c>
      <c r="G23" s="38" t="s">
        <v>1319</v>
      </c>
      <c r="H23" s="38">
        <f>データ!C23</f>
        <v>0</v>
      </c>
      <c r="I23" s="38" t="s">
        <v>1024</v>
      </c>
      <c r="J23" s="38" t="s">
        <v>1320</v>
      </c>
      <c r="K23" s="38">
        <f>データ!D23</f>
        <v>0</v>
      </c>
      <c r="L23" s="38" t="s">
        <v>1024</v>
      </c>
      <c r="M23" s="38" t="s">
        <v>1321</v>
      </c>
      <c r="N23" s="38">
        <f>データ!E23</f>
        <v>0</v>
      </c>
      <c r="O23" s="38" t="s">
        <v>1024</v>
      </c>
      <c r="P23" s="38" t="s">
        <v>1319</v>
      </c>
      <c r="Q23" s="38">
        <f>データ!F23</f>
        <v>0</v>
      </c>
      <c r="R23" s="38" t="s">
        <v>1024</v>
      </c>
      <c r="S23" s="38" t="s">
        <v>1319</v>
      </c>
      <c r="T23" s="39">
        <f>データ!G23</f>
        <v>0</v>
      </c>
      <c r="U23" s="40" t="s">
        <v>1024</v>
      </c>
      <c r="V23" s="40" t="s">
        <v>1319</v>
      </c>
      <c r="W23" s="39">
        <f>データ!H23</f>
        <v>0</v>
      </c>
      <c r="X23" s="40" t="s">
        <v>1024</v>
      </c>
      <c r="Y23" s="40" t="s">
        <v>1319</v>
      </c>
      <c r="Z23" s="39">
        <f>データ!I23</f>
        <v>0</v>
      </c>
      <c r="AA23" s="40" t="s">
        <v>1024</v>
      </c>
      <c r="AB23" s="40" t="s">
        <v>1322</v>
      </c>
      <c r="AC23" s="39">
        <f>データ!J23</f>
        <v>0</v>
      </c>
      <c r="AD23" s="38" t="s">
        <v>1024</v>
      </c>
      <c r="AE23" s="40" t="s">
        <v>1323</v>
      </c>
      <c r="AF23" s="39">
        <f>データ!K23</f>
        <v>0</v>
      </c>
      <c r="AG23" s="40" t="s">
        <v>1024</v>
      </c>
      <c r="AH23" s="40" t="s">
        <v>1324</v>
      </c>
      <c r="AI23" s="39">
        <f>データ!L23</f>
        <v>0</v>
      </c>
      <c r="AJ23" s="10" t="s">
        <v>1113</v>
      </c>
      <c r="AK23" s="39" t="e">
        <f>データ!M23</f>
        <v>#N/A</v>
      </c>
      <c r="AL23" s="10" t="s">
        <v>1024</v>
      </c>
      <c r="AM23" s="40" t="s">
        <v>1325</v>
      </c>
      <c r="AN23" s="39">
        <f>データ!N23</f>
        <v>0</v>
      </c>
      <c r="AO23" s="10" t="s">
        <v>1113</v>
      </c>
      <c r="AP23" s="39" t="e">
        <f>データ!O23</f>
        <v>#N/A</v>
      </c>
      <c r="AQ23" s="41" t="s">
        <v>1024</v>
      </c>
      <c r="AR23" s="40" t="s">
        <v>1324</v>
      </c>
      <c r="AS23" s="39">
        <f>データ!P23</f>
        <v>0</v>
      </c>
      <c r="AT23" s="10" t="s">
        <v>1113</v>
      </c>
      <c r="AU23" s="39" t="e">
        <f>データ!Q23</f>
        <v>#N/A</v>
      </c>
      <c r="AV23" s="10" t="s">
        <v>1024</v>
      </c>
      <c r="AW23" s="40" t="s">
        <v>1324</v>
      </c>
      <c r="AX23" s="39">
        <f>データ!R23</f>
        <v>0</v>
      </c>
      <c r="AY23" s="10" t="s">
        <v>1113</v>
      </c>
      <c r="AZ23" s="39" t="e">
        <f>データ!S23</f>
        <v>#N/A</v>
      </c>
      <c r="BA23" s="41" t="s">
        <v>1024</v>
      </c>
      <c r="BB23" s="40" t="s">
        <v>1319</v>
      </c>
      <c r="BC23" s="39">
        <f>データ!T23</f>
        <v>0</v>
      </c>
      <c r="BD23" s="41" t="s">
        <v>1024</v>
      </c>
      <c r="BE23" s="40" t="s">
        <v>1320</v>
      </c>
      <c r="BF23" s="39">
        <f>データ!U23</f>
        <v>0</v>
      </c>
      <c r="BG23" s="41" t="s">
        <v>1024</v>
      </c>
      <c r="BH23" s="40" t="s">
        <v>1319</v>
      </c>
      <c r="BI23" s="39">
        <f>データ!V23</f>
        <v>0</v>
      </c>
      <c r="BJ23" s="41" t="s">
        <v>1024</v>
      </c>
      <c r="BK23" s="10" t="s">
        <v>1019</v>
      </c>
    </row>
    <row r="24" spans="1:63" x14ac:dyDescent="0.15">
      <c r="A24" s="10" t="s">
        <v>1016</v>
      </c>
      <c r="B24" s="10" t="s">
        <v>1454</v>
      </c>
      <c r="C24" s="38" t="str">
        <f>"./images/thumbnail/"&amp;データ!B24&amp;".jpg"</f>
        <v>./images/thumbnail/.jpg</v>
      </c>
      <c r="D24" s="38" t="s">
        <v>1455</v>
      </c>
      <c r="E24" s="38" t="str">
        <f>"./images/thumbnail/"&amp;データ!B24&amp;".jpg"</f>
        <v>./images/thumbnail/.jpg</v>
      </c>
      <c r="F24" s="38" t="s">
        <v>1116</v>
      </c>
      <c r="G24" s="38" t="s">
        <v>1319</v>
      </c>
      <c r="H24" s="38">
        <f>データ!C24</f>
        <v>0</v>
      </c>
      <c r="I24" s="38" t="s">
        <v>1024</v>
      </c>
      <c r="J24" s="38" t="s">
        <v>1320</v>
      </c>
      <c r="K24" s="38">
        <f>データ!D24</f>
        <v>0</v>
      </c>
      <c r="L24" s="38" t="s">
        <v>1024</v>
      </c>
      <c r="M24" s="38" t="s">
        <v>1321</v>
      </c>
      <c r="N24" s="38">
        <f>データ!E24</f>
        <v>0</v>
      </c>
      <c r="O24" s="38" t="s">
        <v>1024</v>
      </c>
      <c r="P24" s="38" t="s">
        <v>1319</v>
      </c>
      <c r="Q24" s="38">
        <f>データ!F24</f>
        <v>0</v>
      </c>
      <c r="R24" s="38" t="s">
        <v>1024</v>
      </c>
      <c r="S24" s="38" t="s">
        <v>1319</v>
      </c>
      <c r="T24" s="39">
        <f>データ!G24</f>
        <v>0</v>
      </c>
      <c r="U24" s="40" t="s">
        <v>1024</v>
      </c>
      <c r="V24" s="40" t="s">
        <v>1319</v>
      </c>
      <c r="W24" s="39">
        <f>データ!H24</f>
        <v>0</v>
      </c>
      <c r="X24" s="40" t="s">
        <v>1024</v>
      </c>
      <c r="Y24" s="40" t="s">
        <v>1319</v>
      </c>
      <c r="Z24" s="39">
        <f>データ!I24</f>
        <v>0</v>
      </c>
      <c r="AA24" s="40" t="s">
        <v>1024</v>
      </c>
      <c r="AB24" s="40" t="s">
        <v>1322</v>
      </c>
      <c r="AC24" s="39">
        <f>データ!J24</f>
        <v>0</v>
      </c>
      <c r="AD24" s="38" t="s">
        <v>1024</v>
      </c>
      <c r="AE24" s="40" t="s">
        <v>1323</v>
      </c>
      <c r="AF24" s="39">
        <f>データ!K24</f>
        <v>0</v>
      </c>
      <c r="AG24" s="40" t="s">
        <v>1024</v>
      </c>
      <c r="AH24" s="40" t="s">
        <v>1324</v>
      </c>
      <c r="AI24" s="39">
        <f>データ!L24</f>
        <v>0</v>
      </c>
      <c r="AJ24" s="10" t="s">
        <v>1113</v>
      </c>
      <c r="AK24" s="39" t="e">
        <f>データ!M24</f>
        <v>#N/A</v>
      </c>
      <c r="AL24" s="10" t="s">
        <v>1024</v>
      </c>
      <c r="AM24" s="40" t="s">
        <v>1325</v>
      </c>
      <c r="AN24" s="39">
        <f>データ!N24</f>
        <v>0</v>
      </c>
      <c r="AO24" s="10" t="s">
        <v>1113</v>
      </c>
      <c r="AP24" s="39" t="e">
        <f>データ!O24</f>
        <v>#N/A</v>
      </c>
      <c r="AQ24" s="41" t="s">
        <v>1024</v>
      </c>
      <c r="AR24" s="40" t="s">
        <v>1324</v>
      </c>
      <c r="AS24" s="39">
        <f>データ!P24</f>
        <v>0</v>
      </c>
      <c r="AT24" s="10" t="s">
        <v>1113</v>
      </c>
      <c r="AU24" s="39" t="e">
        <f>データ!Q24</f>
        <v>#N/A</v>
      </c>
      <c r="AV24" s="10" t="s">
        <v>1024</v>
      </c>
      <c r="AW24" s="40" t="s">
        <v>1324</v>
      </c>
      <c r="AX24" s="39">
        <f>データ!R24</f>
        <v>0</v>
      </c>
      <c r="AY24" s="10" t="s">
        <v>1113</v>
      </c>
      <c r="AZ24" s="39" t="e">
        <f>データ!S24</f>
        <v>#N/A</v>
      </c>
      <c r="BA24" s="41" t="s">
        <v>1024</v>
      </c>
      <c r="BB24" s="40" t="s">
        <v>1319</v>
      </c>
      <c r="BC24" s="39">
        <f>データ!T24</f>
        <v>0</v>
      </c>
      <c r="BD24" s="41" t="s">
        <v>1024</v>
      </c>
      <c r="BE24" s="40" t="s">
        <v>1320</v>
      </c>
      <c r="BF24" s="39">
        <f>データ!U24</f>
        <v>0</v>
      </c>
      <c r="BG24" s="41" t="s">
        <v>1024</v>
      </c>
      <c r="BH24" s="40" t="s">
        <v>1319</v>
      </c>
      <c r="BI24" s="39">
        <f>データ!V24</f>
        <v>0</v>
      </c>
      <c r="BJ24" s="41" t="s">
        <v>1024</v>
      </c>
      <c r="BK24" s="10" t="s">
        <v>1019</v>
      </c>
    </row>
    <row r="25" spans="1:63" x14ac:dyDescent="0.15">
      <c r="A25" s="10" t="s">
        <v>1016</v>
      </c>
      <c r="B25" s="10" t="s">
        <v>1454</v>
      </c>
      <c r="C25" s="38" t="str">
        <f>"./images/thumbnail/"&amp;データ!B25&amp;".jpg"</f>
        <v>./images/thumbnail/.jpg</v>
      </c>
      <c r="D25" s="38" t="s">
        <v>1455</v>
      </c>
      <c r="E25" s="38" t="str">
        <f>"./images/thumbnail/"&amp;データ!B25&amp;".jpg"</f>
        <v>./images/thumbnail/.jpg</v>
      </c>
      <c r="F25" s="38" t="s">
        <v>1116</v>
      </c>
      <c r="G25" s="38" t="s">
        <v>1319</v>
      </c>
      <c r="H25" s="38">
        <f>データ!C25</f>
        <v>0</v>
      </c>
      <c r="I25" s="38" t="s">
        <v>1024</v>
      </c>
      <c r="J25" s="38" t="s">
        <v>1320</v>
      </c>
      <c r="K25" s="38">
        <f>データ!D25</f>
        <v>0</v>
      </c>
      <c r="L25" s="38" t="s">
        <v>1024</v>
      </c>
      <c r="M25" s="38" t="s">
        <v>1321</v>
      </c>
      <c r="N25" s="38">
        <f>データ!E25</f>
        <v>0</v>
      </c>
      <c r="O25" s="38" t="s">
        <v>1024</v>
      </c>
      <c r="P25" s="38" t="s">
        <v>1319</v>
      </c>
      <c r="Q25" s="38">
        <f>データ!F25</f>
        <v>0</v>
      </c>
      <c r="R25" s="38" t="s">
        <v>1024</v>
      </c>
      <c r="S25" s="38" t="s">
        <v>1319</v>
      </c>
      <c r="T25" s="39">
        <f>データ!G25</f>
        <v>0</v>
      </c>
      <c r="U25" s="40" t="s">
        <v>1024</v>
      </c>
      <c r="V25" s="40" t="s">
        <v>1319</v>
      </c>
      <c r="W25" s="39">
        <f>データ!H25</f>
        <v>0</v>
      </c>
      <c r="X25" s="40" t="s">
        <v>1024</v>
      </c>
      <c r="Y25" s="40" t="s">
        <v>1319</v>
      </c>
      <c r="Z25" s="39">
        <f>データ!I25</f>
        <v>0</v>
      </c>
      <c r="AA25" s="40" t="s">
        <v>1024</v>
      </c>
      <c r="AB25" s="40" t="s">
        <v>1322</v>
      </c>
      <c r="AC25" s="39">
        <f>データ!J25</f>
        <v>0</v>
      </c>
      <c r="AD25" s="38" t="s">
        <v>1024</v>
      </c>
      <c r="AE25" s="40" t="s">
        <v>1323</v>
      </c>
      <c r="AF25" s="39">
        <f>データ!K25</f>
        <v>0</v>
      </c>
      <c r="AG25" s="40" t="s">
        <v>1024</v>
      </c>
      <c r="AH25" s="40" t="s">
        <v>1324</v>
      </c>
      <c r="AI25" s="39">
        <f>データ!L25</f>
        <v>0</v>
      </c>
      <c r="AJ25" s="10" t="s">
        <v>1113</v>
      </c>
      <c r="AK25" s="39" t="e">
        <f>データ!M25</f>
        <v>#N/A</v>
      </c>
      <c r="AL25" s="10" t="s">
        <v>1024</v>
      </c>
      <c r="AM25" s="40" t="s">
        <v>1325</v>
      </c>
      <c r="AN25" s="39">
        <f>データ!N25</f>
        <v>0</v>
      </c>
      <c r="AO25" s="10" t="s">
        <v>1113</v>
      </c>
      <c r="AP25" s="39" t="e">
        <f>データ!O25</f>
        <v>#N/A</v>
      </c>
      <c r="AQ25" s="41" t="s">
        <v>1024</v>
      </c>
      <c r="AR25" s="40" t="s">
        <v>1324</v>
      </c>
      <c r="AS25" s="39">
        <f>データ!P25</f>
        <v>0</v>
      </c>
      <c r="AT25" s="10" t="s">
        <v>1113</v>
      </c>
      <c r="AU25" s="39" t="e">
        <f>データ!Q25</f>
        <v>#N/A</v>
      </c>
      <c r="AV25" s="10" t="s">
        <v>1024</v>
      </c>
      <c r="AW25" s="40" t="s">
        <v>1324</v>
      </c>
      <c r="AX25" s="39">
        <f>データ!R25</f>
        <v>0</v>
      </c>
      <c r="AY25" s="10" t="s">
        <v>1113</v>
      </c>
      <c r="AZ25" s="39" t="e">
        <f>データ!S25</f>
        <v>#N/A</v>
      </c>
      <c r="BA25" s="41" t="s">
        <v>1024</v>
      </c>
      <c r="BB25" s="40" t="s">
        <v>1319</v>
      </c>
      <c r="BC25" s="39">
        <f>データ!T25</f>
        <v>0</v>
      </c>
      <c r="BD25" s="41" t="s">
        <v>1024</v>
      </c>
      <c r="BE25" s="40" t="s">
        <v>1320</v>
      </c>
      <c r="BF25" s="39">
        <f>データ!U25</f>
        <v>0</v>
      </c>
      <c r="BG25" s="41" t="s">
        <v>1024</v>
      </c>
      <c r="BH25" s="40" t="s">
        <v>1319</v>
      </c>
      <c r="BI25" s="39">
        <f>データ!V25</f>
        <v>0</v>
      </c>
      <c r="BJ25" s="41" t="s">
        <v>1024</v>
      </c>
      <c r="BK25" s="10" t="s">
        <v>1019</v>
      </c>
    </row>
    <row r="26" spans="1:63" x14ac:dyDescent="0.15">
      <c r="A26" s="10" t="s">
        <v>1016</v>
      </c>
      <c r="B26" s="10" t="s">
        <v>1454</v>
      </c>
      <c r="C26" s="38" t="str">
        <f>"./images/thumbnail/"&amp;データ!B26&amp;".jpg"</f>
        <v>./images/thumbnail/.jpg</v>
      </c>
      <c r="D26" s="38" t="s">
        <v>1455</v>
      </c>
      <c r="E26" s="38" t="str">
        <f>"./images/thumbnail/"&amp;データ!B26&amp;".jpg"</f>
        <v>./images/thumbnail/.jpg</v>
      </c>
      <c r="F26" s="38" t="s">
        <v>1116</v>
      </c>
      <c r="G26" s="38" t="s">
        <v>1319</v>
      </c>
      <c r="H26" s="38">
        <f>データ!C26</f>
        <v>0</v>
      </c>
      <c r="I26" s="38" t="s">
        <v>1024</v>
      </c>
      <c r="J26" s="38" t="s">
        <v>1320</v>
      </c>
      <c r="K26" s="38">
        <f>データ!D26</f>
        <v>0</v>
      </c>
      <c r="L26" s="38" t="s">
        <v>1024</v>
      </c>
      <c r="M26" s="38" t="s">
        <v>1321</v>
      </c>
      <c r="N26" s="38">
        <f>データ!E26</f>
        <v>0</v>
      </c>
      <c r="O26" s="38" t="s">
        <v>1024</v>
      </c>
      <c r="P26" s="38" t="s">
        <v>1319</v>
      </c>
      <c r="Q26" s="38">
        <f>データ!F26</f>
        <v>0</v>
      </c>
      <c r="R26" s="38" t="s">
        <v>1024</v>
      </c>
      <c r="S26" s="38" t="s">
        <v>1319</v>
      </c>
      <c r="T26" s="39">
        <f>データ!G26</f>
        <v>0</v>
      </c>
      <c r="U26" s="40" t="s">
        <v>1024</v>
      </c>
      <c r="V26" s="40" t="s">
        <v>1319</v>
      </c>
      <c r="W26" s="39">
        <f>データ!H26</f>
        <v>0</v>
      </c>
      <c r="X26" s="40" t="s">
        <v>1024</v>
      </c>
      <c r="Y26" s="40" t="s">
        <v>1319</v>
      </c>
      <c r="Z26" s="39">
        <f>データ!I26</f>
        <v>0</v>
      </c>
      <c r="AA26" s="40" t="s">
        <v>1024</v>
      </c>
      <c r="AB26" s="40" t="s">
        <v>1322</v>
      </c>
      <c r="AC26" s="39">
        <f>データ!J26</f>
        <v>0</v>
      </c>
      <c r="AD26" s="38" t="s">
        <v>1024</v>
      </c>
      <c r="AE26" s="40" t="s">
        <v>1323</v>
      </c>
      <c r="AF26" s="39">
        <f>データ!K26</f>
        <v>0</v>
      </c>
      <c r="AG26" s="40" t="s">
        <v>1024</v>
      </c>
      <c r="AH26" s="40" t="s">
        <v>1324</v>
      </c>
      <c r="AI26" s="39">
        <f>データ!L26</f>
        <v>0</v>
      </c>
      <c r="AJ26" s="10" t="s">
        <v>1113</v>
      </c>
      <c r="AK26" s="39" t="e">
        <f>データ!M26</f>
        <v>#N/A</v>
      </c>
      <c r="AL26" s="10" t="s">
        <v>1024</v>
      </c>
      <c r="AM26" s="40" t="s">
        <v>1325</v>
      </c>
      <c r="AN26" s="39">
        <f>データ!N26</f>
        <v>0</v>
      </c>
      <c r="AO26" s="10" t="s">
        <v>1113</v>
      </c>
      <c r="AP26" s="39" t="e">
        <f>データ!O26</f>
        <v>#N/A</v>
      </c>
      <c r="AQ26" s="41" t="s">
        <v>1024</v>
      </c>
      <c r="AR26" s="40" t="s">
        <v>1324</v>
      </c>
      <c r="AS26" s="39">
        <f>データ!P26</f>
        <v>0</v>
      </c>
      <c r="AT26" s="10" t="s">
        <v>1113</v>
      </c>
      <c r="AU26" s="39" t="e">
        <f>データ!Q26</f>
        <v>#N/A</v>
      </c>
      <c r="AV26" s="10" t="s">
        <v>1024</v>
      </c>
      <c r="AW26" s="40" t="s">
        <v>1324</v>
      </c>
      <c r="AX26" s="39">
        <f>データ!R26</f>
        <v>0</v>
      </c>
      <c r="AY26" s="10" t="s">
        <v>1113</v>
      </c>
      <c r="AZ26" s="39" t="e">
        <f>データ!S26</f>
        <v>#N/A</v>
      </c>
      <c r="BA26" s="41" t="s">
        <v>1024</v>
      </c>
      <c r="BB26" s="40" t="s">
        <v>1319</v>
      </c>
      <c r="BC26" s="39">
        <f>データ!T26</f>
        <v>0</v>
      </c>
      <c r="BD26" s="41" t="s">
        <v>1024</v>
      </c>
      <c r="BE26" s="40" t="s">
        <v>1320</v>
      </c>
      <c r="BF26" s="39">
        <f>データ!U26</f>
        <v>0</v>
      </c>
      <c r="BG26" s="41" t="s">
        <v>1024</v>
      </c>
      <c r="BH26" s="40" t="s">
        <v>1319</v>
      </c>
      <c r="BI26" s="39">
        <f>データ!V26</f>
        <v>0</v>
      </c>
      <c r="BJ26" s="41" t="s">
        <v>1024</v>
      </c>
      <c r="BK26" s="10" t="s">
        <v>1019</v>
      </c>
    </row>
    <row r="27" spans="1:63" x14ac:dyDescent="0.15">
      <c r="A27" s="10" t="s">
        <v>1016</v>
      </c>
      <c r="B27" s="10" t="s">
        <v>1454</v>
      </c>
      <c r="C27" s="38" t="str">
        <f>"./images/thumbnail/"&amp;データ!B27&amp;".jpg"</f>
        <v>./images/thumbnail/.jpg</v>
      </c>
      <c r="D27" s="38" t="s">
        <v>1455</v>
      </c>
      <c r="E27" s="38" t="str">
        <f>"./images/thumbnail/"&amp;データ!B27&amp;".jpg"</f>
        <v>./images/thumbnail/.jpg</v>
      </c>
      <c r="F27" s="38" t="s">
        <v>1116</v>
      </c>
      <c r="G27" s="38" t="s">
        <v>1319</v>
      </c>
      <c r="H27" s="38">
        <f>データ!C27</f>
        <v>0</v>
      </c>
      <c r="I27" s="38" t="s">
        <v>1024</v>
      </c>
      <c r="J27" s="38" t="s">
        <v>1320</v>
      </c>
      <c r="K27" s="38">
        <f>データ!D27</f>
        <v>0</v>
      </c>
      <c r="L27" s="38" t="s">
        <v>1024</v>
      </c>
      <c r="M27" s="38" t="s">
        <v>1321</v>
      </c>
      <c r="N27" s="38">
        <f>データ!E27</f>
        <v>0</v>
      </c>
      <c r="O27" s="38" t="s">
        <v>1024</v>
      </c>
      <c r="P27" s="38" t="s">
        <v>1319</v>
      </c>
      <c r="Q27" s="38">
        <f>データ!F27</f>
        <v>0</v>
      </c>
      <c r="R27" s="38" t="s">
        <v>1024</v>
      </c>
      <c r="S27" s="38" t="s">
        <v>1319</v>
      </c>
      <c r="T27" s="39">
        <f>データ!G27</f>
        <v>0</v>
      </c>
      <c r="U27" s="40" t="s">
        <v>1024</v>
      </c>
      <c r="V27" s="40" t="s">
        <v>1319</v>
      </c>
      <c r="W27" s="39">
        <f>データ!H27</f>
        <v>0</v>
      </c>
      <c r="X27" s="40" t="s">
        <v>1024</v>
      </c>
      <c r="Y27" s="40" t="s">
        <v>1319</v>
      </c>
      <c r="Z27" s="39">
        <f>データ!I27</f>
        <v>0</v>
      </c>
      <c r="AA27" s="40" t="s">
        <v>1024</v>
      </c>
      <c r="AB27" s="40" t="s">
        <v>1322</v>
      </c>
      <c r="AC27" s="39">
        <f>データ!J27</f>
        <v>0</v>
      </c>
      <c r="AD27" s="38" t="s">
        <v>1024</v>
      </c>
      <c r="AE27" s="40" t="s">
        <v>1323</v>
      </c>
      <c r="AF27" s="39">
        <f>データ!K27</f>
        <v>0</v>
      </c>
      <c r="AG27" s="40" t="s">
        <v>1024</v>
      </c>
      <c r="AH27" s="40" t="s">
        <v>1324</v>
      </c>
      <c r="AI27" s="39">
        <f>データ!L27</f>
        <v>0</v>
      </c>
      <c r="AJ27" s="10" t="s">
        <v>1113</v>
      </c>
      <c r="AK27" s="39" t="e">
        <f>データ!M27</f>
        <v>#N/A</v>
      </c>
      <c r="AL27" s="10" t="s">
        <v>1024</v>
      </c>
      <c r="AM27" s="40" t="s">
        <v>1325</v>
      </c>
      <c r="AN27" s="39">
        <f>データ!N27</f>
        <v>0</v>
      </c>
      <c r="AO27" s="10" t="s">
        <v>1113</v>
      </c>
      <c r="AP27" s="39" t="e">
        <f>データ!O27</f>
        <v>#N/A</v>
      </c>
      <c r="AQ27" s="41" t="s">
        <v>1024</v>
      </c>
      <c r="AR27" s="40" t="s">
        <v>1324</v>
      </c>
      <c r="AS27" s="39">
        <f>データ!P27</f>
        <v>0</v>
      </c>
      <c r="AT27" s="10" t="s">
        <v>1113</v>
      </c>
      <c r="AU27" s="39" t="e">
        <f>データ!Q27</f>
        <v>#N/A</v>
      </c>
      <c r="AV27" s="10" t="s">
        <v>1024</v>
      </c>
      <c r="AW27" s="40" t="s">
        <v>1324</v>
      </c>
      <c r="AX27" s="39">
        <f>データ!R27</f>
        <v>0</v>
      </c>
      <c r="AY27" s="10" t="s">
        <v>1113</v>
      </c>
      <c r="AZ27" s="39" t="e">
        <f>データ!S27</f>
        <v>#N/A</v>
      </c>
      <c r="BA27" s="41" t="s">
        <v>1024</v>
      </c>
      <c r="BB27" s="40" t="s">
        <v>1319</v>
      </c>
      <c r="BC27" s="39">
        <f>データ!T27</f>
        <v>0</v>
      </c>
      <c r="BD27" s="41" t="s">
        <v>1024</v>
      </c>
      <c r="BE27" s="40" t="s">
        <v>1320</v>
      </c>
      <c r="BF27" s="39">
        <f>データ!U27</f>
        <v>0</v>
      </c>
      <c r="BG27" s="41" t="s">
        <v>1024</v>
      </c>
      <c r="BH27" s="40" t="s">
        <v>1319</v>
      </c>
      <c r="BI27" s="39">
        <f>データ!V27</f>
        <v>0</v>
      </c>
      <c r="BJ27" s="41" t="s">
        <v>1024</v>
      </c>
      <c r="BK27" s="10" t="s">
        <v>1019</v>
      </c>
    </row>
    <row r="28" spans="1:63" x14ac:dyDescent="0.15">
      <c r="A28" s="10" t="s">
        <v>1016</v>
      </c>
      <c r="B28" s="10" t="s">
        <v>1454</v>
      </c>
      <c r="C28" s="38" t="str">
        <f>"./images/thumbnail/"&amp;データ!B28&amp;".jpg"</f>
        <v>./images/thumbnail/.jpg</v>
      </c>
      <c r="D28" s="38" t="s">
        <v>1455</v>
      </c>
      <c r="E28" s="38" t="str">
        <f>"./images/thumbnail/"&amp;データ!B28&amp;".jpg"</f>
        <v>./images/thumbnail/.jpg</v>
      </c>
      <c r="F28" s="38" t="s">
        <v>1116</v>
      </c>
      <c r="G28" s="38" t="s">
        <v>1319</v>
      </c>
      <c r="H28" s="38">
        <f>データ!C28</f>
        <v>0</v>
      </c>
      <c r="I28" s="38" t="s">
        <v>1024</v>
      </c>
      <c r="J28" s="38" t="s">
        <v>1320</v>
      </c>
      <c r="K28" s="38">
        <f>データ!D28</f>
        <v>0</v>
      </c>
      <c r="L28" s="38" t="s">
        <v>1024</v>
      </c>
      <c r="M28" s="38" t="s">
        <v>1321</v>
      </c>
      <c r="N28" s="38">
        <f>データ!E28</f>
        <v>0</v>
      </c>
      <c r="O28" s="38" t="s">
        <v>1024</v>
      </c>
      <c r="P28" s="38" t="s">
        <v>1319</v>
      </c>
      <c r="Q28" s="38">
        <f>データ!F28</f>
        <v>0</v>
      </c>
      <c r="R28" s="38" t="s">
        <v>1024</v>
      </c>
      <c r="S28" s="38" t="s">
        <v>1319</v>
      </c>
      <c r="T28" s="39">
        <f>データ!G28</f>
        <v>0</v>
      </c>
      <c r="U28" s="40" t="s">
        <v>1024</v>
      </c>
      <c r="V28" s="40" t="s">
        <v>1319</v>
      </c>
      <c r="W28" s="39">
        <f>データ!H28</f>
        <v>0</v>
      </c>
      <c r="X28" s="40" t="s">
        <v>1024</v>
      </c>
      <c r="Y28" s="40" t="s">
        <v>1319</v>
      </c>
      <c r="Z28" s="39">
        <f>データ!I28</f>
        <v>0</v>
      </c>
      <c r="AA28" s="40" t="s">
        <v>1024</v>
      </c>
      <c r="AB28" s="40" t="s">
        <v>1322</v>
      </c>
      <c r="AC28" s="39">
        <f>データ!J28</f>
        <v>0</v>
      </c>
      <c r="AD28" s="38" t="s">
        <v>1024</v>
      </c>
      <c r="AE28" s="40" t="s">
        <v>1323</v>
      </c>
      <c r="AF28" s="39">
        <f>データ!K28</f>
        <v>0</v>
      </c>
      <c r="AG28" s="40" t="s">
        <v>1024</v>
      </c>
      <c r="AH28" s="40" t="s">
        <v>1324</v>
      </c>
      <c r="AI28" s="39">
        <f>データ!L28</f>
        <v>0</v>
      </c>
      <c r="AJ28" s="10" t="s">
        <v>1113</v>
      </c>
      <c r="AK28" s="39" t="e">
        <f>データ!M28</f>
        <v>#N/A</v>
      </c>
      <c r="AL28" s="10" t="s">
        <v>1024</v>
      </c>
      <c r="AM28" s="40" t="s">
        <v>1325</v>
      </c>
      <c r="AN28" s="39">
        <f>データ!N28</f>
        <v>0</v>
      </c>
      <c r="AO28" s="10" t="s">
        <v>1113</v>
      </c>
      <c r="AP28" s="39" t="e">
        <f>データ!O28</f>
        <v>#N/A</v>
      </c>
      <c r="AQ28" s="41" t="s">
        <v>1024</v>
      </c>
      <c r="AR28" s="40" t="s">
        <v>1324</v>
      </c>
      <c r="AS28" s="39">
        <f>データ!P28</f>
        <v>0</v>
      </c>
      <c r="AT28" s="10" t="s">
        <v>1113</v>
      </c>
      <c r="AU28" s="39" t="e">
        <f>データ!Q28</f>
        <v>#N/A</v>
      </c>
      <c r="AV28" s="10" t="s">
        <v>1024</v>
      </c>
      <c r="AW28" s="40" t="s">
        <v>1324</v>
      </c>
      <c r="AX28" s="39">
        <f>データ!R28</f>
        <v>0</v>
      </c>
      <c r="AY28" s="10" t="s">
        <v>1113</v>
      </c>
      <c r="AZ28" s="39" t="e">
        <f>データ!S28</f>
        <v>#N/A</v>
      </c>
      <c r="BA28" s="41" t="s">
        <v>1024</v>
      </c>
      <c r="BB28" s="40" t="s">
        <v>1319</v>
      </c>
      <c r="BC28" s="39">
        <f>データ!T28</f>
        <v>0</v>
      </c>
      <c r="BD28" s="41" t="s">
        <v>1024</v>
      </c>
      <c r="BE28" s="40" t="s">
        <v>1320</v>
      </c>
      <c r="BF28" s="39">
        <f>データ!U28</f>
        <v>0</v>
      </c>
      <c r="BG28" s="41" t="s">
        <v>1024</v>
      </c>
      <c r="BH28" s="40" t="s">
        <v>1319</v>
      </c>
      <c r="BI28" s="39">
        <f>データ!V28</f>
        <v>0</v>
      </c>
      <c r="BJ28" s="41" t="s">
        <v>1024</v>
      </c>
      <c r="BK28" s="10" t="s">
        <v>1019</v>
      </c>
    </row>
    <row r="29" spans="1:63" x14ac:dyDescent="0.15">
      <c r="A29" s="10" t="s">
        <v>1016</v>
      </c>
      <c r="B29" s="10" t="s">
        <v>1454</v>
      </c>
      <c r="C29" s="38" t="str">
        <f>"./images/thumbnail/"&amp;データ!B29&amp;".jpg"</f>
        <v>./images/thumbnail/.jpg</v>
      </c>
      <c r="D29" s="38" t="s">
        <v>1455</v>
      </c>
      <c r="E29" s="38" t="str">
        <f>"./images/thumbnail/"&amp;データ!B29&amp;".jpg"</f>
        <v>./images/thumbnail/.jpg</v>
      </c>
      <c r="F29" s="38" t="s">
        <v>1116</v>
      </c>
      <c r="G29" s="38" t="s">
        <v>1319</v>
      </c>
      <c r="H29" s="38">
        <f>データ!C29</f>
        <v>0</v>
      </c>
      <c r="I29" s="38" t="s">
        <v>1024</v>
      </c>
      <c r="J29" s="38" t="s">
        <v>1320</v>
      </c>
      <c r="K29" s="38">
        <f>データ!D29</f>
        <v>0</v>
      </c>
      <c r="L29" s="38" t="s">
        <v>1024</v>
      </c>
      <c r="M29" s="38" t="s">
        <v>1321</v>
      </c>
      <c r="N29" s="38">
        <f>データ!E29</f>
        <v>0</v>
      </c>
      <c r="O29" s="38" t="s">
        <v>1024</v>
      </c>
      <c r="P29" s="38" t="s">
        <v>1319</v>
      </c>
      <c r="Q29" s="38">
        <f>データ!F29</f>
        <v>0</v>
      </c>
      <c r="R29" s="38" t="s">
        <v>1024</v>
      </c>
      <c r="S29" s="38" t="s">
        <v>1319</v>
      </c>
      <c r="T29" s="39">
        <f>データ!G29</f>
        <v>0</v>
      </c>
      <c r="U29" s="40" t="s">
        <v>1024</v>
      </c>
      <c r="V29" s="40" t="s">
        <v>1319</v>
      </c>
      <c r="W29" s="39">
        <f>データ!H29</f>
        <v>0</v>
      </c>
      <c r="X29" s="40" t="s">
        <v>1024</v>
      </c>
      <c r="Y29" s="40" t="s">
        <v>1319</v>
      </c>
      <c r="Z29" s="39">
        <f>データ!I29</f>
        <v>0</v>
      </c>
      <c r="AA29" s="40" t="s">
        <v>1024</v>
      </c>
      <c r="AB29" s="40" t="s">
        <v>1322</v>
      </c>
      <c r="AC29" s="39">
        <f>データ!J29</f>
        <v>0</v>
      </c>
      <c r="AD29" s="38" t="s">
        <v>1024</v>
      </c>
      <c r="AE29" s="40" t="s">
        <v>1323</v>
      </c>
      <c r="AF29" s="39">
        <f>データ!K29</f>
        <v>0</v>
      </c>
      <c r="AG29" s="40" t="s">
        <v>1024</v>
      </c>
      <c r="AH29" s="40" t="s">
        <v>1324</v>
      </c>
      <c r="AI29" s="39">
        <f>データ!L29</f>
        <v>0</v>
      </c>
      <c r="AJ29" s="10" t="s">
        <v>1113</v>
      </c>
      <c r="AK29" s="39" t="e">
        <f>データ!M29</f>
        <v>#N/A</v>
      </c>
      <c r="AL29" s="10" t="s">
        <v>1024</v>
      </c>
      <c r="AM29" s="40" t="s">
        <v>1325</v>
      </c>
      <c r="AN29" s="39">
        <f>データ!N29</f>
        <v>0</v>
      </c>
      <c r="AO29" s="10" t="s">
        <v>1113</v>
      </c>
      <c r="AP29" s="39" t="e">
        <f>データ!O29</f>
        <v>#N/A</v>
      </c>
      <c r="AQ29" s="41" t="s">
        <v>1024</v>
      </c>
      <c r="AR29" s="40" t="s">
        <v>1324</v>
      </c>
      <c r="AS29" s="39">
        <f>データ!P29</f>
        <v>0</v>
      </c>
      <c r="AT29" s="10" t="s">
        <v>1113</v>
      </c>
      <c r="AU29" s="39" t="e">
        <f>データ!Q29</f>
        <v>#N/A</v>
      </c>
      <c r="AV29" s="10" t="s">
        <v>1024</v>
      </c>
      <c r="AW29" s="40" t="s">
        <v>1324</v>
      </c>
      <c r="AX29" s="39">
        <f>データ!R29</f>
        <v>0</v>
      </c>
      <c r="AY29" s="10" t="s">
        <v>1113</v>
      </c>
      <c r="AZ29" s="39" t="e">
        <f>データ!S29</f>
        <v>#N/A</v>
      </c>
      <c r="BA29" s="41" t="s">
        <v>1024</v>
      </c>
      <c r="BB29" s="40" t="s">
        <v>1319</v>
      </c>
      <c r="BC29" s="39">
        <f>データ!T29</f>
        <v>0</v>
      </c>
      <c r="BD29" s="41" t="s">
        <v>1024</v>
      </c>
      <c r="BE29" s="40" t="s">
        <v>1320</v>
      </c>
      <c r="BF29" s="39">
        <f>データ!U29</f>
        <v>0</v>
      </c>
      <c r="BG29" s="41" t="s">
        <v>1024</v>
      </c>
      <c r="BH29" s="40" t="s">
        <v>1319</v>
      </c>
      <c r="BI29" s="39">
        <f>データ!V29</f>
        <v>0</v>
      </c>
      <c r="BJ29" s="41" t="s">
        <v>1024</v>
      </c>
      <c r="BK29" s="10" t="s">
        <v>1019</v>
      </c>
    </row>
    <row r="30" spans="1:63" x14ac:dyDescent="0.15">
      <c r="A30" s="10" t="s">
        <v>1016</v>
      </c>
      <c r="B30" s="10" t="s">
        <v>1454</v>
      </c>
      <c r="C30" s="38" t="str">
        <f>"./images/thumbnail/"&amp;データ!B30&amp;".jpg"</f>
        <v>./images/thumbnail/.jpg</v>
      </c>
      <c r="D30" s="38" t="s">
        <v>1455</v>
      </c>
      <c r="E30" s="38" t="str">
        <f>"./images/thumbnail/"&amp;データ!B30&amp;".jpg"</f>
        <v>./images/thumbnail/.jpg</v>
      </c>
      <c r="F30" s="38" t="s">
        <v>1116</v>
      </c>
      <c r="G30" s="38" t="s">
        <v>1319</v>
      </c>
      <c r="H30" s="38">
        <f>データ!C30</f>
        <v>0</v>
      </c>
      <c r="I30" s="38" t="s">
        <v>1024</v>
      </c>
      <c r="J30" s="38" t="s">
        <v>1320</v>
      </c>
      <c r="K30" s="38">
        <f>データ!D30</f>
        <v>0</v>
      </c>
      <c r="L30" s="38" t="s">
        <v>1024</v>
      </c>
      <c r="M30" s="38" t="s">
        <v>1321</v>
      </c>
      <c r="N30" s="38">
        <f>データ!E30</f>
        <v>0</v>
      </c>
      <c r="O30" s="38" t="s">
        <v>1024</v>
      </c>
      <c r="P30" s="38" t="s">
        <v>1319</v>
      </c>
      <c r="Q30" s="38">
        <f>データ!F30</f>
        <v>0</v>
      </c>
      <c r="R30" s="38" t="s">
        <v>1024</v>
      </c>
      <c r="S30" s="38" t="s">
        <v>1319</v>
      </c>
      <c r="T30" s="39">
        <f>データ!G30</f>
        <v>0</v>
      </c>
      <c r="U30" s="40" t="s">
        <v>1024</v>
      </c>
      <c r="V30" s="40" t="s">
        <v>1319</v>
      </c>
      <c r="W30" s="39">
        <f>データ!H30</f>
        <v>0</v>
      </c>
      <c r="X30" s="40" t="s">
        <v>1024</v>
      </c>
      <c r="Y30" s="40" t="s">
        <v>1319</v>
      </c>
      <c r="Z30" s="39">
        <f>データ!I30</f>
        <v>0</v>
      </c>
      <c r="AA30" s="40" t="s">
        <v>1024</v>
      </c>
      <c r="AB30" s="40" t="s">
        <v>1322</v>
      </c>
      <c r="AC30" s="39">
        <f>データ!J30</f>
        <v>0</v>
      </c>
      <c r="AD30" s="38" t="s">
        <v>1024</v>
      </c>
      <c r="AE30" s="40" t="s">
        <v>1323</v>
      </c>
      <c r="AF30" s="39">
        <f>データ!K30</f>
        <v>0</v>
      </c>
      <c r="AG30" s="40" t="s">
        <v>1024</v>
      </c>
      <c r="AH30" s="40" t="s">
        <v>1324</v>
      </c>
      <c r="AI30" s="39">
        <f>データ!L30</f>
        <v>0</v>
      </c>
      <c r="AJ30" s="10" t="s">
        <v>1113</v>
      </c>
      <c r="AK30" s="39" t="e">
        <f>データ!M30</f>
        <v>#N/A</v>
      </c>
      <c r="AL30" s="10" t="s">
        <v>1024</v>
      </c>
      <c r="AM30" s="40" t="s">
        <v>1325</v>
      </c>
      <c r="AN30" s="39">
        <f>データ!N30</f>
        <v>0</v>
      </c>
      <c r="AO30" s="10" t="s">
        <v>1113</v>
      </c>
      <c r="AP30" s="39" t="e">
        <f>データ!O30</f>
        <v>#N/A</v>
      </c>
      <c r="AQ30" s="41" t="s">
        <v>1024</v>
      </c>
      <c r="AR30" s="40" t="s">
        <v>1324</v>
      </c>
      <c r="AS30" s="39">
        <f>データ!P30</f>
        <v>0</v>
      </c>
      <c r="AT30" s="10" t="s">
        <v>1113</v>
      </c>
      <c r="AU30" s="39" t="e">
        <f>データ!Q30</f>
        <v>#N/A</v>
      </c>
      <c r="AV30" s="10" t="s">
        <v>1024</v>
      </c>
      <c r="AW30" s="40" t="s">
        <v>1324</v>
      </c>
      <c r="AX30" s="39">
        <f>データ!R30</f>
        <v>0</v>
      </c>
      <c r="AY30" s="10" t="s">
        <v>1113</v>
      </c>
      <c r="AZ30" s="39" t="e">
        <f>データ!S30</f>
        <v>#N/A</v>
      </c>
      <c r="BA30" s="41" t="s">
        <v>1024</v>
      </c>
      <c r="BB30" s="40" t="s">
        <v>1319</v>
      </c>
      <c r="BC30" s="39">
        <f>データ!T30</f>
        <v>0</v>
      </c>
      <c r="BD30" s="41" t="s">
        <v>1024</v>
      </c>
      <c r="BE30" s="40" t="s">
        <v>1320</v>
      </c>
      <c r="BF30" s="39">
        <f>データ!U30</f>
        <v>0</v>
      </c>
      <c r="BG30" s="41" t="s">
        <v>1024</v>
      </c>
      <c r="BH30" s="40" t="s">
        <v>1319</v>
      </c>
      <c r="BI30" s="39">
        <f>データ!V30</f>
        <v>0</v>
      </c>
      <c r="BJ30" s="41" t="s">
        <v>1024</v>
      </c>
      <c r="BK30" s="10" t="s">
        <v>1019</v>
      </c>
    </row>
    <row r="31" spans="1:63" x14ac:dyDescent="0.15">
      <c r="A31" s="10" t="s">
        <v>1016</v>
      </c>
      <c r="B31" s="10" t="s">
        <v>1454</v>
      </c>
      <c r="C31" s="38" t="str">
        <f>"./images/thumbnail/"&amp;データ!B31&amp;".jpg"</f>
        <v>./images/thumbnail/.jpg</v>
      </c>
      <c r="D31" s="38" t="s">
        <v>1455</v>
      </c>
      <c r="E31" s="38" t="str">
        <f>"./images/thumbnail/"&amp;データ!B31&amp;".jpg"</f>
        <v>./images/thumbnail/.jpg</v>
      </c>
      <c r="F31" s="38" t="s">
        <v>1116</v>
      </c>
      <c r="G31" s="38" t="s">
        <v>1319</v>
      </c>
      <c r="H31" s="38">
        <f>データ!C31</f>
        <v>0</v>
      </c>
      <c r="I31" s="38" t="s">
        <v>1024</v>
      </c>
      <c r="J31" s="38" t="s">
        <v>1320</v>
      </c>
      <c r="K31" s="38">
        <f>データ!D31</f>
        <v>0</v>
      </c>
      <c r="L31" s="38" t="s">
        <v>1024</v>
      </c>
      <c r="M31" s="38" t="s">
        <v>1321</v>
      </c>
      <c r="N31" s="38">
        <f>データ!E31</f>
        <v>0</v>
      </c>
      <c r="O31" s="38" t="s">
        <v>1024</v>
      </c>
      <c r="P31" s="38" t="s">
        <v>1319</v>
      </c>
      <c r="Q31" s="38">
        <f>データ!F31</f>
        <v>0</v>
      </c>
      <c r="R31" s="38" t="s">
        <v>1024</v>
      </c>
      <c r="S31" s="38" t="s">
        <v>1319</v>
      </c>
      <c r="T31" s="39">
        <f>データ!G31</f>
        <v>0</v>
      </c>
      <c r="U31" s="40" t="s">
        <v>1024</v>
      </c>
      <c r="V31" s="40" t="s">
        <v>1319</v>
      </c>
      <c r="W31" s="39">
        <f>データ!H31</f>
        <v>0</v>
      </c>
      <c r="X31" s="40" t="s">
        <v>1024</v>
      </c>
      <c r="Y31" s="40" t="s">
        <v>1319</v>
      </c>
      <c r="Z31" s="39">
        <f>データ!I31</f>
        <v>0</v>
      </c>
      <c r="AA31" s="40" t="s">
        <v>1024</v>
      </c>
      <c r="AB31" s="40" t="s">
        <v>1322</v>
      </c>
      <c r="AC31" s="39">
        <f>データ!J31</f>
        <v>0</v>
      </c>
      <c r="AD31" s="38" t="s">
        <v>1024</v>
      </c>
      <c r="AE31" s="40" t="s">
        <v>1323</v>
      </c>
      <c r="AF31" s="39">
        <f>データ!K31</f>
        <v>0</v>
      </c>
      <c r="AG31" s="40" t="s">
        <v>1024</v>
      </c>
      <c r="AH31" s="40" t="s">
        <v>1324</v>
      </c>
      <c r="AI31" s="39">
        <f>データ!L31</f>
        <v>0</v>
      </c>
      <c r="AJ31" s="10" t="s">
        <v>1113</v>
      </c>
      <c r="AK31" s="39" t="e">
        <f>データ!M31</f>
        <v>#N/A</v>
      </c>
      <c r="AL31" s="10" t="s">
        <v>1024</v>
      </c>
      <c r="AM31" s="40" t="s">
        <v>1325</v>
      </c>
      <c r="AN31" s="39">
        <f>データ!N31</f>
        <v>0</v>
      </c>
      <c r="AO31" s="10" t="s">
        <v>1113</v>
      </c>
      <c r="AP31" s="39" t="e">
        <f>データ!O31</f>
        <v>#N/A</v>
      </c>
      <c r="AQ31" s="41" t="s">
        <v>1024</v>
      </c>
      <c r="AR31" s="40" t="s">
        <v>1324</v>
      </c>
      <c r="AS31" s="39">
        <f>データ!P31</f>
        <v>0</v>
      </c>
      <c r="AT31" s="10" t="s">
        <v>1113</v>
      </c>
      <c r="AU31" s="39" t="e">
        <f>データ!Q31</f>
        <v>#N/A</v>
      </c>
      <c r="AV31" s="10" t="s">
        <v>1024</v>
      </c>
      <c r="AW31" s="40" t="s">
        <v>1324</v>
      </c>
      <c r="AX31" s="39">
        <f>データ!R31</f>
        <v>0</v>
      </c>
      <c r="AY31" s="10" t="s">
        <v>1113</v>
      </c>
      <c r="AZ31" s="39" t="e">
        <f>データ!S31</f>
        <v>#N/A</v>
      </c>
      <c r="BA31" s="41" t="s">
        <v>1024</v>
      </c>
      <c r="BB31" s="40" t="s">
        <v>1319</v>
      </c>
      <c r="BC31" s="39">
        <f>データ!T31</f>
        <v>0</v>
      </c>
      <c r="BD31" s="41" t="s">
        <v>1024</v>
      </c>
      <c r="BE31" s="40" t="s">
        <v>1320</v>
      </c>
      <c r="BF31" s="39">
        <f>データ!U31</f>
        <v>0</v>
      </c>
      <c r="BG31" s="41" t="s">
        <v>1024</v>
      </c>
      <c r="BH31" s="40" t="s">
        <v>1319</v>
      </c>
      <c r="BI31" s="39">
        <f>データ!V31</f>
        <v>0</v>
      </c>
      <c r="BJ31" s="41" t="s">
        <v>1024</v>
      </c>
      <c r="BK31" s="10" t="s">
        <v>1019</v>
      </c>
    </row>
    <row r="32" spans="1:63" x14ac:dyDescent="0.15">
      <c r="A32" s="10" t="s">
        <v>1016</v>
      </c>
      <c r="B32" s="10" t="s">
        <v>1454</v>
      </c>
      <c r="C32" s="38" t="str">
        <f>"./images/thumbnail/"&amp;データ!B32&amp;".jpg"</f>
        <v>./images/thumbnail/.jpg</v>
      </c>
      <c r="D32" s="38" t="s">
        <v>1455</v>
      </c>
      <c r="E32" s="38" t="str">
        <f>"./images/thumbnail/"&amp;データ!B32&amp;".jpg"</f>
        <v>./images/thumbnail/.jpg</v>
      </c>
      <c r="F32" s="38" t="s">
        <v>1116</v>
      </c>
      <c r="G32" s="38" t="s">
        <v>1319</v>
      </c>
      <c r="H32" s="38">
        <f>データ!C32</f>
        <v>0</v>
      </c>
      <c r="I32" s="38" t="s">
        <v>1024</v>
      </c>
      <c r="J32" s="38" t="s">
        <v>1320</v>
      </c>
      <c r="K32" s="38">
        <f>データ!D32</f>
        <v>0</v>
      </c>
      <c r="L32" s="38" t="s">
        <v>1024</v>
      </c>
      <c r="M32" s="38" t="s">
        <v>1321</v>
      </c>
      <c r="N32" s="38">
        <f>データ!E32</f>
        <v>0</v>
      </c>
      <c r="O32" s="38" t="s">
        <v>1024</v>
      </c>
      <c r="P32" s="38" t="s">
        <v>1319</v>
      </c>
      <c r="Q32" s="38">
        <f>データ!F32</f>
        <v>0</v>
      </c>
      <c r="R32" s="38" t="s">
        <v>1024</v>
      </c>
      <c r="S32" s="38" t="s">
        <v>1319</v>
      </c>
      <c r="T32" s="39">
        <f>データ!G32</f>
        <v>0</v>
      </c>
      <c r="U32" s="40" t="s">
        <v>1024</v>
      </c>
      <c r="V32" s="40" t="s">
        <v>1319</v>
      </c>
      <c r="W32" s="39">
        <f>データ!H32</f>
        <v>0</v>
      </c>
      <c r="X32" s="40" t="s">
        <v>1024</v>
      </c>
      <c r="Y32" s="40" t="s">
        <v>1319</v>
      </c>
      <c r="Z32" s="39">
        <f>データ!I32</f>
        <v>0</v>
      </c>
      <c r="AA32" s="40" t="s">
        <v>1024</v>
      </c>
      <c r="AB32" s="40" t="s">
        <v>1322</v>
      </c>
      <c r="AC32" s="39">
        <f>データ!J32</f>
        <v>0</v>
      </c>
      <c r="AD32" s="38" t="s">
        <v>1024</v>
      </c>
      <c r="AE32" s="40" t="s">
        <v>1323</v>
      </c>
      <c r="AF32" s="39">
        <f>データ!K32</f>
        <v>0</v>
      </c>
      <c r="AG32" s="40" t="s">
        <v>1024</v>
      </c>
      <c r="AH32" s="40" t="s">
        <v>1324</v>
      </c>
      <c r="AI32" s="39">
        <f>データ!L32</f>
        <v>0</v>
      </c>
      <c r="AJ32" s="10" t="s">
        <v>1113</v>
      </c>
      <c r="AK32" s="39" t="e">
        <f>データ!M32</f>
        <v>#N/A</v>
      </c>
      <c r="AL32" s="10" t="s">
        <v>1024</v>
      </c>
      <c r="AM32" s="40" t="s">
        <v>1325</v>
      </c>
      <c r="AN32" s="39">
        <f>データ!N32</f>
        <v>0</v>
      </c>
      <c r="AO32" s="10" t="s">
        <v>1113</v>
      </c>
      <c r="AP32" s="39" t="e">
        <f>データ!O32</f>
        <v>#N/A</v>
      </c>
      <c r="AQ32" s="41" t="s">
        <v>1024</v>
      </c>
      <c r="AR32" s="40" t="s">
        <v>1324</v>
      </c>
      <c r="AS32" s="39">
        <f>データ!P32</f>
        <v>0</v>
      </c>
      <c r="AT32" s="10" t="s">
        <v>1113</v>
      </c>
      <c r="AU32" s="39" t="e">
        <f>データ!Q32</f>
        <v>#N/A</v>
      </c>
      <c r="AV32" s="10" t="s">
        <v>1024</v>
      </c>
      <c r="AW32" s="40" t="s">
        <v>1324</v>
      </c>
      <c r="AX32" s="39">
        <f>データ!R32</f>
        <v>0</v>
      </c>
      <c r="AY32" s="10" t="s">
        <v>1113</v>
      </c>
      <c r="AZ32" s="39" t="e">
        <f>データ!S32</f>
        <v>#N/A</v>
      </c>
      <c r="BA32" s="41" t="s">
        <v>1024</v>
      </c>
      <c r="BB32" s="40" t="s">
        <v>1319</v>
      </c>
      <c r="BC32" s="39">
        <f>データ!T32</f>
        <v>0</v>
      </c>
      <c r="BD32" s="41" t="s">
        <v>1024</v>
      </c>
      <c r="BE32" s="40" t="s">
        <v>1320</v>
      </c>
      <c r="BF32" s="39">
        <f>データ!U32</f>
        <v>0</v>
      </c>
      <c r="BG32" s="41" t="s">
        <v>1024</v>
      </c>
      <c r="BH32" s="40" t="s">
        <v>1319</v>
      </c>
      <c r="BI32" s="39">
        <f>データ!V32</f>
        <v>0</v>
      </c>
      <c r="BJ32" s="41" t="s">
        <v>1024</v>
      </c>
      <c r="BK32" s="10" t="s">
        <v>1019</v>
      </c>
    </row>
    <row r="33" spans="1:63" x14ac:dyDescent="0.15">
      <c r="A33" s="10" t="s">
        <v>1016</v>
      </c>
      <c r="B33" s="10" t="s">
        <v>1454</v>
      </c>
      <c r="C33" s="38" t="str">
        <f>"./images/thumbnail/"&amp;データ!B33&amp;".jpg"</f>
        <v>./images/thumbnail/.jpg</v>
      </c>
      <c r="D33" s="38" t="s">
        <v>1455</v>
      </c>
      <c r="E33" s="38" t="str">
        <f>"./images/thumbnail/"&amp;データ!B33&amp;".jpg"</f>
        <v>./images/thumbnail/.jpg</v>
      </c>
      <c r="F33" s="38" t="s">
        <v>1116</v>
      </c>
      <c r="G33" s="38" t="s">
        <v>1319</v>
      </c>
      <c r="H33" s="38">
        <f>データ!C33</f>
        <v>0</v>
      </c>
      <c r="I33" s="38" t="s">
        <v>1024</v>
      </c>
      <c r="J33" s="38" t="s">
        <v>1320</v>
      </c>
      <c r="K33" s="38">
        <f>データ!D33</f>
        <v>0</v>
      </c>
      <c r="L33" s="38" t="s">
        <v>1024</v>
      </c>
      <c r="M33" s="38" t="s">
        <v>1321</v>
      </c>
      <c r="N33" s="38">
        <f>データ!E33</f>
        <v>0</v>
      </c>
      <c r="O33" s="38" t="s">
        <v>1024</v>
      </c>
      <c r="P33" s="38" t="s">
        <v>1319</v>
      </c>
      <c r="Q33" s="38">
        <f>データ!F33</f>
        <v>0</v>
      </c>
      <c r="R33" s="38" t="s">
        <v>1024</v>
      </c>
      <c r="S33" s="38" t="s">
        <v>1319</v>
      </c>
      <c r="T33" s="39">
        <f>データ!G33</f>
        <v>0</v>
      </c>
      <c r="U33" s="40" t="s">
        <v>1024</v>
      </c>
      <c r="V33" s="40" t="s">
        <v>1319</v>
      </c>
      <c r="W33" s="39">
        <f>データ!H33</f>
        <v>0</v>
      </c>
      <c r="X33" s="40" t="s">
        <v>1024</v>
      </c>
      <c r="Y33" s="40" t="s">
        <v>1319</v>
      </c>
      <c r="Z33" s="39">
        <f>データ!I33</f>
        <v>0</v>
      </c>
      <c r="AA33" s="40" t="s">
        <v>1024</v>
      </c>
      <c r="AB33" s="40" t="s">
        <v>1322</v>
      </c>
      <c r="AC33" s="39">
        <f>データ!J33</f>
        <v>0</v>
      </c>
      <c r="AD33" s="38" t="s">
        <v>1024</v>
      </c>
      <c r="AE33" s="40" t="s">
        <v>1323</v>
      </c>
      <c r="AF33" s="39">
        <f>データ!K33</f>
        <v>0</v>
      </c>
      <c r="AG33" s="40" t="s">
        <v>1024</v>
      </c>
      <c r="AH33" s="40" t="s">
        <v>1324</v>
      </c>
      <c r="AI33" s="39">
        <f>データ!L33</f>
        <v>0</v>
      </c>
      <c r="AJ33" s="10" t="s">
        <v>1113</v>
      </c>
      <c r="AK33" s="39" t="e">
        <f>データ!M33</f>
        <v>#N/A</v>
      </c>
      <c r="AL33" s="10" t="s">
        <v>1024</v>
      </c>
      <c r="AM33" s="40" t="s">
        <v>1325</v>
      </c>
      <c r="AN33" s="39">
        <f>データ!N33</f>
        <v>0</v>
      </c>
      <c r="AO33" s="10" t="s">
        <v>1113</v>
      </c>
      <c r="AP33" s="39" t="e">
        <f>データ!O33</f>
        <v>#N/A</v>
      </c>
      <c r="AQ33" s="41" t="s">
        <v>1024</v>
      </c>
      <c r="AR33" s="40" t="s">
        <v>1324</v>
      </c>
      <c r="AS33" s="39">
        <f>データ!P33</f>
        <v>0</v>
      </c>
      <c r="AT33" s="10" t="s">
        <v>1113</v>
      </c>
      <c r="AU33" s="39" t="e">
        <f>データ!Q33</f>
        <v>#N/A</v>
      </c>
      <c r="AV33" s="10" t="s">
        <v>1024</v>
      </c>
      <c r="AW33" s="40" t="s">
        <v>1324</v>
      </c>
      <c r="AX33" s="39">
        <f>データ!R33</f>
        <v>0</v>
      </c>
      <c r="AY33" s="10" t="s">
        <v>1113</v>
      </c>
      <c r="AZ33" s="39" t="e">
        <f>データ!S33</f>
        <v>#N/A</v>
      </c>
      <c r="BA33" s="41" t="s">
        <v>1024</v>
      </c>
      <c r="BB33" s="40" t="s">
        <v>1319</v>
      </c>
      <c r="BC33" s="39">
        <f>データ!T33</f>
        <v>0</v>
      </c>
      <c r="BD33" s="41" t="s">
        <v>1024</v>
      </c>
      <c r="BE33" s="40" t="s">
        <v>1320</v>
      </c>
      <c r="BF33" s="39">
        <f>データ!U33</f>
        <v>0</v>
      </c>
      <c r="BG33" s="41" t="s">
        <v>1024</v>
      </c>
      <c r="BH33" s="40" t="s">
        <v>1319</v>
      </c>
      <c r="BI33" s="39">
        <f>データ!V33</f>
        <v>0</v>
      </c>
      <c r="BJ33" s="41" t="s">
        <v>1024</v>
      </c>
      <c r="BK33" s="10" t="s">
        <v>1019</v>
      </c>
    </row>
    <row r="34" spans="1:63" x14ac:dyDescent="0.15">
      <c r="A34" s="10" t="s">
        <v>1016</v>
      </c>
      <c r="B34" s="10" t="s">
        <v>1454</v>
      </c>
      <c r="C34" s="38" t="str">
        <f>"./images/thumbnail/"&amp;データ!B34&amp;".jpg"</f>
        <v>./images/thumbnail/.jpg</v>
      </c>
      <c r="D34" s="38" t="s">
        <v>1455</v>
      </c>
      <c r="E34" s="38" t="str">
        <f>"./images/thumbnail/"&amp;データ!B34&amp;".jpg"</f>
        <v>./images/thumbnail/.jpg</v>
      </c>
      <c r="F34" s="38" t="s">
        <v>1116</v>
      </c>
      <c r="G34" s="38" t="s">
        <v>1319</v>
      </c>
      <c r="H34" s="38">
        <f>データ!C34</f>
        <v>0</v>
      </c>
      <c r="I34" s="38" t="s">
        <v>1024</v>
      </c>
      <c r="J34" s="38" t="s">
        <v>1320</v>
      </c>
      <c r="K34" s="38">
        <f>データ!D34</f>
        <v>0</v>
      </c>
      <c r="L34" s="38" t="s">
        <v>1024</v>
      </c>
      <c r="M34" s="38" t="s">
        <v>1321</v>
      </c>
      <c r="N34" s="38">
        <f>データ!E34</f>
        <v>0</v>
      </c>
      <c r="O34" s="38" t="s">
        <v>1024</v>
      </c>
      <c r="P34" s="38" t="s">
        <v>1319</v>
      </c>
      <c r="Q34" s="38">
        <f>データ!F34</f>
        <v>0</v>
      </c>
      <c r="R34" s="38" t="s">
        <v>1024</v>
      </c>
      <c r="S34" s="38" t="s">
        <v>1319</v>
      </c>
      <c r="T34" s="39">
        <f>データ!G34</f>
        <v>0</v>
      </c>
      <c r="U34" s="40" t="s">
        <v>1024</v>
      </c>
      <c r="V34" s="40" t="s">
        <v>1319</v>
      </c>
      <c r="W34" s="39">
        <f>データ!H34</f>
        <v>0</v>
      </c>
      <c r="X34" s="40" t="s">
        <v>1024</v>
      </c>
      <c r="Y34" s="40" t="s">
        <v>1319</v>
      </c>
      <c r="Z34" s="39">
        <f>データ!I34</f>
        <v>0</v>
      </c>
      <c r="AA34" s="40" t="s">
        <v>1024</v>
      </c>
      <c r="AB34" s="40" t="s">
        <v>1322</v>
      </c>
      <c r="AC34" s="39">
        <f>データ!J34</f>
        <v>0</v>
      </c>
      <c r="AD34" s="38" t="s">
        <v>1024</v>
      </c>
      <c r="AE34" s="40" t="s">
        <v>1323</v>
      </c>
      <c r="AF34" s="39">
        <f>データ!K34</f>
        <v>0</v>
      </c>
      <c r="AG34" s="40" t="s">
        <v>1024</v>
      </c>
      <c r="AH34" s="40" t="s">
        <v>1324</v>
      </c>
      <c r="AI34" s="39">
        <f>データ!L34</f>
        <v>0</v>
      </c>
      <c r="AJ34" s="10" t="s">
        <v>1113</v>
      </c>
      <c r="AK34" s="39" t="e">
        <f>データ!M34</f>
        <v>#N/A</v>
      </c>
      <c r="AL34" s="10" t="s">
        <v>1024</v>
      </c>
      <c r="AM34" s="40" t="s">
        <v>1325</v>
      </c>
      <c r="AN34" s="39">
        <f>データ!N34</f>
        <v>0</v>
      </c>
      <c r="AO34" s="10" t="s">
        <v>1113</v>
      </c>
      <c r="AP34" s="39" t="e">
        <f>データ!O34</f>
        <v>#N/A</v>
      </c>
      <c r="AQ34" s="41" t="s">
        <v>1024</v>
      </c>
      <c r="AR34" s="40" t="s">
        <v>1324</v>
      </c>
      <c r="AS34" s="39">
        <f>データ!P34</f>
        <v>0</v>
      </c>
      <c r="AT34" s="10" t="s">
        <v>1113</v>
      </c>
      <c r="AU34" s="39" t="e">
        <f>データ!Q34</f>
        <v>#N/A</v>
      </c>
      <c r="AV34" s="10" t="s">
        <v>1024</v>
      </c>
      <c r="AW34" s="40" t="s">
        <v>1324</v>
      </c>
      <c r="AX34" s="39">
        <f>データ!R34</f>
        <v>0</v>
      </c>
      <c r="AY34" s="10" t="s">
        <v>1113</v>
      </c>
      <c r="AZ34" s="39" t="e">
        <f>データ!S34</f>
        <v>#N/A</v>
      </c>
      <c r="BA34" s="41" t="s">
        <v>1024</v>
      </c>
      <c r="BB34" s="40" t="s">
        <v>1319</v>
      </c>
      <c r="BC34" s="39">
        <f>データ!T34</f>
        <v>0</v>
      </c>
      <c r="BD34" s="41" t="s">
        <v>1024</v>
      </c>
      <c r="BE34" s="40" t="s">
        <v>1320</v>
      </c>
      <c r="BF34" s="39">
        <f>データ!U34</f>
        <v>0</v>
      </c>
      <c r="BG34" s="41" t="s">
        <v>1024</v>
      </c>
      <c r="BH34" s="40" t="s">
        <v>1319</v>
      </c>
      <c r="BI34" s="39">
        <f>データ!V34</f>
        <v>0</v>
      </c>
      <c r="BJ34" s="41" t="s">
        <v>1024</v>
      </c>
      <c r="BK34" s="10" t="s">
        <v>1019</v>
      </c>
    </row>
    <row r="35" spans="1:63" x14ac:dyDescent="0.15">
      <c r="A35" s="10" t="s">
        <v>1016</v>
      </c>
      <c r="B35" s="10" t="s">
        <v>1454</v>
      </c>
      <c r="C35" s="38" t="str">
        <f>"./images/thumbnail/"&amp;データ!B35&amp;".jpg"</f>
        <v>./images/thumbnail/.jpg</v>
      </c>
      <c r="D35" s="38" t="s">
        <v>1455</v>
      </c>
      <c r="E35" s="38" t="str">
        <f>"./images/thumbnail/"&amp;データ!B35&amp;".jpg"</f>
        <v>./images/thumbnail/.jpg</v>
      </c>
      <c r="F35" s="38" t="s">
        <v>1116</v>
      </c>
      <c r="G35" s="38" t="s">
        <v>1319</v>
      </c>
      <c r="H35" s="38">
        <f>データ!C35</f>
        <v>0</v>
      </c>
      <c r="I35" s="38" t="s">
        <v>1024</v>
      </c>
      <c r="J35" s="38" t="s">
        <v>1320</v>
      </c>
      <c r="K35" s="38">
        <f>データ!D35</f>
        <v>0</v>
      </c>
      <c r="L35" s="38" t="s">
        <v>1024</v>
      </c>
      <c r="M35" s="38" t="s">
        <v>1321</v>
      </c>
      <c r="N35" s="38">
        <f>データ!E35</f>
        <v>0</v>
      </c>
      <c r="O35" s="38" t="s">
        <v>1024</v>
      </c>
      <c r="P35" s="38" t="s">
        <v>1319</v>
      </c>
      <c r="Q35" s="38">
        <f>データ!F35</f>
        <v>0</v>
      </c>
      <c r="R35" s="38" t="s">
        <v>1024</v>
      </c>
      <c r="S35" s="38" t="s">
        <v>1319</v>
      </c>
      <c r="T35" s="39">
        <f>データ!G35</f>
        <v>0</v>
      </c>
      <c r="U35" s="40" t="s">
        <v>1024</v>
      </c>
      <c r="V35" s="40" t="s">
        <v>1319</v>
      </c>
      <c r="W35" s="39">
        <f>データ!H35</f>
        <v>0</v>
      </c>
      <c r="X35" s="40" t="s">
        <v>1024</v>
      </c>
      <c r="Y35" s="40" t="s">
        <v>1319</v>
      </c>
      <c r="Z35" s="39">
        <f>データ!I35</f>
        <v>0</v>
      </c>
      <c r="AA35" s="40" t="s">
        <v>1024</v>
      </c>
      <c r="AB35" s="40" t="s">
        <v>1322</v>
      </c>
      <c r="AC35" s="39">
        <f>データ!J35</f>
        <v>0</v>
      </c>
      <c r="AD35" s="38" t="s">
        <v>1024</v>
      </c>
      <c r="AE35" s="40" t="s">
        <v>1323</v>
      </c>
      <c r="AF35" s="39">
        <f>データ!K35</f>
        <v>0</v>
      </c>
      <c r="AG35" s="40" t="s">
        <v>1024</v>
      </c>
      <c r="AH35" s="40" t="s">
        <v>1324</v>
      </c>
      <c r="AI35" s="39">
        <f>データ!L35</f>
        <v>0</v>
      </c>
      <c r="AJ35" s="10" t="s">
        <v>1113</v>
      </c>
      <c r="AK35" s="39" t="e">
        <f>データ!M35</f>
        <v>#N/A</v>
      </c>
      <c r="AL35" s="10" t="s">
        <v>1024</v>
      </c>
      <c r="AM35" s="40" t="s">
        <v>1325</v>
      </c>
      <c r="AN35" s="39">
        <f>データ!N35</f>
        <v>0</v>
      </c>
      <c r="AO35" s="10" t="s">
        <v>1113</v>
      </c>
      <c r="AP35" s="39" t="e">
        <f>データ!O35</f>
        <v>#N/A</v>
      </c>
      <c r="AQ35" s="41" t="s">
        <v>1024</v>
      </c>
      <c r="AR35" s="40" t="s">
        <v>1324</v>
      </c>
      <c r="AS35" s="39">
        <f>データ!P35</f>
        <v>0</v>
      </c>
      <c r="AT35" s="10" t="s">
        <v>1113</v>
      </c>
      <c r="AU35" s="39" t="e">
        <f>データ!Q35</f>
        <v>#N/A</v>
      </c>
      <c r="AV35" s="10" t="s">
        <v>1024</v>
      </c>
      <c r="AW35" s="40" t="s">
        <v>1324</v>
      </c>
      <c r="AX35" s="39">
        <f>データ!R35</f>
        <v>0</v>
      </c>
      <c r="AY35" s="10" t="s">
        <v>1113</v>
      </c>
      <c r="AZ35" s="39" t="e">
        <f>データ!S35</f>
        <v>#N/A</v>
      </c>
      <c r="BA35" s="41" t="s">
        <v>1024</v>
      </c>
      <c r="BB35" s="40" t="s">
        <v>1319</v>
      </c>
      <c r="BC35" s="39">
        <f>データ!T35</f>
        <v>0</v>
      </c>
      <c r="BD35" s="41" t="s">
        <v>1024</v>
      </c>
      <c r="BE35" s="40" t="s">
        <v>1320</v>
      </c>
      <c r="BF35" s="39">
        <f>データ!U35</f>
        <v>0</v>
      </c>
      <c r="BG35" s="41" t="s">
        <v>1024</v>
      </c>
      <c r="BH35" s="40" t="s">
        <v>1319</v>
      </c>
      <c r="BI35" s="39">
        <f>データ!V35</f>
        <v>0</v>
      </c>
      <c r="BJ35" s="41" t="s">
        <v>1024</v>
      </c>
      <c r="BK35" s="10" t="s">
        <v>1019</v>
      </c>
    </row>
    <row r="36" spans="1:63" x14ac:dyDescent="0.15">
      <c r="A36" s="10" t="s">
        <v>1016</v>
      </c>
      <c r="B36" s="10" t="s">
        <v>1454</v>
      </c>
      <c r="C36" s="38" t="str">
        <f>"./images/thumbnail/"&amp;データ!B36&amp;".jpg"</f>
        <v>./images/thumbnail/.jpg</v>
      </c>
      <c r="D36" s="38" t="s">
        <v>1455</v>
      </c>
      <c r="E36" s="38" t="str">
        <f>"./images/thumbnail/"&amp;データ!B36&amp;".jpg"</f>
        <v>./images/thumbnail/.jpg</v>
      </c>
      <c r="F36" s="38" t="s">
        <v>1116</v>
      </c>
      <c r="G36" s="38" t="s">
        <v>1319</v>
      </c>
      <c r="H36" s="38">
        <f>データ!C36</f>
        <v>0</v>
      </c>
      <c r="I36" s="38" t="s">
        <v>1024</v>
      </c>
      <c r="J36" s="38" t="s">
        <v>1320</v>
      </c>
      <c r="K36" s="38">
        <f>データ!D36</f>
        <v>0</v>
      </c>
      <c r="L36" s="38" t="s">
        <v>1024</v>
      </c>
      <c r="M36" s="38" t="s">
        <v>1321</v>
      </c>
      <c r="N36" s="38">
        <f>データ!E36</f>
        <v>0</v>
      </c>
      <c r="O36" s="38" t="s">
        <v>1024</v>
      </c>
      <c r="P36" s="38" t="s">
        <v>1319</v>
      </c>
      <c r="Q36" s="38">
        <f>データ!F36</f>
        <v>0</v>
      </c>
      <c r="R36" s="38" t="s">
        <v>1024</v>
      </c>
      <c r="S36" s="38" t="s">
        <v>1319</v>
      </c>
      <c r="T36" s="39">
        <f>データ!G36</f>
        <v>0</v>
      </c>
      <c r="U36" s="40" t="s">
        <v>1024</v>
      </c>
      <c r="V36" s="40" t="s">
        <v>1319</v>
      </c>
      <c r="W36" s="39">
        <f>データ!H36</f>
        <v>0</v>
      </c>
      <c r="X36" s="40" t="s">
        <v>1024</v>
      </c>
      <c r="Y36" s="40" t="s">
        <v>1319</v>
      </c>
      <c r="Z36" s="39">
        <f>データ!I36</f>
        <v>0</v>
      </c>
      <c r="AA36" s="40" t="s">
        <v>1024</v>
      </c>
      <c r="AB36" s="40" t="s">
        <v>1322</v>
      </c>
      <c r="AC36" s="39">
        <f>データ!J36</f>
        <v>0</v>
      </c>
      <c r="AD36" s="38" t="s">
        <v>1024</v>
      </c>
      <c r="AE36" s="40" t="s">
        <v>1323</v>
      </c>
      <c r="AF36" s="39">
        <f>データ!K36</f>
        <v>0</v>
      </c>
      <c r="AG36" s="40" t="s">
        <v>1024</v>
      </c>
      <c r="AH36" s="40" t="s">
        <v>1324</v>
      </c>
      <c r="AI36" s="39">
        <f>データ!L36</f>
        <v>0</v>
      </c>
      <c r="AJ36" s="10" t="s">
        <v>1113</v>
      </c>
      <c r="AK36" s="39" t="e">
        <f>データ!M36</f>
        <v>#N/A</v>
      </c>
      <c r="AL36" s="10" t="s">
        <v>1024</v>
      </c>
      <c r="AM36" s="40" t="s">
        <v>1325</v>
      </c>
      <c r="AN36" s="39">
        <f>データ!N36</f>
        <v>0</v>
      </c>
      <c r="AO36" s="10" t="s">
        <v>1113</v>
      </c>
      <c r="AP36" s="39" t="e">
        <f>データ!O36</f>
        <v>#N/A</v>
      </c>
      <c r="AQ36" s="41" t="s">
        <v>1024</v>
      </c>
      <c r="AR36" s="40" t="s">
        <v>1324</v>
      </c>
      <c r="AS36" s="39">
        <f>データ!P36</f>
        <v>0</v>
      </c>
      <c r="AT36" s="10" t="s">
        <v>1113</v>
      </c>
      <c r="AU36" s="39" t="e">
        <f>データ!Q36</f>
        <v>#N/A</v>
      </c>
      <c r="AV36" s="10" t="s">
        <v>1024</v>
      </c>
      <c r="AW36" s="40" t="s">
        <v>1324</v>
      </c>
      <c r="AX36" s="39">
        <f>データ!R36</f>
        <v>0</v>
      </c>
      <c r="AY36" s="10" t="s">
        <v>1113</v>
      </c>
      <c r="AZ36" s="39" t="e">
        <f>データ!S36</f>
        <v>#N/A</v>
      </c>
      <c r="BA36" s="41" t="s">
        <v>1024</v>
      </c>
      <c r="BB36" s="40" t="s">
        <v>1319</v>
      </c>
      <c r="BC36" s="39">
        <f>データ!T36</f>
        <v>0</v>
      </c>
      <c r="BD36" s="41" t="s">
        <v>1024</v>
      </c>
      <c r="BE36" s="40" t="s">
        <v>1320</v>
      </c>
      <c r="BF36" s="39">
        <f>データ!U36</f>
        <v>0</v>
      </c>
      <c r="BG36" s="41" t="s">
        <v>1024</v>
      </c>
      <c r="BH36" s="40" t="s">
        <v>1319</v>
      </c>
      <c r="BI36" s="39">
        <f>データ!V36</f>
        <v>0</v>
      </c>
      <c r="BJ36" s="41" t="s">
        <v>1024</v>
      </c>
      <c r="BK36" s="10" t="s">
        <v>1019</v>
      </c>
    </row>
    <row r="37" spans="1:63" x14ac:dyDescent="0.15">
      <c r="A37" s="10" t="s">
        <v>1016</v>
      </c>
      <c r="B37" s="10" t="s">
        <v>1454</v>
      </c>
      <c r="C37" s="38" t="str">
        <f>"./images/thumbnail/"&amp;データ!B37&amp;".jpg"</f>
        <v>./images/thumbnail/.jpg</v>
      </c>
      <c r="D37" s="38" t="s">
        <v>1455</v>
      </c>
      <c r="E37" s="38" t="str">
        <f>"./images/thumbnail/"&amp;データ!B37&amp;".jpg"</f>
        <v>./images/thumbnail/.jpg</v>
      </c>
      <c r="F37" s="38" t="s">
        <v>1116</v>
      </c>
      <c r="G37" s="38" t="s">
        <v>1319</v>
      </c>
      <c r="H37" s="38">
        <f>データ!C37</f>
        <v>0</v>
      </c>
      <c r="I37" s="38" t="s">
        <v>1024</v>
      </c>
      <c r="J37" s="38" t="s">
        <v>1320</v>
      </c>
      <c r="K37" s="38">
        <f>データ!D37</f>
        <v>0</v>
      </c>
      <c r="L37" s="38" t="s">
        <v>1024</v>
      </c>
      <c r="M37" s="38" t="s">
        <v>1321</v>
      </c>
      <c r="N37" s="38">
        <f>データ!E37</f>
        <v>0</v>
      </c>
      <c r="O37" s="38" t="s">
        <v>1024</v>
      </c>
      <c r="P37" s="38" t="s">
        <v>1319</v>
      </c>
      <c r="Q37" s="38">
        <f>データ!F37</f>
        <v>0</v>
      </c>
      <c r="R37" s="38" t="s">
        <v>1024</v>
      </c>
      <c r="S37" s="38" t="s">
        <v>1319</v>
      </c>
      <c r="T37" s="39">
        <f>データ!G37</f>
        <v>0</v>
      </c>
      <c r="U37" s="40" t="s">
        <v>1024</v>
      </c>
      <c r="V37" s="40" t="s">
        <v>1319</v>
      </c>
      <c r="W37" s="39">
        <f>データ!H37</f>
        <v>0</v>
      </c>
      <c r="X37" s="40" t="s">
        <v>1024</v>
      </c>
      <c r="Y37" s="40" t="s">
        <v>1319</v>
      </c>
      <c r="Z37" s="39">
        <f>データ!I37</f>
        <v>0</v>
      </c>
      <c r="AA37" s="40" t="s">
        <v>1024</v>
      </c>
      <c r="AB37" s="40" t="s">
        <v>1322</v>
      </c>
      <c r="AC37" s="39">
        <f>データ!J37</f>
        <v>0</v>
      </c>
      <c r="AD37" s="38" t="s">
        <v>1024</v>
      </c>
      <c r="AE37" s="40" t="s">
        <v>1323</v>
      </c>
      <c r="AF37" s="39">
        <f>データ!K37</f>
        <v>0</v>
      </c>
      <c r="AG37" s="40" t="s">
        <v>1024</v>
      </c>
      <c r="AH37" s="40" t="s">
        <v>1324</v>
      </c>
      <c r="AI37" s="39">
        <f>データ!L37</f>
        <v>0</v>
      </c>
      <c r="AJ37" s="10" t="s">
        <v>1113</v>
      </c>
      <c r="AK37" s="39" t="e">
        <f>データ!M37</f>
        <v>#N/A</v>
      </c>
      <c r="AL37" s="10" t="s">
        <v>1024</v>
      </c>
      <c r="AM37" s="40" t="s">
        <v>1325</v>
      </c>
      <c r="AN37" s="39">
        <f>データ!N37</f>
        <v>0</v>
      </c>
      <c r="AO37" s="10" t="s">
        <v>1113</v>
      </c>
      <c r="AP37" s="39" t="e">
        <f>データ!O37</f>
        <v>#N/A</v>
      </c>
      <c r="AQ37" s="41" t="s">
        <v>1024</v>
      </c>
      <c r="AR37" s="40" t="s">
        <v>1324</v>
      </c>
      <c r="AS37" s="39">
        <f>データ!P37</f>
        <v>0</v>
      </c>
      <c r="AT37" s="10" t="s">
        <v>1113</v>
      </c>
      <c r="AU37" s="39" t="e">
        <f>データ!Q37</f>
        <v>#N/A</v>
      </c>
      <c r="AV37" s="10" t="s">
        <v>1024</v>
      </c>
      <c r="AW37" s="40" t="s">
        <v>1324</v>
      </c>
      <c r="AX37" s="39">
        <f>データ!R37</f>
        <v>0</v>
      </c>
      <c r="AY37" s="10" t="s">
        <v>1113</v>
      </c>
      <c r="AZ37" s="39" t="e">
        <f>データ!S37</f>
        <v>#N/A</v>
      </c>
      <c r="BA37" s="41" t="s">
        <v>1024</v>
      </c>
      <c r="BB37" s="40" t="s">
        <v>1319</v>
      </c>
      <c r="BC37" s="39">
        <f>データ!T37</f>
        <v>0</v>
      </c>
      <c r="BD37" s="41" t="s">
        <v>1024</v>
      </c>
      <c r="BE37" s="40" t="s">
        <v>1320</v>
      </c>
      <c r="BF37" s="39">
        <f>データ!U37</f>
        <v>0</v>
      </c>
      <c r="BG37" s="41" t="s">
        <v>1024</v>
      </c>
      <c r="BH37" s="40" t="s">
        <v>1319</v>
      </c>
      <c r="BI37" s="39">
        <f>データ!V37</f>
        <v>0</v>
      </c>
      <c r="BJ37" s="41" t="s">
        <v>1024</v>
      </c>
      <c r="BK37" s="10" t="s">
        <v>1019</v>
      </c>
    </row>
    <row r="38" spans="1:63" x14ac:dyDescent="0.15">
      <c r="A38" s="10" t="s">
        <v>1016</v>
      </c>
      <c r="B38" s="10" t="s">
        <v>1454</v>
      </c>
      <c r="C38" s="38" t="str">
        <f>"./images/thumbnail/"&amp;データ!B38&amp;".jpg"</f>
        <v>./images/thumbnail/.jpg</v>
      </c>
      <c r="D38" s="38" t="s">
        <v>1455</v>
      </c>
      <c r="E38" s="38" t="str">
        <f>"./images/thumbnail/"&amp;データ!B38&amp;".jpg"</f>
        <v>./images/thumbnail/.jpg</v>
      </c>
      <c r="F38" s="38" t="s">
        <v>1116</v>
      </c>
      <c r="G38" s="38" t="s">
        <v>1319</v>
      </c>
      <c r="H38" s="38">
        <f>データ!C38</f>
        <v>0</v>
      </c>
      <c r="I38" s="38" t="s">
        <v>1024</v>
      </c>
      <c r="J38" s="38" t="s">
        <v>1320</v>
      </c>
      <c r="K38" s="38">
        <f>データ!D38</f>
        <v>0</v>
      </c>
      <c r="L38" s="38" t="s">
        <v>1024</v>
      </c>
      <c r="M38" s="38" t="s">
        <v>1321</v>
      </c>
      <c r="N38" s="38">
        <f>データ!E38</f>
        <v>0</v>
      </c>
      <c r="O38" s="38" t="s">
        <v>1024</v>
      </c>
      <c r="P38" s="38" t="s">
        <v>1319</v>
      </c>
      <c r="Q38" s="38">
        <f>データ!F38</f>
        <v>0</v>
      </c>
      <c r="R38" s="38" t="s">
        <v>1024</v>
      </c>
      <c r="S38" s="38" t="s">
        <v>1319</v>
      </c>
      <c r="T38" s="39">
        <f>データ!G38</f>
        <v>0</v>
      </c>
      <c r="U38" s="40" t="s">
        <v>1024</v>
      </c>
      <c r="V38" s="40" t="s">
        <v>1319</v>
      </c>
      <c r="W38" s="39">
        <f>データ!H38</f>
        <v>0</v>
      </c>
      <c r="X38" s="40" t="s">
        <v>1024</v>
      </c>
      <c r="Y38" s="40" t="s">
        <v>1319</v>
      </c>
      <c r="Z38" s="39">
        <f>データ!I38</f>
        <v>0</v>
      </c>
      <c r="AA38" s="40" t="s">
        <v>1024</v>
      </c>
      <c r="AB38" s="40" t="s">
        <v>1322</v>
      </c>
      <c r="AC38" s="39">
        <f>データ!J38</f>
        <v>0</v>
      </c>
      <c r="AD38" s="38" t="s">
        <v>1024</v>
      </c>
      <c r="AE38" s="40" t="s">
        <v>1323</v>
      </c>
      <c r="AF38" s="39">
        <f>データ!K38</f>
        <v>0</v>
      </c>
      <c r="AG38" s="40" t="s">
        <v>1024</v>
      </c>
      <c r="AH38" s="40" t="s">
        <v>1324</v>
      </c>
      <c r="AI38" s="39">
        <f>データ!L38</f>
        <v>0</v>
      </c>
      <c r="AJ38" s="10" t="s">
        <v>1113</v>
      </c>
      <c r="AK38" s="39" t="e">
        <f>データ!M38</f>
        <v>#N/A</v>
      </c>
      <c r="AL38" s="10" t="s">
        <v>1024</v>
      </c>
      <c r="AM38" s="40" t="s">
        <v>1325</v>
      </c>
      <c r="AN38" s="39">
        <f>データ!N38</f>
        <v>0</v>
      </c>
      <c r="AO38" s="10" t="s">
        <v>1113</v>
      </c>
      <c r="AP38" s="39" t="e">
        <f>データ!O38</f>
        <v>#N/A</v>
      </c>
      <c r="AQ38" s="41" t="s">
        <v>1024</v>
      </c>
      <c r="AR38" s="40" t="s">
        <v>1324</v>
      </c>
      <c r="AS38" s="39">
        <f>データ!P38</f>
        <v>0</v>
      </c>
      <c r="AT38" s="10" t="s">
        <v>1113</v>
      </c>
      <c r="AU38" s="39" t="e">
        <f>データ!Q38</f>
        <v>#N/A</v>
      </c>
      <c r="AV38" s="10" t="s">
        <v>1024</v>
      </c>
      <c r="AW38" s="40" t="s">
        <v>1324</v>
      </c>
      <c r="AX38" s="39">
        <f>データ!R38</f>
        <v>0</v>
      </c>
      <c r="AY38" s="10" t="s">
        <v>1113</v>
      </c>
      <c r="AZ38" s="39" t="e">
        <f>データ!S38</f>
        <v>#N/A</v>
      </c>
      <c r="BA38" s="41" t="s">
        <v>1024</v>
      </c>
      <c r="BB38" s="40" t="s">
        <v>1319</v>
      </c>
      <c r="BC38" s="39">
        <f>データ!T38</f>
        <v>0</v>
      </c>
      <c r="BD38" s="41" t="s">
        <v>1024</v>
      </c>
      <c r="BE38" s="40" t="s">
        <v>1320</v>
      </c>
      <c r="BF38" s="39">
        <f>データ!U38</f>
        <v>0</v>
      </c>
      <c r="BG38" s="41" t="s">
        <v>1024</v>
      </c>
      <c r="BH38" s="40" t="s">
        <v>1319</v>
      </c>
      <c r="BI38" s="39">
        <f>データ!V38</f>
        <v>0</v>
      </c>
      <c r="BJ38" s="41" t="s">
        <v>1024</v>
      </c>
      <c r="BK38" s="10" t="s">
        <v>1019</v>
      </c>
    </row>
    <row r="39" spans="1:63" x14ac:dyDescent="0.15">
      <c r="A39" s="10" t="s">
        <v>1016</v>
      </c>
      <c r="B39" s="10" t="s">
        <v>1454</v>
      </c>
      <c r="C39" s="38" t="str">
        <f>"./images/thumbnail/"&amp;データ!B39&amp;".jpg"</f>
        <v>./images/thumbnail/.jpg</v>
      </c>
      <c r="D39" s="38" t="s">
        <v>1455</v>
      </c>
      <c r="E39" s="38" t="str">
        <f>"./images/thumbnail/"&amp;データ!B39&amp;".jpg"</f>
        <v>./images/thumbnail/.jpg</v>
      </c>
      <c r="F39" s="38" t="s">
        <v>1116</v>
      </c>
      <c r="G39" s="38" t="s">
        <v>1319</v>
      </c>
      <c r="H39" s="38">
        <f>データ!C39</f>
        <v>0</v>
      </c>
      <c r="I39" s="38" t="s">
        <v>1024</v>
      </c>
      <c r="J39" s="38" t="s">
        <v>1320</v>
      </c>
      <c r="K39" s="38">
        <f>データ!D39</f>
        <v>0</v>
      </c>
      <c r="L39" s="38" t="s">
        <v>1024</v>
      </c>
      <c r="M39" s="38" t="s">
        <v>1321</v>
      </c>
      <c r="N39" s="38">
        <f>データ!E39</f>
        <v>0</v>
      </c>
      <c r="O39" s="38" t="s">
        <v>1024</v>
      </c>
      <c r="P39" s="38" t="s">
        <v>1319</v>
      </c>
      <c r="Q39" s="38">
        <f>データ!F39</f>
        <v>0</v>
      </c>
      <c r="R39" s="38" t="s">
        <v>1024</v>
      </c>
      <c r="S39" s="38" t="s">
        <v>1319</v>
      </c>
      <c r="T39" s="39">
        <f>データ!G39</f>
        <v>0</v>
      </c>
      <c r="U39" s="40" t="s">
        <v>1024</v>
      </c>
      <c r="V39" s="40" t="s">
        <v>1319</v>
      </c>
      <c r="W39" s="39">
        <f>データ!H39</f>
        <v>0</v>
      </c>
      <c r="X39" s="40" t="s">
        <v>1024</v>
      </c>
      <c r="Y39" s="40" t="s">
        <v>1319</v>
      </c>
      <c r="Z39" s="39">
        <f>データ!I39</f>
        <v>0</v>
      </c>
      <c r="AA39" s="40" t="s">
        <v>1024</v>
      </c>
      <c r="AB39" s="40" t="s">
        <v>1322</v>
      </c>
      <c r="AC39" s="39">
        <f>データ!J39</f>
        <v>0</v>
      </c>
      <c r="AD39" s="38" t="s">
        <v>1024</v>
      </c>
      <c r="AE39" s="40" t="s">
        <v>1323</v>
      </c>
      <c r="AF39" s="39">
        <f>データ!K39</f>
        <v>0</v>
      </c>
      <c r="AG39" s="40" t="s">
        <v>1024</v>
      </c>
      <c r="AH39" s="40" t="s">
        <v>1324</v>
      </c>
      <c r="AI39" s="39">
        <f>データ!L39</f>
        <v>0</v>
      </c>
      <c r="AJ39" s="10" t="s">
        <v>1113</v>
      </c>
      <c r="AK39" s="39" t="e">
        <f>データ!M39</f>
        <v>#N/A</v>
      </c>
      <c r="AL39" s="10" t="s">
        <v>1024</v>
      </c>
      <c r="AM39" s="40" t="s">
        <v>1325</v>
      </c>
      <c r="AN39" s="39">
        <f>データ!N39</f>
        <v>0</v>
      </c>
      <c r="AO39" s="10" t="s">
        <v>1113</v>
      </c>
      <c r="AP39" s="39" t="e">
        <f>データ!O39</f>
        <v>#N/A</v>
      </c>
      <c r="AQ39" s="41" t="s">
        <v>1024</v>
      </c>
      <c r="AR39" s="40" t="s">
        <v>1324</v>
      </c>
      <c r="AS39" s="39">
        <f>データ!P39</f>
        <v>0</v>
      </c>
      <c r="AT39" s="10" t="s">
        <v>1113</v>
      </c>
      <c r="AU39" s="39" t="e">
        <f>データ!Q39</f>
        <v>#N/A</v>
      </c>
      <c r="AV39" s="10" t="s">
        <v>1024</v>
      </c>
      <c r="AW39" s="40" t="s">
        <v>1324</v>
      </c>
      <c r="AX39" s="39">
        <f>データ!R39</f>
        <v>0</v>
      </c>
      <c r="AY39" s="10" t="s">
        <v>1113</v>
      </c>
      <c r="AZ39" s="39" t="e">
        <f>データ!S39</f>
        <v>#N/A</v>
      </c>
      <c r="BA39" s="41" t="s">
        <v>1024</v>
      </c>
      <c r="BB39" s="40" t="s">
        <v>1319</v>
      </c>
      <c r="BC39" s="39">
        <f>データ!T39</f>
        <v>0</v>
      </c>
      <c r="BD39" s="41" t="s">
        <v>1024</v>
      </c>
      <c r="BE39" s="40" t="s">
        <v>1320</v>
      </c>
      <c r="BF39" s="39">
        <f>データ!U39</f>
        <v>0</v>
      </c>
      <c r="BG39" s="41" t="s">
        <v>1024</v>
      </c>
      <c r="BH39" s="40" t="s">
        <v>1319</v>
      </c>
      <c r="BI39" s="39">
        <f>データ!V39</f>
        <v>0</v>
      </c>
      <c r="BJ39" s="41" t="s">
        <v>1024</v>
      </c>
      <c r="BK39" s="10" t="s">
        <v>1019</v>
      </c>
    </row>
    <row r="40" spans="1:63" x14ac:dyDescent="0.15">
      <c r="A40" s="10" t="s">
        <v>1016</v>
      </c>
      <c r="B40" s="10" t="s">
        <v>1454</v>
      </c>
      <c r="C40" s="38" t="str">
        <f>"./images/thumbnail/"&amp;データ!B40&amp;".jpg"</f>
        <v>./images/thumbnail/.jpg</v>
      </c>
      <c r="D40" s="38" t="s">
        <v>1455</v>
      </c>
      <c r="E40" s="38" t="str">
        <f>"./images/thumbnail/"&amp;データ!B40&amp;".jpg"</f>
        <v>./images/thumbnail/.jpg</v>
      </c>
      <c r="F40" s="38" t="s">
        <v>1116</v>
      </c>
      <c r="G40" s="38" t="s">
        <v>1319</v>
      </c>
      <c r="H40" s="38">
        <f>データ!C40</f>
        <v>0</v>
      </c>
      <c r="I40" s="38" t="s">
        <v>1024</v>
      </c>
      <c r="J40" s="38" t="s">
        <v>1320</v>
      </c>
      <c r="K40" s="38">
        <f>データ!D40</f>
        <v>0</v>
      </c>
      <c r="L40" s="38" t="s">
        <v>1024</v>
      </c>
      <c r="M40" s="38" t="s">
        <v>1321</v>
      </c>
      <c r="N40" s="38">
        <f>データ!E40</f>
        <v>0</v>
      </c>
      <c r="O40" s="38" t="s">
        <v>1024</v>
      </c>
      <c r="P40" s="38" t="s">
        <v>1319</v>
      </c>
      <c r="Q40" s="38">
        <f>データ!F40</f>
        <v>0</v>
      </c>
      <c r="R40" s="38" t="s">
        <v>1024</v>
      </c>
      <c r="S40" s="38" t="s">
        <v>1319</v>
      </c>
      <c r="T40" s="39">
        <f>データ!G40</f>
        <v>0</v>
      </c>
      <c r="U40" s="40" t="s">
        <v>1024</v>
      </c>
      <c r="V40" s="40" t="s">
        <v>1319</v>
      </c>
      <c r="W40" s="39">
        <f>データ!H40</f>
        <v>0</v>
      </c>
      <c r="X40" s="40" t="s">
        <v>1024</v>
      </c>
      <c r="Y40" s="40" t="s">
        <v>1319</v>
      </c>
      <c r="Z40" s="39">
        <f>データ!I40</f>
        <v>0</v>
      </c>
      <c r="AA40" s="40" t="s">
        <v>1024</v>
      </c>
      <c r="AB40" s="40" t="s">
        <v>1322</v>
      </c>
      <c r="AC40" s="39">
        <f>データ!J40</f>
        <v>0</v>
      </c>
      <c r="AD40" s="38" t="s">
        <v>1024</v>
      </c>
      <c r="AE40" s="40" t="s">
        <v>1323</v>
      </c>
      <c r="AF40" s="39">
        <f>データ!K40</f>
        <v>0</v>
      </c>
      <c r="AG40" s="40" t="s">
        <v>1024</v>
      </c>
      <c r="AH40" s="40" t="s">
        <v>1324</v>
      </c>
      <c r="AI40" s="39">
        <f>データ!L40</f>
        <v>0</v>
      </c>
      <c r="AJ40" s="10" t="s">
        <v>1113</v>
      </c>
      <c r="AK40" s="39" t="e">
        <f>データ!M40</f>
        <v>#N/A</v>
      </c>
      <c r="AL40" s="10" t="s">
        <v>1024</v>
      </c>
      <c r="AM40" s="40" t="s">
        <v>1325</v>
      </c>
      <c r="AN40" s="39">
        <f>データ!N40</f>
        <v>0</v>
      </c>
      <c r="AO40" s="10" t="s">
        <v>1113</v>
      </c>
      <c r="AP40" s="39" t="e">
        <f>データ!O40</f>
        <v>#N/A</v>
      </c>
      <c r="AQ40" s="41" t="s">
        <v>1024</v>
      </c>
      <c r="AR40" s="40" t="s">
        <v>1324</v>
      </c>
      <c r="AS40" s="39">
        <f>データ!P40</f>
        <v>0</v>
      </c>
      <c r="AT40" s="10" t="s">
        <v>1113</v>
      </c>
      <c r="AU40" s="39" t="e">
        <f>データ!Q40</f>
        <v>#N/A</v>
      </c>
      <c r="AV40" s="10" t="s">
        <v>1024</v>
      </c>
      <c r="AW40" s="40" t="s">
        <v>1324</v>
      </c>
      <c r="AX40" s="39">
        <f>データ!R40</f>
        <v>0</v>
      </c>
      <c r="AY40" s="10" t="s">
        <v>1113</v>
      </c>
      <c r="AZ40" s="39" t="e">
        <f>データ!S40</f>
        <v>#N/A</v>
      </c>
      <c r="BA40" s="41" t="s">
        <v>1024</v>
      </c>
      <c r="BB40" s="40" t="s">
        <v>1319</v>
      </c>
      <c r="BC40" s="39">
        <f>データ!T40</f>
        <v>0</v>
      </c>
      <c r="BD40" s="41" t="s">
        <v>1024</v>
      </c>
      <c r="BE40" s="40" t="s">
        <v>1320</v>
      </c>
      <c r="BF40" s="39">
        <f>データ!U40</f>
        <v>0</v>
      </c>
      <c r="BG40" s="41" t="s">
        <v>1024</v>
      </c>
      <c r="BH40" s="40" t="s">
        <v>1319</v>
      </c>
      <c r="BI40" s="39">
        <f>データ!V40</f>
        <v>0</v>
      </c>
      <c r="BJ40" s="41" t="s">
        <v>1024</v>
      </c>
      <c r="BK40" s="10" t="s">
        <v>1019</v>
      </c>
    </row>
    <row r="41" spans="1:63" x14ac:dyDescent="0.15">
      <c r="A41" s="10" t="s">
        <v>1016</v>
      </c>
      <c r="B41" s="10" t="s">
        <v>1454</v>
      </c>
      <c r="C41" s="38" t="str">
        <f>"./images/thumbnail/"&amp;データ!B41&amp;".jpg"</f>
        <v>./images/thumbnail/.jpg</v>
      </c>
      <c r="D41" s="38" t="s">
        <v>1455</v>
      </c>
      <c r="E41" s="38" t="str">
        <f>"./images/thumbnail/"&amp;データ!B41&amp;".jpg"</f>
        <v>./images/thumbnail/.jpg</v>
      </c>
      <c r="F41" s="38" t="s">
        <v>1116</v>
      </c>
      <c r="G41" s="38" t="s">
        <v>1319</v>
      </c>
      <c r="H41" s="38">
        <f>データ!C41</f>
        <v>0</v>
      </c>
      <c r="I41" s="38" t="s">
        <v>1024</v>
      </c>
      <c r="J41" s="38" t="s">
        <v>1320</v>
      </c>
      <c r="K41" s="38">
        <f>データ!D41</f>
        <v>0</v>
      </c>
      <c r="L41" s="38" t="s">
        <v>1024</v>
      </c>
      <c r="M41" s="38" t="s">
        <v>1321</v>
      </c>
      <c r="N41" s="38">
        <f>データ!E41</f>
        <v>0</v>
      </c>
      <c r="O41" s="38" t="s">
        <v>1024</v>
      </c>
      <c r="P41" s="38" t="s">
        <v>1319</v>
      </c>
      <c r="Q41" s="38">
        <f>データ!F41</f>
        <v>0</v>
      </c>
      <c r="R41" s="38" t="s">
        <v>1024</v>
      </c>
      <c r="S41" s="38" t="s">
        <v>1319</v>
      </c>
      <c r="T41" s="39">
        <f>データ!G41</f>
        <v>0</v>
      </c>
      <c r="U41" s="40" t="s">
        <v>1024</v>
      </c>
      <c r="V41" s="40" t="s">
        <v>1319</v>
      </c>
      <c r="W41" s="39">
        <f>データ!H41</f>
        <v>0</v>
      </c>
      <c r="X41" s="40" t="s">
        <v>1024</v>
      </c>
      <c r="Y41" s="40" t="s">
        <v>1319</v>
      </c>
      <c r="Z41" s="39">
        <f>データ!I41</f>
        <v>0</v>
      </c>
      <c r="AA41" s="40" t="s">
        <v>1024</v>
      </c>
      <c r="AB41" s="40" t="s">
        <v>1322</v>
      </c>
      <c r="AC41" s="39">
        <f>データ!J41</f>
        <v>0</v>
      </c>
      <c r="AD41" s="38" t="s">
        <v>1024</v>
      </c>
      <c r="AE41" s="40" t="s">
        <v>1323</v>
      </c>
      <c r="AF41" s="39">
        <f>データ!K41</f>
        <v>0</v>
      </c>
      <c r="AG41" s="40" t="s">
        <v>1024</v>
      </c>
      <c r="AH41" s="40" t="s">
        <v>1324</v>
      </c>
      <c r="AI41" s="39">
        <f>データ!L41</f>
        <v>0</v>
      </c>
      <c r="AJ41" s="10" t="s">
        <v>1113</v>
      </c>
      <c r="AK41" s="39" t="e">
        <f>データ!M41</f>
        <v>#N/A</v>
      </c>
      <c r="AL41" s="10" t="s">
        <v>1024</v>
      </c>
      <c r="AM41" s="40" t="s">
        <v>1325</v>
      </c>
      <c r="AN41" s="39">
        <f>データ!N41</f>
        <v>0</v>
      </c>
      <c r="AO41" s="10" t="s">
        <v>1113</v>
      </c>
      <c r="AP41" s="39" t="e">
        <f>データ!O41</f>
        <v>#N/A</v>
      </c>
      <c r="AQ41" s="41" t="s">
        <v>1024</v>
      </c>
      <c r="AR41" s="40" t="s">
        <v>1324</v>
      </c>
      <c r="AS41" s="39">
        <f>データ!P41</f>
        <v>0</v>
      </c>
      <c r="AT41" s="10" t="s">
        <v>1113</v>
      </c>
      <c r="AU41" s="39" t="e">
        <f>データ!Q41</f>
        <v>#N/A</v>
      </c>
      <c r="AV41" s="10" t="s">
        <v>1024</v>
      </c>
      <c r="AW41" s="40" t="s">
        <v>1324</v>
      </c>
      <c r="AX41" s="39">
        <f>データ!R41</f>
        <v>0</v>
      </c>
      <c r="AY41" s="10" t="s">
        <v>1113</v>
      </c>
      <c r="AZ41" s="39" t="e">
        <f>データ!S41</f>
        <v>#N/A</v>
      </c>
      <c r="BA41" s="41" t="s">
        <v>1024</v>
      </c>
      <c r="BB41" s="40" t="s">
        <v>1319</v>
      </c>
      <c r="BC41" s="39">
        <f>データ!T41</f>
        <v>0</v>
      </c>
      <c r="BD41" s="41" t="s">
        <v>1024</v>
      </c>
      <c r="BE41" s="40" t="s">
        <v>1320</v>
      </c>
      <c r="BF41" s="39">
        <f>データ!U41</f>
        <v>0</v>
      </c>
      <c r="BG41" s="41" t="s">
        <v>1024</v>
      </c>
      <c r="BH41" s="40" t="s">
        <v>1319</v>
      </c>
      <c r="BI41" s="39">
        <f>データ!V41</f>
        <v>0</v>
      </c>
      <c r="BJ41" s="41" t="s">
        <v>1024</v>
      </c>
      <c r="BK41" s="10" t="s">
        <v>1019</v>
      </c>
    </row>
    <row r="42" spans="1:63" x14ac:dyDescent="0.15">
      <c r="A42" s="10" t="s">
        <v>1016</v>
      </c>
      <c r="B42" s="10" t="s">
        <v>1454</v>
      </c>
      <c r="C42" s="38" t="str">
        <f>"./images/thumbnail/"&amp;データ!B42&amp;".jpg"</f>
        <v>./images/thumbnail/.jpg</v>
      </c>
      <c r="D42" s="38" t="s">
        <v>1455</v>
      </c>
      <c r="E42" s="38" t="str">
        <f>"./images/thumbnail/"&amp;データ!B42&amp;".jpg"</f>
        <v>./images/thumbnail/.jpg</v>
      </c>
      <c r="F42" s="38" t="s">
        <v>1116</v>
      </c>
      <c r="G42" s="38" t="s">
        <v>1319</v>
      </c>
      <c r="H42" s="38">
        <f>データ!C42</f>
        <v>0</v>
      </c>
      <c r="I42" s="38" t="s">
        <v>1024</v>
      </c>
      <c r="J42" s="38" t="s">
        <v>1320</v>
      </c>
      <c r="K42" s="38">
        <f>データ!D42</f>
        <v>0</v>
      </c>
      <c r="L42" s="38" t="s">
        <v>1024</v>
      </c>
      <c r="M42" s="38" t="s">
        <v>1321</v>
      </c>
      <c r="N42" s="38">
        <f>データ!E42</f>
        <v>0</v>
      </c>
      <c r="O42" s="38" t="s">
        <v>1024</v>
      </c>
      <c r="P42" s="38" t="s">
        <v>1319</v>
      </c>
      <c r="Q42" s="38">
        <f>データ!F42</f>
        <v>0</v>
      </c>
      <c r="R42" s="38" t="s">
        <v>1024</v>
      </c>
      <c r="S42" s="38" t="s">
        <v>1319</v>
      </c>
      <c r="T42" s="39">
        <f>データ!G42</f>
        <v>0</v>
      </c>
      <c r="U42" s="40" t="s">
        <v>1024</v>
      </c>
      <c r="V42" s="40" t="s">
        <v>1319</v>
      </c>
      <c r="W42" s="39">
        <f>データ!H42</f>
        <v>0</v>
      </c>
      <c r="X42" s="40" t="s">
        <v>1024</v>
      </c>
      <c r="Y42" s="40" t="s">
        <v>1319</v>
      </c>
      <c r="Z42" s="39">
        <f>データ!I42</f>
        <v>0</v>
      </c>
      <c r="AA42" s="40" t="s">
        <v>1024</v>
      </c>
      <c r="AB42" s="40" t="s">
        <v>1322</v>
      </c>
      <c r="AC42" s="39">
        <f>データ!J42</f>
        <v>0</v>
      </c>
      <c r="AD42" s="38" t="s">
        <v>1024</v>
      </c>
      <c r="AE42" s="40" t="s">
        <v>1323</v>
      </c>
      <c r="AF42" s="39">
        <f>データ!K42</f>
        <v>0</v>
      </c>
      <c r="AG42" s="40" t="s">
        <v>1024</v>
      </c>
      <c r="AH42" s="40" t="s">
        <v>1324</v>
      </c>
      <c r="AI42" s="39">
        <f>データ!L42</f>
        <v>0</v>
      </c>
      <c r="AJ42" s="10" t="s">
        <v>1113</v>
      </c>
      <c r="AK42" s="39" t="e">
        <f>データ!M42</f>
        <v>#N/A</v>
      </c>
      <c r="AL42" s="10" t="s">
        <v>1024</v>
      </c>
      <c r="AM42" s="40" t="s">
        <v>1325</v>
      </c>
      <c r="AN42" s="39">
        <f>データ!N42</f>
        <v>0</v>
      </c>
      <c r="AO42" s="10" t="s">
        <v>1113</v>
      </c>
      <c r="AP42" s="39" t="e">
        <f>データ!O42</f>
        <v>#N/A</v>
      </c>
      <c r="AQ42" s="41" t="s">
        <v>1024</v>
      </c>
      <c r="AR42" s="40" t="s">
        <v>1324</v>
      </c>
      <c r="AS42" s="39">
        <f>データ!P42</f>
        <v>0</v>
      </c>
      <c r="AT42" s="10" t="s">
        <v>1113</v>
      </c>
      <c r="AU42" s="39" t="e">
        <f>データ!Q42</f>
        <v>#N/A</v>
      </c>
      <c r="AV42" s="10" t="s">
        <v>1024</v>
      </c>
      <c r="AW42" s="40" t="s">
        <v>1324</v>
      </c>
      <c r="AX42" s="39">
        <f>データ!R42</f>
        <v>0</v>
      </c>
      <c r="AY42" s="10" t="s">
        <v>1113</v>
      </c>
      <c r="AZ42" s="39" t="e">
        <f>データ!S42</f>
        <v>#N/A</v>
      </c>
      <c r="BA42" s="41" t="s">
        <v>1024</v>
      </c>
      <c r="BB42" s="40" t="s">
        <v>1319</v>
      </c>
      <c r="BC42" s="39">
        <f>データ!T42</f>
        <v>0</v>
      </c>
      <c r="BD42" s="41" t="s">
        <v>1024</v>
      </c>
      <c r="BE42" s="40" t="s">
        <v>1320</v>
      </c>
      <c r="BF42" s="39">
        <f>データ!U42</f>
        <v>0</v>
      </c>
      <c r="BG42" s="41" t="s">
        <v>1024</v>
      </c>
      <c r="BH42" s="40" t="s">
        <v>1319</v>
      </c>
      <c r="BI42" s="39">
        <f>データ!V42</f>
        <v>0</v>
      </c>
      <c r="BJ42" s="41" t="s">
        <v>1024</v>
      </c>
      <c r="BK42" s="10" t="s">
        <v>1019</v>
      </c>
    </row>
    <row r="43" spans="1:63" x14ac:dyDescent="0.15">
      <c r="A43" s="10" t="s">
        <v>1016</v>
      </c>
      <c r="B43" s="10" t="s">
        <v>1454</v>
      </c>
      <c r="C43" s="38" t="str">
        <f>"./images/thumbnail/"&amp;データ!B43&amp;".jpg"</f>
        <v>./images/thumbnail/.jpg</v>
      </c>
      <c r="D43" s="38" t="s">
        <v>1455</v>
      </c>
      <c r="E43" s="38" t="str">
        <f>"./images/thumbnail/"&amp;データ!B43&amp;".jpg"</f>
        <v>./images/thumbnail/.jpg</v>
      </c>
      <c r="F43" s="38" t="s">
        <v>1116</v>
      </c>
      <c r="G43" s="38" t="s">
        <v>1319</v>
      </c>
      <c r="H43" s="38">
        <f>データ!C43</f>
        <v>0</v>
      </c>
      <c r="I43" s="38" t="s">
        <v>1024</v>
      </c>
      <c r="J43" s="38" t="s">
        <v>1320</v>
      </c>
      <c r="K43" s="38">
        <f>データ!D43</f>
        <v>0</v>
      </c>
      <c r="L43" s="38" t="s">
        <v>1024</v>
      </c>
      <c r="M43" s="38" t="s">
        <v>1321</v>
      </c>
      <c r="N43" s="38">
        <f>データ!E43</f>
        <v>0</v>
      </c>
      <c r="O43" s="38" t="s">
        <v>1024</v>
      </c>
      <c r="P43" s="38" t="s">
        <v>1319</v>
      </c>
      <c r="Q43" s="38">
        <f>データ!F43</f>
        <v>0</v>
      </c>
      <c r="R43" s="38" t="s">
        <v>1024</v>
      </c>
      <c r="S43" s="38" t="s">
        <v>1319</v>
      </c>
      <c r="T43" s="39">
        <f>データ!G43</f>
        <v>0</v>
      </c>
      <c r="U43" s="40" t="s">
        <v>1024</v>
      </c>
      <c r="V43" s="40" t="s">
        <v>1319</v>
      </c>
      <c r="W43" s="39">
        <f>データ!H43</f>
        <v>0</v>
      </c>
      <c r="X43" s="40" t="s">
        <v>1024</v>
      </c>
      <c r="Y43" s="40" t="s">
        <v>1319</v>
      </c>
      <c r="Z43" s="39">
        <f>データ!I43</f>
        <v>0</v>
      </c>
      <c r="AA43" s="40" t="s">
        <v>1024</v>
      </c>
      <c r="AB43" s="40" t="s">
        <v>1322</v>
      </c>
      <c r="AC43" s="39">
        <f>データ!J43</f>
        <v>0</v>
      </c>
      <c r="AD43" s="38" t="s">
        <v>1024</v>
      </c>
      <c r="AE43" s="40" t="s">
        <v>1323</v>
      </c>
      <c r="AF43" s="39">
        <f>データ!K43</f>
        <v>0</v>
      </c>
      <c r="AG43" s="40" t="s">
        <v>1024</v>
      </c>
      <c r="AH43" s="40" t="s">
        <v>1324</v>
      </c>
      <c r="AI43" s="39">
        <f>データ!L43</f>
        <v>0</v>
      </c>
      <c r="AJ43" s="10" t="s">
        <v>1113</v>
      </c>
      <c r="AK43" s="39" t="e">
        <f>データ!M43</f>
        <v>#N/A</v>
      </c>
      <c r="AL43" s="10" t="s">
        <v>1024</v>
      </c>
      <c r="AM43" s="40" t="s">
        <v>1325</v>
      </c>
      <c r="AN43" s="39">
        <f>データ!N43</f>
        <v>0</v>
      </c>
      <c r="AO43" s="10" t="s">
        <v>1113</v>
      </c>
      <c r="AP43" s="39" t="e">
        <f>データ!O43</f>
        <v>#N/A</v>
      </c>
      <c r="AQ43" s="41" t="s">
        <v>1024</v>
      </c>
      <c r="AR43" s="40" t="s">
        <v>1324</v>
      </c>
      <c r="AS43" s="39">
        <f>データ!P43</f>
        <v>0</v>
      </c>
      <c r="AT43" s="10" t="s">
        <v>1113</v>
      </c>
      <c r="AU43" s="39" t="e">
        <f>データ!Q43</f>
        <v>#N/A</v>
      </c>
      <c r="AV43" s="10" t="s">
        <v>1024</v>
      </c>
      <c r="AW43" s="40" t="s">
        <v>1324</v>
      </c>
      <c r="AX43" s="39">
        <f>データ!R43</f>
        <v>0</v>
      </c>
      <c r="AY43" s="10" t="s">
        <v>1113</v>
      </c>
      <c r="AZ43" s="39" t="e">
        <f>データ!S43</f>
        <v>#N/A</v>
      </c>
      <c r="BA43" s="41" t="s">
        <v>1024</v>
      </c>
      <c r="BB43" s="40" t="s">
        <v>1319</v>
      </c>
      <c r="BC43" s="39">
        <f>データ!T43</f>
        <v>0</v>
      </c>
      <c r="BD43" s="41" t="s">
        <v>1024</v>
      </c>
      <c r="BE43" s="40" t="s">
        <v>1320</v>
      </c>
      <c r="BF43" s="39">
        <f>データ!U43</f>
        <v>0</v>
      </c>
      <c r="BG43" s="41" t="s">
        <v>1024</v>
      </c>
      <c r="BH43" s="40" t="s">
        <v>1319</v>
      </c>
      <c r="BI43" s="39">
        <f>データ!V43</f>
        <v>0</v>
      </c>
      <c r="BJ43" s="41" t="s">
        <v>1024</v>
      </c>
      <c r="BK43" s="10" t="s">
        <v>1019</v>
      </c>
    </row>
    <row r="44" spans="1:63" x14ac:dyDescent="0.15">
      <c r="A44" s="10" t="s">
        <v>1016</v>
      </c>
      <c r="B44" s="10" t="s">
        <v>1454</v>
      </c>
      <c r="C44" s="38" t="str">
        <f>"./images/thumbnail/"&amp;データ!B44&amp;".jpg"</f>
        <v>./images/thumbnail/.jpg</v>
      </c>
      <c r="D44" s="38" t="s">
        <v>1455</v>
      </c>
      <c r="E44" s="38" t="str">
        <f>"./images/thumbnail/"&amp;データ!B44&amp;".jpg"</f>
        <v>./images/thumbnail/.jpg</v>
      </c>
      <c r="F44" s="38" t="s">
        <v>1116</v>
      </c>
      <c r="G44" s="38" t="s">
        <v>1319</v>
      </c>
      <c r="H44" s="38">
        <f>データ!C44</f>
        <v>0</v>
      </c>
      <c r="I44" s="38" t="s">
        <v>1024</v>
      </c>
      <c r="J44" s="38" t="s">
        <v>1320</v>
      </c>
      <c r="K44" s="38">
        <f>データ!D44</f>
        <v>0</v>
      </c>
      <c r="L44" s="38" t="s">
        <v>1024</v>
      </c>
      <c r="M44" s="38" t="s">
        <v>1321</v>
      </c>
      <c r="N44" s="38">
        <f>データ!E44</f>
        <v>0</v>
      </c>
      <c r="O44" s="38" t="s">
        <v>1024</v>
      </c>
      <c r="P44" s="38" t="s">
        <v>1319</v>
      </c>
      <c r="Q44" s="38">
        <f>データ!F44</f>
        <v>0</v>
      </c>
      <c r="R44" s="38" t="s">
        <v>1024</v>
      </c>
      <c r="S44" s="38" t="s">
        <v>1319</v>
      </c>
      <c r="T44" s="39">
        <f>データ!G44</f>
        <v>0</v>
      </c>
      <c r="U44" s="40" t="s">
        <v>1024</v>
      </c>
      <c r="V44" s="40" t="s">
        <v>1319</v>
      </c>
      <c r="W44" s="39">
        <f>データ!H44</f>
        <v>0</v>
      </c>
      <c r="X44" s="40" t="s">
        <v>1024</v>
      </c>
      <c r="Y44" s="40" t="s">
        <v>1319</v>
      </c>
      <c r="Z44" s="39">
        <f>データ!I44</f>
        <v>0</v>
      </c>
      <c r="AA44" s="40" t="s">
        <v>1024</v>
      </c>
      <c r="AB44" s="40" t="s">
        <v>1322</v>
      </c>
      <c r="AC44" s="39">
        <f>データ!J44</f>
        <v>0</v>
      </c>
      <c r="AD44" s="38" t="s">
        <v>1024</v>
      </c>
      <c r="AE44" s="40" t="s">
        <v>1323</v>
      </c>
      <c r="AF44" s="39">
        <f>データ!K44</f>
        <v>0</v>
      </c>
      <c r="AG44" s="40" t="s">
        <v>1024</v>
      </c>
      <c r="AH44" s="40" t="s">
        <v>1324</v>
      </c>
      <c r="AI44" s="39">
        <f>データ!L44</f>
        <v>0</v>
      </c>
      <c r="AJ44" s="10" t="s">
        <v>1113</v>
      </c>
      <c r="AK44" s="39" t="e">
        <f>データ!M44</f>
        <v>#N/A</v>
      </c>
      <c r="AL44" s="10" t="s">
        <v>1024</v>
      </c>
      <c r="AM44" s="40" t="s">
        <v>1325</v>
      </c>
      <c r="AN44" s="39">
        <f>データ!N44</f>
        <v>0</v>
      </c>
      <c r="AO44" s="10" t="s">
        <v>1113</v>
      </c>
      <c r="AP44" s="39" t="e">
        <f>データ!O44</f>
        <v>#N/A</v>
      </c>
      <c r="AQ44" s="41" t="s">
        <v>1024</v>
      </c>
      <c r="AR44" s="40" t="s">
        <v>1324</v>
      </c>
      <c r="AS44" s="39">
        <f>データ!P44</f>
        <v>0</v>
      </c>
      <c r="AT44" s="10" t="s">
        <v>1113</v>
      </c>
      <c r="AU44" s="39" t="e">
        <f>データ!Q44</f>
        <v>#N/A</v>
      </c>
      <c r="AV44" s="10" t="s">
        <v>1024</v>
      </c>
      <c r="AW44" s="40" t="s">
        <v>1324</v>
      </c>
      <c r="AX44" s="39">
        <f>データ!R44</f>
        <v>0</v>
      </c>
      <c r="AY44" s="10" t="s">
        <v>1113</v>
      </c>
      <c r="AZ44" s="39" t="e">
        <f>データ!S44</f>
        <v>#N/A</v>
      </c>
      <c r="BA44" s="41" t="s">
        <v>1024</v>
      </c>
      <c r="BB44" s="40" t="s">
        <v>1319</v>
      </c>
      <c r="BC44" s="39">
        <f>データ!T44</f>
        <v>0</v>
      </c>
      <c r="BD44" s="41" t="s">
        <v>1024</v>
      </c>
      <c r="BE44" s="40" t="s">
        <v>1320</v>
      </c>
      <c r="BF44" s="39">
        <f>データ!U44</f>
        <v>0</v>
      </c>
      <c r="BG44" s="41" t="s">
        <v>1024</v>
      </c>
      <c r="BH44" s="40" t="s">
        <v>1319</v>
      </c>
      <c r="BI44" s="39">
        <f>データ!V44</f>
        <v>0</v>
      </c>
      <c r="BJ44" s="41" t="s">
        <v>1024</v>
      </c>
      <c r="BK44" s="10" t="s">
        <v>1019</v>
      </c>
    </row>
    <row r="45" spans="1:63" x14ac:dyDescent="0.15">
      <c r="A45" s="10" t="s">
        <v>1016</v>
      </c>
      <c r="B45" s="10" t="s">
        <v>1454</v>
      </c>
      <c r="C45" s="38" t="str">
        <f>"./images/thumbnail/"&amp;データ!B45&amp;".jpg"</f>
        <v>./images/thumbnail/.jpg</v>
      </c>
      <c r="D45" s="38" t="s">
        <v>1455</v>
      </c>
      <c r="E45" s="38" t="str">
        <f>"./images/thumbnail/"&amp;データ!B45&amp;".jpg"</f>
        <v>./images/thumbnail/.jpg</v>
      </c>
      <c r="F45" s="38" t="s">
        <v>1116</v>
      </c>
      <c r="G45" s="38" t="s">
        <v>1319</v>
      </c>
      <c r="H45" s="38">
        <f>データ!C45</f>
        <v>0</v>
      </c>
      <c r="I45" s="38" t="s">
        <v>1024</v>
      </c>
      <c r="J45" s="38" t="s">
        <v>1320</v>
      </c>
      <c r="K45" s="38">
        <f>データ!D45</f>
        <v>0</v>
      </c>
      <c r="L45" s="38" t="s">
        <v>1024</v>
      </c>
      <c r="M45" s="38" t="s">
        <v>1321</v>
      </c>
      <c r="N45" s="38">
        <f>データ!E45</f>
        <v>0</v>
      </c>
      <c r="O45" s="38" t="s">
        <v>1024</v>
      </c>
      <c r="P45" s="38" t="s">
        <v>1319</v>
      </c>
      <c r="Q45" s="38">
        <f>データ!F45</f>
        <v>0</v>
      </c>
      <c r="R45" s="38" t="s">
        <v>1024</v>
      </c>
      <c r="S45" s="38" t="s">
        <v>1319</v>
      </c>
      <c r="T45" s="39">
        <f>データ!G45</f>
        <v>0</v>
      </c>
      <c r="U45" s="40" t="s">
        <v>1024</v>
      </c>
      <c r="V45" s="40" t="s">
        <v>1319</v>
      </c>
      <c r="W45" s="39">
        <f>データ!H45</f>
        <v>0</v>
      </c>
      <c r="X45" s="40" t="s">
        <v>1024</v>
      </c>
      <c r="Y45" s="40" t="s">
        <v>1319</v>
      </c>
      <c r="Z45" s="39">
        <f>データ!I45</f>
        <v>0</v>
      </c>
      <c r="AA45" s="40" t="s">
        <v>1024</v>
      </c>
      <c r="AB45" s="40" t="s">
        <v>1322</v>
      </c>
      <c r="AC45" s="39">
        <f>データ!J45</f>
        <v>0</v>
      </c>
      <c r="AD45" s="38" t="s">
        <v>1024</v>
      </c>
      <c r="AE45" s="40" t="s">
        <v>1323</v>
      </c>
      <c r="AF45" s="39">
        <f>データ!K45</f>
        <v>0</v>
      </c>
      <c r="AG45" s="40" t="s">
        <v>1024</v>
      </c>
      <c r="AH45" s="40" t="s">
        <v>1324</v>
      </c>
      <c r="AI45" s="39">
        <f>データ!L45</f>
        <v>0</v>
      </c>
      <c r="AJ45" s="10" t="s">
        <v>1113</v>
      </c>
      <c r="AK45" s="39" t="e">
        <f>データ!M45</f>
        <v>#N/A</v>
      </c>
      <c r="AL45" s="10" t="s">
        <v>1024</v>
      </c>
      <c r="AM45" s="40" t="s">
        <v>1325</v>
      </c>
      <c r="AN45" s="39">
        <f>データ!N45</f>
        <v>0</v>
      </c>
      <c r="AO45" s="10" t="s">
        <v>1113</v>
      </c>
      <c r="AP45" s="39" t="e">
        <f>データ!O45</f>
        <v>#N/A</v>
      </c>
      <c r="AQ45" s="41" t="s">
        <v>1024</v>
      </c>
      <c r="AR45" s="40" t="s">
        <v>1324</v>
      </c>
      <c r="AS45" s="39">
        <f>データ!P45</f>
        <v>0</v>
      </c>
      <c r="AT45" s="10" t="s">
        <v>1113</v>
      </c>
      <c r="AU45" s="39" t="e">
        <f>データ!Q45</f>
        <v>#N/A</v>
      </c>
      <c r="AV45" s="10" t="s">
        <v>1024</v>
      </c>
      <c r="AW45" s="40" t="s">
        <v>1324</v>
      </c>
      <c r="AX45" s="39">
        <f>データ!R45</f>
        <v>0</v>
      </c>
      <c r="AY45" s="10" t="s">
        <v>1113</v>
      </c>
      <c r="AZ45" s="39" t="e">
        <f>データ!S45</f>
        <v>#N/A</v>
      </c>
      <c r="BA45" s="41" t="s">
        <v>1024</v>
      </c>
      <c r="BB45" s="40" t="s">
        <v>1319</v>
      </c>
      <c r="BC45" s="39">
        <f>データ!T45</f>
        <v>0</v>
      </c>
      <c r="BD45" s="41" t="s">
        <v>1024</v>
      </c>
      <c r="BE45" s="40" t="s">
        <v>1320</v>
      </c>
      <c r="BF45" s="39">
        <f>データ!U45</f>
        <v>0</v>
      </c>
      <c r="BG45" s="41" t="s">
        <v>1024</v>
      </c>
      <c r="BH45" s="40" t="s">
        <v>1319</v>
      </c>
      <c r="BI45" s="39">
        <f>データ!V45</f>
        <v>0</v>
      </c>
      <c r="BJ45" s="41" t="s">
        <v>1024</v>
      </c>
      <c r="BK45" s="10" t="s">
        <v>1019</v>
      </c>
    </row>
    <row r="46" spans="1:63" x14ac:dyDescent="0.15">
      <c r="A46" s="10" t="s">
        <v>1016</v>
      </c>
      <c r="B46" s="10" t="s">
        <v>1454</v>
      </c>
      <c r="C46" s="38" t="str">
        <f>"./images/thumbnail/"&amp;データ!B46&amp;".jpg"</f>
        <v>./images/thumbnail/.jpg</v>
      </c>
      <c r="D46" s="38" t="s">
        <v>1455</v>
      </c>
      <c r="E46" s="38" t="str">
        <f>"./images/thumbnail/"&amp;データ!B46&amp;".jpg"</f>
        <v>./images/thumbnail/.jpg</v>
      </c>
      <c r="F46" s="38" t="s">
        <v>1116</v>
      </c>
      <c r="G46" s="38" t="s">
        <v>1319</v>
      </c>
      <c r="H46" s="38">
        <f>データ!C46</f>
        <v>0</v>
      </c>
      <c r="I46" s="38" t="s">
        <v>1024</v>
      </c>
      <c r="J46" s="38" t="s">
        <v>1320</v>
      </c>
      <c r="K46" s="38">
        <f>データ!D46</f>
        <v>0</v>
      </c>
      <c r="L46" s="38" t="s">
        <v>1024</v>
      </c>
      <c r="M46" s="38" t="s">
        <v>1321</v>
      </c>
      <c r="N46" s="38">
        <f>データ!E46</f>
        <v>0</v>
      </c>
      <c r="O46" s="38" t="s">
        <v>1024</v>
      </c>
      <c r="P46" s="38" t="s">
        <v>1319</v>
      </c>
      <c r="Q46" s="38">
        <f>データ!F46</f>
        <v>0</v>
      </c>
      <c r="R46" s="38" t="s">
        <v>1024</v>
      </c>
      <c r="S46" s="38" t="s">
        <v>1319</v>
      </c>
      <c r="T46" s="39">
        <f>データ!G46</f>
        <v>0</v>
      </c>
      <c r="U46" s="40" t="s">
        <v>1024</v>
      </c>
      <c r="V46" s="40" t="s">
        <v>1319</v>
      </c>
      <c r="W46" s="39">
        <f>データ!H46</f>
        <v>0</v>
      </c>
      <c r="X46" s="40" t="s">
        <v>1024</v>
      </c>
      <c r="Y46" s="40" t="s">
        <v>1319</v>
      </c>
      <c r="Z46" s="39">
        <f>データ!I46</f>
        <v>0</v>
      </c>
      <c r="AA46" s="40" t="s">
        <v>1024</v>
      </c>
      <c r="AB46" s="40" t="s">
        <v>1322</v>
      </c>
      <c r="AC46" s="39">
        <f>データ!J46</f>
        <v>0</v>
      </c>
      <c r="AD46" s="38" t="s">
        <v>1024</v>
      </c>
      <c r="AE46" s="40" t="s">
        <v>1323</v>
      </c>
      <c r="AF46" s="39">
        <f>データ!K46</f>
        <v>0</v>
      </c>
      <c r="AG46" s="40" t="s">
        <v>1024</v>
      </c>
      <c r="AH46" s="40" t="s">
        <v>1324</v>
      </c>
      <c r="AI46" s="39">
        <f>データ!L46</f>
        <v>0</v>
      </c>
      <c r="AJ46" s="10" t="s">
        <v>1113</v>
      </c>
      <c r="AK46" s="39" t="e">
        <f>データ!M46</f>
        <v>#N/A</v>
      </c>
      <c r="AL46" s="10" t="s">
        <v>1024</v>
      </c>
      <c r="AM46" s="40" t="s">
        <v>1325</v>
      </c>
      <c r="AN46" s="39">
        <f>データ!N46</f>
        <v>0</v>
      </c>
      <c r="AO46" s="10" t="s">
        <v>1113</v>
      </c>
      <c r="AP46" s="39" t="e">
        <f>データ!O46</f>
        <v>#N/A</v>
      </c>
      <c r="AQ46" s="41" t="s">
        <v>1024</v>
      </c>
      <c r="AR46" s="40" t="s">
        <v>1324</v>
      </c>
      <c r="AS46" s="39">
        <f>データ!P46</f>
        <v>0</v>
      </c>
      <c r="AT46" s="10" t="s">
        <v>1113</v>
      </c>
      <c r="AU46" s="39" t="e">
        <f>データ!Q46</f>
        <v>#N/A</v>
      </c>
      <c r="AV46" s="10" t="s">
        <v>1024</v>
      </c>
      <c r="AW46" s="40" t="s">
        <v>1324</v>
      </c>
      <c r="AX46" s="39">
        <f>データ!R46</f>
        <v>0</v>
      </c>
      <c r="AY46" s="10" t="s">
        <v>1113</v>
      </c>
      <c r="AZ46" s="39" t="e">
        <f>データ!S46</f>
        <v>#N/A</v>
      </c>
      <c r="BA46" s="41" t="s">
        <v>1024</v>
      </c>
      <c r="BB46" s="40" t="s">
        <v>1319</v>
      </c>
      <c r="BC46" s="39">
        <f>データ!T46</f>
        <v>0</v>
      </c>
      <c r="BD46" s="41" t="s">
        <v>1024</v>
      </c>
      <c r="BE46" s="40" t="s">
        <v>1320</v>
      </c>
      <c r="BF46" s="39">
        <f>データ!U46</f>
        <v>0</v>
      </c>
      <c r="BG46" s="41" t="s">
        <v>1024</v>
      </c>
      <c r="BH46" s="40" t="s">
        <v>1319</v>
      </c>
      <c r="BI46" s="39">
        <f>データ!V46</f>
        <v>0</v>
      </c>
      <c r="BJ46" s="41" t="s">
        <v>1024</v>
      </c>
      <c r="BK46" s="10" t="s">
        <v>1019</v>
      </c>
    </row>
    <row r="47" spans="1:63" x14ac:dyDescent="0.15">
      <c r="A47" s="10" t="s">
        <v>1016</v>
      </c>
      <c r="B47" s="10" t="s">
        <v>1454</v>
      </c>
      <c r="C47" s="38" t="str">
        <f>"./images/thumbnail/"&amp;データ!B47&amp;".jpg"</f>
        <v>./images/thumbnail/.jpg</v>
      </c>
      <c r="D47" s="38" t="s">
        <v>1455</v>
      </c>
      <c r="E47" s="38" t="str">
        <f>"./images/thumbnail/"&amp;データ!B47&amp;".jpg"</f>
        <v>./images/thumbnail/.jpg</v>
      </c>
      <c r="F47" s="38" t="s">
        <v>1116</v>
      </c>
      <c r="G47" s="38" t="s">
        <v>1319</v>
      </c>
      <c r="H47" s="38">
        <f>データ!C47</f>
        <v>0</v>
      </c>
      <c r="I47" s="38" t="s">
        <v>1024</v>
      </c>
      <c r="J47" s="38" t="s">
        <v>1320</v>
      </c>
      <c r="K47" s="38">
        <f>データ!D47</f>
        <v>0</v>
      </c>
      <c r="L47" s="38" t="s">
        <v>1024</v>
      </c>
      <c r="M47" s="38" t="s">
        <v>1321</v>
      </c>
      <c r="N47" s="38">
        <f>データ!E47</f>
        <v>0</v>
      </c>
      <c r="O47" s="38" t="s">
        <v>1024</v>
      </c>
      <c r="P47" s="38" t="s">
        <v>1319</v>
      </c>
      <c r="Q47" s="38">
        <f>データ!F47</f>
        <v>0</v>
      </c>
      <c r="R47" s="38" t="s">
        <v>1024</v>
      </c>
      <c r="S47" s="38" t="s">
        <v>1319</v>
      </c>
      <c r="T47" s="39">
        <f>データ!G47</f>
        <v>0</v>
      </c>
      <c r="U47" s="40" t="s">
        <v>1024</v>
      </c>
      <c r="V47" s="40" t="s">
        <v>1319</v>
      </c>
      <c r="W47" s="39">
        <f>データ!H47</f>
        <v>0</v>
      </c>
      <c r="X47" s="40" t="s">
        <v>1024</v>
      </c>
      <c r="Y47" s="40" t="s">
        <v>1319</v>
      </c>
      <c r="Z47" s="39">
        <f>データ!I47</f>
        <v>0</v>
      </c>
      <c r="AA47" s="40" t="s">
        <v>1024</v>
      </c>
      <c r="AB47" s="40" t="s">
        <v>1322</v>
      </c>
      <c r="AC47" s="39">
        <f>データ!J47</f>
        <v>0</v>
      </c>
      <c r="AD47" s="38" t="s">
        <v>1024</v>
      </c>
      <c r="AE47" s="40" t="s">
        <v>1323</v>
      </c>
      <c r="AF47" s="39">
        <f>データ!K47</f>
        <v>0</v>
      </c>
      <c r="AG47" s="40" t="s">
        <v>1024</v>
      </c>
      <c r="AH47" s="40" t="s">
        <v>1324</v>
      </c>
      <c r="AI47" s="39">
        <f>データ!L47</f>
        <v>0</v>
      </c>
      <c r="AJ47" s="10" t="s">
        <v>1113</v>
      </c>
      <c r="AK47" s="39" t="e">
        <f>データ!M47</f>
        <v>#N/A</v>
      </c>
      <c r="AL47" s="10" t="s">
        <v>1024</v>
      </c>
      <c r="AM47" s="40" t="s">
        <v>1325</v>
      </c>
      <c r="AN47" s="39">
        <f>データ!N47</f>
        <v>0</v>
      </c>
      <c r="AO47" s="10" t="s">
        <v>1113</v>
      </c>
      <c r="AP47" s="39" t="e">
        <f>データ!O47</f>
        <v>#N/A</v>
      </c>
      <c r="AQ47" s="41" t="s">
        <v>1024</v>
      </c>
      <c r="AR47" s="40" t="s">
        <v>1324</v>
      </c>
      <c r="AS47" s="39">
        <f>データ!P47</f>
        <v>0</v>
      </c>
      <c r="AT47" s="10" t="s">
        <v>1113</v>
      </c>
      <c r="AU47" s="39" t="e">
        <f>データ!Q47</f>
        <v>#N/A</v>
      </c>
      <c r="AV47" s="10" t="s">
        <v>1024</v>
      </c>
      <c r="AW47" s="40" t="s">
        <v>1324</v>
      </c>
      <c r="AX47" s="39">
        <f>データ!R47</f>
        <v>0</v>
      </c>
      <c r="AY47" s="10" t="s">
        <v>1113</v>
      </c>
      <c r="AZ47" s="39" t="e">
        <f>データ!S47</f>
        <v>#N/A</v>
      </c>
      <c r="BA47" s="41" t="s">
        <v>1024</v>
      </c>
      <c r="BB47" s="40" t="s">
        <v>1319</v>
      </c>
      <c r="BC47" s="39">
        <f>データ!T47</f>
        <v>0</v>
      </c>
      <c r="BD47" s="41" t="s">
        <v>1024</v>
      </c>
      <c r="BE47" s="40" t="s">
        <v>1320</v>
      </c>
      <c r="BF47" s="39">
        <f>データ!U47</f>
        <v>0</v>
      </c>
      <c r="BG47" s="41" t="s">
        <v>1024</v>
      </c>
      <c r="BH47" s="40" t="s">
        <v>1319</v>
      </c>
      <c r="BI47" s="39">
        <f>データ!V47</f>
        <v>0</v>
      </c>
      <c r="BJ47" s="41" t="s">
        <v>1024</v>
      </c>
      <c r="BK47" s="10" t="s">
        <v>1019</v>
      </c>
    </row>
    <row r="48" spans="1:63" x14ac:dyDescent="0.15">
      <c r="A48" s="10" t="s">
        <v>1016</v>
      </c>
      <c r="B48" s="10" t="s">
        <v>1454</v>
      </c>
      <c r="C48" s="38" t="str">
        <f>"./images/thumbnail/"&amp;データ!B48&amp;".jpg"</f>
        <v>./images/thumbnail/.jpg</v>
      </c>
      <c r="D48" s="38" t="s">
        <v>1455</v>
      </c>
      <c r="E48" s="38" t="str">
        <f>"./images/thumbnail/"&amp;データ!B48&amp;".jpg"</f>
        <v>./images/thumbnail/.jpg</v>
      </c>
      <c r="F48" s="38" t="s">
        <v>1116</v>
      </c>
      <c r="G48" s="38" t="s">
        <v>1319</v>
      </c>
      <c r="H48" s="38">
        <f>データ!C48</f>
        <v>0</v>
      </c>
      <c r="I48" s="38" t="s">
        <v>1024</v>
      </c>
      <c r="J48" s="38" t="s">
        <v>1320</v>
      </c>
      <c r="K48" s="38">
        <f>データ!D48</f>
        <v>0</v>
      </c>
      <c r="L48" s="38" t="s">
        <v>1024</v>
      </c>
      <c r="M48" s="38" t="s">
        <v>1321</v>
      </c>
      <c r="N48" s="38">
        <f>データ!E48</f>
        <v>0</v>
      </c>
      <c r="O48" s="38" t="s">
        <v>1024</v>
      </c>
      <c r="P48" s="38" t="s">
        <v>1319</v>
      </c>
      <c r="Q48" s="38">
        <f>データ!F48</f>
        <v>0</v>
      </c>
      <c r="R48" s="38" t="s">
        <v>1024</v>
      </c>
      <c r="S48" s="38" t="s">
        <v>1319</v>
      </c>
      <c r="T48" s="39">
        <f>データ!G48</f>
        <v>0</v>
      </c>
      <c r="U48" s="40" t="s">
        <v>1024</v>
      </c>
      <c r="V48" s="40" t="s">
        <v>1319</v>
      </c>
      <c r="W48" s="39">
        <f>データ!H48</f>
        <v>0</v>
      </c>
      <c r="X48" s="40" t="s">
        <v>1024</v>
      </c>
      <c r="Y48" s="40" t="s">
        <v>1319</v>
      </c>
      <c r="Z48" s="39">
        <f>データ!I48</f>
        <v>0</v>
      </c>
      <c r="AA48" s="40" t="s">
        <v>1024</v>
      </c>
      <c r="AB48" s="40" t="s">
        <v>1322</v>
      </c>
      <c r="AC48" s="39">
        <f>データ!J48</f>
        <v>0</v>
      </c>
      <c r="AD48" s="38" t="s">
        <v>1024</v>
      </c>
      <c r="AE48" s="40" t="s">
        <v>1323</v>
      </c>
      <c r="AF48" s="39">
        <f>データ!K48</f>
        <v>0</v>
      </c>
      <c r="AG48" s="40" t="s">
        <v>1024</v>
      </c>
      <c r="AH48" s="40" t="s">
        <v>1324</v>
      </c>
      <c r="AI48" s="39">
        <f>データ!L48</f>
        <v>0</v>
      </c>
      <c r="AJ48" s="10" t="s">
        <v>1113</v>
      </c>
      <c r="AK48" s="39" t="e">
        <f>データ!M48</f>
        <v>#N/A</v>
      </c>
      <c r="AL48" s="10" t="s">
        <v>1024</v>
      </c>
      <c r="AM48" s="40" t="s">
        <v>1325</v>
      </c>
      <c r="AN48" s="39">
        <f>データ!N48</f>
        <v>0</v>
      </c>
      <c r="AO48" s="10" t="s">
        <v>1113</v>
      </c>
      <c r="AP48" s="39" t="e">
        <f>データ!O48</f>
        <v>#N/A</v>
      </c>
      <c r="AQ48" s="41" t="s">
        <v>1024</v>
      </c>
      <c r="AR48" s="40" t="s">
        <v>1324</v>
      </c>
      <c r="AS48" s="39">
        <f>データ!P48</f>
        <v>0</v>
      </c>
      <c r="AT48" s="10" t="s">
        <v>1113</v>
      </c>
      <c r="AU48" s="39" t="e">
        <f>データ!Q48</f>
        <v>#N/A</v>
      </c>
      <c r="AV48" s="10" t="s">
        <v>1024</v>
      </c>
      <c r="AW48" s="40" t="s">
        <v>1324</v>
      </c>
      <c r="AX48" s="39">
        <f>データ!R48</f>
        <v>0</v>
      </c>
      <c r="AY48" s="10" t="s">
        <v>1113</v>
      </c>
      <c r="AZ48" s="39" t="e">
        <f>データ!S48</f>
        <v>#N/A</v>
      </c>
      <c r="BA48" s="41" t="s">
        <v>1024</v>
      </c>
      <c r="BB48" s="40" t="s">
        <v>1319</v>
      </c>
      <c r="BC48" s="39">
        <f>データ!T48</f>
        <v>0</v>
      </c>
      <c r="BD48" s="41" t="s">
        <v>1024</v>
      </c>
      <c r="BE48" s="40" t="s">
        <v>1320</v>
      </c>
      <c r="BF48" s="39">
        <f>データ!U48</f>
        <v>0</v>
      </c>
      <c r="BG48" s="41" t="s">
        <v>1024</v>
      </c>
      <c r="BH48" s="40" t="s">
        <v>1319</v>
      </c>
      <c r="BI48" s="39">
        <f>データ!V48</f>
        <v>0</v>
      </c>
      <c r="BJ48" s="41" t="s">
        <v>1024</v>
      </c>
      <c r="BK48" s="10" t="s">
        <v>1019</v>
      </c>
    </row>
    <row r="49" spans="1:63" x14ac:dyDescent="0.15">
      <c r="A49" s="10" t="s">
        <v>1016</v>
      </c>
      <c r="B49" s="10" t="s">
        <v>1454</v>
      </c>
      <c r="C49" s="38" t="str">
        <f>"./images/thumbnail/"&amp;データ!B49&amp;".jpg"</f>
        <v>./images/thumbnail/.jpg</v>
      </c>
      <c r="D49" s="38" t="s">
        <v>1455</v>
      </c>
      <c r="E49" s="38" t="str">
        <f>"./images/thumbnail/"&amp;データ!B49&amp;".jpg"</f>
        <v>./images/thumbnail/.jpg</v>
      </c>
      <c r="F49" s="38" t="s">
        <v>1116</v>
      </c>
      <c r="G49" s="38" t="s">
        <v>1319</v>
      </c>
      <c r="H49" s="38">
        <f>データ!C49</f>
        <v>0</v>
      </c>
      <c r="I49" s="38" t="s">
        <v>1024</v>
      </c>
      <c r="J49" s="38" t="s">
        <v>1320</v>
      </c>
      <c r="K49" s="38">
        <f>データ!D49</f>
        <v>0</v>
      </c>
      <c r="L49" s="38" t="s">
        <v>1024</v>
      </c>
      <c r="M49" s="38" t="s">
        <v>1321</v>
      </c>
      <c r="N49" s="38">
        <f>データ!E49</f>
        <v>0</v>
      </c>
      <c r="O49" s="38" t="s">
        <v>1024</v>
      </c>
      <c r="P49" s="38" t="s">
        <v>1319</v>
      </c>
      <c r="Q49" s="38">
        <f>データ!F49</f>
        <v>0</v>
      </c>
      <c r="R49" s="38" t="s">
        <v>1024</v>
      </c>
      <c r="S49" s="38" t="s">
        <v>1319</v>
      </c>
      <c r="T49" s="39">
        <f>データ!G49</f>
        <v>0</v>
      </c>
      <c r="U49" s="40" t="s">
        <v>1024</v>
      </c>
      <c r="V49" s="40" t="s">
        <v>1319</v>
      </c>
      <c r="W49" s="39">
        <f>データ!H49</f>
        <v>0</v>
      </c>
      <c r="X49" s="40" t="s">
        <v>1024</v>
      </c>
      <c r="Y49" s="40" t="s">
        <v>1319</v>
      </c>
      <c r="Z49" s="39">
        <f>データ!I49</f>
        <v>0</v>
      </c>
      <c r="AA49" s="40" t="s">
        <v>1024</v>
      </c>
      <c r="AB49" s="40" t="s">
        <v>1322</v>
      </c>
      <c r="AC49" s="39">
        <f>データ!J49</f>
        <v>0</v>
      </c>
      <c r="AD49" s="38" t="s">
        <v>1024</v>
      </c>
      <c r="AE49" s="40" t="s">
        <v>1323</v>
      </c>
      <c r="AF49" s="39">
        <f>データ!K49</f>
        <v>0</v>
      </c>
      <c r="AG49" s="40" t="s">
        <v>1024</v>
      </c>
      <c r="AH49" s="40" t="s">
        <v>1324</v>
      </c>
      <c r="AI49" s="39">
        <f>データ!L49</f>
        <v>0</v>
      </c>
      <c r="AJ49" s="10" t="s">
        <v>1113</v>
      </c>
      <c r="AK49" s="39" t="e">
        <f>データ!M49</f>
        <v>#N/A</v>
      </c>
      <c r="AL49" s="10" t="s">
        <v>1024</v>
      </c>
      <c r="AM49" s="40" t="s">
        <v>1325</v>
      </c>
      <c r="AN49" s="39">
        <f>データ!N49</f>
        <v>0</v>
      </c>
      <c r="AO49" s="10" t="s">
        <v>1113</v>
      </c>
      <c r="AP49" s="39" t="e">
        <f>データ!O49</f>
        <v>#N/A</v>
      </c>
      <c r="AQ49" s="41" t="s">
        <v>1024</v>
      </c>
      <c r="AR49" s="40" t="s">
        <v>1324</v>
      </c>
      <c r="AS49" s="39">
        <f>データ!P49</f>
        <v>0</v>
      </c>
      <c r="AT49" s="10" t="s">
        <v>1113</v>
      </c>
      <c r="AU49" s="39" t="e">
        <f>データ!Q49</f>
        <v>#N/A</v>
      </c>
      <c r="AV49" s="10" t="s">
        <v>1024</v>
      </c>
      <c r="AW49" s="40" t="s">
        <v>1324</v>
      </c>
      <c r="AX49" s="39">
        <f>データ!R49</f>
        <v>0</v>
      </c>
      <c r="AY49" s="10" t="s">
        <v>1113</v>
      </c>
      <c r="AZ49" s="39" t="e">
        <f>データ!S49</f>
        <v>#N/A</v>
      </c>
      <c r="BA49" s="41" t="s">
        <v>1024</v>
      </c>
      <c r="BB49" s="40" t="s">
        <v>1319</v>
      </c>
      <c r="BC49" s="39">
        <f>データ!T49</f>
        <v>0</v>
      </c>
      <c r="BD49" s="41" t="s">
        <v>1024</v>
      </c>
      <c r="BE49" s="40" t="s">
        <v>1320</v>
      </c>
      <c r="BF49" s="39">
        <f>データ!U49</f>
        <v>0</v>
      </c>
      <c r="BG49" s="41" t="s">
        <v>1024</v>
      </c>
      <c r="BH49" s="40" t="s">
        <v>1319</v>
      </c>
      <c r="BI49" s="39">
        <f>データ!V49</f>
        <v>0</v>
      </c>
      <c r="BJ49" s="41" t="s">
        <v>1024</v>
      </c>
      <c r="BK49" s="10" t="s">
        <v>1019</v>
      </c>
    </row>
    <row r="50" spans="1:63" x14ac:dyDescent="0.15">
      <c r="A50" s="10" t="s">
        <v>1016</v>
      </c>
      <c r="B50" s="10" t="s">
        <v>1454</v>
      </c>
      <c r="C50" s="38" t="str">
        <f>"./images/thumbnail/"&amp;データ!B50&amp;".jpg"</f>
        <v>./images/thumbnail/.jpg</v>
      </c>
      <c r="D50" s="38" t="s">
        <v>1455</v>
      </c>
      <c r="E50" s="38" t="str">
        <f>"./images/thumbnail/"&amp;データ!B50&amp;".jpg"</f>
        <v>./images/thumbnail/.jpg</v>
      </c>
      <c r="F50" s="38" t="s">
        <v>1116</v>
      </c>
      <c r="G50" s="38" t="s">
        <v>1319</v>
      </c>
      <c r="H50" s="38">
        <f>データ!C50</f>
        <v>0</v>
      </c>
      <c r="I50" s="38" t="s">
        <v>1024</v>
      </c>
      <c r="J50" s="38" t="s">
        <v>1320</v>
      </c>
      <c r="K50" s="38">
        <f>データ!D50</f>
        <v>0</v>
      </c>
      <c r="L50" s="38" t="s">
        <v>1024</v>
      </c>
      <c r="M50" s="38" t="s">
        <v>1321</v>
      </c>
      <c r="N50" s="38">
        <f>データ!E50</f>
        <v>0</v>
      </c>
      <c r="O50" s="38" t="s">
        <v>1024</v>
      </c>
      <c r="P50" s="38" t="s">
        <v>1319</v>
      </c>
      <c r="Q50" s="38">
        <f>データ!F50</f>
        <v>0</v>
      </c>
      <c r="R50" s="38" t="s">
        <v>1024</v>
      </c>
      <c r="S50" s="38" t="s">
        <v>1319</v>
      </c>
      <c r="T50" s="39">
        <f>データ!G50</f>
        <v>0</v>
      </c>
      <c r="U50" s="40" t="s">
        <v>1024</v>
      </c>
      <c r="V50" s="40" t="s">
        <v>1319</v>
      </c>
      <c r="W50" s="39">
        <f>データ!H50</f>
        <v>0</v>
      </c>
      <c r="X50" s="40" t="s">
        <v>1024</v>
      </c>
      <c r="Y50" s="40" t="s">
        <v>1319</v>
      </c>
      <c r="Z50" s="39">
        <f>データ!I50</f>
        <v>0</v>
      </c>
      <c r="AA50" s="40" t="s">
        <v>1024</v>
      </c>
      <c r="AB50" s="40" t="s">
        <v>1322</v>
      </c>
      <c r="AC50" s="39">
        <f>データ!J50</f>
        <v>0</v>
      </c>
      <c r="AD50" s="38" t="s">
        <v>1024</v>
      </c>
      <c r="AE50" s="40" t="s">
        <v>1323</v>
      </c>
      <c r="AF50" s="39">
        <f>データ!K50</f>
        <v>0</v>
      </c>
      <c r="AG50" s="40" t="s">
        <v>1024</v>
      </c>
      <c r="AH50" s="40" t="s">
        <v>1324</v>
      </c>
      <c r="AI50" s="39">
        <f>データ!L50</f>
        <v>0</v>
      </c>
      <c r="AJ50" s="10" t="s">
        <v>1113</v>
      </c>
      <c r="AK50" s="39" t="e">
        <f>データ!M50</f>
        <v>#N/A</v>
      </c>
      <c r="AL50" s="10" t="s">
        <v>1024</v>
      </c>
      <c r="AM50" s="40" t="s">
        <v>1325</v>
      </c>
      <c r="AN50" s="39">
        <f>データ!N50</f>
        <v>0</v>
      </c>
      <c r="AO50" s="10" t="s">
        <v>1113</v>
      </c>
      <c r="AP50" s="39" t="e">
        <f>データ!O50</f>
        <v>#N/A</v>
      </c>
      <c r="AQ50" s="41" t="s">
        <v>1024</v>
      </c>
      <c r="AR50" s="40" t="s">
        <v>1324</v>
      </c>
      <c r="AS50" s="39">
        <f>データ!P50</f>
        <v>0</v>
      </c>
      <c r="AT50" s="10" t="s">
        <v>1113</v>
      </c>
      <c r="AU50" s="39" t="e">
        <f>データ!Q50</f>
        <v>#N/A</v>
      </c>
      <c r="AV50" s="10" t="s">
        <v>1024</v>
      </c>
      <c r="AW50" s="40" t="s">
        <v>1324</v>
      </c>
      <c r="AX50" s="39">
        <f>データ!R50</f>
        <v>0</v>
      </c>
      <c r="AY50" s="10" t="s">
        <v>1113</v>
      </c>
      <c r="AZ50" s="39" t="e">
        <f>データ!S50</f>
        <v>#N/A</v>
      </c>
      <c r="BA50" s="41" t="s">
        <v>1024</v>
      </c>
      <c r="BB50" s="40" t="s">
        <v>1319</v>
      </c>
      <c r="BC50" s="39">
        <f>データ!T50</f>
        <v>0</v>
      </c>
      <c r="BD50" s="41" t="s">
        <v>1024</v>
      </c>
      <c r="BE50" s="40" t="s">
        <v>1320</v>
      </c>
      <c r="BF50" s="39">
        <f>データ!U50</f>
        <v>0</v>
      </c>
      <c r="BG50" s="41" t="s">
        <v>1024</v>
      </c>
      <c r="BH50" s="40" t="s">
        <v>1319</v>
      </c>
      <c r="BI50" s="39">
        <f>データ!V50</f>
        <v>0</v>
      </c>
      <c r="BJ50" s="41" t="s">
        <v>1024</v>
      </c>
      <c r="BK50" s="10" t="s">
        <v>1019</v>
      </c>
    </row>
    <row r="51" spans="1:63" x14ac:dyDescent="0.15">
      <c r="A51" s="10" t="s">
        <v>1016</v>
      </c>
      <c r="B51" s="10" t="s">
        <v>1454</v>
      </c>
      <c r="C51" s="38" t="str">
        <f>"./images/thumbnail/"&amp;データ!B51&amp;".jpg"</f>
        <v>./images/thumbnail/.jpg</v>
      </c>
      <c r="D51" s="38" t="s">
        <v>1455</v>
      </c>
      <c r="E51" s="38" t="str">
        <f>"./images/thumbnail/"&amp;データ!B51&amp;".jpg"</f>
        <v>./images/thumbnail/.jpg</v>
      </c>
      <c r="F51" s="38" t="s">
        <v>1116</v>
      </c>
      <c r="G51" s="38" t="s">
        <v>1319</v>
      </c>
      <c r="H51" s="38">
        <f>データ!C51</f>
        <v>0</v>
      </c>
      <c r="I51" s="38" t="s">
        <v>1024</v>
      </c>
      <c r="J51" s="38" t="s">
        <v>1320</v>
      </c>
      <c r="K51" s="38">
        <f>データ!D51</f>
        <v>0</v>
      </c>
      <c r="L51" s="38" t="s">
        <v>1024</v>
      </c>
      <c r="M51" s="38" t="s">
        <v>1321</v>
      </c>
      <c r="N51" s="38">
        <f>データ!E51</f>
        <v>0</v>
      </c>
      <c r="O51" s="38" t="s">
        <v>1024</v>
      </c>
      <c r="P51" s="38" t="s">
        <v>1319</v>
      </c>
      <c r="Q51" s="38">
        <f>データ!F51</f>
        <v>0</v>
      </c>
      <c r="R51" s="38" t="s">
        <v>1024</v>
      </c>
      <c r="S51" s="38" t="s">
        <v>1319</v>
      </c>
      <c r="T51" s="39">
        <f>データ!G51</f>
        <v>0</v>
      </c>
      <c r="U51" s="40" t="s">
        <v>1024</v>
      </c>
      <c r="V51" s="40" t="s">
        <v>1319</v>
      </c>
      <c r="W51" s="39">
        <f>データ!H51</f>
        <v>0</v>
      </c>
      <c r="X51" s="40" t="s">
        <v>1024</v>
      </c>
      <c r="Y51" s="40" t="s">
        <v>1319</v>
      </c>
      <c r="Z51" s="39">
        <f>データ!I51</f>
        <v>0</v>
      </c>
      <c r="AA51" s="40" t="s">
        <v>1024</v>
      </c>
      <c r="AB51" s="40" t="s">
        <v>1322</v>
      </c>
      <c r="AC51" s="39">
        <f>データ!J51</f>
        <v>0</v>
      </c>
      <c r="AD51" s="38" t="s">
        <v>1024</v>
      </c>
      <c r="AE51" s="40" t="s">
        <v>1323</v>
      </c>
      <c r="AF51" s="39">
        <f>データ!K51</f>
        <v>0</v>
      </c>
      <c r="AG51" s="40" t="s">
        <v>1024</v>
      </c>
      <c r="AH51" s="40" t="s">
        <v>1324</v>
      </c>
      <c r="AI51" s="39">
        <f>データ!L51</f>
        <v>0</v>
      </c>
      <c r="AJ51" s="10" t="s">
        <v>1113</v>
      </c>
      <c r="AK51" s="39" t="e">
        <f>データ!M51</f>
        <v>#N/A</v>
      </c>
      <c r="AL51" s="10" t="s">
        <v>1024</v>
      </c>
      <c r="AM51" s="40" t="s">
        <v>1325</v>
      </c>
      <c r="AN51" s="39">
        <f>データ!N51</f>
        <v>0</v>
      </c>
      <c r="AO51" s="10" t="s">
        <v>1113</v>
      </c>
      <c r="AP51" s="39" t="e">
        <f>データ!O51</f>
        <v>#N/A</v>
      </c>
      <c r="AQ51" s="41" t="s">
        <v>1024</v>
      </c>
      <c r="AR51" s="40" t="s">
        <v>1324</v>
      </c>
      <c r="AS51" s="39">
        <f>データ!P51</f>
        <v>0</v>
      </c>
      <c r="AT51" s="10" t="s">
        <v>1113</v>
      </c>
      <c r="AU51" s="39" t="e">
        <f>データ!Q51</f>
        <v>#N/A</v>
      </c>
      <c r="AV51" s="10" t="s">
        <v>1024</v>
      </c>
      <c r="AW51" s="40" t="s">
        <v>1324</v>
      </c>
      <c r="AX51" s="39">
        <f>データ!R51</f>
        <v>0</v>
      </c>
      <c r="AY51" s="10" t="s">
        <v>1113</v>
      </c>
      <c r="AZ51" s="39" t="e">
        <f>データ!S51</f>
        <v>#N/A</v>
      </c>
      <c r="BA51" s="41" t="s">
        <v>1024</v>
      </c>
      <c r="BB51" s="40" t="s">
        <v>1319</v>
      </c>
      <c r="BC51" s="39">
        <f>データ!T51</f>
        <v>0</v>
      </c>
      <c r="BD51" s="41" t="s">
        <v>1024</v>
      </c>
      <c r="BE51" s="40" t="s">
        <v>1320</v>
      </c>
      <c r="BF51" s="39">
        <f>データ!U51</f>
        <v>0</v>
      </c>
      <c r="BG51" s="41" t="s">
        <v>1024</v>
      </c>
      <c r="BH51" s="40" t="s">
        <v>1319</v>
      </c>
      <c r="BI51" s="39">
        <f>データ!V51</f>
        <v>0</v>
      </c>
      <c r="BJ51" s="41" t="s">
        <v>1024</v>
      </c>
      <c r="BK51" s="10" t="s">
        <v>1019</v>
      </c>
    </row>
    <row r="52" spans="1:63" x14ac:dyDescent="0.15">
      <c r="A52" s="10" t="s">
        <v>1016</v>
      </c>
      <c r="B52" s="10" t="s">
        <v>1454</v>
      </c>
      <c r="C52" s="38" t="str">
        <f>"./images/thumbnail/"&amp;データ!B52&amp;".jpg"</f>
        <v>./images/thumbnail/.jpg</v>
      </c>
      <c r="D52" s="38" t="s">
        <v>1455</v>
      </c>
      <c r="E52" s="38" t="str">
        <f>"./images/thumbnail/"&amp;データ!B52&amp;".jpg"</f>
        <v>./images/thumbnail/.jpg</v>
      </c>
      <c r="F52" s="38" t="s">
        <v>1116</v>
      </c>
      <c r="G52" s="38" t="s">
        <v>1319</v>
      </c>
      <c r="H52" s="38">
        <f>データ!C52</f>
        <v>0</v>
      </c>
      <c r="I52" s="38" t="s">
        <v>1024</v>
      </c>
      <c r="J52" s="38" t="s">
        <v>1320</v>
      </c>
      <c r="K52" s="38">
        <f>データ!D52</f>
        <v>0</v>
      </c>
      <c r="L52" s="38" t="s">
        <v>1024</v>
      </c>
      <c r="M52" s="38" t="s">
        <v>1321</v>
      </c>
      <c r="N52" s="38">
        <f>データ!E52</f>
        <v>0</v>
      </c>
      <c r="O52" s="38" t="s">
        <v>1024</v>
      </c>
      <c r="P52" s="38" t="s">
        <v>1319</v>
      </c>
      <c r="Q52" s="38">
        <f>データ!F52</f>
        <v>0</v>
      </c>
      <c r="R52" s="38" t="s">
        <v>1024</v>
      </c>
      <c r="S52" s="38" t="s">
        <v>1319</v>
      </c>
      <c r="T52" s="39">
        <f>データ!G52</f>
        <v>0</v>
      </c>
      <c r="U52" s="40" t="s">
        <v>1024</v>
      </c>
      <c r="V52" s="40" t="s">
        <v>1319</v>
      </c>
      <c r="W52" s="39">
        <f>データ!H52</f>
        <v>0</v>
      </c>
      <c r="X52" s="40" t="s">
        <v>1024</v>
      </c>
      <c r="Y52" s="40" t="s">
        <v>1319</v>
      </c>
      <c r="Z52" s="39">
        <f>データ!I52</f>
        <v>0</v>
      </c>
      <c r="AA52" s="40" t="s">
        <v>1024</v>
      </c>
      <c r="AB52" s="40" t="s">
        <v>1322</v>
      </c>
      <c r="AC52" s="39">
        <f>データ!J52</f>
        <v>0</v>
      </c>
      <c r="AD52" s="38" t="s">
        <v>1024</v>
      </c>
      <c r="AE52" s="40" t="s">
        <v>1323</v>
      </c>
      <c r="AF52" s="39">
        <f>データ!K52</f>
        <v>0</v>
      </c>
      <c r="AG52" s="40" t="s">
        <v>1024</v>
      </c>
      <c r="AH52" s="40" t="s">
        <v>1324</v>
      </c>
      <c r="AI52" s="39">
        <f>データ!L52</f>
        <v>0</v>
      </c>
      <c r="AJ52" s="10" t="s">
        <v>1113</v>
      </c>
      <c r="AK52" s="39" t="e">
        <f>データ!M52</f>
        <v>#N/A</v>
      </c>
      <c r="AL52" s="10" t="s">
        <v>1024</v>
      </c>
      <c r="AM52" s="40" t="s">
        <v>1325</v>
      </c>
      <c r="AN52" s="39">
        <f>データ!N52</f>
        <v>0</v>
      </c>
      <c r="AO52" s="10" t="s">
        <v>1113</v>
      </c>
      <c r="AP52" s="39" t="e">
        <f>データ!O52</f>
        <v>#N/A</v>
      </c>
      <c r="AQ52" s="41" t="s">
        <v>1024</v>
      </c>
      <c r="AR52" s="40" t="s">
        <v>1324</v>
      </c>
      <c r="AS52" s="39">
        <f>データ!P52</f>
        <v>0</v>
      </c>
      <c r="AT52" s="10" t="s">
        <v>1113</v>
      </c>
      <c r="AU52" s="39" t="e">
        <f>データ!Q52</f>
        <v>#N/A</v>
      </c>
      <c r="AV52" s="10" t="s">
        <v>1024</v>
      </c>
      <c r="AW52" s="40" t="s">
        <v>1324</v>
      </c>
      <c r="AX52" s="39">
        <f>データ!R52</f>
        <v>0</v>
      </c>
      <c r="AY52" s="10" t="s">
        <v>1113</v>
      </c>
      <c r="AZ52" s="39" t="e">
        <f>データ!S52</f>
        <v>#N/A</v>
      </c>
      <c r="BA52" s="41" t="s">
        <v>1024</v>
      </c>
      <c r="BB52" s="40" t="s">
        <v>1319</v>
      </c>
      <c r="BC52" s="39">
        <f>データ!T52</f>
        <v>0</v>
      </c>
      <c r="BD52" s="41" t="s">
        <v>1024</v>
      </c>
      <c r="BE52" s="40" t="s">
        <v>1320</v>
      </c>
      <c r="BF52" s="39">
        <f>データ!U52</f>
        <v>0</v>
      </c>
      <c r="BG52" s="41" t="s">
        <v>1024</v>
      </c>
      <c r="BH52" s="40" t="s">
        <v>1319</v>
      </c>
      <c r="BI52" s="39">
        <f>データ!V52</f>
        <v>0</v>
      </c>
      <c r="BJ52" s="41" t="s">
        <v>1024</v>
      </c>
      <c r="BK52" s="10" t="s">
        <v>1019</v>
      </c>
    </row>
    <row r="53" spans="1:63" x14ac:dyDescent="0.15">
      <c r="A53" s="10" t="s">
        <v>1016</v>
      </c>
      <c r="B53" s="10" t="s">
        <v>1454</v>
      </c>
      <c r="C53" s="38" t="str">
        <f>"./images/thumbnail/"&amp;データ!B53&amp;".jpg"</f>
        <v>./images/thumbnail/.jpg</v>
      </c>
      <c r="D53" s="38" t="s">
        <v>1455</v>
      </c>
      <c r="E53" s="38" t="str">
        <f>"./images/thumbnail/"&amp;データ!B53&amp;".jpg"</f>
        <v>./images/thumbnail/.jpg</v>
      </c>
      <c r="F53" s="38" t="s">
        <v>1116</v>
      </c>
      <c r="G53" s="38" t="s">
        <v>1319</v>
      </c>
      <c r="H53" s="38">
        <f>データ!C53</f>
        <v>0</v>
      </c>
      <c r="I53" s="38" t="s">
        <v>1024</v>
      </c>
      <c r="J53" s="38" t="s">
        <v>1320</v>
      </c>
      <c r="K53" s="38">
        <f>データ!D53</f>
        <v>0</v>
      </c>
      <c r="L53" s="38" t="s">
        <v>1024</v>
      </c>
      <c r="M53" s="38" t="s">
        <v>1321</v>
      </c>
      <c r="N53" s="38">
        <f>データ!E53</f>
        <v>0</v>
      </c>
      <c r="O53" s="38" t="s">
        <v>1024</v>
      </c>
      <c r="P53" s="38" t="s">
        <v>1319</v>
      </c>
      <c r="Q53" s="38">
        <f>データ!F53</f>
        <v>0</v>
      </c>
      <c r="R53" s="38" t="s">
        <v>1024</v>
      </c>
      <c r="S53" s="38" t="s">
        <v>1319</v>
      </c>
      <c r="T53" s="39">
        <f>データ!G53</f>
        <v>0</v>
      </c>
      <c r="U53" s="40" t="s">
        <v>1024</v>
      </c>
      <c r="V53" s="40" t="s">
        <v>1319</v>
      </c>
      <c r="W53" s="39">
        <f>データ!H53</f>
        <v>0</v>
      </c>
      <c r="X53" s="40" t="s">
        <v>1024</v>
      </c>
      <c r="Y53" s="40" t="s">
        <v>1319</v>
      </c>
      <c r="Z53" s="39">
        <f>データ!I53</f>
        <v>0</v>
      </c>
      <c r="AA53" s="40" t="s">
        <v>1024</v>
      </c>
      <c r="AB53" s="40" t="s">
        <v>1322</v>
      </c>
      <c r="AC53" s="39">
        <f>データ!J53</f>
        <v>0</v>
      </c>
      <c r="AD53" s="38" t="s">
        <v>1024</v>
      </c>
      <c r="AE53" s="40" t="s">
        <v>1323</v>
      </c>
      <c r="AF53" s="39">
        <f>データ!K53</f>
        <v>0</v>
      </c>
      <c r="AG53" s="40" t="s">
        <v>1024</v>
      </c>
      <c r="AH53" s="40" t="s">
        <v>1324</v>
      </c>
      <c r="AI53" s="39">
        <f>データ!L53</f>
        <v>0</v>
      </c>
      <c r="AJ53" s="10" t="s">
        <v>1113</v>
      </c>
      <c r="AK53" s="39" t="e">
        <f>データ!M53</f>
        <v>#N/A</v>
      </c>
      <c r="AL53" s="10" t="s">
        <v>1024</v>
      </c>
      <c r="AM53" s="40" t="s">
        <v>1325</v>
      </c>
      <c r="AN53" s="39">
        <f>データ!N53</f>
        <v>0</v>
      </c>
      <c r="AO53" s="10" t="s">
        <v>1113</v>
      </c>
      <c r="AP53" s="39" t="e">
        <f>データ!O53</f>
        <v>#N/A</v>
      </c>
      <c r="AQ53" s="41" t="s">
        <v>1024</v>
      </c>
      <c r="AR53" s="40" t="s">
        <v>1324</v>
      </c>
      <c r="AS53" s="39">
        <f>データ!P53</f>
        <v>0</v>
      </c>
      <c r="AT53" s="10" t="s">
        <v>1113</v>
      </c>
      <c r="AU53" s="39" t="e">
        <f>データ!Q53</f>
        <v>#N/A</v>
      </c>
      <c r="AV53" s="10" t="s">
        <v>1024</v>
      </c>
      <c r="AW53" s="40" t="s">
        <v>1324</v>
      </c>
      <c r="AX53" s="39">
        <f>データ!R53</f>
        <v>0</v>
      </c>
      <c r="AY53" s="10" t="s">
        <v>1113</v>
      </c>
      <c r="AZ53" s="39" t="e">
        <f>データ!S53</f>
        <v>#N/A</v>
      </c>
      <c r="BA53" s="41" t="s">
        <v>1024</v>
      </c>
      <c r="BB53" s="40" t="s">
        <v>1319</v>
      </c>
      <c r="BC53" s="39">
        <f>データ!T53</f>
        <v>0</v>
      </c>
      <c r="BD53" s="41" t="s">
        <v>1024</v>
      </c>
      <c r="BE53" s="40" t="s">
        <v>1320</v>
      </c>
      <c r="BF53" s="39">
        <f>データ!U53</f>
        <v>0</v>
      </c>
      <c r="BG53" s="41" t="s">
        <v>1024</v>
      </c>
      <c r="BH53" s="40" t="s">
        <v>1319</v>
      </c>
      <c r="BI53" s="39">
        <f>データ!V53</f>
        <v>0</v>
      </c>
      <c r="BJ53" s="41" t="s">
        <v>1024</v>
      </c>
      <c r="BK53" s="10" t="s">
        <v>1019</v>
      </c>
    </row>
    <row r="54" spans="1:63" x14ac:dyDescent="0.15">
      <c r="A54" s="10" t="s">
        <v>1016</v>
      </c>
      <c r="B54" s="10" t="s">
        <v>1454</v>
      </c>
      <c r="C54" s="38" t="str">
        <f>"./images/thumbnail/"&amp;データ!B54&amp;".jpg"</f>
        <v>./images/thumbnail/.jpg</v>
      </c>
      <c r="D54" s="38" t="s">
        <v>1455</v>
      </c>
      <c r="E54" s="38" t="str">
        <f>"./images/thumbnail/"&amp;データ!B54&amp;".jpg"</f>
        <v>./images/thumbnail/.jpg</v>
      </c>
      <c r="F54" s="38" t="s">
        <v>1116</v>
      </c>
      <c r="G54" s="38" t="s">
        <v>1319</v>
      </c>
      <c r="H54" s="38">
        <f>データ!C54</f>
        <v>0</v>
      </c>
      <c r="I54" s="38" t="s">
        <v>1024</v>
      </c>
      <c r="J54" s="38" t="s">
        <v>1320</v>
      </c>
      <c r="K54" s="38">
        <f>データ!D54</f>
        <v>0</v>
      </c>
      <c r="L54" s="38" t="s">
        <v>1024</v>
      </c>
      <c r="M54" s="38" t="s">
        <v>1321</v>
      </c>
      <c r="N54" s="38">
        <f>データ!E54</f>
        <v>0</v>
      </c>
      <c r="O54" s="38" t="s">
        <v>1024</v>
      </c>
      <c r="P54" s="38" t="s">
        <v>1319</v>
      </c>
      <c r="Q54" s="38">
        <f>データ!F54</f>
        <v>0</v>
      </c>
      <c r="R54" s="38" t="s">
        <v>1024</v>
      </c>
      <c r="S54" s="38" t="s">
        <v>1319</v>
      </c>
      <c r="T54" s="39">
        <f>データ!G54</f>
        <v>0</v>
      </c>
      <c r="U54" s="40" t="s">
        <v>1024</v>
      </c>
      <c r="V54" s="40" t="s">
        <v>1319</v>
      </c>
      <c r="W54" s="39">
        <f>データ!H54</f>
        <v>0</v>
      </c>
      <c r="X54" s="40" t="s">
        <v>1024</v>
      </c>
      <c r="Y54" s="40" t="s">
        <v>1319</v>
      </c>
      <c r="Z54" s="39">
        <f>データ!I54</f>
        <v>0</v>
      </c>
      <c r="AA54" s="40" t="s">
        <v>1024</v>
      </c>
      <c r="AB54" s="40" t="s">
        <v>1322</v>
      </c>
      <c r="AC54" s="39">
        <f>データ!J54</f>
        <v>0</v>
      </c>
      <c r="AD54" s="38" t="s">
        <v>1024</v>
      </c>
      <c r="AE54" s="40" t="s">
        <v>1323</v>
      </c>
      <c r="AF54" s="39">
        <f>データ!K54</f>
        <v>0</v>
      </c>
      <c r="AG54" s="40" t="s">
        <v>1024</v>
      </c>
      <c r="AH54" s="40" t="s">
        <v>1324</v>
      </c>
      <c r="AI54" s="39">
        <f>データ!L54</f>
        <v>0</v>
      </c>
      <c r="AJ54" s="10" t="s">
        <v>1113</v>
      </c>
      <c r="AK54" s="39" t="e">
        <f>データ!M54</f>
        <v>#N/A</v>
      </c>
      <c r="AL54" s="10" t="s">
        <v>1024</v>
      </c>
      <c r="AM54" s="40" t="s">
        <v>1325</v>
      </c>
      <c r="AN54" s="39">
        <f>データ!N54</f>
        <v>0</v>
      </c>
      <c r="AO54" s="10" t="s">
        <v>1113</v>
      </c>
      <c r="AP54" s="39" t="e">
        <f>データ!O54</f>
        <v>#N/A</v>
      </c>
      <c r="AQ54" s="41" t="s">
        <v>1024</v>
      </c>
      <c r="AR54" s="40" t="s">
        <v>1324</v>
      </c>
      <c r="AS54" s="39">
        <f>データ!P54</f>
        <v>0</v>
      </c>
      <c r="AT54" s="10" t="s">
        <v>1113</v>
      </c>
      <c r="AU54" s="39" t="e">
        <f>データ!Q54</f>
        <v>#N/A</v>
      </c>
      <c r="AV54" s="10" t="s">
        <v>1024</v>
      </c>
      <c r="AW54" s="40" t="s">
        <v>1324</v>
      </c>
      <c r="AX54" s="39">
        <f>データ!R54</f>
        <v>0</v>
      </c>
      <c r="AY54" s="10" t="s">
        <v>1113</v>
      </c>
      <c r="AZ54" s="39" t="e">
        <f>データ!S54</f>
        <v>#N/A</v>
      </c>
      <c r="BA54" s="41" t="s">
        <v>1024</v>
      </c>
      <c r="BB54" s="40" t="s">
        <v>1319</v>
      </c>
      <c r="BC54" s="39">
        <f>データ!T54</f>
        <v>0</v>
      </c>
      <c r="BD54" s="41" t="s">
        <v>1024</v>
      </c>
      <c r="BE54" s="40" t="s">
        <v>1320</v>
      </c>
      <c r="BF54" s="39">
        <f>データ!U54</f>
        <v>0</v>
      </c>
      <c r="BG54" s="41" t="s">
        <v>1024</v>
      </c>
      <c r="BH54" s="40" t="s">
        <v>1319</v>
      </c>
      <c r="BI54" s="39">
        <f>データ!V54</f>
        <v>0</v>
      </c>
      <c r="BJ54" s="41" t="s">
        <v>1024</v>
      </c>
      <c r="BK54" s="10" t="s">
        <v>1019</v>
      </c>
    </row>
    <row r="55" spans="1:63" x14ac:dyDescent="0.15">
      <c r="A55" s="10" t="s">
        <v>1016</v>
      </c>
      <c r="B55" s="10" t="s">
        <v>1454</v>
      </c>
      <c r="C55" s="38" t="str">
        <f>"./images/thumbnail/"&amp;データ!B55&amp;".jpg"</f>
        <v>./images/thumbnail/.jpg</v>
      </c>
      <c r="D55" s="38" t="s">
        <v>1455</v>
      </c>
      <c r="E55" s="38" t="str">
        <f>"./images/thumbnail/"&amp;データ!B55&amp;".jpg"</f>
        <v>./images/thumbnail/.jpg</v>
      </c>
      <c r="F55" s="38" t="s">
        <v>1116</v>
      </c>
      <c r="G55" s="38" t="s">
        <v>1319</v>
      </c>
      <c r="H55" s="38">
        <f>データ!C55</f>
        <v>0</v>
      </c>
      <c r="I55" s="38" t="s">
        <v>1024</v>
      </c>
      <c r="J55" s="38" t="s">
        <v>1320</v>
      </c>
      <c r="K55" s="38">
        <f>データ!D55</f>
        <v>0</v>
      </c>
      <c r="L55" s="38" t="s">
        <v>1024</v>
      </c>
      <c r="M55" s="38" t="s">
        <v>1321</v>
      </c>
      <c r="N55" s="38">
        <f>データ!E55</f>
        <v>0</v>
      </c>
      <c r="O55" s="38" t="s">
        <v>1024</v>
      </c>
      <c r="P55" s="38" t="s">
        <v>1319</v>
      </c>
      <c r="Q55" s="38">
        <f>データ!F55</f>
        <v>0</v>
      </c>
      <c r="R55" s="38" t="s">
        <v>1024</v>
      </c>
      <c r="S55" s="38" t="s">
        <v>1319</v>
      </c>
      <c r="T55" s="39">
        <f>データ!G55</f>
        <v>0</v>
      </c>
      <c r="U55" s="40" t="s">
        <v>1024</v>
      </c>
      <c r="V55" s="40" t="s">
        <v>1319</v>
      </c>
      <c r="W55" s="39">
        <f>データ!H55</f>
        <v>0</v>
      </c>
      <c r="X55" s="40" t="s">
        <v>1024</v>
      </c>
      <c r="Y55" s="40" t="s">
        <v>1319</v>
      </c>
      <c r="Z55" s="39">
        <f>データ!I55</f>
        <v>0</v>
      </c>
      <c r="AA55" s="40" t="s">
        <v>1024</v>
      </c>
      <c r="AB55" s="40" t="s">
        <v>1322</v>
      </c>
      <c r="AC55" s="39">
        <f>データ!J55</f>
        <v>0</v>
      </c>
      <c r="AD55" s="38" t="s">
        <v>1024</v>
      </c>
      <c r="AE55" s="40" t="s">
        <v>1323</v>
      </c>
      <c r="AF55" s="39">
        <f>データ!K55</f>
        <v>0</v>
      </c>
      <c r="AG55" s="40" t="s">
        <v>1024</v>
      </c>
      <c r="AH55" s="40" t="s">
        <v>1324</v>
      </c>
      <c r="AI55" s="39">
        <f>データ!L55</f>
        <v>0</v>
      </c>
      <c r="AJ55" s="10" t="s">
        <v>1113</v>
      </c>
      <c r="AK55" s="39" t="e">
        <f>データ!M55</f>
        <v>#N/A</v>
      </c>
      <c r="AL55" s="10" t="s">
        <v>1024</v>
      </c>
      <c r="AM55" s="40" t="s">
        <v>1325</v>
      </c>
      <c r="AN55" s="39">
        <f>データ!N55</f>
        <v>0</v>
      </c>
      <c r="AO55" s="10" t="s">
        <v>1113</v>
      </c>
      <c r="AP55" s="39" t="e">
        <f>データ!O55</f>
        <v>#N/A</v>
      </c>
      <c r="AQ55" s="41" t="s">
        <v>1024</v>
      </c>
      <c r="AR55" s="40" t="s">
        <v>1324</v>
      </c>
      <c r="AS55" s="39">
        <f>データ!P55</f>
        <v>0</v>
      </c>
      <c r="AT55" s="10" t="s">
        <v>1113</v>
      </c>
      <c r="AU55" s="39" t="e">
        <f>データ!Q55</f>
        <v>#N/A</v>
      </c>
      <c r="AV55" s="10" t="s">
        <v>1024</v>
      </c>
      <c r="AW55" s="40" t="s">
        <v>1324</v>
      </c>
      <c r="AX55" s="39">
        <f>データ!R55</f>
        <v>0</v>
      </c>
      <c r="AY55" s="10" t="s">
        <v>1113</v>
      </c>
      <c r="AZ55" s="39" t="e">
        <f>データ!S55</f>
        <v>#N/A</v>
      </c>
      <c r="BA55" s="41" t="s">
        <v>1024</v>
      </c>
      <c r="BB55" s="40" t="s">
        <v>1319</v>
      </c>
      <c r="BC55" s="39">
        <f>データ!T55</f>
        <v>0</v>
      </c>
      <c r="BD55" s="41" t="s">
        <v>1024</v>
      </c>
      <c r="BE55" s="40" t="s">
        <v>1320</v>
      </c>
      <c r="BF55" s="39">
        <f>データ!U55</f>
        <v>0</v>
      </c>
      <c r="BG55" s="41" t="s">
        <v>1024</v>
      </c>
      <c r="BH55" s="40" t="s">
        <v>1319</v>
      </c>
      <c r="BI55" s="39">
        <f>データ!V55</f>
        <v>0</v>
      </c>
      <c r="BJ55" s="41" t="s">
        <v>1024</v>
      </c>
      <c r="BK55" s="10" t="s">
        <v>1019</v>
      </c>
    </row>
    <row r="56" spans="1:63" x14ac:dyDescent="0.15">
      <c r="A56" s="10" t="s">
        <v>1016</v>
      </c>
      <c r="B56" s="10" t="s">
        <v>1454</v>
      </c>
      <c r="C56" s="38" t="str">
        <f>"./images/thumbnail/"&amp;データ!B56&amp;".jpg"</f>
        <v>./images/thumbnail/.jpg</v>
      </c>
      <c r="D56" s="38" t="s">
        <v>1455</v>
      </c>
      <c r="E56" s="38" t="str">
        <f>"./images/thumbnail/"&amp;データ!B56&amp;".jpg"</f>
        <v>./images/thumbnail/.jpg</v>
      </c>
      <c r="F56" s="38" t="s">
        <v>1116</v>
      </c>
      <c r="G56" s="38" t="s">
        <v>1319</v>
      </c>
      <c r="H56" s="38">
        <f>データ!C56</f>
        <v>0</v>
      </c>
      <c r="I56" s="38" t="s">
        <v>1024</v>
      </c>
      <c r="J56" s="38" t="s">
        <v>1320</v>
      </c>
      <c r="K56" s="38">
        <f>データ!D56</f>
        <v>0</v>
      </c>
      <c r="L56" s="38" t="s">
        <v>1024</v>
      </c>
      <c r="M56" s="38" t="s">
        <v>1321</v>
      </c>
      <c r="N56" s="38">
        <f>データ!E56</f>
        <v>0</v>
      </c>
      <c r="O56" s="38" t="s">
        <v>1024</v>
      </c>
      <c r="P56" s="38" t="s">
        <v>1319</v>
      </c>
      <c r="Q56" s="38">
        <f>データ!F56</f>
        <v>0</v>
      </c>
      <c r="R56" s="38" t="s">
        <v>1024</v>
      </c>
      <c r="S56" s="38" t="s">
        <v>1319</v>
      </c>
      <c r="T56" s="39">
        <f>データ!G56</f>
        <v>0</v>
      </c>
      <c r="U56" s="40" t="s">
        <v>1024</v>
      </c>
      <c r="V56" s="40" t="s">
        <v>1319</v>
      </c>
      <c r="W56" s="39">
        <f>データ!H56</f>
        <v>0</v>
      </c>
      <c r="X56" s="40" t="s">
        <v>1024</v>
      </c>
      <c r="Y56" s="40" t="s">
        <v>1319</v>
      </c>
      <c r="Z56" s="39">
        <f>データ!I56</f>
        <v>0</v>
      </c>
      <c r="AA56" s="40" t="s">
        <v>1024</v>
      </c>
      <c r="AB56" s="40" t="s">
        <v>1322</v>
      </c>
      <c r="AC56" s="39">
        <f>データ!J56</f>
        <v>0</v>
      </c>
      <c r="AD56" s="38" t="s">
        <v>1024</v>
      </c>
      <c r="AE56" s="40" t="s">
        <v>1323</v>
      </c>
      <c r="AF56" s="39">
        <f>データ!K56</f>
        <v>0</v>
      </c>
      <c r="AG56" s="40" t="s">
        <v>1024</v>
      </c>
      <c r="AH56" s="40" t="s">
        <v>1324</v>
      </c>
      <c r="AI56" s="39">
        <f>データ!L56</f>
        <v>0</v>
      </c>
      <c r="AJ56" s="10" t="s">
        <v>1113</v>
      </c>
      <c r="AK56" s="39" t="e">
        <f>データ!M56</f>
        <v>#N/A</v>
      </c>
      <c r="AL56" s="10" t="s">
        <v>1024</v>
      </c>
      <c r="AM56" s="40" t="s">
        <v>1325</v>
      </c>
      <c r="AN56" s="39">
        <f>データ!N56</f>
        <v>0</v>
      </c>
      <c r="AO56" s="10" t="s">
        <v>1113</v>
      </c>
      <c r="AP56" s="39" t="e">
        <f>データ!O56</f>
        <v>#N/A</v>
      </c>
      <c r="AQ56" s="41" t="s">
        <v>1024</v>
      </c>
      <c r="AR56" s="40" t="s">
        <v>1324</v>
      </c>
      <c r="AS56" s="39">
        <f>データ!P56</f>
        <v>0</v>
      </c>
      <c r="AT56" s="10" t="s">
        <v>1113</v>
      </c>
      <c r="AU56" s="39" t="e">
        <f>データ!Q56</f>
        <v>#N/A</v>
      </c>
      <c r="AV56" s="10" t="s">
        <v>1024</v>
      </c>
      <c r="AW56" s="40" t="s">
        <v>1324</v>
      </c>
      <c r="AX56" s="39">
        <f>データ!R56</f>
        <v>0</v>
      </c>
      <c r="AY56" s="10" t="s">
        <v>1113</v>
      </c>
      <c r="AZ56" s="39" t="e">
        <f>データ!S56</f>
        <v>#N/A</v>
      </c>
      <c r="BA56" s="41" t="s">
        <v>1024</v>
      </c>
      <c r="BB56" s="40" t="s">
        <v>1319</v>
      </c>
      <c r="BC56" s="39">
        <f>データ!T56</f>
        <v>0</v>
      </c>
      <c r="BD56" s="41" t="s">
        <v>1024</v>
      </c>
      <c r="BE56" s="40" t="s">
        <v>1320</v>
      </c>
      <c r="BF56" s="39">
        <f>データ!U56</f>
        <v>0</v>
      </c>
      <c r="BG56" s="41" t="s">
        <v>1024</v>
      </c>
      <c r="BH56" s="40" t="s">
        <v>1319</v>
      </c>
      <c r="BI56" s="39">
        <f>データ!V56</f>
        <v>0</v>
      </c>
      <c r="BJ56" s="41" t="s">
        <v>1024</v>
      </c>
      <c r="BK56" s="10" t="s">
        <v>1019</v>
      </c>
    </row>
    <row r="57" spans="1:63" x14ac:dyDescent="0.15">
      <c r="A57" s="10" t="s">
        <v>1016</v>
      </c>
      <c r="B57" s="10" t="s">
        <v>1454</v>
      </c>
      <c r="C57" s="38" t="str">
        <f>"./images/thumbnail/"&amp;データ!B57&amp;".jpg"</f>
        <v>./images/thumbnail/.jpg</v>
      </c>
      <c r="D57" s="38" t="s">
        <v>1455</v>
      </c>
      <c r="E57" s="38" t="str">
        <f>"./images/thumbnail/"&amp;データ!B57&amp;".jpg"</f>
        <v>./images/thumbnail/.jpg</v>
      </c>
      <c r="F57" s="38" t="s">
        <v>1116</v>
      </c>
      <c r="G57" s="38" t="s">
        <v>1319</v>
      </c>
      <c r="H57" s="38">
        <f>データ!C57</f>
        <v>0</v>
      </c>
      <c r="I57" s="38" t="s">
        <v>1024</v>
      </c>
      <c r="J57" s="38" t="s">
        <v>1320</v>
      </c>
      <c r="K57" s="38">
        <f>データ!D57</f>
        <v>0</v>
      </c>
      <c r="L57" s="38" t="s">
        <v>1024</v>
      </c>
      <c r="M57" s="38" t="s">
        <v>1321</v>
      </c>
      <c r="N57" s="38">
        <f>データ!E57</f>
        <v>0</v>
      </c>
      <c r="O57" s="38" t="s">
        <v>1024</v>
      </c>
      <c r="P57" s="38" t="s">
        <v>1319</v>
      </c>
      <c r="Q57" s="38">
        <f>データ!F57</f>
        <v>0</v>
      </c>
      <c r="R57" s="38" t="s">
        <v>1024</v>
      </c>
      <c r="S57" s="38" t="s">
        <v>1319</v>
      </c>
      <c r="T57" s="39">
        <f>データ!G57</f>
        <v>0</v>
      </c>
      <c r="U57" s="40" t="s">
        <v>1024</v>
      </c>
      <c r="V57" s="40" t="s">
        <v>1319</v>
      </c>
      <c r="W57" s="39">
        <f>データ!H57</f>
        <v>0</v>
      </c>
      <c r="X57" s="40" t="s">
        <v>1024</v>
      </c>
      <c r="Y57" s="40" t="s">
        <v>1319</v>
      </c>
      <c r="Z57" s="39">
        <f>データ!I57</f>
        <v>0</v>
      </c>
      <c r="AA57" s="40" t="s">
        <v>1024</v>
      </c>
      <c r="AB57" s="40" t="s">
        <v>1322</v>
      </c>
      <c r="AC57" s="39">
        <f>データ!J57</f>
        <v>0</v>
      </c>
      <c r="AD57" s="38" t="s">
        <v>1024</v>
      </c>
      <c r="AE57" s="40" t="s">
        <v>1323</v>
      </c>
      <c r="AF57" s="39">
        <f>データ!K57</f>
        <v>0</v>
      </c>
      <c r="AG57" s="40" t="s">
        <v>1024</v>
      </c>
      <c r="AH57" s="40" t="s">
        <v>1324</v>
      </c>
      <c r="AI57" s="39">
        <f>データ!L57</f>
        <v>0</v>
      </c>
      <c r="AJ57" s="10" t="s">
        <v>1113</v>
      </c>
      <c r="AK57" s="39" t="e">
        <f>データ!M57</f>
        <v>#N/A</v>
      </c>
      <c r="AL57" s="10" t="s">
        <v>1024</v>
      </c>
      <c r="AM57" s="40" t="s">
        <v>1325</v>
      </c>
      <c r="AN57" s="39">
        <f>データ!N57</f>
        <v>0</v>
      </c>
      <c r="AO57" s="10" t="s">
        <v>1113</v>
      </c>
      <c r="AP57" s="39" t="e">
        <f>データ!O57</f>
        <v>#N/A</v>
      </c>
      <c r="AQ57" s="41" t="s">
        <v>1024</v>
      </c>
      <c r="AR57" s="40" t="s">
        <v>1324</v>
      </c>
      <c r="AS57" s="39">
        <f>データ!P57</f>
        <v>0</v>
      </c>
      <c r="AT57" s="10" t="s">
        <v>1113</v>
      </c>
      <c r="AU57" s="39" t="e">
        <f>データ!Q57</f>
        <v>#N/A</v>
      </c>
      <c r="AV57" s="10" t="s">
        <v>1024</v>
      </c>
      <c r="AW57" s="40" t="s">
        <v>1324</v>
      </c>
      <c r="AX57" s="39">
        <f>データ!R57</f>
        <v>0</v>
      </c>
      <c r="AY57" s="10" t="s">
        <v>1113</v>
      </c>
      <c r="AZ57" s="39" t="e">
        <f>データ!S57</f>
        <v>#N/A</v>
      </c>
      <c r="BA57" s="41" t="s">
        <v>1024</v>
      </c>
      <c r="BB57" s="40" t="s">
        <v>1319</v>
      </c>
      <c r="BC57" s="39">
        <f>データ!T57</f>
        <v>0</v>
      </c>
      <c r="BD57" s="41" t="s">
        <v>1024</v>
      </c>
      <c r="BE57" s="40" t="s">
        <v>1320</v>
      </c>
      <c r="BF57" s="39">
        <f>データ!U57</f>
        <v>0</v>
      </c>
      <c r="BG57" s="41" t="s">
        <v>1024</v>
      </c>
      <c r="BH57" s="40" t="s">
        <v>1319</v>
      </c>
      <c r="BI57" s="39">
        <f>データ!V57</f>
        <v>0</v>
      </c>
      <c r="BJ57" s="41" t="s">
        <v>1024</v>
      </c>
      <c r="BK57" s="10" t="s">
        <v>1019</v>
      </c>
    </row>
    <row r="58" spans="1:63" x14ac:dyDescent="0.15">
      <c r="A58" s="10" t="s">
        <v>1016</v>
      </c>
      <c r="B58" s="10" t="s">
        <v>1454</v>
      </c>
      <c r="C58" s="38" t="str">
        <f>"./images/thumbnail/"&amp;データ!B58&amp;".jpg"</f>
        <v>./images/thumbnail/.jpg</v>
      </c>
      <c r="D58" s="38" t="s">
        <v>1455</v>
      </c>
      <c r="E58" s="38" t="str">
        <f>"./images/thumbnail/"&amp;データ!B58&amp;".jpg"</f>
        <v>./images/thumbnail/.jpg</v>
      </c>
      <c r="F58" s="38" t="s">
        <v>1116</v>
      </c>
      <c r="G58" s="38" t="s">
        <v>1319</v>
      </c>
      <c r="H58" s="38">
        <f>データ!C58</f>
        <v>0</v>
      </c>
      <c r="I58" s="38" t="s">
        <v>1024</v>
      </c>
      <c r="J58" s="38" t="s">
        <v>1320</v>
      </c>
      <c r="K58" s="38">
        <f>データ!D58</f>
        <v>0</v>
      </c>
      <c r="L58" s="38" t="s">
        <v>1024</v>
      </c>
      <c r="M58" s="38" t="s">
        <v>1321</v>
      </c>
      <c r="N58" s="38">
        <f>データ!E58</f>
        <v>0</v>
      </c>
      <c r="O58" s="38" t="s">
        <v>1024</v>
      </c>
      <c r="P58" s="38" t="s">
        <v>1319</v>
      </c>
      <c r="Q58" s="38">
        <f>データ!F58</f>
        <v>0</v>
      </c>
      <c r="R58" s="38" t="s">
        <v>1024</v>
      </c>
      <c r="S58" s="38" t="s">
        <v>1319</v>
      </c>
      <c r="T58" s="39">
        <f>データ!G58</f>
        <v>0</v>
      </c>
      <c r="U58" s="40" t="s">
        <v>1024</v>
      </c>
      <c r="V58" s="40" t="s">
        <v>1319</v>
      </c>
      <c r="W58" s="39">
        <f>データ!H58</f>
        <v>0</v>
      </c>
      <c r="X58" s="40" t="s">
        <v>1024</v>
      </c>
      <c r="Y58" s="40" t="s">
        <v>1319</v>
      </c>
      <c r="Z58" s="39">
        <f>データ!I58</f>
        <v>0</v>
      </c>
      <c r="AA58" s="40" t="s">
        <v>1024</v>
      </c>
      <c r="AB58" s="40" t="s">
        <v>1322</v>
      </c>
      <c r="AC58" s="39">
        <f>データ!J58</f>
        <v>0</v>
      </c>
      <c r="AD58" s="38" t="s">
        <v>1024</v>
      </c>
      <c r="AE58" s="40" t="s">
        <v>1323</v>
      </c>
      <c r="AF58" s="39">
        <f>データ!K58</f>
        <v>0</v>
      </c>
      <c r="AG58" s="40" t="s">
        <v>1024</v>
      </c>
      <c r="AH58" s="40" t="s">
        <v>1324</v>
      </c>
      <c r="AI58" s="39">
        <f>データ!L58</f>
        <v>0</v>
      </c>
      <c r="AJ58" s="10" t="s">
        <v>1113</v>
      </c>
      <c r="AK58" s="39" t="e">
        <f>データ!M58</f>
        <v>#N/A</v>
      </c>
      <c r="AL58" s="10" t="s">
        <v>1024</v>
      </c>
      <c r="AM58" s="40" t="s">
        <v>1325</v>
      </c>
      <c r="AN58" s="39">
        <f>データ!N58</f>
        <v>0</v>
      </c>
      <c r="AO58" s="10" t="s">
        <v>1113</v>
      </c>
      <c r="AP58" s="39" t="e">
        <f>データ!O58</f>
        <v>#N/A</v>
      </c>
      <c r="AQ58" s="41" t="s">
        <v>1024</v>
      </c>
      <c r="AR58" s="40" t="s">
        <v>1324</v>
      </c>
      <c r="AS58" s="39">
        <f>データ!P58</f>
        <v>0</v>
      </c>
      <c r="AT58" s="10" t="s">
        <v>1113</v>
      </c>
      <c r="AU58" s="39" t="e">
        <f>データ!Q58</f>
        <v>#N/A</v>
      </c>
      <c r="AV58" s="10" t="s">
        <v>1024</v>
      </c>
      <c r="AW58" s="40" t="s">
        <v>1324</v>
      </c>
      <c r="AX58" s="39">
        <f>データ!R58</f>
        <v>0</v>
      </c>
      <c r="AY58" s="10" t="s">
        <v>1113</v>
      </c>
      <c r="AZ58" s="39" t="e">
        <f>データ!S58</f>
        <v>#N/A</v>
      </c>
      <c r="BA58" s="41" t="s">
        <v>1024</v>
      </c>
      <c r="BB58" s="40" t="s">
        <v>1319</v>
      </c>
      <c r="BC58" s="39">
        <f>データ!T58</f>
        <v>0</v>
      </c>
      <c r="BD58" s="41" t="s">
        <v>1024</v>
      </c>
      <c r="BE58" s="40" t="s">
        <v>1320</v>
      </c>
      <c r="BF58" s="39">
        <f>データ!U58</f>
        <v>0</v>
      </c>
      <c r="BG58" s="41" t="s">
        <v>1024</v>
      </c>
      <c r="BH58" s="40" t="s">
        <v>1319</v>
      </c>
      <c r="BI58" s="39">
        <f>データ!V58</f>
        <v>0</v>
      </c>
      <c r="BJ58" s="41" t="s">
        <v>1024</v>
      </c>
      <c r="BK58" s="10" t="s">
        <v>1019</v>
      </c>
    </row>
    <row r="59" spans="1:63" x14ac:dyDescent="0.15">
      <c r="A59" s="10" t="s">
        <v>1016</v>
      </c>
      <c r="B59" s="10" t="s">
        <v>1454</v>
      </c>
      <c r="C59" s="38" t="str">
        <f>"./images/thumbnail/"&amp;データ!B59&amp;".jpg"</f>
        <v>./images/thumbnail/.jpg</v>
      </c>
      <c r="D59" s="38" t="s">
        <v>1455</v>
      </c>
      <c r="E59" s="38" t="str">
        <f>"./images/thumbnail/"&amp;データ!B59&amp;".jpg"</f>
        <v>./images/thumbnail/.jpg</v>
      </c>
      <c r="F59" s="38" t="s">
        <v>1116</v>
      </c>
      <c r="G59" s="38" t="s">
        <v>1319</v>
      </c>
      <c r="H59" s="38">
        <f>データ!C59</f>
        <v>0</v>
      </c>
      <c r="I59" s="38" t="s">
        <v>1024</v>
      </c>
      <c r="J59" s="38" t="s">
        <v>1320</v>
      </c>
      <c r="K59" s="38">
        <f>データ!D59</f>
        <v>0</v>
      </c>
      <c r="L59" s="38" t="s">
        <v>1024</v>
      </c>
      <c r="M59" s="38" t="s">
        <v>1321</v>
      </c>
      <c r="N59" s="38">
        <f>データ!E59</f>
        <v>0</v>
      </c>
      <c r="O59" s="38" t="s">
        <v>1024</v>
      </c>
      <c r="P59" s="38" t="s">
        <v>1319</v>
      </c>
      <c r="Q59" s="38">
        <f>データ!F59</f>
        <v>0</v>
      </c>
      <c r="R59" s="38" t="s">
        <v>1024</v>
      </c>
      <c r="S59" s="38" t="s">
        <v>1319</v>
      </c>
      <c r="T59" s="39">
        <f>データ!G59</f>
        <v>0</v>
      </c>
      <c r="U59" s="40" t="s">
        <v>1024</v>
      </c>
      <c r="V59" s="40" t="s">
        <v>1319</v>
      </c>
      <c r="W59" s="39">
        <f>データ!H59</f>
        <v>0</v>
      </c>
      <c r="X59" s="40" t="s">
        <v>1024</v>
      </c>
      <c r="Y59" s="40" t="s">
        <v>1319</v>
      </c>
      <c r="Z59" s="39">
        <f>データ!I59</f>
        <v>0</v>
      </c>
      <c r="AA59" s="40" t="s">
        <v>1024</v>
      </c>
      <c r="AB59" s="40" t="s">
        <v>1322</v>
      </c>
      <c r="AC59" s="39">
        <f>データ!J59</f>
        <v>0</v>
      </c>
      <c r="AD59" s="38" t="s">
        <v>1024</v>
      </c>
      <c r="AE59" s="40" t="s">
        <v>1323</v>
      </c>
      <c r="AF59" s="39">
        <f>データ!K59</f>
        <v>0</v>
      </c>
      <c r="AG59" s="40" t="s">
        <v>1024</v>
      </c>
      <c r="AH59" s="40" t="s">
        <v>1324</v>
      </c>
      <c r="AI59" s="39">
        <f>データ!L59</f>
        <v>0</v>
      </c>
      <c r="AJ59" s="10" t="s">
        <v>1113</v>
      </c>
      <c r="AK59" s="39" t="e">
        <f>データ!M59</f>
        <v>#N/A</v>
      </c>
      <c r="AL59" s="10" t="s">
        <v>1024</v>
      </c>
      <c r="AM59" s="40" t="s">
        <v>1325</v>
      </c>
      <c r="AN59" s="39">
        <f>データ!N59</f>
        <v>0</v>
      </c>
      <c r="AO59" s="10" t="s">
        <v>1113</v>
      </c>
      <c r="AP59" s="39" t="e">
        <f>データ!O59</f>
        <v>#N/A</v>
      </c>
      <c r="AQ59" s="41" t="s">
        <v>1024</v>
      </c>
      <c r="AR59" s="40" t="s">
        <v>1324</v>
      </c>
      <c r="AS59" s="39">
        <f>データ!P59</f>
        <v>0</v>
      </c>
      <c r="AT59" s="10" t="s">
        <v>1113</v>
      </c>
      <c r="AU59" s="39" t="e">
        <f>データ!Q59</f>
        <v>#N/A</v>
      </c>
      <c r="AV59" s="10" t="s">
        <v>1024</v>
      </c>
      <c r="AW59" s="40" t="s">
        <v>1324</v>
      </c>
      <c r="AX59" s="39">
        <f>データ!R59</f>
        <v>0</v>
      </c>
      <c r="AY59" s="10" t="s">
        <v>1113</v>
      </c>
      <c r="AZ59" s="39" t="e">
        <f>データ!S59</f>
        <v>#N/A</v>
      </c>
      <c r="BA59" s="41" t="s">
        <v>1024</v>
      </c>
      <c r="BB59" s="40" t="s">
        <v>1319</v>
      </c>
      <c r="BC59" s="39">
        <f>データ!T59</f>
        <v>0</v>
      </c>
      <c r="BD59" s="41" t="s">
        <v>1024</v>
      </c>
      <c r="BE59" s="40" t="s">
        <v>1320</v>
      </c>
      <c r="BF59" s="39">
        <f>データ!U59</f>
        <v>0</v>
      </c>
      <c r="BG59" s="41" t="s">
        <v>1024</v>
      </c>
      <c r="BH59" s="40" t="s">
        <v>1319</v>
      </c>
      <c r="BI59" s="39">
        <f>データ!V59</f>
        <v>0</v>
      </c>
      <c r="BJ59" s="41" t="s">
        <v>1024</v>
      </c>
      <c r="BK59" s="10" t="s">
        <v>1019</v>
      </c>
    </row>
    <row r="60" spans="1:63" x14ac:dyDescent="0.15">
      <c r="A60" s="10" t="s">
        <v>1016</v>
      </c>
      <c r="B60" s="10" t="s">
        <v>1454</v>
      </c>
      <c r="C60" s="38" t="str">
        <f>"./images/thumbnail/"&amp;データ!B60&amp;".jpg"</f>
        <v>./images/thumbnail/.jpg</v>
      </c>
      <c r="D60" s="38" t="s">
        <v>1455</v>
      </c>
      <c r="E60" s="38" t="str">
        <f>"./images/thumbnail/"&amp;データ!B60&amp;".jpg"</f>
        <v>./images/thumbnail/.jpg</v>
      </c>
      <c r="F60" s="38" t="s">
        <v>1116</v>
      </c>
      <c r="G60" s="38" t="s">
        <v>1319</v>
      </c>
      <c r="H60" s="38">
        <f>データ!C60</f>
        <v>0</v>
      </c>
      <c r="I60" s="38" t="s">
        <v>1024</v>
      </c>
      <c r="J60" s="38" t="s">
        <v>1320</v>
      </c>
      <c r="K60" s="38">
        <f>データ!D60</f>
        <v>0</v>
      </c>
      <c r="L60" s="38" t="s">
        <v>1024</v>
      </c>
      <c r="M60" s="38" t="s">
        <v>1321</v>
      </c>
      <c r="N60" s="38">
        <f>データ!E60</f>
        <v>0</v>
      </c>
      <c r="O60" s="38" t="s">
        <v>1024</v>
      </c>
      <c r="P60" s="38" t="s">
        <v>1319</v>
      </c>
      <c r="Q60" s="38">
        <f>データ!F60</f>
        <v>0</v>
      </c>
      <c r="R60" s="38" t="s">
        <v>1024</v>
      </c>
      <c r="S60" s="38" t="s">
        <v>1319</v>
      </c>
      <c r="T60" s="39">
        <f>データ!G60</f>
        <v>0</v>
      </c>
      <c r="U60" s="40" t="s">
        <v>1024</v>
      </c>
      <c r="V60" s="40" t="s">
        <v>1319</v>
      </c>
      <c r="W60" s="39">
        <f>データ!H60</f>
        <v>0</v>
      </c>
      <c r="X60" s="40" t="s">
        <v>1024</v>
      </c>
      <c r="Y60" s="40" t="s">
        <v>1319</v>
      </c>
      <c r="Z60" s="39">
        <f>データ!I60</f>
        <v>0</v>
      </c>
      <c r="AA60" s="40" t="s">
        <v>1024</v>
      </c>
      <c r="AB60" s="40" t="s">
        <v>1322</v>
      </c>
      <c r="AC60" s="39">
        <f>データ!J60</f>
        <v>0</v>
      </c>
      <c r="AD60" s="38" t="s">
        <v>1024</v>
      </c>
      <c r="AE60" s="40" t="s">
        <v>1323</v>
      </c>
      <c r="AF60" s="39">
        <f>データ!K60</f>
        <v>0</v>
      </c>
      <c r="AG60" s="40" t="s">
        <v>1024</v>
      </c>
      <c r="AH60" s="40" t="s">
        <v>1324</v>
      </c>
      <c r="AI60" s="39">
        <f>データ!L60</f>
        <v>0</v>
      </c>
      <c r="AJ60" s="10" t="s">
        <v>1113</v>
      </c>
      <c r="AK60" s="39" t="e">
        <f>データ!M60</f>
        <v>#N/A</v>
      </c>
      <c r="AL60" s="10" t="s">
        <v>1024</v>
      </c>
      <c r="AM60" s="40" t="s">
        <v>1325</v>
      </c>
      <c r="AN60" s="39">
        <f>データ!N60</f>
        <v>0</v>
      </c>
      <c r="AO60" s="10" t="s">
        <v>1113</v>
      </c>
      <c r="AP60" s="39" t="e">
        <f>データ!O60</f>
        <v>#N/A</v>
      </c>
      <c r="AQ60" s="41" t="s">
        <v>1024</v>
      </c>
      <c r="AR60" s="40" t="s">
        <v>1324</v>
      </c>
      <c r="AS60" s="39">
        <f>データ!P60</f>
        <v>0</v>
      </c>
      <c r="AT60" s="10" t="s">
        <v>1113</v>
      </c>
      <c r="AU60" s="39" t="e">
        <f>データ!Q60</f>
        <v>#N/A</v>
      </c>
      <c r="AV60" s="10" t="s">
        <v>1024</v>
      </c>
      <c r="AW60" s="40" t="s">
        <v>1324</v>
      </c>
      <c r="AX60" s="39">
        <f>データ!R60</f>
        <v>0</v>
      </c>
      <c r="AY60" s="10" t="s">
        <v>1113</v>
      </c>
      <c r="AZ60" s="39" t="e">
        <f>データ!S60</f>
        <v>#N/A</v>
      </c>
      <c r="BA60" s="41" t="s">
        <v>1024</v>
      </c>
      <c r="BB60" s="40" t="s">
        <v>1319</v>
      </c>
      <c r="BC60" s="39">
        <f>データ!T60</f>
        <v>0</v>
      </c>
      <c r="BD60" s="41" t="s">
        <v>1024</v>
      </c>
      <c r="BE60" s="40" t="s">
        <v>1320</v>
      </c>
      <c r="BF60" s="39">
        <f>データ!U60</f>
        <v>0</v>
      </c>
      <c r="BG60" s="41" t="s">
        <v>1024</v>
      </c>
      <c r="BH60" s="40" t="s">
        <v>1319</v>
      </c>
      <c r="BI60" s="39">
        <f>データ!V60</f>
        <v>0</v>
      </c>
      <c r="BJ60" s="41" t="s">
        <v>1024</v>
      </c>
      <c r="BK60" s="10" t="s">
        <v>1019</v>
      </c>
    </row>
    <row r="61" spans="1:63" x14ac:dyDescent="0.15">
      <c r="A61" s="10" t="s">
        <v>1016</v>
      </c>
      <c r="B61" s="10" t="s">
        <v>1454</v>
      </c>
      <c r="C61" s="38" t="str">
        <f>"./images/thumbnail/"&amp;データ!B61&amp;".jpg"</f>
        <v>./images/thumbnail/.jpg</v>
      </c>
      <c r="D61" s="38" t="s">
        <v>1455</v>
      </c>
      <c r="E61" s="38" t="str">
        <f>"./images/thumbnail/"&amp;データ!B61&amp;".jpg"</f>
        <v>./images/thumbnail/.jpg</v>
      </c>
      <c r="F61" s="38" t="s">
        <v>1116</v>
      </c>
      <c r="G61" s="38" t="s">
        <v>1319</v>
      </c>
      <c r="H61" s="38">
        <f>データ!C61</f>
        <v>0</v>
      </c>
      <c r="I61" s="38" t="s">
        <v>1024</v>
      </c>
      <c r="J61" s="38" t="s">
        <v>1320</v>
      </c>
      <c r="K61" s="38">
        <f>データ!D61</f>
        <v>0</v>
      </c>
      <c r="L61" s="38" t="s">
        <v>1024</v>
      </c>
      <c r="M61" s="38" t="s">
        <v>1321</v>
      </c>
      <c r="N61" s="38">
        <f>データ!E61</f>
        <v>0</v>
      </c>
      <c r="O61" s="38" t="s">
        <v>1024</v>
      </c>
      <c r="P61" s="38" t="s">
        <v>1319</v>
      </c>
      <c r="Q61" s="38">
        <f>データ!F61</f>
        <v>0</v>
      </c>
      <c r="R61" s="38" t="s">
        <v>1024</v>
      </c>
      <c r="S61" s="38" t="s">
        <v>1319</v>
      </c>
      <c r="T61" s="39">
        <f>データ!G61</f>
        <v>0</v>
      </c>
      <c r="U61" s="40" t="s">
        <v>1024</v>
      </c>
      <c r="V61" s="40" t="s">
        <v>1319</v>
      </c>
      <c r="W61" s="39">
        <f>データ!H61</f>
        <v>0</v>
      </c>
      <c r="X61" s="40" t="s">
        <v>1024</v>
      </c>
      <c r="Y61" s="40" t="s">
        <v>1319</v>
      </c>
      <c r="Z61" s="39">
        <f>データ!I61</f>
        <v>0</v>
      </c>
      <c r="AA61" s="40" t="s">
        <v>1024</v>
      </c>
      <c r="AB61" s="40" t="s">
        <v>1322</v>
      </c>
      <c r="AC61" s="39">
        <f>データ!J61</f>
        <v>0</v>
      </c>
      <c r="AD61" s="38" t="s">
        <v>1024</v>
      </c>
      <c r="AE61" s="40" t="s">
        <v>1323</v>
      </c>
      <c r="AF61" s="39">
        <f>データ!K61</f>
        <v>0</v>
      </c>
      <c r="AG61" s="40" t="s">
        <v>1024</v>
      </c>
      <c r="AH61" s="40" t="s">
        <v>1324</v>
      </c>
      <c r="AI61" s="39">
        <f>データ!L61</f>
        <v>0</v>
      </c>
      <c r="AJ61" s="10" t="s">
        <v>1113</v>
      </c>
      <c r="AK61" s="39" t="e">
        <f>データ!M61</f>
        <v>#N/A</v>
      </c>
      <c r="AL61" s="38" t="s">
        <v>1024</v>
      </c>
      <c r="AM61" s="40" t="s">
        <v>1325</v>
      </c>
      <c r="AN61" s="39">
        <f>データ!N61</f>
        <v>0</v>
      </c>
      <c r="AO61" s="10" t="s">
        <v>1113</v>
      </c>
      <c r="AP61" s="39" t="e">
        <f>データ!O61</f>
        <v>#N/A</v>
      </c>
      <c r="AQ61" s="41" t="s">
        <v>1024</v>
      </c>
      <c r="AR61" s="40" t="s">
        <v>1324</v>
      </c>
      <c r="AS61" s="39">
        <f>データ!P61</f>
        <v>0</v>
      </c>
      <c r="AT61" s="10" t="s">
        <v>1113</v>
      </c>
      <c r="AU61" s="39" t="e">
        <f>データ!Q61</f>
        <v>#N/A</v>
      </c>
      <c r="AV61" s="10" t="s">
        <v>1024</v>
      </c>
      <c r="AW61" s="40" t="s">
        <v>1324</v>
      </c>
      <c r="AX61" s="39">
        <f>データ!R61</f>
        <v>0</v>
      </c>
      <c r="AY61" s="10" t="s">
        <v>1113</v>
      </c>
      <c r="AZ61" s="39" t="e">
        <f>データ!S61</f>
        <v>#N/A</v>
      </c>
      <c r="BA61" s="41" t="s">
        <v>1024</v>
      </c>
      <c r="BB61" s="40" t="s">
        <v>1319</v>
      </c>
      <c r="BC61" s="39">
        <f>データ!T61</f>
        <v>0</v>
      </c>
      <c r="BD61" s="41" t="s">
        <v>1024</v>
      </c>
      <c r="BE61" s="40" t="s">
        <v>1320</v>
      </c>
      <c r="BF61" s="39">
        <f>データ!U61</f>
        <v>0</v>
      </c>
      <c r="BG61" s="41" t="s">
        <v>1024</v>
      </c>
      <c r="BH61" s="40" t="s">
        <v>1319</v>
      </c>
      <c r="BI61" s="39">
        <f>データ!V61</f>
        <v>0</v>
      </c>
      <c r="BJ61" s="41" t="s">
        <v>1024</v>
      </c>
      <c r="BK61" s="10" t="s">
        <v>1019</v>
      </c>
    </row>
    <row r="62" spans="1:63" x14ac:dyDescent="0.15">
      <c r="A62" s="10" t="s">
        <v>1016</v>
      </c>
      <c r="B62" s="10" t="s">
        <v>1454</v>
      </c>
      <c r="C62" s="38" t="str">
        <f>"./images/thumbnail/"&amp;データ!B62&amp;".jpg"</f>
        <v>./images/thumbnail/.jpg</v>
      </c>
      <c r="D62" s="38" t="s">
        <v>1455</v>
      </c>
      <c r="E62" s="38" t="str">
        <f>"./images/thumbnail/"&amp;データ!B62&amp;".jpg"</f>
        <v>./images/thumbnail/.jpg</v>
      </c>
      <c r="F62" s="38" t="s">
        <v>1116</v>
      </c>
      <c r="G62" s="38" t="s">
        <v>1319</v>
      </c>
      <c r="H62" s="38">
        <f>データ!C62</f>
        <v>0</v>
      </c>
      <c r="I62" s="38" t="s">
        <v>1024</v>
      </c>
      <c r="J62" s="38" t="s">
        <v>1320</v>
      </c>
      <c r="K62" s="38">
        <f>データ!D62</f>
        <v>0</v>
      </c>
      <c r="L62" s="38" t="s">
        <v>1024</v>
      </c>
      <c r="M62" s="38" t="s">
        <v>1321</v>
      </c>
      <c r="N62" s="38">
        <f>データ!E62</f>
        <v>0</v>
      </c>
      <c r="O62" s="38" t="s">
        <v>1024</v>
      </c>
      <c r="P62" s="38" t="s">
        <v>1319</v>
      </c>
      <c r="Q62" s="38">
        <f>データ!F62</f>
        <v>0</v>
      </c>
      <c r="R62" s="38" t="s">
        <v>1024</v>
      </c>
      <c r="S62" s="38" t="s">
        <v>1319</v>
      </c>
      <c r="T62" s="39">
        <f>データ!G62</f>
        <v>0</v>
      </c>
      <c r="U62" s="40" t="s">
        <v>1024</v>
      </c>
      <c r="V62" s="40" t="s">
        <v>1319</v>
      </c>
      <c r="W62" s="39">
        <f>データ!H62</f>
        <v>0</v>
      </c>
      <c r="X62" s="40" t="s">
        <v>1024</v>
      </c>
      <c r="Y62" s="40" t="s">
        <v>1319</v>
      </c>
      <c r="Z62" s="39">
        <f>データ!I62</f>
        <v>0</v>
      </c>
      <c r="AA62" s="40" t="s">
        <v>1024</v>
      </c>
      <c r="AB62" s="40" t="s">
        <v>1322</v>
      </c>
      <c r="AC62" s="39">
        <f>データ!J62</f>
        <v>0</v>
      </c>
      <c r="AD62" s="38" t="s">
        <v>1024</v>
      </c>
      <c r="AE62" s="40" t="s">
        <v>1323</v>
      </c>
      <c r="AF62" s="39">
        <f>データ!K62</f>
        <v>0</v>
      </c>
      <c r="AG62" s="40" t="s">
        <v>1024</v>
      </c>
      <c r="AH62" s="40" t="s">
        <v>1324</v>
      </c>
      <c r="AI62" s="39">
        <f>データ!L62</f>
        <v>0</v>
      </c>
      <c r="AJ62" s="10" t="s">
        <v>1113</v>
      </c>
      <c r="AK62" s="39" t="e">
        <f>データ!M62</f>
        <v>#N/A</v>
      </c>
      <c r="AL62" s="10" t="s">
        <v>1024</v>
      </c>
      <c r="AM62" s="40" t="s">
        <v>1325</v>
      </c>
      <c r="AN62" s="39">
        <f>データ!N62</f>
        <v>0</v>
      </c>
      <c r="AO62" s="10" t="s">
        <v>1113</v>
      </c>
      <c r="AP62" s="39" t="e">
        <f>データ!O62</f>
        <v>#N/A</v>
      </c>
      <c r="AQ62" s="41" t="s">
        <v>1024</v>
      </c>
      <c r="AR62" s="40" t="s">
        <v>1324</v>
      </c>
      <c r="AS62" s="39">
        <f>データ!P62</f>
        <v>0</v>
      </c>
      <c r="AT62" s="10" t="s">
        <v>1113</v>
      </c>
      <c r="AU62" s="39" t="e">
        <f>データ!Q62</f>
        <v>#N/A</v>
      </c>
      <c r="AV62" s="10" t="s">
        <v>1024</v>
      </c>
      <c r="AW62" s="40" t="s">
        <v>1324</v>
      </c>
      <c r="AX62" s="39">
        <f>データ!R62</f>
        <v>0</v>
      </c>
      <c r="AY62" s="10" t="s">
        <v>1113</v>
      </c>
      <c r="AZ62" s="39" t="e">
        <f>データ!S62</f>
        <v>#N/A</v>
      </c>
      <c r="BA62" s="41" t="s">
        <v>1024</v>
      </c>
      <c r="BB62" s="40" t="s">
        <v>1319</v>
      </c>
      <c r="BC62" s="39">
        <f>データ!T62</f>
        <v>0</v>
      </c>
      <c r="BD62" s="41" t="s">
        <v>1024</v>
      </c>
      <c r="BE62" s="40" t="s">
        <v>1320</v>
      </c>
      <c r="BF62" s="39">
        <f>データ!U62</f>
        <v>0</v>
      </c>
      <c r="BG62" s="41" t="s">
        <v>1024</v>
      </c>
      <c r="BH62" s="40" t="s">
        <v>1319</v>
      </c>
      <c r="BI62" s="39">
        <f>データ!V62</f>
        <v>0</v>
      </c>
      <c r="BJ62" s="41" t="s">
        <v>1024</v>
      </c>
      <c r="BK62" s="10" t="s">
        <v>1019</v>
      </c>
    </row>
    <row r="63" spans="1:63" x14ac:dyDescent="0.15">
      <c r="A63" s="10" t="s">
        <v>1016</v>
      </c>
      <c r="B63" s="10" t="s">
        <v>1454</v>
      </c>
      <c r="C63" s="38" t="str">
        <f>"./images/thumbnail/"&amp;データ!B63&amp;".jpg"</f>
        <v>./images/thumbnail/.jpg</v>
      </c>
      <c r="D63" s="38" t="s">
        <v>1455</v>
      </c>
      <c r="E63" s="38" t="str">
        <f>"./images/thumbnail/"&amp;データ!B63&amp;".jpg"</f>
        <v>./images/thumbnail/.jpg</v>
      </c>
      <c r="F63" s="38" t="s">
        <v>1116</v>
      </c>
      <c r="G63" s="38" t="s">
        <v>1319</v>
      </c>
      <c r="H63" s="38">
        <f>データ!C63</f>
        <v>0</v>
      </c>
      <c r="I63" s="38" t="s">
        <v>1024</v>
      </c>
      <c r="J63" s="38" t="s">
        <v>1320</v>
      </c>
      <c r="K63" s="38">
        <f>データ!D63</f>
        <v>0</v>
      </c>
      <c r="L63" s="38" t="s">
        <v>1024</v>
      </c>
      <c r="M63" s="38" t="s">
        <v>1321</v>
      </c>
      <c r="N63" s="38">
        <f>データ!E63</f>
        <v>0</v>
      </c>
      <c r="O63" s="38" t="s">
        <v>1024</v>
      </c>
      <c r="P63" s="38" t="s">
        <v>1319</v>
      </c>
      <c r="Q63" s="38">
        <f>データ!F63</f>
        <v>0</v>
      </c>
      <c r="R63" s="38" t="s">
        <v>1024</v>
      </c>
      <c r="S63" s="38" t="s">
        <v>1319</v>
      </c>
      <c r="T63" s="39">
        <f>データ!G63</f>
        <v>0</v>
      </c>
      <c r="U63" s="40" t="s">
        <v>1024</v>
      </c>
      <c r="V63" s="40" t="s">
        <v>1319</v>
      </c>
      <c r="W63" s="39">
        <f>データ!H63</f>
        <v>0</v>
      </c>
      <c r="X63" s="40" t="s">
        <v>1024</v>
      </c>
      <c r="Y63" s="40" t="s">
        <v>1319</v>
      </c>
      <c r="Z63" s="39">
        <f>データ!I63</f>
        <v>0</v>
      </c>
      <c r="AA63" s="40" t="s">
        <v>1024</v>
      </c>
      <c r="AB63" s="40" t="s">
        <v>1322</v>
      </c>
      <c r="AC63" s="39">
        <f>データ!J63</f>
        <v>0</v>
      </c>
      <c r="AD63" s="38" t="s">
        <v>1024</v>
      </c>
      <c r="AE63" s="40" t="s">
        <v>1323</v>
      </c>
      <c r="AF63" s="39">
        <f>データ!K63</f>
        <v>0</v>
      </c>
      <c r="AG63" s="40" t="s">
        <v>1024</v>
      </c>
      <c r="AH63" s="40" t="s">
        <v>1324</v>
      </c>
      <c r="AI63" s="39">
        <f>データ!L63</f>
        <v>0</v>
      </c>
      <c r="AJ63" s="10" t="s">
        <v>1113</v>
      </c>
      <c r="AK63" s="39" t="e">
        <f>データ!M63</f>
        <v>#N/A</v>
      </c>
      <c r="AL63" s="10" t="s">
        <v>1024</v>
      </c>
      <c r="AM63" s="40" t="s">
        <v>1325</v>
      </c>
      <c r="AN63" s="39">
        <f>データ!N63</f>
        <v>0</v>
      </c>
      <c r="AO63" s="10" t="s">
        <v>1113</v>
      </c>
      <c r="AP63" s="39" t="e">
        <f>データ!O63</f>
        <v>#N/A</v>
      </c>
      <c r="AQ63" s="41" t="s">
        <v>1024</v>
      </c>
      <c r="AR63" s="40" t="s">
        <v>1324</v>
      </c>
      <c r="AS63" s="39">
        <f>データ!P63</f>
        <v>0</v>
      </c>
      <c r="AT63" s="10" t="s">
        <v>1113</v>
      </c>
      <c r="AU63" s="39" t="e">
        <f>データ!Q63</f>
        <v>#N/A</v>
      </c>
      <c r="AV63" s="10" t="s">
        <v>1024</v>
      </c>
      <c r="AW63" s="40" t="s">
        <v>1324</v>
      </c>
      <c r="AX63" s="39">
        <f>データ!R63</f>
        <v>0</v>
      </c>
      <c r="AY63" s="10" t="s">
        <v>1113</v>
      </c>
      <c r="AZ63" s="39" t="e">
        <f>データ!S63</f>
        <v>#N/A</v>
      </c>
      <c r="BA63" s="41" t="s">
        <v>1024</v>
      </c>
      <c r="BB63" s="40" t="s">
        <v>1319</v>
      </c>
      <c r="BC63" s="39">
        <f>データ!T63</f>
        <v>0</v>
      </c>
      <c r="BD63" s="41" t="s">
        <v>1024</v>
      </c>
      <c r="BE63" s="40" t="s">
        <v>1320</v>
      </c>
      <c r="BF63" s="39">
        <f>データ!U63</f>
        <v>0</v>
      </c>
      <c r="BG63" s="41" t="s">
        <v>1024</v>
      </c>
      <c r="BH63" s="40" t="s">
        <v>1319</v>
      </c>
      <c r="BI63" s="39">
        <f>データ!V63</f>
        <v>0</v>
      </c>
      <c r="BJ63" s="41" t="s">
        <v>1024</v>
      </c>
      <c r="BK63" s="10" t="s">
        <v>1019</v>
      </c>
    </row>
    <row r="64" spans="1:63" x14ac:dyDescent="0.15">
      <c r="A64" s="10" t="s">
        <v>1016</v>
      </c>
      <c r="B64" s="10" t="s">
        <v>1454</v>
      </c>
      <c r="C64" s="38" t="str">
        <f>"./images/thumbnail/"&amp;データ!B64&amp;".jpg"</f>
        <v>./images/thumbnail/.jpg</v>
      </c>
      <c r="D64" s="38" t="s">
        <v>1455</v>
      </c>
      <c r="E64" s="38" t="str">
        <f>"./images/thumbnail/"&amp;データ!B64&amp;".jpg"</f>
        <v>./images/thumbnail/.jpg</v>
      </c>
      <c r="F64" s="38" t="s">
        <v>1116</v>
      </c>
      <c r="G64" s="38" t="s">
        <v>1319</v>
      </c>
      <c r="H64" s="38">
        <f>データ!C64</f>
        <v>0</v>
      </c>
      <c r="I64" s="38" t="s">
        <v>1024</v>
      </c>
      <c r="J64" s="38" t="s">
        <v>1320</v>
      </c>
      <c r="K64" s="38">
        <f>データ!D64</f>
        <v>0</v>
      </c>
      <c r="L64" s="38" t="s">
        <v>1024</v>
      </c>
      <c r="M64" s="38" t="s">
        <v>1321</v>
      </c>
      <c r="N64" s="38">
        <f>データ!E64</f>
        <v>0</v>
      </c>
      <c r="O64" s="38" t="s">
        <v>1024</v>
      </c>
      <c r="P64" s="38" t="s">
        <v>1319</v>
      </c>
      <c r="Q64" s="38">
        <f>データ!F64</f>
        <v>0</v>
      </c>
      <c r="R64" s="38" t="s">
        <v>1024</v>
      </c>
      <c r="S64" s="38" t="s">
        <v>1319</v>
      </c>
      <c r="T64" s="39">
        <f>データ!G64</f>
        <v>0</v>
      </c>
      <c r="U64" s="40" t="s">
        <v>1024</v>
      </c>
      <c r="V64" s="40" t="s">
        <v>1319</v>
      </c>
      <c r="W64" s="39">
        <f>データ!H64</f>
        <v>0</v>
      </c>
      <c r="X64" s="40" t="s">
        <v>1024</v>
      </c>
      <c r="Y64" s="40" t="s">
        <v>1319</v>
      </c>
      <c r="Z64" s="39">
        <f>データ!I64</f>
        <v>0</v>
      </c>
      <c r="AA64" s="40" t="s">
        <v>1024</v>
      </c>
      <c r="AB64" s="40" t="s">
        <v>1322</v>
      </c>
      <c r="AC64" s="39">
        <f>データ!J64</f>
        <v>0</v>
      </c>
      <c r="AD64" s="38" t="s">
        <v>1024</v>
      </c>
      <c r="AE64" s="40" t="s">
        <v>1323</v>
      </c>
      <c r="AF64" s="39">
        <f>データ!K64</f>
        <v>0</v>
      </c>
      <c r="AG64" s="40" t="s">
        <v>1024</v>
      </c>
      <c r="AH64" s="40" t="s">
        <v>1324</v>
      </c>
      <c r="AI64" s="39">
        <f>データ!L64</f>
        <v>0</v>
      </c>
      <c r="AJ64" s="10" t="s">
        <v>1113</v>
      </c>
      <c r="AK64" s="39" t="e">
        <f>データ!M64</f>
        <v>#N/A</v>
      </c>
      <c r="AL64" s="10" t="s">
        <v>1024</v>
      </c>
      <c r="AM64" s="40" t="s">
        <v>1325</v>
      </c>
      <c r="AN64" s="39">
        <f>データ!N64</f>
        <v>0</v>
      </c>
      <c r="AO64" s="10" t="s">
        <v>1113</v>
      </c>
      <c r="AP64" s="39" t="e">
        <f>データ!O64</f>
        <v>#N/A</v>
      </c>
      <c r="AQ64" s="41" t="s">
        <v>1024</v>
      </c>
      <c r="AR64" s="40" t="s">
        <v>1324</v>
      </c>
      <c r="AS64" s="39">
        <f>データ!P64</f>
        <v>0</v>
      </c>
      <c r="AT64" s="10" t="s">
        <v>1113</v>
      </c>
      <c r="AU64" s="39" t="e">
        <f>データ!Q64</f>
        <v>#N/A</v>
      </c>
      <c r="AV64" s="10" t="s">
        <v>1024</v>
      </c>
      <c r="AW64" s="40" t="s">
        <v>1324</v>
      </c>
      <c r="AX64" s="39">
        <f>データ!R64</f>
        <v>0</v>
      </c>
      <c r="AY64" s="10" t="s">
        <v>1113</v>
      </c>
      <c r="AZ64" s="39" t="e">
        <f>データ!S64</f>
        <v>#N/A</v>
      </c>
      <c r="BA64" s="41" t="s">
        <v>1024</v>
      </c>
      <c r="BB64" s="40" t="s">
        <v>1319</v>
      </c>
      <c r="BC64" s="39">
        <f>データ!T64</f>
        <v>0</v>
      </c>
      <c r="BD64" s="41" t="s">
        <v>1024</v>
      </c>
      <c r="BE64" s="40" t="s">
        <v>1320</v>
      </c>
      <c r="BF64" s="39">
        <f>データ!U64</f>
        <v>0</v>
      </c>
      <c r="BG64" s="41" t="s">
        <v>1024</v>
      </c>
      <c r="BH64" s="40" t="s">
        <v>1319</v>
      </c>
      <c r="BI64" s="39">
        <f>データ!V64</f>
        <v>0</v>
      </c>
      <c r="BJ64" s="41" t="s">
        <v>1024</v>
      </c>
      <c r="BK64" s="10" t="s">
        <v>1019</v>
      </c>
    </row>
    <row r="65" spans="1:63" x14ac:dyDescent="0.15">
      <c r="A65" s="10" t="s">
        <v>1016</v>
      </c>
      <c r="B65" s="10" t="s">
        <v>1454</v>
      </c>
      <c r="C65" s="38" t="str">
        <f>"./images/thumbnail/"&amp;データ!B65&amp;".jpg"</f>
        <v>./images/thumbnail/.jpg</v>
      </c>
      <c r="D65" s="38" t="s">
        <v>1455</v>
      </c>
      <c r="E65" s="38" t="str">
        <f>"./images/thumbnail/"&amp;データ!B65&amp;".jpg"</f>
        <v>./images/thumbnail/.jpg</v>
      </c>
      <c r="F65" s="38" t="s">
        <v>1116</v>
      </c>
      <c r="G65" s="38" t="s">
        <v>1319</v>
      </c>
      <c r="H65" s="38">
        <f>データ!C65</f>
        <v>0</v>
      </c>
      <c r="I65" s="38" t="s">
        <v>1024</v>
      </c>
      <c r="J65" s="38" t="s">
        <v>1320</v>
      </c>
      <c r="K65" s="38">
        <f>データ!D65</f>
        <v>0</v>
      </c>
      <c r="L65" s="38" t="s">
        <v>1024</v>
      </c>
      <c r="M65" s="38" t="s">
        <v>1321</v>
      </c>
      <c r="N65" s="38">
        <f>データ!E65</f>
        <v>0</v>
      </c>
      <c r="O65" s="38" t="s">
        <v>1024</v>
      </c>
      <c r="P65" s="38" t="s">
        <v>1319</v>
      </c>
      <c r="Q65" s="38">
        <f>データ!F65</f>
        <v>0</v>
      </c>
      <c r="R65" s="38" t="s">
        <v>1024</v>
      </c>
      <c r="S65" s="38" t="s">
        <v>1319</v>
      </c>
      <c r="T65" s="39">
        <f>データ!G65</f>
        <v>0</v>
      </c>
      <c r="U65" s="40" t="s">
        <v>1024</v>
      </c>
      <c r="V65" s="40" t="s">
        <v>1319</v>
      </c>
      <c r="W65" s="39">
        <f>データ!H65</f>
        <v>0</v>
      </c>
      <c r="X65" s="40" t="s">
        <v>1024</v>
      </c>
      <c r="Y65" s="40" t="s">
        <v>1319</v>
      </c>
      <c r="Z65" s="39">
        <f>データ!I65</f>
        <v>0</v>
      </c>
      <c r="AA65" s="40" t="s">
        <v>1024</v>
      </c>
      <c r="AB65" s="40" t="s">
        <v>1322</v>
      </c>
      <c r="AC65" s="39">
        <f>データ!J65</f>
        <v>0</v>
      </c>
      <c r="AD65" s="38" t="s">
        <v>1024</v>
      </c>
      <c r="AE65" s="40" t="s">
        <v>1323</v>
      </c>
      <c r="AF65" s="39">
        <f>データ!K65</f>
        <v>0</v>
      </c>
      <c r="AG65" s="40" t="s">
        <v>1024</v>
      </c>
      <c r="AH65" s="40" t="s">
        <v>1324</v>
      </c>
      <c r="AI65" s="39">
        <f>データ!L65</f>
        <v>0</v>
      </c>
      <c r="AJ65" s="10" t="s">
        <v>1113</v>
      </c>
      <c r="AK65" s="39" t="e">
        <f>データ!M65</f>
        <v>#N/A</v>
      </c>
      <c r="AL65" s="10" t="s">
        <v>1024</v>
      </c>
      <c r="AM65" s="40" t="s">
        <v>1325</v>
      </c>
      <c r="AN65" s="39">
        <f>データ!N65</f>
        <v>0</v>
      </c>
      <c r="AO65" s="10" t="s">
        <v>1113</v>
      </c>
      <c r="AP65" s="39" t="e">
        <f>データ!O65</f>
        <v>#N/A</v>
      </c>
      <c r="AQ65" s="41" t="s">
        <v>1024</v>
      </c>
      <c r="AR65" s="40" t="s">
        <v>1324</v>
      </c>
      <c r="AS65" s="39">
        <f>データ!P65</f>
        <v>0</v>
      </c>
      <c r="AT65" s="10" t="s">
        <v>1113</v>
      </c>
      <c r="AU65" s="39" t="e">
        <f>データ!Q65</f>
        <v>#N/A</v>
      </c>
      <c r="AV65" s="10" t="s">
        <v>1024</v>
      </c>
      <c r="AW65" s="40" t="s">
        <v>1324</v>
      </c>
      <c r="AX65" s="39">
        <f>データ!R65</f>
        <v>0</v>
      </c>
      <c r="AY65" s="10" t="s">
        <v>1113</v>
      </c>
      <c r="AZ65" s="39" t="e">
        <f>データ!S65</f>
        <v>#N/A</v>
      </c>
      <c r="BA65" s="41" t="s">
        <v>1024</v>
      </c>
      <c r="BB65" s="40" t="s">
        <v>1319</v>
      </c>
      <c r="BC65" s="39">
        <f>データ!T65</f>
        <v>0</v>
      </c>
      <c r="BD65" s="41" t="s">
        <v>1024</v>
      </c>
      <c r="BE65" s="40" t="s">
        <v>1320</v>
      </c>
      <c r="BF65" s="39">
        <f>データ!U65</f>
        <v>0</v>
      </c>
      <c r="BG65" s="41" t="s">
        <v>1024</v>
      </c>
      <c r="BH65" s="40" t="s">
        <v>1319</v>
      </c>
      <c r="BI65" s="39">
        <f>データ!V65</f>
        <v>0</v>
      </c>
      <c r="BJ65" s="41" t="s">
        <v>1024</v>
      </c>
      <c r="BK65" s="10" t="s">
        <v>1019</v>
      </c>
    </row>
    <row r="66" spans="1:63" x14ac:dyDescent="0.15">
      <c r="A66" s="10" t="s">
        <v>1016</v>
      </c>
      <c r="B66" s="10" t="s">
        <v>1454</v>
      </c>
      <c r="C66" s="38" t="str">
        <f>"./images/thumbnail/"&amp;データ!B66&amp;".jpg"</f>
        <v>./images/thumbnail/.jpg</v>
      </c>
      <c r="D66" s="38" t="s">
        <v>1455</v>
      </c>
      <c r="E66" s="38" t="str">
        <f>"./images/thumbnail/"&amp;データ!B66&amp;".jpg"</f>
        <v>./images/thumbnail/.jpg</v>
      </c>
      <c r="F66" s="38" t="s">
        <v>1116</v>
      </c>
      <c r="G66" s="38" t="s">
        <v>1319</v>
      </c>
      <c r="H66" s="38">
        <f>データ!C66</f>
        <v>0</v>
      </c>
      <c r="I66" s="38" t="s">
        <v>1024</v>
      </c>
      <c r="J66" s="38" t="s">
        <v>1320</v>
      </c>
      <c r="K66" s="38">
        <f>データ!D66</f>
        <v>0</v>
      </c>
      <c r="L66" s="38" t="s">
        <v>1024</v>
      </c>
      <c r="M66" s="38" t="s">
        <v>1321</v>
      </c>
      <c r="N66" s="38">
        <f>データ!E66</f>
        <v>0</v>
      </c>
      <c r="O66" s="38" t="s">
        <v>1024</v>
      </c>
      <c r="P66" s="38" t="s">
        <v>1319</v>
      </c>
      <c r="Q66" s="38">
        <f>データ!F66</f>
        <v>0</v>
      </c>
      <c r="R66" s="38" t="s">
        <v>1024</v>
      </c>
      <c r="S66" s="38" t="s">
        <v>1319</v>
      </c>
      <c r="T66" s="39">
        <f>データ!G66</f>
        <v>0</v>
      </c>
      <c r="U66" s="40" t="s">
        <v>1024</v>
      </c>
      <c r="V66" s="40" t="s">
        <v>1319</v>
      </c>
      <c r="W66" s="39">
        <f>データ!H66</f>
        <v>0</v>
      </c>
      <c r="X66" s="40" t="s">
        <v>1024</v>
      </c>
      <c r="Y66" s="40" t="s">
        <v>1319</v>
      </c>
      <c r="Z66" s="39">
        <f>データ!I66</f>
        <v>0</v>
      </c>
      <c r="AA66" s="40" t="s">
        <v>1024</v>
      </c>
      <c r="AB66" s="40" t="s">
        <v>1322</v>
      </c>
      <c r="AC66" s="39">
        <f>データ!J66</f>
        <v>0</v>
      </c>
      <c r="AD66" s="38" t="s">
        <v>1024</v>
      </c>
      <c r="AE66" s="40" t="s">
        <v>1323</v>
      </c>
      <c r="AF66" s="39">
        <f>データ!K66</f>
        <v>0</v>
      </c>
      <c r="AG66" s="40" t="s">
        <v>1024</v>
      </c>
      <c r="AH66" s="40" t="s">
        <v>1324</v>
      </c>
      <c r="AI66" s="39">
        <f>データ!L66</f>
        <v>0</v>
      </c>
      <c r="AJ66" s="10" t="s">
        <v>1113</v>
      </c>
      <c r="AK66" s="39" t="e">
        <f>データ!M66</f>
        <v>#N/A</v>
      </c>
      <c r="AL66" s="10" t="s">
        <v>1024</v>
      </c>
      <c r="AM66" s="40" t="s">
        <v>1325</v>
      </c>
      <c r="AN66" s="39">
        <f>データ!N66</f>
        <v>0</v>
      </c>
      <c r="AO66" s="10" t="s">
        <v>1113</v>
      </c>
      <c r="AP66" s="39" t="e">
        <f>データ!O66</f>
        <v>#N/A</v>
      </c>
      <c r="AQ66" s="41" t="s">
        <v>1024</v>
      </c>
      <c r="AR66" s="40" t="s">
        <v>1324</v>
      </c>
      <c r="AS66" s="39">
        <f>データ!P66</f>
        <v>0</v>
      </c>
      <c r="AT66" s="10" t="s">
        <v>1113</v>
      </c>
      <c r="AU66" s="39" t="e">
        <f>データ!Q66</f>
        <v>#N/A</v>
      </c>
      <c r="AV66" s="10" t="s">
        <v>1024</v>
      </c>
      <c r="AW66" s="40" t="s">
        <v>1324</v>
      </c>
      <c r="AX66" s="39">
        <f>データ!R66</f>
        <v>0</v>
      </c>
      <c r="AY66" s="10" t="s">
        <v>1113</v>
      </c>
      <c r="AZ66" s="39" t="e">
        <f>データ!S66</f>
        <v>#N/A</v>
      </c>
      <c r="BA66" s="41" t="s">
        <v>1024</v>
      </c>
      <c r="BB66" s="40" t="s">
        <v>1319</v>
      </c>
      <c r="BC66" s="39">
        <f>データ!T66</f>
        <v>0</v>
      </c>
      <c r="BD66" s="41" t="s">
        <v>1024</v>
      </c>
      <c r="BE66" s="40" t="s">
        <v>1320</v>
      </c>
      <c r="BF66" s="39">
        <f>データ!U66</f>
        <v>0</v>
      </c>
      <c r="BG66" s="41" t="s">
        <v>1024</v>
      </c>
      <c r="BH66" s="40" t="s">
        <v>1319</v>
      </c>
      <c r="BI66" s="39">
        <f>データ!V66</f>
        <v>0</v>
      </c>
      <c r="BJ66" s="41" t="s">
        <v>1024</v>
      </c>
      <c r="BK66" s="10" t="s">
        <v>1019</v>
      </c>
    </row>
    <row r="67" spans="1:63" x14ac:dyDescent="0.15">
      <c r="A67" s="10" t="s">
        <v>1016</v>
      </c>
      <c r="B67" s="10" t="s">
        <v>1454</v>
      </c>
      <c r="C67" s="38" t="str">
        <f>"./images/thumbnail/"&amp;データ!B67&amp;".jpg"</f>
        <v>./images/thumbnail/.jpg</v>
      </c>
      <c r="D67" s="38" t="s">
        <v>1455</v>
      </c>
      <c r="E67" s="38" t="str">
        <f>"./images/thumbnail/"&amp;データ!B67&amp;".jpg"</f>
        <v>./images/thumbnail/.jpg</v>
      </c>
      <c r="F67" s="38" t="s">
        <v>1116</v>
      </c>
      <c r="G67" s="38" t="s">
        <v>1319</v>
      </c>
      <c r="H67" s="38">
        <f>データ!C67</f>
        <v>0</v>
      </c>
      <c r="I67" s="38" t="s">
        <v>1024</v>
      </c>
      <c r="J67" s="38" t="s">
        <v>1320</v>
      </c>
      <c r="K67" s="38">
        <f>データ!D67</f>
        <v>0</v>
      </c>
      <c r="L67" s="38" t="s">
        <v>1024</v>
      </c>
      <c r="M67" s="38" t="s">
        <v>1321</v>
      </c>
      <c r="N67" s="38">
        <f>データ!E67</f>
        <v>0</v>
      </c>
      <c r="O67" s="38" t="s">
        <v>1024</v>
      </c>
      <c r="P67" s="38" t="s">
        <v>1319</v>
      </c>
      <c r="Q67" s="38">
        <f>データ!F67</f>
        <v>0</v>
      </c>
      <c r="R67" s="38" t="s">
        <v>1024</v>
      </c>
      <c r="S67" s="38" t="s">
        <v>1319</v>
      </c>
      <c r="T67" s="39">
        <f>データ!G67</f>
        <v>0</v>
      </c>
      <c r="U67" s="40" t="s">
        <v>1024</v>
      </c>
      <c r="V67" s="40" t="s">
        <v>1319</v>
      </c>
      <c r="W67" s="39">
        <f>データ!H67</f>
        <v>0</v>
      </c>
      <c r="X67" s="40" t="s">
        <v>1024</v>
      </c>
      <c r="Y67" s="40" t="s">
        <v>1319</v>
      </c>
      <c r="Z67" s="39">
        <f>データ!I67</f>
        <v>0</v>
      </c>
      <c r="AA67" s="40" t="s">
        <v>1024</v>
      </c>
      <c r="AB67" s="40" t="s">
        <v>1322</v>
      </c>
      <c r="AC67" s="39">
        <f>データ!J67</f>
        <v>0</v>
      </c>
      <c r="AD67" s="38" t="s">
        <v>1024</v>
      </c>
      <c r="AE67" s="40" t="s">
        <v>1323</v>
      </c>
      <c r="AF67" s="39">
        <f>データ!K67</f>
        <v>0</v>
      </c>
      <c r="AG67" s="40" t="s">
        <v>1024</v>
      </c>
      <c r="AH67" s="40" t="s">
        <v>1324</v>
      </c>
      <c r="AI67" s="39">
        <f>データ!L67</f>
        <v>0</v>
      </c>
      <c r="AJ67" s="10" t="s">
        <v>1113</v>
      </c>
      <c r="AK67" s="39" t="e">
        <f>データ!M67</f>
        <v>#N/A</v>
      </c>
      <c r="AL67" s="10" t="s">
        <v>1024</v>
      </c>
      <c r="AM67" s="40" t="s">
        <v>1325</v>
      </c>
      <c r="AN67" s="39">
        <f>データ!N67</f>
        <v>0</v>
      </c>
      <c r="AO67" s="10" t="s">
        <v>1113</v>
      </c>
      <c r="AP67" s="39" t="e">
        <f>データ!O67</f>
        <v>#N/A</v>
      </c>
      <c r="AQ67" s="41" t="s">
        <v>1024</v>
      </c>
      <c r="AR67" s="40" t="s">
        <v>1324</v>
      </c>
      <c r="AS67" s="39">
        <f>データ!P67</f>
        <v>0</v>
      </c>
      <c r="AT67" s="10" t="s">
        <v>1113</v>
      </c>
      <c r="AU67" s="39" t="e">
        <f>データ!Q67</f>
        <v>#N/A</v>
      </c>
      <c r="AV67" s="10" t="s">
        <v>1024</v>
      </c>
      <c r="AW67" s="40" t="s">
        <v>1324</v>
      </c>
      <c r="AX67" s="39">
        <f>データ!R67</f>
        <v>0</v>
      </c>
      <c r="AY67" s="10" t="s">
        <v>1113</v>
      </c>
      <c r="AZ67" s="39" t="e">
        <f>データ!S67</f>
        <v>#N/A</v>
      </c>
      <c r="BA67" s="41" t="s">
        <v>1024</v>
      </c>
      <c r="BB67" s="40" t="s">
        <v>1319</v>
      </c>
      <c r="BC67" s="39">
        <f>データ!T67</f>
        <v>0</v>
      </c>
      <c r="BD67" s="41" t="s">
        <v>1024</v>
      </c>
      <c r="BE67" s="40" t="s">
        <v>1320</v>
      </c>
      <c r="BF67" s="39">
        <f>データ!U67</f>
        <v>0</v>
      </c>
      <c r="BG67" s="41" t="s">
        <v>1024</v>
      </c>
      <c r="BH67" s="40" t="s">
        <v>1319</v>
      </c>
      <c r="BI67" s="39">
        <f>データ!V67</f>
        <v>0</v>
      </c>
      <c r="BJ67" s="41" t="s">
        <v>1024</v>
      </c>
      <c r="BK67" s="10" t="s">
        <v>1019</v>
      </c>
    </row>
    <row r="68" spans="1:63" x14ac:dyDescent="0.15">
      <c r="A68" s="10" t="s">
        <v>1016</v>
      </c>
      <c r="B68" s="10" t="s">
        <v>1454</v>
      </c>
      <c r="C68" s="38" t="str">
        <f>"./images/thumbnail/"&amp;データ!B68&amp;".jpg"</f>
        <v>./images/thumbnail/.jpg</v>
      </c>
      <c r="D68" s="38" t="s">
        <v>1455</v>
      </c>
      <c r="E68" s="38" t="str">
        <f>"./images/thumbnail/"&amp;データ!B68&amp;".jpg"</f>
        <v>./images/thumbnail/.jpg</v>
      </c>
      <c r="F68" s="38" t="s">
        <v>1116</v>
      </c>
      <c r="G68" s="38" t="s">
        <v>1319</v>
      </c>
      <c r="H68" s="38">
        <f>データ!C68</f>
        <v>0</v>
      </c>
      <c r="I68" s="38" t="s">
        <v>1024</v>
      </c>
      <c r="J68" s="38" t="s">
        <v>1320</v>
      </c>
      <c r="K68" s="38">
        <f>データ!D68</f>
        <v>0</v>
      </c>
      <c r="L68" s="38" t="s">
        <v>1024</v>
      </c>
      <c r="M68" s="38" t="s">
        <v>1321</v>
      </c>
      <c r="N68" s="38">
        <f>データ!E68</f>
        <v>0</v>
      </c>
      <c r="O68" s="38" t="s">
        <v>1024</v>
      </c>
      <c r="P68" s="38" t="s">
        <v>1319</v>
      </c>
      <c r="Q68" s="38">
        <f>データ!F68</f>
        <v>0</v>
      </c>
      <c r="R68" s="38" t="s">
        <v>1024</v>
      </c>
      <c r="S68" s="38" t="s">
        <v>1319</v>
      </c>
      <c r="T68" s="39">
        <f>データ!G68</f>
        <v>0</v>
      </c>
      <c r="U68" s="40" t="s">
        <v>1024</v>
      </c>
      <c r="V68" s="40" t="s">
        <v>1319</v>
      </c>
      <c r="W68" s="39">
        <f>データ!H68</f>
        <v>0</v>
      </c>
      <c r="X68" s="40" t="s">
        <v>1024</v>
      </c>
      <c r="Y68" s="40" t="s">
        <v>1319</v>
      </c>
      <c r="Z68" s="39">
        <f>データ!I68</f>
        <v>0</v>
      </c>
      <c r="AA68" s="40" t="s">
        <v>1024</v>
      </c>
      <c r="AB68" s="40" t="s">
        <v>1322</v>
      </c>
      <c r="AC68" s="39">
        <f>データ!J68</f>
        <v>0</v>
      </c>
      <c r="AD68" s="38" t="s">
        <v>1024</v>
      </c>
      <c r="AE68" s="40" t="s">
        <v>1323</v>
      </c>
      <c r="AF68" s="39">
        <f>データ!K68</f>
        <v>0</v>
      </c>
      <c r="AG68" s="40" t="s">
        <v>1024</v>
      </c>
      <c r="AH68" s="40" t="s">
        <v>1324</v>
      </c>
      <c r="AI68" s="39">
        <f>データ!L68</f>
        <v>0</v>
      </c>
      <c r="AJ68" s="10" t="s">
        <v>1113</v>
      </c>
      <c r="AK68" s="39" t="e">
        <f>データ!M68</f>
        <v>#N/A</v>
      </c>
      <c r="AL68" s="10" t="s">
        <v>1024</v>
      </c>
      <c r="AM68" s="40" t="s">
        <v>1325</v>
      </c>
      <c r="AN68" s="39">
        <f>データ!N68</f>
        <v>0</v>
      </c>
      <c r="AO68" s="10" t="s">
        <v>1113</v>
      </c>
      <c r="AP68" s="39" t="e">
        <f>データ!O68</f>
        <v>#N/A</v>
      </c>
      <c r="AQ68" s="41" t="s">
        <v>1024</v>
      </c>
      <c r="AR68" s="40" t="s">
        <v>1324</v>
      </c>
      <c r="AS68" s="39">
        <f>データ!P68</f>
        <v>0</v>
      </c>
      <c r="AT68" s="10" t="s">
        <v>1113</v>
      </c>
      <c r="AU68" s="39" t="e">
        <f>データ!Q68</f>
        <v>#N/A</v>
      </c>
      <c r="AV68" s="10" t="s">
        <v>1024</v>
      </c>
      <c r="AW68" s="40" t="s">
        <v>1324</v>
      </c>
      <c r="AX68" s="39">
        <f>データ!R68</f>
        <v>0</v>
      </c>
      <c r="AY68" s="10" t="s">
        <v>1113</v>
      </c>
      <c r="AZ68" s="39" t="e">
        <f>データ!S68</f>
        <v>#N/A</v>
      </c>
      <c r="BA68" s="41" t="s">
        <v>1024</v>
      </c>
      <c r="BB68" s="40" t="s">
        <v>1319</v>
      </c>
      <c r="BC68" s="39">
        <f>データ!T68</f>
        <v>0</v>
      </c>
      <c r="BD68" s="41" t="s">
        <v>1024</v>
      </c>
      <c r="BE68" s="40" t="s">
        <v>1320</v>
      </c>
      <c r="BF68" s="39">
        <f>データ!U68</f>
        <v>0</v>
      </c>
      <c r="BG68" s="41" t="s">
        <v>1024</v>
      </c>
      <c r="BH68" s="40" t="s">
        <v>1319</v>
      </c>
      <c r="BI68" s="39">
        <f>データ!V68</f>
        <v>0</v>
      </c>
      <c r="BJ68" s="41" t="s">
        <v>1024</v>
      </c>
      <c r="BK68" s="10" t="s">
        <v>1019</v>
      </c>
    </row>
    <row r="69" spans="1:63" x14ac:dyDescent="0.15">
      <c r="A69" s="10" t="s">
        <v>1016</v>
      </c>
      <c r="B69" s="10" t="s">
        <v>1454</v>
      </c>
      <c r="C69" s="38" t="str">
        <f>"./images/thumbnail/"&amp;データ!B69&amp;".jpg"</f>
        <v>./images/thumbnail/.jpg</v>
      </c>
      <c r="D69" s="38" t="s">
        <v>1455</v>
      </c>
      <c r="E69" s="38" t="str">
        <f>"./images/thumbnail/"&amp;データ!B69&amp;".jpg"</f>
        <v>./images/thumbnail/.jpg</v>
      </c>
      <c r="F69" s="38" t="s">
        <v>1116</v>
      </c>
      <c r="G69" s="38" t="s">
        <v>1319</v>
      </c>
      <c r="H69" s="38">
        <f>データ!C69</f>
        <v>0</v>
      </c>
      <c r="I69" s="38" t="s">
        <v>1024</v>
      </c>
      <c r="J69" s="38" t="s">
        <v>1320</v>
      </c>
      <c r="K69" s="38">
        <f>データ!D69</f>
        <v>0</v>
      </c>
      <c r="L69" s="38" t="s">
        <v>1024</v>
      </c>
      <c r="M69" s="38" t="s">
        <v>1321</v>
      </c>
      <c r="N69" s="38">
        <f>データ!E69</f>
        <v>0</v>
      </c>
      <c r="O69" s="38" t="s">
        <v>1024</v>
      </c>
      <c r="P69" s="38" t="s">
        <v>1319</v>
      </c>
      <c r="Q69" s="38">
        <f>データ!F69</f>
        <v>0</v>
      </c>
      <c r="R69" s="38" t="s">
        <v>1024</v>
      </c>
      <c r="S69" s="38" t="s">
        <v>1319</v>
      </c>
      <c r="T69" s="39">
        <f>データ!G69</f>
        <v>0</v>
      </c>
      <c r="U69" s="40" t="s">
        <v>1024</v>
      </c>
      <c r="V69" s="40" t="s">
        <v>1319</v>
      </c>
      <c r="W69" s="39">
        <f>データ!H69</f>
        <v>0</v>
      </c>
      <c r="X69" s="40" t="s">
        <v>1024</v>
      </c>
      <c r="Y69" s="40" t="s">
        <v>1319</v>
      </c>
      <c r="Z69" s="39">
        <f>データ!I69</f>
        <v>0</v>
      </c>
      <c r="AA69" s="40" t="s">
        <v>1024</v>
      </c>
      <c r="AB69" s="40" t="s">
        <v>1322</v>
      </c>
      <c r="AC69" s="39">
        <f>データ!J69</f>
        <v>0</v>
      </c>
      <c r="AD69" s="38" t="s">
        <v>1024</v>
      </c>
      <c r="AE69" s="40" t="s">
        <v>1323</v>
      </c>
      <c r="AF69" s="39">
        <f>データ!K69</f>
        <v>0</v>
      </c>
      <c r="AG69" s="40" t="s">
        <v>1024</v>
      </c>
      <c r="AH69" s="40" t="s">
        <v>1324</v>
      </c>
      <c r="AI69" s="39">
        <f>データ!L69</f>
        <v>0</v>
      </c>
      <c r="AJ69" s="10" t="s">
        <v>1113</v>
      </c>
      <c r="AK69" s="39" t="e">
        <f>データ!M69</f>
        <v>#N/A</v>
      </c>
      <c r="AL69" s="10" t="s">
        <v>1024</v>
      </c>
      <c r="AM69" s="40" t="s">
        <v>1325</v>
      </c>
      <c r="AN69" s="39">
        <f>データ!N69</f>
        <v>0</v>
      </c>
      <c r="AO69" s="10" t="s">
        <v>1113</v>
      </c>
      <c r="AP69" s="39" t="e">
        <f>データ!O69</f>
        <v>#N/A</v>
      </c>
      <c r="AQ69" s="41" t="s">
        <v>1024</v>
      </c>
      <c r="AR69" s="40" t="s">
        <v>1324</v>
      </c>
      <c r="AS69" s="39">
        <f>データ!P69</f>
        <v>0</v>
      </c>
      <c r="AT69" s="10" t="s">
        <v>1113</v>
      </c>
      <c r="AU69" s="39" t="e">
        <f>データ!Q69</f>
        <v>#N/A</v>
      </c>
      <c r="AV69" s="10" t="s">
        <v>1024</v>
      </c>
      <c r="AW69" s="40" t="s">
        <v>1324</v>
      </c>
      <c r="AX69" s="39">
        <f>データ!R69</f>
        <v>0</v>
      </c>
      <c r="AY69" s="10" t="s">
        <v>1113</v>
      </c>
      <c r="AZ69" s="39" t="e">
        <f>データ!S69</f>
        <v>#N/A</v>
      </c>
      <c r="BA69" s="41" t="s">
        <v>1024</v>
      </c>
      <c r="BB69" s="40" t="s">
        <v>1319</v>
      </c>
      <c r="BC69" s="39">
        <f>データ!T69</f>
        <v>0</v>
      </c>
      <c r="BD69" s="41" t="s">
        <v>1024</v>
      </c>
      <c r="BE69" s="40" t="s">
        <v>1320</v>
      </c>
      <c r="BF69" s="39">
        <f>データ!U69</f>
        <v>0</v>
      </c>
      <c r="BG69" s="41" t="s">
        <v>1024</v>
      </c>
      <c r="BH69" s="40" t="s">
        <v>1319</v>
      </c>
      <c r="BI69" s="39">
        <f>データ!V69</f>
        <v>0</v>
      </c>
      <c r="BJ69" s="41" t="s">
        <v>1024</v>
      </c>
      <c r="BK69" s="10" t="s">
        <v>1019</v>
      </c>
    </row>
    <row r="70" spans="1:63" x14ac:dyDescent="0.15">
      <c r="A70" s="10" t="s">
        <v>1016</v>
      </c>
      <c r="B70" s="10" t="s">
        <v>1454</v>
      </c>
      <c r="C70" s="38" t="str">
        <f>"./images/thumbnail/"&amp;データ!B70&amp;".jpg"</f>
        <v>./images/thumbnail/.jpg</v>
      </c>
      <c r="D70" s="38" t="s">
        <v>1455</v>
      </c>
      <c r="E70" s="38" t="str">
        <f>"./images/thumbnail/"&amp;データ!B70&amp;".jpg"</f>
        <v>./images/thumbnail/.jpg</v>
      </c>
      <c r="F70" s="38" t="s">
        <v>1116</v>
      </c>
      <c r="G70" s="38" t="s">
        <v>1319</v>
      </c>
      <c r="H70" s="38">
        <f>データ!C70</f>
        <v>0</v>
      </c>
      <c r="I70" s="38" t="s">
        <v>1024</v>
      </c>
      <c r="J70" s="38" t="s">
        <v>1320</v>
      </c>
      <c r="K70" s="38">
        <f>データ!D70</f>
        <v>0</v>
      </c>
      <c r="L70" s="38" t="s">
        <v>1024</v>
      </c>
      <c r="M70" s="38" t="s">
        <v>1321</v>
      </c>
      <c r="N70" s="38">
        <f>データ!E70</f>
        <v>0</v>
      </c>
      <c r="O70" s="38" t="s">
        <v>1024</v>
      </c>
      <c r="P70" s="38" t="s">
        <v>1319</v>
      </c>
      <c r="Q70" s="38">
        <f>データ!F70</f>
        <v>0</v>
      </c>
      <c r="R70" s="38" t="s">
        <v>1024</v>
      </c>
      <c r="S70" s="38" t="s">
        <v>1319</v>
      </c>
      <c r="T70" s="39">
        <f>データ!G70</f>
        <v>0</v>
      </c>
      <c r="U70" s="40" t="s">
        <v>1024</v>
      </c>
      <c r="V70" s="40" t="s">
        <v>1319</v>
      </c>
      <c r="W70" s="39">
        <f>データ!H70</f>
        <v>0</v>
      </c>
      <c r="X70" s="40" t="s">
        <v>1024</v>
      </c>
      <c r="Y70" s="40" t="s">
        <v>1319</v>
      </c>
      <c r="Z70" s="39">
        <f>データ!I70</f>
        <v>0</v>
      </c>
      <c r="AA70" s="40" t="s">
        <v>1024</v>
      </c>
      <c r="AB70" s="40" t="s">
        <v>1322</v>
      </c>
      <c r="AC70" s="39">
        <f>データ!J70</f>
        <v>0</v>
      </c>
      <c r="AD70" s="38" t="s">
        <v>1024</v>
      </c>
      <c r="AE70" s="40" t="s">
        <v>1323</v>
      </c>
      <c r="AF70" s="39">
        <f>データ!K70</f>
        <v>0</v>
      </c>
      <c r="AG70" s="40" t="s">
        <v>1024</v>
      </c>
      <c r="AH70" s="40" t="s">
        <v>1324</v>
      </c>
      <c r="AI70" s="39">
        <f>データ!L70</f>
        <v>0</v>
      </c>
      <c r="AJ70" s="10" t="s">
        <v>1113</v>
      </c>
      <c r="AK70" s="39" t="e">
        <f>データ!M70</f>
        <v>#N/A</v>
      </c>
      <c r="AL70" s="10" t="s">
        <v>1024</v>
      </c>
      <c r="AM70" s="40" t="s">
        <v>1325</v>
      </c>
      <c r="AN70" s="39">
        <f>データ!N70</f>
        <v>0</v>
      </c>
      <c r="AO70" s="10" t="s">
        <v>1113</v>
      </c>
      <c r="AP70" s="39" t="e">
        <f>データ!O70</f>
        <v>#N/A</v>
      </c>
      <c r="AQ70" s="41" t="s">
        <v>1024</v>
      </c>
      <c r="AR70" s="40" t="s">
        <v>1324</v>
      </c>
      <c r="AS70" s="39">
        <f>データ!P70</f>
        <v>0</v>
      </c>
      <c r="AT70" s="10" t="s">
        <v>1113</v>
      </c>
      <c r="AU70" s="39" t="e">
        <f>データ!Q70</f>
        <v>#N/A</v>
      </c>
      <c r="AV70" s="10" t="s">
        <v>1024</v>
      </c>
      <c r="AW70" s="40" t="s">
        <v>1324</v>
      </c>
      <c r="AX70" s="39">
        <f>データ!R70</f>
        <v>0</v>
      </c>
      <c r="AY70" s="10" t="s">
        <v>1113</v>
      </c>
      <c r="AZ70" s="39" t="e">
        <f>データ!S70</f>
        <v>#N/A</v>
      </c>
      <c r="BA70" s="41" t="s">
        <v>1024</v>
      </c>
      <c r="BB70" s="40" t="s">
        <v>1319</v>
      </c>
      <c r="BC70" s="39">
        <f>データ!T70</f>
        <v>0</v>
      </c>
      <c r="BD70" s="41" t="s">
        <v>1024</v>
      </c>
      <c r="BE70" s="40" t="s">
        <v>1320</v>
      </c>
      <c r="BF70" s="39">
        <f>データ!U70</f>
        <v>0</v>
      </c>
      <c r="BG70" s="41" t="s">
        <v>1024</v>
      </c>
      <c r="BH70" s="40" t="s">
        <v>1319</v>
      </c>
      <c r="BI70" s="39">
        <f>データ!V70</f>
        <v>0</v>
      </c>
      <c r="BJ70" s="41" t="s">
        <v>1024</v>
      </c>
      <c r="BK70" s="10" t="s">
        <v>1019</v>
      </c>
    </row>
    <row r="71" spans="1:63" x14ac:dyDescent="0.15">
      <c r="A71" s="10" t="s">
        <v>1016</v>
      </c>
      <c r="B71" s="10" t="s">
        <v>1454</v>
      </c>
      <c r="C71" s="38" t="str">
        <f>"./images/thumbnail/"&amp;データ!B71&amp;".jpg"</f>
        <v>./images/thumbnail/.jpg</v>
      </c>
      <c r="D71" s="38" t="s">
        <v>1455</v>
      </c>
      <c r="E71" s="38" t="str">
        <f>"./images/thumbnail/"&amp;データ!B71&amp;".jpg"</f>
        <v>./images/thumbnail/.jpg</v>
      </c>
      <c r="F71" s="38" t="s">
        <v>1116</v>
      </c>
      <c r="G71" s="38" t="s">
        <v>1319</v>
      </c>
      <c r="H71" s="38">
        <f>データ!C71</f>
        <v>0</v>
      </c>
      <c r="I71" s="38" t="s">
        <v>1024</v>
      </c>
      <c r="J71" s="38" t="s">
        <v>1320</v>
      </c>
      <c r="K71" s="38">
        <f>データ!D71</f>
        <v>0</v>
      </c>
      <c r="L71" s="38" t="s">
        <v>1024</v>
      </c>
      <c r="M71" s="38" t="s">
        <v>1321</v>
      </c>
      <c r="N71" s="38">
        <f>データ!E71</f>
        <v>0</v>
      </c>
      <c r="O71" s="38" t="s">
        <v>1024</v>
      </c>
      <c r="P71" s="38" t="s">
        <v>1319</v>
      </c>
      <c r="Q71" s="38">
        <f>データ!F71</f>
        <v>0</v>
      </c>
      <c r="R71" s="38" t="s">
        <v>1024</v>
      </c>
      <c r="S71" s="38" t="s">
        <v>1319</v>
      </c>
      <c r="T71" s="39">
        <f>データ!G71</f>
        <v>0</v>
      </c>
      <c r="U71" s="40" t="s">
        <v>1024</v>
      </c>
      <c r="V71" s="40" t="s">
        <v>1319</v>
      </c>
      <c r="W71" s="39">
        <f>データ!H71</f>
        <v>0</v>
      </c>
      <c r="X71" s="40" t="s">
        <v>1024</v>
      </c>
      <c r="Y71" s="40" t="s">
        <v>1319</v>
      </c>
      <c r="Z71" s="39">
        <f>データ!I71</f>
        <v>0</v>
      </c>
      <c r="AA71" s="40" t="s">
        <v>1024</v>
      </c>
      <c r="AB71" s="40" t="s">
        <v>1322</v>
      </c>
      <c r="AC71" s="39">
        <f>データ!J71</f>
        <v>0</v>
      </c>
      <c r="AD71" s="38" t="s">
        <v>1024</v>
      </c>
      <c r="AE71" s="40" t="s">
        <v>1323</v>
      </c>
      <c r="AF71" s="39">
        <f>データ!K71</f>
        <v>0</v>
      </c>
      <c r="AG71" s="40" t="s">
        <v>1024</v>
      </c>
      <c r="AH71" s="40" t="s">
        <v>1324</v>
      </c>
      <c r="AI71" s="39">
        <f>データ!L71</f>
        <v>0</v>
      </c>
      <c r="AJ71" s="10" t="s">
        <v>1113</v>
      </c>
      <c r="AK71" s="39" t="e">
        <f>データ!M71</f>
        <v>#N/A</v>
      </c>
      <c r="AL71" s="10" t="s">
        <v>1024</v>
      </c>
      <c r="AM71" s="40" t="s">
        <v>1325</v>
      </c>
      <c r="AN71" s="39">
        <f>データ!N71</f>
        <v>0</v>
      </c>
      <c r="AO71" s="10" t="s">
        <v>1113</v>
      </c>
      <c r="AP71" s="39" t="e">
        <f>データ!O71</f>
        <v>#N/A</v>
      </c>
      <c r="AQ71" s="41" t="s">
        <v>1024</v>
      </c>
      <c r="AR71" s="40" t="s">
        <v>1324</v>
      </c>
      <c r="AS71" s="39">
        <f>データ!P71</f>
        <v>0</v>
      </c>
      <c r="AT71" s="10" t="s">
        <v>1113</v>
      </c>
      <c r="AU71" s="39" t="e">
        <f>データ!Q71</f>
        <v>#N/A</v>
      </c>
      <c r="AV71" s="10" t="s">
        <v>1024</v>
      </c>
      <c r="AW71" s="40" t="s">
        <v>1324</v>
      </c>
      <c r="AX71" s="39">
        <f>データ!R71</f>
        <v>0</v>
      </c>
      <c r="AY71" s="10" t="s">
        <v>1113</v>
      </c>
      <c r="AZ71" s="39" t="e">
        <f>データ!S71</f>
        <v>#N/A</v>
      </c>
      <c r="BA71" s="41" t="s">
        <v>1024</v>
      </c>
      <c r="BB71" s="40" t="s">
        <v>1319</v>
      </c>
      <c r="BC71" s="39">
        <f>データ!T71</f>
        <v>0</v>
      </c>
      <c r="BD71" s="41" t="s">
        <v>1024</v>
      </c>
      <c r="BE71" s="40" t="s">
        <v>1320</v>
      </c>
      <c r="BF71" s="39">
        <f>データ!U71</f>
        <v>0</v>
      </c>
      <c r="BG71" s="41" t="s">
        <v>1024</v>
      </c>
      <c r="BH71" s="40" t="s">
        <v>1319</v>
      </c>
      <c r="BI71" s="39">
        <f>データ!V71</f>
        <v>0</v>
      </c>
      <c r="BJ71" s="41" t="s">
        <v>1024</v>
      </c>
      <c r="BK71" s="10" t="s">
        <v>1019</v>
      </c>
    </row>
    <row r="72" spans="1:63" x14ac:dyDescent="0.15">
      <c r="A72" s="10" t="s">
        <v>1016</v>
      </c>
      <c r="B72" s="10" t="s">
        <v>1454</v>
      </c>
      <c r="C72" s="38" t="str">
        <f>"./images/thumbnail/"&amp;データ!B72&amp;".jpg"</f>
        <v>./images/thumbnail/1025.jpg</v>
      </c>
      <c r="D72" s="38" t="s">
        <v>1455</v>
      </c>
      <c r="E72" s="38" t="str">
        <f>"./images/thumbnail/"&amp;データ!B72&amp;".jpg"</f>
        <v>./images/thumbnail/1025.jpg</v>
      </c>
      <c r="F72" s="38" t="s">
        <v>1116</v>
      </c>
      <c r="G72" s="38" t="s">
        <v>1319</v>
      </c>
      <c r="H72" s="38" t="str">
        <f>データ!C72</f>
        <v>ニーナ</v>
      </c>
      <c r="I72" s="38" t="s">
        <v>1024</v>
      </c>
      <c r="J72" s="38" t="s">
        <v>1320</v>
      </c>
      <c r="K72" s="38" t="str">
        <f>データ!D72</f>
        <v>SSR</v>
      </c>
      <c r="L72" s="38" t="s">
        <v>1024</v>
      </c>
      <c r="M72" s="38" t="s">
        <v>1321</v>
      </c>
      <c r="N72" s="38">
        <f>データ!E72</f>
        <v>12</v>
      </c>
      <c r="O72" s="38" t="s">
        <v>1024</v>
      </c>
      <c r="P72" s="38" t="s">
        <v>1319</v>
      </c>
      <c r="Q72" s="38" t="str">
        <f>データ!F72</f>
        <v>斬</v>
      </c>
      <c r="R72" s="38" t="s">
        <v>1024</v>
      </c>
      <c r="S72" s="38" t="s">
        <v>1319</v>
      </c>
      <c r="T72" s="39">
        <f>データ!G72</f>
        <v>14744</v>
      </c>
      <c r="U72" s="40" t="s">
        <v>1024</v>
      </c>
      <c r="V72" s="40" t="s">
        <v>1319</v>
      </c>
      <c r="W72" s="39">
        <f>データ!H72</f>
        <v>6779</v>
      </c>
      <c r="X72" s="40" t="s">
        <v>1024</v>
      </c>
      <c r="Y72" s="40" t="s">
        <v>1319</v>
      </c>
      <c r="Z72" s="39">
        <f>データ!I72</f>
        <v>4703</v>
      </c>
      <c r="AA72" s="40" t="s">
        <v>1024</v>
      </c>
      <c r="AB72" s="40" t="s">
        <v>1322</v>
      </c>
      <c r="AC72" s="39" t="str">
        <f>データ!J72</f>
        <v>A+</v>
      </c>
      <c r="AD72" s="38" t="s">
        <v>1024</v>
      </c>
      <c r="AE72" s="40" t="s">
        <v>1323</v>
      </c>
      <c r="AF72" s="39">
        <f>データ!K72</f>
        <v>26226</v>
      </c>
      <c r="AG72" s="40" t="s">
        <v>1024</v>
      </c>
      <c r="AH72" s="40" t="s">
        <v>1324</v>
      </c>
      <c r="AI72" s="39" t="str">
        <f>データ!L72</f>
        <v>幻氷の縦十字／絶</v>
      </c>
      <c r="AJ72" s="10" t="s">
        <v>1113</v>
      </c>
      <c r="AK72" s="39" t="str">
        <f>データ!M72</f>
        <v>十字型に攻撃[大]</v>
      </c>
      <c r="AL72" s="10" t="s">
        <v>1024</v>
      </c>
      <c r="AM72" s="40" t="s">
        <v>1325</v>
      </c>
      <c r="AN72" s="39" t="str">
        <f>データ!N72</f>
        <v>-</v>
      </c>
      <c r="AO72" s="10" t="s">
        <v>1113</v>
      </c>
      <c r="AP72" s="39" t="str">
        <f>データ!O72</f>
        <v>　</v>
      </c>
      <c r="AQ72" s="41" t="s">
        <v>1024</v>
      </c>
      <c r="AR72" s="40" t="s">
        <v>1324</v>
      </c>
      <c r="AS72" s="39" t="str">
        <f>データ!P72</f>
        <v>リザレクション／真</v>
      </c>
      <c r="AT72" s="10" t="s">
        <v>1113</v>
      </c>
      <c r="AU72" s="39" t="str">
        <f>データ!Q72</f>
        <v>中確率でパーティ全員を復帰(全滅時のみ使用可)</v>
      </c>
      <c r="AV72" s="10" t="s">
        <v>1024</v>
      </c>
      <c r="AW72" s="40" t="s">
        <v>1324</v>
      </c>
      <c r="AX72" s="39" t="str">
        <f>データ!R72</f>
        <v>-</v>
      </c>
      <c r="AY72" s="10" t="s">
        <v>1113</v>
      </c>
      <c r="AZ72" s="39" t="str">
        <f>データ!S72</f>
        <v>　</v>
      </c>
      <c r="BA72" s="41" t="s">
        <v>1024</v>
      </c>
      <c r="BB72" s="40" t="s">
        <v>1319</v>
      </c>
      <c r="BC72" s="39" t="str">
        <f>データ!T72</f>
        <v>-</v>
      </c>
      <c r="BD72" s="41" t="s">
        <v>1024</v>
      </c>
      <c r="BE72" s="40" t="s">
        <v>1320</v>
      </c>
      <c r="BF72" s="39" t="str">
        <f>データ!U72</f>
        <v>-</v>
      </c>
      <c r="BG72" s="41" t="s">
        <v>1024</v>
      </c>
      <c r="BH72" s="40" t="s">
        <v>1319</v>
      </c>
      <c r="BI72" s="39" t="str">
        <f>データ!V72</f>
        <v>常設</v>
      </c>
      <c r="BJ72" s="41" t="s">
        <v>1024</v>
      </c>
      <c r="BK72" s="10" t="s">
        <v>1019</v>
      </c>
    </row>
    <row r="73" spans="1:63" x14ac:dyDescent="0.15">
      <c r="A73" s="10" t="s">
        <v>1016</v>
      </c>
      <c r="B73" s="10" t="s">
        <v>1454</v>
      </c>
      <c r="C73" s="38" t="str">
        <f>"./images/thumbnail/"&amp;データ!B73&amp;".jpg"</f>
        <v>./images/thumbnail/1026.jpg</v>
      </c>
      <c r="D73" s="38" t="s">
        <v>1455</v>
      </c>
      <c r="E73" s="38" t="str">
        <f>"./images/thumbnail/"&amp;データ!B73&amp;".jpg"</f>
        <v>./images/thumbnail/1026.jpg</v>
      </c>
      <c r="F73" s="38" t="s">
        <v>1116</v>
      </c>
      <c r="G73" s="38" t="s">
        <v>1319</v>
      </c>
      <c r="H73" s="38" t="str">
        <f>データ!C73</f>
        <v>ダイア</v>
      </c>
      <c r="I73" s="38" t="s">
        <v>1024</v>
      </c>
      <c r="J73" s="38" t="s">
        <v>1320</v>
      </c>
      <c r="K73" s="38" t="str">
        <f>データ!D73</f>
        <v>SSR</v>
      </c>
      <c r="L73" s="38" t="s">
        <v>1024</v>
      </c>
      <c r="M73" s="38" t="s">
        <v>1321</v>
      </c>
      <c r="N73" s="38">
        <f>データ!E73</f>
        <v>12</v>
      </c>
      <c r="O73" s="38" t="s">
        <v>1024</v>
      </c>
      <c r="P73" s="38" t="s">
        <v>1319</v>
      </c>
      <c r="Q73" s="38" t="str">
        <f>データ!F73</f>
        <v>斬</v>
      </c>
      <c r="R73" s="38" t="s">
        <v>1024</v>
      </c>
      <c r="S73" s="38" t="s">
        <v>1319</v>
      </c>
      <c r="T73" s="39">
        <f>データ!G73</f>
        <v>13250</v>
      </c>
      <c r="U73" s="40" t="s">
        <v>1024</v>
      </c>
      <c r="V73" s="40" t="s">
        <v>1319</v>
      </c>
      <c r="W73" s="39">
        <f>データ!H73</f>
        <v>6092</v>
      </c>
      <c r="X73" s="40" t="s">
        <v>1024</v>
      </c>
      <c r="Y73" s="40" t="s">
        <v>1319</v>
      </c>
      <c r="Z73" s="39">
        <f>データ!I73</f>
        <v>5780</v>
      </c>
      <c r="AA73" s="40" t="s">
        <v>1024</v>
      </c>
      <c r="AB73" s="40" t="s">
        <v>1322</v>
      </c>
      <c r="AC73" s="39" t="str">
        <f>データ!J73</f>
        <v>A+</v>
      </c>
      <c r="AD73" s="38" t="s">
        <v>1024</v>
      </c>
      <c r="AE73" s="40" t="s">
        <v>1323</v>
      </c>
      <c r="AF73" s="39">
        <f>データ!K73</f>
        <v>25122</v>
      </c>
      <c r="AG73" s="40" t="s">
        <v>1024</v>
      </c>
      <c r="AH73" s="40" t="s">
        <v>1324</v>
      </c>
      <c r="AI73" s="39" t="str">
        <f>データ!L73</f>
        <v>斬紅の聖護</v>
      </c>
      <c r="AJ73" s="10" t="s">
        <v>1113</v>
      </c>
      <c r="AK73" s="39" t="str">
        <f>データ!M73</f>
        <v>味方斬属性の防御力をUP[大]</v>
      </c>
      <c r="AL73" s="10" t="s">
        <v>1024</v>
      </c>
      <c r="AM73" s="40" t="s">
        <v>1325</v>
      </c>
      <c r="AN73" s="39" t="str">
        <f>データ!N73</f>
        <v>-</v>
      </c>
      <c r="AO73" s="10" t="s">
        <v>1113</v>
      </c>
      <c r="AP73" s="39" t="str">
        <f>データ!O73</f>
        <v>　</v>
      </c>
      <c r="AQ73" s="41" t="s">
        <v>1024</v>
      </c>
      <c r="AR73" s="40" t="s">
        <v>1324</v>
      </c>
      <c r="AS73" s="39" t="str">
        <f>データ!P73</f>
        <v>リヴァイブ／真斬紅</v>
      </c>
      <c r="AT73" s="10" t="s">
        <v>1113</v>
      </c>
      <c r="AU73" s="39" t="str">
        <f>データ!Q73</f>
        <v>高確率で斬属性のユニットを復帰</v>
      </c>
      <c r="AV73" s="10" t="s">
        <v>1024</v>
      </c>
      <c r="AW73" s="40" t="s">
        <v>1324</v>
      </c>
      <c r="AX73" s="39" t="str">
        <f>データ!R73</f>
        <v>-</v>
      </c>
      <c r="AY73" s="10" t="s">
        <v>1113</v>
      </c>
      <c r="AZ73" s="39" t="str">
        <f>データ!S73</f>
        <v>　</v>
      </c>
      <c r="BA73" s="41" t="s">
        <v>1024</v>
      </c>
      <c r="BB73" s="40" t="s">
        <v>1319</v>
      </c>
      <c r="BC73" s="39" t="str">
        <f>データ!T73</f>
        <v>-</v>
      </c>
      <c r="BD73" s="41" t="s">
        <v>1024</v>
      </c>
      <c r="BE73" s="40" t="s">
        <v>1320</v>
      </c>
      <c r="BF73" s="39" t="str">
        <f>データ!U73</f>
        <v>-</v>
      </c>
      <c r="BG73" s="41" t="s">
        <v>1024</v>
      </c>
      <c r="BH73" s="40" t="s">
        <v>1319</v>
      </c>
      <c r="BI73" s="39" t="str">
        <f>データ!V73</f>
        <v>メダル</v>
      </c>
      <c r="BJ73" s="41" t="s">
        <v>1024</v>
      </c>
      <c r="BK73" s="10" t="s">
        <v>1019</v>
      </c>
    </row>
    <row r="74" spans="1:63" x14ac:dyDescent="0.15">
      <c r="A74" s="10" t="s">
        <v>1016</v>
      </c>
      <c r="B74" s="10" t="s">
        <v>1454</v>
      </c>
      <c r="C74" s="38" t="str">
        <f>"./images/thumbnail/"&amp;データ!B74&amp;".jpg"</f>
        <v>./images/thumbnail/1027.jpg</v>
      </c>
      <c r="D74" s="38" t="s">
        <v>1455</v>
      </c>
      <c r="E74" s="38" t="str">
        <f>"./images/thumbnail/"&amp;データ!B74&amp;".jpg"</f>
        <v>./images/thumbnail/1027.jpg</v>
      </c>
      <c r="F74" s="38" t="s">
        <v>1116</v>
      </c>
      <c r="G74" s="38" t="s">
        <v>1319</v>
      </c>
      <c r="H74" s="38" t="str">
        <f>データ!C74</f>
        <v>ロラン</v>
      </c>
      <c r="I74" s="38" t="s">
        <v>1024</v>
      </c>
      <c r="J74" s="38" t="s">
        <v>1320</v>
      </c>
      <c r="K74" s="38" t="str">
        <f>データ!D74</f>
        <v>SSR</v>
      </c>
      <c r="L74" s="38" t="s">
        <v>1024</v>
      </c>
      <c r="M74" s="38" t="s">
        <v>1321</v>
      </c>
      <c r="N74" s="38">
        <f>データ!E74</f>
        <v>12</v>
      </c>
      <c r="O74" s="38" t="s">
        <v>1024</v>
      </c>
      <c r="P74" s="38" t="s">
        <v>1319</v>
      </c>
      <c r="Q74" s="38" t="str">
        <f>データ!F74</f>
        <v>斬</v>
      </c>
      <c r="R74" s="38" t="s">
        <v>1024</v>
      </c>
      <c r="S74" s="38" t="s">
        <v>1319</v>
      </c>
      <c r="T74" s="39">
        <f>データ!G74</f>
        <v>13400</v>
      </c>
      <c r="U74" s="40" t="s">
        <v>1024</v>
      </c>
      <c r="V74" s="40" t="s">
        <v>1319</v>
      </c>
      <c r="W74" s="39">
        <f>データ!H74</f>
        <v>7263</v>
      </c>
      <c r="X74" s="40" t="s">
        <v>1024</v>
      </c>
      <c r="Y74" s="40" t="s">
        <v>1319</v>
      </c>
      <c r="Z74" s="39">
        <f>データ!I74</f>
        <v>4856</v>
      </c>
      <c r="AA74" s="40" t="s">
        <v>1024</v>
      </c>
      <c r="AB74" s="40" t="s">
        <v>1322</v>
      </c>
      <c r="AC74" s="39" t="str">
        <f>データ!J74</f>
        <v>A+</v>
      </c>
      <c r="AD74" s="38" t="s">
        <v>1024</v>
      </c>
      <c r="AE74" s="40" t="s">
        <v>1323</v>
      </c>
      <c r="AF74" s="39">
        <f>データ!K74</f>
        <v>25519</v>
      </c>
      <c r="AG74" s="40" t="s">
        <v>1024</v>
      </c>
      <c r="AH74" s="40" t="s">
        <v>1324</v>
      </c>
      <c r="AI74" s="39" t="str">
        <f>データ!L74</f>
        <v>斬紅の業火／真</v>
      </c>
      <c r="AJ74" s="10" t="s">
        <v>1113</v>
      </c>
      <c r="AK74" s="39" t="str">
        <f>データ!M74</f>
        <v>次の攻撃でダメージが上昇する[中]</v>
      </c>
      <c r="AL74" s="10" t="s">
        <v>1024</v>
      </c>
      <c r="AM74" s="40" t="s">
        <v>1325</v>
      </c>
      <c r="AN74" s="39" t="str">
        <f>データ!N74</f>
        <v>-</v>
      </c>
      <c r="AO74" s="10" t="s">
        <v>1113</v>
      </c>
      <c r="AP74" s="39" t="str">
        <f>データ!O74</f>
        <v>　</v>
      </c>
      <c r="AQ74" s="41" t="s">
        <v>1024</v>
      </c>
      <c r="AR74" s="40" t="s">
        <v>1324</v>
      </c>
      <c r="AS74" s="39" t="str">
        <f>データ!P74</f>
        <v>アサルト／真</v>
      </c>
      <c r="AT74" s="10" t="s">
        <v>1113</v>
      </c>
      <c r="AU74" s="39" t="str">
        <f>データ!Q74</f>
        <v>パーティ全体の攻撃力が中UP(3分間)</v>
      </c>
      <c r="AV74" s="10" t="s">
        <v>1024</v>
      </c>
      <c r="AW74" s="40" t="s">
        <v>1324</v>
      </c>
      <c r="AX74" s="39" t="str">
        <f>データ!R74</f>
        <v>-</v>
      </c>
      <c r="AY74" s="10" t="s">
        <v>1113</v>
      </c>
      <c r="AZ74" s="39" t="str">
        <f>データ!S74</f>
        <v>　</v>
      </c>
      <c r="BA74" s="41" t="s">
        <v>1024</v>
      </c>
      <c r="BB74" s="40" t="s">
        <v>1319</v>
      </c>
      <c r="BC74" s="39" t="str">
        <f>データ!T74</f>
        <v>-</v>
      </c>
      <c r="BD74" s="41" t="s">
        <v>1024</v>
      </c>
      <c r="BE74" s="40" t="s">
        <v>1320</v>
      </c>
      <c r="BF74" s="39" t="str">
        <f>データ!U74</f>
        <v>-</v>
      </c>
      <c r="BG74" s="41" t="s">
        <v>1024</v>
      </c>
      <c r="BH74" s="40" t="s">
        <v>1319</v>
      </c>
      <c r="BI74" s="39" t="str">
        <f>データ!V74</f>
        <v>常設</v>
      </c>
      <c r="BJ74" s="41" t="s">
        <v>1024</v>
      </c>
      <c r="BK74" s="10" t="s">
        <v>1019</v>
      </c>
    </row>
    <row r="75" spans="1:63" x14ac:dyDescent="0.15">
      <c r="A75" s="10" t="s">
        <v>1016</v>
      </c>
      <c r="B75" s="10" t="s">
        <v>1454</v>
      </c>
      <c r="C75" s="38" t="str">
        <f>"./images/thumbnail/"&amp;データ!B75&amp;".jpg"</f>
        <v>./images/thumbnail/1051.jpg</v>
      </c>
      <c r="D75" s="38" t="s">
        <v>1455</v>
      </c>
      <c r="E75" s="38" t="str">
        <f>"./images/thumbnail/"&amp;データ!B75&amp;".jpg"</f>
        <v>./images/thumbnail/1051.jpg</v>
      </c>
      <c r="F75" s="38" t="s">
        <v>1116</v>
      </c>
      <c r="G75" s="38" t="s">
        <v>1319</v>
      </c>
      <c r="H75" s="38" t="str">
        <f>データ!C75</f>
        <v>カルディナ</v>
      </c>
      <c r="I75" s="38" t="s">
        <v>1024</v>
      </c>
      <c r="J75" s="38" t="s">
        <v>1320</v>
      </c>
      <c r="K75" s="38" t="str">
        <f>データ!D75</f>
        <v>SSR</v>
      </c>
      <c r="L75" s="38" t="s">
        <v>1024</v>
      </c>
      <c r="M75" s="38" t="s">
        <v>1321</v>
      </c>
      <c r="N75" s="38">
        <f>データ!E75</f>
        <v>12</v>
      </c>
      <c r="O75" s="38" t="s">
        <v>1024</v>
      </c>
      <c r="P75" s="38" t="s">
        <v>1319</v>
      </c>
      <c r="Q75" s="38" t="str">
        <f>データ!F75</f>
        <v>突</v>
      </c>
      <c r="R75" s="38" t="s">
        <v>1024</v>
      </c>
      <c r="S75" s="38" t="s">
        <v>1319</v>
      </c>
      <c r="T75" s="39">
        <f>データ!G75</f>
        <v>15765</v>
      </c>
      <c r="U75" s="40" t="s">
        <v>1024</v>
      </c>
      <c r="V75" s="40" t="s">
        <v>1319</v>
      </c>
      <c r="W75" s="39">
        <f>データ!H75</f>
        <v>4692</v>
      </c>
      <c r="X75" s="40" t="s">
        <v>1024</v>
      </c>
      <c r="Y75" s="40" t="s">
        <v>1319</v>
      </c>
      <c r="Z75" s="39">
        <f>データ!I75</f>
        <v>5877</v>
      </c>
      <c r="AA75" s="40" t="s">
        <v>1024</v>
      </c>
      <c r="AB75" s="40" t="s">
        <v>1322</v>
      </c>
      <c r="AC75" s="39" t="str">
        <f>データ!J75</f>
        <v>SS-</v>
      </c>
      <c r="AD75" s="38" t="s">
        <v>1024</v>
      </c>
      <c r="AE75" s="40" t="s">
        <v>1323</v>
      </c>
      <c r="AF75" s="39">
        <f>データ!K75</f>
        <v>26334</v>
      </c>
      <c r="AG75" s="40" t="s">
        <v>1024</v>
      </c>
      <c r="AH75" s="40" t="s">
        <v>1324</v>
      </c>
      <c r="AI75" s="39" t="str">
        <f>データ!L75</f>
        <v>破天の五連撃</v>
      </c>
      <c r="AJ75" s="10" t="s">
        <v>1113</v>
      </c>
      <c r="AK75" s="39" t="str">
        <f>データ!M75</f>
        <v>ランダムで5連固定ダメージ[小]</v>
      </c>
      <c r="AL75" s="10" t="s">
        <v>1024</v>
      </c>
      <c r="AM75" s="40" t="s">
        <v>1325</v>
      </c>
      <c r="AN75" s="39" t="str">
        <f>データ!N75</f>
        <v>-</v>
      </c>
      <c r="AO75" s="10" t="s">
        <v>1113</v>
      </c>
      <c r="AP75" s="39" t="str">
        <f>データ!O75</f>
        <v>　</v>
      </c>
      <c r="AQ75" s="41" t="s">
        <v>1024</v>
      </c>
      <c r="AR75" s="40" t="s">
        <v>1324</v>
      </c>
      <c r="AS75" s="39" t="str">
        <f>データ!P75</f>
        <v>フォートレス／真</v>
      </c>
      <c r="AT75" s="10" t="s">
        <v>1113</v>
      </c>
      <c r="AU75" s="39" t="str">
        <f>データ!Q75</f>
        <v>パーティ全体の防御力が中UP(3分間)</v>
      </c>
      <c r="AV75" s="10" t="s">
        <v>1024</v>
      </c>
      <c r="AW75" s="40" t="s">
        <v>1324</v>
      </c>
      <c r="AX75" s="39" t="str">
        <f>データ!R75</f>
        <v>-</v>
      </c>
      <c r="AY75" s="10" t="s">
        <v>1113</v>
      </c>
      <c r="AZ75" s="39" t="str">
        <f>データ!S75</f>
        <v>　</v>
      </c>
      <c r="BA75" s="41" t="s">
        <v>1024</v>
      </c>
      <c r="BB75" s="40" t="s">
        <v>1319</v>
      </c>
      <c r="BC75" s="39" t="str">
        <f>データ!T75</f>
        <v>-</v>
      </c>
      <c r="BD75" s="41" t="s">
        <v>1024</v>
      </c>
      <c r="BE75" s="40" t="s">
        <v>1320</v>
      </c>
      <c r="BF75" s="39" t="str">
        <f>データ!U75</f>
        <v>-</v>
      </c>
      <c r="BG75" s="41" t="s">
        <v>1024</v>
      </c>
      <c r="BH75" s="40" t="s">
        <v>1319</v>
      </c>
      <c r="BI75" s="39" t="str">
        <f>データ!V75</f>
        <v>常設</v>
      </c>
      <c r="BJ75" s="41" t="s">
        <v>1024</v>
      </c>
      <c r="BK75" s="10" t="s">
        <v>1019</v>
      </c>
    </row>
    <row r="76" spans="1:63" x14ac:dyDescent="0.15">
      <c r="A76" s="10" t="s">
        <v>1016</v>
      </c>
      <c r="B76" s="10" t="s">
        <v>1454</v>
      </c>
      <c r="C76" s="38" t="str">
        <f>"./images/thumbnail/"&amp;データ!B76&amp;".jpg"</f>
        <v>./images/thumbnail/1052.jpg</v>
      </c>
      <c r="D76" s="38" t="s">
        <v>1455</v>
      </c>
      <c r="E76" s="38" t="str">
        <f>"./images/thumbnail/"&amp;データ!B76&amp;".jpg"</f>
        <v>./images/thumbnail/1052.jpg</v>
      </c>
      <c r="F76" s="38" t="s">
        <v>1116</v>
      </c>
      <c r="G76" s="38" t="s">
        <v>1319</v>
      </c>
      <c r="H76" s="38" t="str">
        <f>データ!C76</f>
        <v>シルヴィ</v>
      </c>
      <c r="I76" s="38" t="s">
        <v>1024</v>
      </c>
      <c r="J76" s="38" t="s">
        <v>1320</v>
      </c>
      <c r="K76" s="38" t="str">
        <f>データ!D76</f>
        <v>SSR</v>
      </c>
      <c r="L76" s="38" t="s">
        <v>1024</v>
      </c>
      <c r="M76" s="38" t="s">
        <v>1321</v>
      </c>
      <c r="N76" s="38">
        <f>データ!E76</f>
        <v>12</v>
      </c>
      <c r="O76" s="38" t="s">
        <v>1024</v>
      </c>
      <c r="P76" s="38" t="s">
        <v>1319</v>
      </c>
      <c r="Q76" s="38" t="str">
        <f>データ!F76</f>
        <v>突</v>
      </c>
      <c r="R76" s="38" t="s">
        <v>1024</v>
      </c>
      <c r="S76" s="38" t="s">
        <v>1319</v>
      </c>
      <c r="T76" s="39">
        <f>データ!G76</f>
        <v>17672</v>
      </c>
      <c r="U76" s="40" t="s">
        <v>1024</v>
      </c>
      <c r="V76" s="40" t="s">
        <v>1319</v>
      </c>
      <c r="W76" s="39">
        <f>データ!H76</f>
        <v>4461</v>
      </c>
      <c r="X76" s="40" t="s">
        <v>1024</v>
      </c>
      <c r="Y76" s="40" t="s">
        <v>1319</v>
      </c>
      <c r="Z76" s="39">
        <f>データ!I76</f>
        <v>5532</v>
      </c>
      <c r="AA76" s="40" t="s">
        <v>1024</v>
      </c>
      <c r="AB76" s="40" t="s">
        <v>1322</v>
      </c>
      <c r="AC76" s="39" t="str">
        <f>データ!J76</f>
        <v>SS-</v>
      </c>
      <c r="AD76" s="38" t="s">
        <v>1024</v>
      </c>
      <c r="AE76" s="40" t="s">
        <v>1323</v>
      </c>
      <c r="AF76" s="39">
        <f>データ!K76</f>
        <v>27665</v>
      </c>
      <c r="AG76" s="40" t="s">
        <v>1024</v>
      </c>
      <c r="AH76" s="40" t="s">
        <v>1324</v>
      </c>
      <c r="AI76" s="39" t="str">
        <f>データ!L76</f>
        <v>焔幻の一閃／絶</v>
      </c>
      <c r="AJ76" s="10" t="s">
        <v>1113</v>
      </c>
      <c r="AK76" s="39" t="str">
        <f>データ!M76</f>
        <v>横一列に攻撃[大]</v>
      </c>
      <c r="AL76" s="10" t="s">
        <v>1024</v>
      </c>
      <c r="AM76" s="40" t="s">
        <v>1325</v>
      </c>
      <c r="AN76" s="39" t="str">
        <f>データ!N76</f>
        <v>-</v>
      </c>
      <c r="AO76" s="10" t="s">
        <v>1113</v>
      </c>
      <c r="AP76" s="39" t="str">
        <f>データ!O76</f>
        <v>　</v>
      </c>
      <c r="AQ76" s="41" t="s">
        <v>1024</v>
      </c>
      <c r="AR76" s="40" t="s">
        <v>1324</v>
      </c>
      <c r="AS76" s="39" t="str">
        <f>データ!P76</f>
        <v>ヒール／真</v>
      </c>
      <c r="AT76" s="10" t="s">
        <v>1113</v>
      </c>
      <c r="AU76" s="39" t="str">
        <f>データ!Q76</f>
        <v>生存ユニットのHPを中回復</v>
      </c>
      <c r="AV76" s="10" t="s">
        <v>1024</v>
      </c>
      <c r="AW76" s="40" t="s">
        <v>1324</v>
      </c>
      <c r="AX76" s="39" t="str">
        <f>データ!R76</f>
        <v>-</v>
      </c>
      <c r="AY76" s="10" t="s">
        <v>1113</v>
      </c>
      <c r="AZ76" s="39" t="str">
        <f>データ!S76</f>
        <v>　</v>
      </c>
      <c r="BA76" s="41" t="s">
        <v>1024</v>
      </c>
      <c r="BB76" s="40" t="s">
        <v>1319</v>
      </c>
      <c r="BC76" s="39" t="str">
        <f>データ!T76</f>
        <v>-</v>
      </c>
      <c r="BD76" s="41" t="s">
        <v>1024</v>
      </c>
      <c r="BE76" s="40" t="s">
        <v>1320</v>
      </c>
      <c r="BF76" s="39" t="str">
        <f>データ!U76</f>
        <v>-</v>
      </c>
      <c r="BG76" s="41" t="s">
        <v>1024</v>
      </c>
      <c r="BH76" s="40" t="s">
        <v>1319</v>
      </c>
      <c r="BI76" s="39" t="str">
        <f>データ!V76</f>
        <v>常設</v>
      </c>
      <c r="BJ76" s="41" t="s">
        <v>1024</v>
      </c>
      <c r="BK76" s="10" t="s">
        <v>1019</v>
      </c>
    </row>
    <row r="77" spans="1:63" x14ac:dyDescent="0.15">
      <c r="A77" s="10" t="s">
        <v>1016</v>
      </c>
      <c r="B77" s="10" t="s">
        <v>1454</v>
      </c>
      <c r="C77" s="38" t="str">
        <f>"./images/thumbnail/"&amp;データ!B77&amp;".jpg"</f>
        <v>./images/thumbnail/1053.jpg</v>
      </c>
      <c r="D77" s="38" t="s">
        <v>1455</v>
      </c>
      <c r="E77" s="38" t="str">
        <f>"./images/thumbnail/"&amp;データ!B77&amp;".jpg"</f>
        <v>./images/thumbnail/1053.jpg</v>
      </c>
      <c r="F77" s="38" t="s">
        <v>1116</v>
      </c>
      <c r="G77" s="38" t="s">
        <v>1319</v>
      </c>
      <c r="H77" s="38" t="str">
        <f>データ!C77</f>
        <v>クロード</v>
      </c>
      <c r="I77" s="38" t="s">
        <v>1024</v>
      </c>
      <c r="J77" s="38" t="s">
        <v>1320</v>
      </c>
      <c r="K77" s="38" t="str">
        <f>データ!D77</f>
        <v>SSR</v>
      </c>
      <c r="L77" s="38" t="s">
        <v>1024</v>
      </c>
      <c r="M77" s="38" t="s">
        <v>1321</v>
      </c>
      <c r="N77" s="38">
        <f>データ!E77</f>
        <v>12</v>
      </c>
      <c r="O77" s="38" t="s">
        <v>1024</v>
      </c>
      <c r="P77" s="38" t="s">
        <v>1319</v>
      </c>
      <c r="Q77" s="38" t="str">
        <f>データ!F77</f>
        <v>突</v>
      </c>
      <c r="R77" s="38" t="s">
        <v>1024</v>
      </c>
      <c r="S77" s="38" t="s">
        <v>1319</v>
      </c>
      <c r="T77" s="39">
        <f>データ!G77</f>
        <v>15076</v>
      </c>
      <c r="U77" s="40" t="s">
        <v>1024</v>
      </c>
      <c r="V77" s="40" t="s">
        <v>1319</v>
      </c>
      <c r="W77" s="39">
        <f>データ!H77</f>
        <v>4748</v>
      </c>
      <c r="X77" s="40" t="s">
        <v>1024</v>
      </c>
      <c r="Y77" s="40" t="s">
        <v>1319</v>
      </c>
      <c r="Z77" s="39">
        <f>データ!I77</f>
        <v>5505</v>
      </c>
      <c r="AA77" s="40" t="s">
        <v>1024</v>
      </c>
      <c r="AB77" s="40" t="s">
        <v>1322</v>
      </c>
      <c r="AC77" s="39" t="str">
        <f>データ!J77</f>
        <v>SS1</v>
      </c>
      <c r="AD77" s="38" t="s">
        <v>1024</v>
      </c>
      <c r="AE77" s="40" t="s">
        <v>1323</v>
      </c>
      <c r="AF77" s="39">
        <f>データ!K77</f>
        <v>25329</v>
      </c>
      <c r="AG77" s="40" t="s">
        <v>1024</v>
      </c>
      <c r="AH77" s="40" t="s">
        <v>1324</v>
      </c>
      <c r="AI77" s="39" t="str">
        <f>データ!L77</f>
        <v>蒼突の覇道</v>
      </c>
      <c r="AJ77" s="10" t="s">
        <v>1113</v>
      </c>
      <c r="AK77" s="39" t="str">
        <f>データ!M77</f>
        <v>味方突属性の攻撃力をUP[大]</v>
      </c>
      <c r="AL77" s="10" t="s">
        <v>1024</v>
      </c>
      <c r="AM77" s="40" t="s">
        <v>1325</v>
      </c>
      <c r="AN77" s="39" t="str">
        <f>データ!N77</f>
        <v>-</v>
      </c>
      <c r="AO77" s="10" t="s">
        <v>1113</v>
      </c>
      <c r="AP77" s="39" t="str">
        <f>データ!O77</f>
        <v>　</v>
      </c>
      <c r="AQ77" s="41" t="s">
        <v>1024</v>
      </c>
      <c r="AR77" s="40" t="s">
        <v>1324</v>
      </c>
      <c r="AS77" s="39" t="str">
        <f>データ!P77</f>
        <v>リヴァイブ／真蒼突</v>
      </c>
      <c r="AT77" s="10" t="s">
        <v>1113</v>
      </c>
      <c r="AU77" s="39" t="str">
        <f>データ!Q77</f>
        <v>高確率で突属性のユニットを復帰</v>
      </c>
      <c r="AV77" s="10" t="s">
        <v>1024</v>
      </c>
      <c r="AW77" s="40" t="s">
        <v>1324</v>
      </c>
      <c r="AX77" s="39" t="str">
        <f>データ!R77</f>
        <v>-</v>
      </c>
      <c r="AY77" s="10" t="s">
        <v>1113</v>
      </c>
      <c r="AZ77" s="39" t="str">
        <f>データ!S77</f>
        <v>　</v>
      </c>
      <c r="BA77" s="41" t="s">
        <v>1024</v>
      </c>
      <c r="BB77" s="40" t="s">
        <v>1319</v>
      </c>
      <c r="BC77" s="39" t="str">
        <f>データ!T77</f>
        <v>-</v>
      </c>
      <c r="BD77" s="41" t="s">
        <v>1024</v>
      </c>
      <c r="BE77" s="40" t="s">
        <v>1320</v>
      </c>
      <c r="BF77" s="39" t="str">
        <f>データ!U77</f>
        <v>-</v>
      </c>
      <c r="BG77" s="41" t="s">
        <v>1024</v>
      </c>
      <c r="BH77" s="40" t="s">
        <v>1319</v>
      </c>
      <c r="BI77" s="39" t="str">
        <f>データ!V77</f>
        <v>常設</v>
      </c>
      <c r="BJ77" s="41" t="s">
        <v>1024</v>
      </c>
      <c r="BK77" s="10" t="s">
        <v>1019</v>
      </c>
    </row>
    <row r="78" spans="1:63" x14ac:dyDescent="0.15">
      <c r="A78" s="10" t="s">
        <v>1016</v>
      </c>
      <c r="B78" s="10" t="s">
        <v>1454</v>
      </c>
      <c r="C78" s="38" t="str">
        <f>"./images/thumbnail/"&amp;データ!B78&amp;".jpg"</f>
        <v>./images/thumbnail/1076.jpg</v>
      </c>
      <c r="D78" s="38" t="s">
        <v>1455</v>
      </c>
      <c r="E78" s="38" t="str">
        <f>"./images/thumbnail/"&amp;データ!B78&amp;".jpg"</f>
        <v>./images/thumbnail/1076.jpg</v>
      </c>
      <c r="F78" s="38" t="s">
        <v>1116</v>
      </c>
      <c r="G78" s="38" t="s">
        <v>1319</v>
      </c>
      <c r="H78" s="38" t="str">
        <f>データ!C78</f>
        <v>ジョゼット</v>
      </c>
      <c r="I78" s="38" t="s">
        <v>1024</v>
      </c>
      <c r="J78" s="38" t="s">
        <v>1320</v>
      </c>
      <c r="K78" s="38" t="str">
        <f>データ!D78</f>
        <v>SSR</v>
      </c>
      <c r="L78" s="38" t="s">
        <v>1024</v>
      </c>
      <c r="M78" s="38" t="s">
        <v>1321</v>
      </c>
      <c r="N78" s="38">
        <f>データ!E78</f>
        <v>12</v>
      </c>
      <c r="O78" s="38" t="s">
        <v>1024</v>
      </c>
      <c r="P78" s="38" t="s">
        <v>1319</v>
      </c>
      <c r="Q78" s="38" t="str">
        <f>データ!F78</f>
        <v>打</v>
      </c>
      <c r="R78" s="38" t="s">
        <v>1024</v>
      </c>
      <c r="S78" s="38" t="s">
        <v>1319</v>
      </c>
      <c r="T78" s="39">
        <f>データ!G78</f>
        <v>18327</v>
      </c>
      <c r="U78" s="40" t="s">
        <v>1024</v>
      </c>
      <c r="V78" s="40" t="s">
        <v>1319</v>
      </c>
      <c r="W78" s="39">
        <f>データ!H78</f>
        <v>5787</v>
      </c>
      <c r="X78" s="40" t="s">
        <v>1024</v>
      </c>
      <c r="Y78" s="40" t="s">
        <v>1319</v>
      </c>
      <c r="Z78" s="39">
        <f>データ!I78</f>
        <v>5698</v>
      </c>
      <c r="AA78" s="40" t="s">
        <v>1024</v>
      </c>
      <c r="AB78" s="40" t="s">
        <v>1322</v>
      </c>
      <c r="AC78" s="39" t="str">
        <f>データ!J78</f>
        <v>A-</v>
      </c>
      <c r="AD78" s="38" t="s">
        <v>1024</v>
      </c>
      <c r="AE78" s="40" t="s">
        <v>1323</v>
      </c>
      <c r="AF78" s="39">
        <f>データ!K78</f>
        <v>29812</v>
      </c>
      <c r="AG78" s="40" t="s">
        <v>1024</v>
      </c>
      <c r="AH78" s="40" t="s">
        <v>1324</v>
      </c>
      <c r="AI78" s="39" t="str">
        <f>データ!L78</f>
        <v>破焔の一閃／絶</v>
      </c>
      <c r="AJ78" s="10" t="s">
        <v>1113</v>
      </c>
      <c r="AK78" s="39" t="str">
        <f>データ!M78</f>
        <v>横一列に固定ダメージ[大]</v>
      </c>
      <c r="AL78" s="10" t="s">
        <v>1024</v>
      </c>
      <c r="AM78" s="40" t="s">
        <v>1325</v>
      </c>
      <c r="AN78" s="39" t="str">
        <f>データ!N78</f>
        <v>-</v>
      </c>
      <c r="AO78" s="10" t="s">
        <v>1113</v>
      </c>
      <c r="AP78" s="39" t="str">
        <f>データ!O78</f>
        <v>　</v>
      </c>
      <c r="AQ78" s="41" t="s">
        <v>1024</v>
      </c>
      <c r="AR78" s="40" t="s">
        <v>1324</v>
      </c>
      <c r="AS78" s="39" t="str">
        <f>データ!P78</f>
        <v>リヴァイブ／真</v>
      </c>
      <c r="AT78" s="10" t="s">
        <v>1113</v>
      </c>
      <c r="AU78" s="39" t="str">
        <f>データ!Q78</f>
        <v>中確率で戦闘不能ユニットを復帰</v>
      </c>
      <c r="AV78" s="10" t="s">
        <v>1024</v>
      </c>
      <c r="AW78" s="40" t="s">
        <v>1324</v>
      </c>
      <c r="AX78" s="39" t="str">
        <f>データ!R78</f>
        <v>-</v>
      </c>
      <c r="AY78" s="10" t="s">
        <v>1113</v>
      </c>
      <c r="AZ78" s="39" t="str">
        <f>データ!S78</f>
        <v>　</v>
      </c>
      <c r="BA78" s="41" t="s">
        <v>1024</v>
      </c>
      <c r="BB78" s="40" t="s">
        <v>1319</v>
      </c>
      <c r="BC78" s="39" t="str">
        <f>データ!T78</f>
        <v>-</v>
      </c>
      <c r="BD78" s="41" t="s">
        <v>1024</v>
      </c>
      <c r="BE78" s="40" t="s">
        <v>1320</v>
      </c>
      <c r="BF78" s="39" t="str">
        <f>データ!U78</f>
        <v>-</v>
      </c>
      <c r="BG78" s="41" t="s">
        <v>1024</v>
      </c>
      <c r="BH78" s="40" t="s">
        <v>1319</v>
      </c>
      <c r="BI78" s="39" t="str">
        <f>データ!V78</f>
        <v>常設</v>
      </c>
      <c r="BJ78" s="41" t="s">
        <v>1024</v>
      </c>
      <c r="BK78" s="10" t="s">
        <v>1019</v>
      </c>
    </row>
    <row r="79" spans="1:63" x14ac:dyDescent="0.15">
      <c r="A79" s="10" t="s">
        <v>1016</v>
      </c>
      <c r="B79" s="10" t="s">
        <v>1454</v>
      </c>
      <c r="C79" s="38" t="str">
        <f>"./images/thumbnail/"&amp;データ!B79&amp;".jpg"</f>
        <v>./images/thumbnail/1077.jpg</v>
      </c>
      <c r="D79" s="38" t="s">
        <v>1455</v>
      </c>
      <c r="E79" s="38" t="str">
        <f>"./images/thumbnail/"&amp;データ!B79&amp;".jpg"</f>
        <v>./images/thumbnail/1077.jpg</v>
      </c>
      <c r="F79" s="38" t="s">
        <v>1116</v>
      </c>
      <c r="G79" s="38" t="s">
        <v>1319</v>
      </c>
      <c r="H79" s="38" t="str">
        <f>データ!C79</f>
        <v>ラム</v>
      </c>
      <c r="I79" s="38" t="s">
        <v>1024</v>
      </c>
      <c r="J79" s="38" t="s">
        <v>1320</v>
      </c>
      <c r="K79" s="38" t="str">
        <f>データ!D79</f>
        <v>SSR</v>
      </c>
      <c r="L79" s="38" t="s">
        <v>1024</v>
      </c>
      <c r="M79" s="38" t="s">
        <v>1321</v>
      </c>
      <c r="N79" s="38">
        <f>データ!E79</f>
        <v>12</v>
      </c>
      <c r="O79" s="38" t="s">
        <v>1024</v>
      </c>
      <c r="P79" s="38" t="s">
        <v>1319</v>
      </c>
      <c r="Q79" s="38" t="str">
        <f>データ!F79</f>
        <v>打</v>
      </c>
      <c r="R79" s="38" t="s">
        <v>1024</v>
      </c>
      <c r="S79" s="38" t="s">
        <v>1319</v>
      </c>
      <c r="T79" s="39">
        <f>データ!G79</f>
        <v>16656</v>
      </c>
      <c r="U79" s="40" t="s">
        <v>1024</v>
      </c>
      <c r="V79" s="40" t="s">
        <v>1319</v>
      </c>
      <c r="W79" s="39">
        <f>データ!H79</f>
        <v>5205</v>
      </c>
      <c r="X79" s="40" t="s">
        <v>1024</v>
      </c>
      <c r="Y79" s="40" t="s">
        <v>1319</v>
      </c>
      <c r="Z79" s="39">
        <f>データ!I79</f>
        <v>7013</v>
      </c>
      <c r="AA79" s="40" t="s">
        <v>1024</v>
      </c>
      <c r="AB79" s="40" t="s">
        <v>1322</v>
      </c>
      <c r="AC79" s="39" t="str">
        <f>データ!J79</f>
        <v>A-</v>
      </c>
      <c r="AD79" s="38" t="s">
        <v>1024</v>
      </c>
      <c r="AE79" s="40" t="s">
        <v>1323</v>
      </c>
      <c r="AF79" s="39">
        <f>データ!K79</f>
        <v>28874</v>
      </c>
      <c r="AG79" s="40" t="s">
        <v>1024</v>
      </c>
      <c r="AH79" s="40" t="s">
        <v>1324</v>
      </c>
      <c r="AI79" s="39" t="str">
        <f>データ!L79</f>
        <v>破雫の交叉線／絶</v>
      </c>
      <c r="AJ79" s="10" t="s">
        <v>1113</v>
      </c>
      <c r="AK79" s="39" t="str">
        <f>データ!M79</f>
        <v>X字型に固定ダメージ[大]</v>
      </c>
      <c r="AL79" s="10" t="s">
        <v>1024</v>
      </c>
      <c r="AM79" s="40" t="s">
        <v>1325</v>
      </c>
      <c r="AN79" s="39" t="str">
        <f>データ!N79</f>
        <v>-</v>
      </c>
      <c r="AO79" s="10" t="s">
        <v>1113</v>
      </c>
      <c r="AP79" s="39" t="str">
        <f>データ!O79</f>
        <v>　</v>
      </c>
      <c r="AQ79" s="41" t="s">
        <v>1024</v>
      </c>
      <c r="AR79" s="40" t="s">
        <v>1324</v>
      </c>
      <c r="AS79" s="39" t="str">
        <f>データ!P79</f>
        <v>ヒール／真紫打</v>
      </c>
      <c r="AT79" s="10" t="s">
        <v>1113</v>
      </c>
      <c r="AU79" s="39" t="str">
        <f>データ!Q79</f>
        <v>打属性の生存ユニットのHPを高確率で全回復</v>
      </c>
      <c r="AV79" s="10" t="s">
        <v>1024</v>
      </c>
      <c r="AW79" s="40" t="s">
        <v>1324</v>
      </c>
      <c r="AX79" s="39" t="str">
        <f>データ!R79</f>
        <v>-</v>
      </c>
      <c r="AY79" s="10" t="s">
        <v>1113</v>
      </c>
      <c r="AZ79" s="39" t="str">
        <f>データ!S79</f>
        <v>　</v>
      </c>
      <c r="BA79" s="41" t="s">
        <v>1024</v>
      </c>
      <c r="BB79" s="40" t="s">
        <v>1319</v>
      </c>
      <c r="BC79" s="39" t="str">
        <f>データ!T79</f>
        <v>-</v>
      </c>
      <c r="BD79" s="41" t="s">
        <v>1024</v>
      </c>
      <c r="BE79" s="40" t="s">
        <v>1320</v>
      </c>
      <c r="BF79" s="39" t="str">
        <f>データ!U79</f>
        <v>-</v>
      </c>
      <c r="BG79" s="41" t="s">
        <v>1024</v>
      </c>
      <c r="BH79" s="40" t="s">
        <v>1319</v>
      </c>
      <c r="BI79" s="39" t="str">
        <f>データ!V79</f>
        <v>常設</v>
      </c>
      <c r="BJ79" s="41" t="s">
        <v>1024</v>
      </c>
      <c r="BK79" s="10" t="s">
        <v>1019</v>
      </c>
    </row>
    <row r="80" spans="1:63" x14ac:dyDescent="0.15">
      <c r="A80" s="10" t="s">
        <v>1016</v>
      </c>
      <c r="B80" s="10" t="s">
        <v>1454</v>
      </c>
      <c r="C80" s="38" t="str">
        <f>"./images/thumbnail/"&amp;データ!B80&amp;".jpg"</f>
        <v>./images/thumbnail/1078.jpg</v>
      </c>
      <c r="D80" s="38" t="s">
        <v>1455</v>
      </c>
      <c r="E80" s="38" t="str">
        <f>"./images/thumbnail/"&amp;データ!B80&amp;".jpg"</f>
        <v>./images/thumbnail/1078.jpg</v>
      </c>
      <c r="F80" s="38" t="s">
        <v>1116</v>
      </c>
      <c r="G80" s="38" t="s">
        <v>1319</v>
      </c>
      <c r="H80" s="38" t="str">
        <f>データ!C80</f>
        <v>ベルトラン</v>
      </c>
      <c r="I80" s="38" t="s">
        <v>1024</v>
      </c>
      <c r="J80" s="38" t="s">
        <v>1320</v>
      </c>
      <c r="K80" s="38" t="str">
        <f>データ!D80</f>
        <v>SSR</v>
      </c>
      <c r="L80" s="38" t="s">
        <v>1024</v>
      </c>
      <c r="M80" s="38" t="s">
        <v>1321</v>
      </c>
      <c r="N80" s="38">
        <f>データ!E80</f>
        <v>12</v>
      </c>
      <c r="O80" s="38" t="s">
        <v>1024</v>
      </c>
      <c r="P80" s="38" t="s">
        <v>1319</v>
      </c>
      <c r="Q80" s="38" t="str">
        <f>データ!F80</f>
        <v>打</v>
      </c>
      <c r="R80" s="38" t="s">
        <v>1024</v>
      </c>
      <c r="S80" s="38" t="s">
        <v>1319</v>
      </c>
      <c r="T80" s="39">
        <f>データ!G80</f>
        <v>18530</v>
      </c>
      <c r="U80" s="40" t="s">
        <v>1024</v>
      </c>
      <c r="V80" s="40" t="s">
        <v>1319</v>
      </c>
      <c r="W80" s="39">
        <f>データ!H80</f>
        <v>4991</v>
      </c>
      <c r="X80" s="40" t="s">
        <v>1024</v>
      </c>
      <c r="Y80" s="40" t="s">
        <v>1319</v>
      </c>
      <c r="Z80" s="39">
        <f>データ!I80</f>
        <v>6621</v>
      </c>
      <c r="AA80" s="40" t="s">
        <v>1024</v>
      </c>
      <c r="AB80" s="40" t="s">
        <v>1322</v>
      </c>
      <c r="AC80" s="39" t="str">
        <f>データ!J80</f>
        <v>A-</v>
      </c>
      <c r="AD80" s="38" t="s">
        <v>1024</v>
      </c>
      <c r="AE80" s="40" t="s">
        <v>1323</v>
      </c>
      <c r="AF80" s="39">
        <f>データ!K80</f>
        <v>30142</v>
      </c>
      <c r="AG80" s="40" t="s">
        <v>1024</v>
      </c>
      <c r="AH80" s="40" t="s">
        <v>1324</v>
      </c>
      <c r="AI80" s="39" t="str">
        <f>データ!L80</f>
        <v>幻光の交叉線／絶</v>
      </c>
      <c r="AJ80" s="10" t="s">
        <v>1113</v>
      </c>
      <c r="AK80" s="39" t="str">
        <f>データ!M80</f>
        <v>X字型に攻撃[大]</v>
      </c>
      <c r="AL80" s="10" t="s">
        <v>1024</v>
      </c>
      <c r="AM80" s="40" t="s">
        <v>1325</v>
      </c>
      <c r="AN80" s="39" t="str">
        <f>データ!N80</f>
        <v>-</v>
      </c>
      <c r="AO80" s="10" t="s">
        <v>1113</v>
      </c>
      <c r="AP80" s="39" t="str">
        <f>データ!O80</f>
        <v>　</v>
      </c>
      <c r="AQ80" s="41" t="s">
        <v>1024</v>
      </c>
      <c r="AR80" s="40" t="s">
        <v>1324</v>
      </c>
      <c r="AS80" s="39" t="str">
        <f>データ!P80</f>
        <v>フォートレス／真</v>
      </c>
      <c r="AT80" s="10" t="s">
        <v>1113</v>
      </c>
      <c r="AU80" s="39" t="str">
        <f>データ!Q80</f>
        <v>パーティ全体の防御力が中UP(3分間)</v>
      </c>
      <c r="AV80" s="10" t="s">
        <v>1024</v>
      </c>
      <c r="AW80" s="40" t="s">
        <v>1324</v>
      </c>
      <c r="AX80" s="39" t="str">
        <f>データ!R80</f>
        <v>-</v>
      </c>
      <c r="AY80" s="10" t="s">
        <v>1113</v>
      </c>
      <c r="AZ80" s="39" t="str">
        <f>データ!S80</f>
        <v>　</v>
      </c>
      <c r="BA80" s="41" t="s">
        <v>1024</v>
      </c>
      <c r="BB80" s="40" t="s">
        <v>1319</v>
      </c>
      <c r="BC80" s="39" t="str">
        <f>データ!T80</f>
        <v>-</v>
      </c>
      <c r="BD80" s="41" t="s">
        <v>1024</v>
      </c>
      <c r="BE80" s="40" t="s">
        <v>1320</v>
      </c>
      <c r="BF80" s="39" t="str">
        <f>データ!U80</f>
        <v>-</v>
      </c>
      <c r="BG80" s="41" t="s">
        <v>1024</v>
      </c>
      <c r="BH80" s="40" t="s">
        <v>1319</v>
      </c>
      <c r="BI80" s="39" t="str">
        <f>データ!V80</f>
        <v>常設</v>
      </c>
      <c r="BJ80" s="41" t="s">
        <v>1024</v>
      </c>
      <c r="BK80" s="10" t="s">
        <v>1019</v>
      </c>
    </row>
    <row r="81" spans="1:63" x14ac:dyDescent="0.15">
      <c r="A81" s="10" t="s">
        <v>1016</v>
      </c>
      <c r="B81" s="10" t="s">
        <v>1454</v>
      </c>
      <c r="C81" s="38" t="str">
        <f>"./images/thumbnail/"&amp;データ!B81&amp;".jpg"</f>
        <v>./images/thumbnail/1101.jpg</v>
      </c>
      <c r="D81" s="38" t="s">
        <v>1455</v>
      </c>
      <c r="E81" s="38" t="str">
        <f>"./images/thumbnail/"&amp;データ!B81&amp;".jpg"</f>
        <v>./images/thumbnail/1101.jpg</v>
      </c>
      <c r="F81" s="38" t="s">
        <v>1116</v>
      </c>
      <c r="G81" s="38" t="s">
        <v>1319</v>
      </c>
      <c r="H81" s="38" t="str">
        <f>データ!C81</f>
        <v>スティード</v>
      </c>
      <c r="I81" s="38" t="s">
        <v>1024</v>
      </c>
      <c r="J81" s="38" t="s">
        <v>1320</v>
      </c>
      <c r="K81" s="38" t="str">
        <f>データ!D81</f>
        <v>SSR</v>
      </c>
      <c r="L81" s="38" t="s">
        <v>1024</v>
      </c>
      <c r="M81" s="38" t="s">
        <v>1321</v>
      </c>
      <c r="N81" s="38">
        <f>データ!E81</f>
        <v>12</v>
      </c>
      <c r="O81" s="38" t="s">
        <v>1024</v>
      </c>
      <c r="P81" s="38" t="s">
        <v>1319</v>
      </c>
      <c r="Q81" s="38" t="str">
        <f>データ!F81</f>
        <v>遠</v>
      </c>
      <c r="R81" s="38" t="s">
        <v>1024</v>
      </c>
      <c r="S81" s="38" t="s">
        <v>1319</v>
      </c>
      <c r="T81" s="39">
        <f>データ!G81</f>
        <v>15943</v>
      </c>
      <c r="U81" s="40" t="s">
        <v>1024</v>
      </c>
      <c r="V81" s="40" t="s">
        <v>1319</v>
      </c>
      <c r="W81" s="39">
        <f>データ!H81</f>
        <v>4844</v>
      </c>
      <c r="X81" s="40" t="s">
        <v>1024</v>
      </c>
      <c r="Y81" s="40" t="s">
        <v>1319</v>
      </c>
      <c r="Z81" s="39">
        <f>データ!I81</f>
        <v>5064</v>
      </c>
      <c r="AA81" s="40" t="s">
        <v>1024</v>
      </c>
      <c r="AB81" s="40" t="s">
        <v>1322</v>
      </c>
      <c r="AC81" s="39" t="str">
        <f>データ!J81</f>
        <v>S-</v>
      </c>
      <c r="AD81" s="38" t="s">
        <v>1024</v>
      </c>
      <c r="AE81" s="40" t="s">
        <v>1323</v>
      </c>
      <c r="AF81" s="39">
        <f>データ!K81</f>
        <v>25851</v>
      </c>
      <c r="AG81" s="40" t="s">
        <v>1024</v>
      </c>
      <c r="AH81" s="40" t="s">
        <v>1324</v>
      </c>
      <c r="AI81" s="39" t="str">
        <f>データ!L81</f>
        <v xml:space="preserve">光芒の加護 </v>
      </c>
      <c r="AJ81" s="10" t="s">
        <v>1113</v>
      </c>
      <c r="AK81" s="39" t="str">
        <f>データ!M81</f>
        <v>味方全体の防御力をUP[中]</v>
      </c>
      <c r="AL81" s="10" t="s">
        <v>1024</v>
      </c>
      <c r="AM81" s="40" t="s">
        <v>1325</v>
      </c>
      <c r="AN81" s="39" t="str">
        <f>データ!N81</f>
        <v>-</v>
      </c>
      <c r="AO81" s="10" t="s">
        <v>1113</v>
      </c>
      <c r="AP81" s="39" t="str">
        <f>データ!O81</f>
        <v>　</v>
      </c>
      <c r="AQ81" s="41" t="s">
        <v>1024</v>
      </c>
      <c r="AR81" s="40" t="s">
        <v>1324</v>
      </c>
      <c r="AS81" s="39" t="str">
        <f>データ!P81</f>
        <v>アサルト／真</v>
      </c>
      <c r="AT81" s="10" t="s">
        <v>1113</v>
      </c>
      <c r="AU81" s="39" t="str">
        <f>データ!Q81</f>
        <v>パーティ全体の攻撃力が中UP(3分間)</v>
      </c>
      <c r="AV81" s="10" t="s">
        <v>1024</v>
      </c>
      <c r="AW81" s="40" t="s">
        <v>1324</v>
      </c>
      <c r="AX81" s="39" t="str">
        <f>データ!R81</f>
        <v>-</v>
      </c>
      <c r="AY81" s="10" t="s">
        <v>1113</v>
      </c>
      <c r="AZ81" s="39" t="str">
        <f>データ!S81</f>
        <v>　</v>
      </c>
      <c r="BA81" s="41" t="s">
        <v>1024</v>
      </c>
      <c r="BB81" s="40" t="s">
        <v>1319</v>
      </c>
      <c r="BC81" s="39" t="str">
        <f>データ!T81</f>
        <v>-</v>
      </c>
      <c r="BD81" s="41" t="s">
        <v>1024</v>
      </c>
      <c r="BE81" s="40" t="s">
        <v>1320</v>
      </c>
      <c r="BF81" s="39" t="str">
        <f>データ!U81</f>
        <v>-</v>
      </c>
      <c r="BG81" s="41" t="s">
        <v>1024</v>
      </c>
      <c r="BH81" s="40" t="s">
        <v>1319</v>
      </c>
      <c r="BI81" s="39" t="str">
        <f>データ!V81</f>
        <v>常設</v>
      </c>
      <c r="BJ81" s="41" t="s">
        <v>1024</v>
      </c>
      <c r="BK81" s="10" t="s">
        <v>1019</v>
      </c>
    </row>
    <row r="82" spans="1:63" x14ac:dyDescent="0.15">
      <c r="A82" s="10" t="s">
        <v>1016</v>
      </c>
      <c r="B82" s="10" t="s">
        <v>1454</v>
      </c>
      <c r="C82" s="38" t="str">
        <f>"./images/thumbnail/"&amp;データ!B82&amp;".jpg"</f>
        <v>./images/thumbnail/1102.jpg</v>
      </c>
      <c r="D82" s="38" t="s">
        <v>1455</v>
      </c>
      <c r="E82" s="38" t="str">
        <f>"./images/thumbnail/"&amp;データ!B82&amp;".jpg"</f>
        <v>./images/thumbnail/1102.jpg</v>
      </c>
      <c r="F82" s="38" t="s">
        <v>1116</v>
      </c>
      <c r="G82" s="38" t="s">
        <v>1319</v>
      </c>
      <c r="H82" s="38" t="str">
        <f>データ!C82</f>
        <v>ヴェラ</v>
      </c>
      <c r="I82" s="38" t="s">
        <v>1024</v>
      </c>
      <c r="J82" s="38" t="s">
        <v>1320</v>
      </c>
      <c r="K82" s="38" t="str">
        <f>データ!D82</f>
        <v>SSR</v>
      </c>
      <c r="L82" s="38" t="s">
        <v>1024</v>
      </c>
      <c r="M82" s="38" t="s">
        <v>1321</v>
      </c>
      <c r="N82" s="38">
        <f>データ!E82</f>
        <v>12</v>
      </c>
      <c r="O82" s="38" t="s">
        <v>1024</v>
      </c>
      <c r="P82" s="38" t="s">
        <v>1319</v>
      </c>
      <c r="Q82" s="38" t="str">
        <f>データ!F82</f>
        <v>遠</v>
      </c>
      <c r="R82" s="38" t="s">
        <v>1024</v>
      </c>
      <c r="S82" s="38" t="s">
        <v>1319</v>
      </c>
      <c r="T82" s="39">
        <f>データ!G82</f>
        <v>16036</v>
      </c>
      <c r="U82" s="40" t="s">
        <v>1024</v>
      </c>
      <c r="V82" s="40" t="s">
        <v>1319</v>
      </c>
      <c r="W82" s="39">
        <f>データ!H82</f>
        <v>5594</v>
      </c>
      <c r="X82" s="40" t="s">
        <v>1024</v>
      </c>
      <c r="Y82" s="40" t="s">
        <v>1319</v>
      </c>
      <c r="Z82" s="39">
        <f>データ!I82</f>
        <v>4388</v>
      </c>
      <c r="AA82" s="40" t="s">
        <v>1024</v>
      </c>
      <c r="AB82" s="40" t="s">
        <v>1322</v>
      </c>
      <c r="AC82" s="39" t="str">
        <f>データ!J82</f>
        <v>S-</v>
      </c>
      <c r="AD82" s="38" t="s">
        <v>1024</v>
      </c>
      <c r="AE82" s="40" t="s">
        <v>1323</v>
      </c>
      <c r="AF82" s="39">
        <f>データ!K82</f>
        <v>26018</v>
      </c>
      <c r="AG82" s="40" t="s">
        <v>1024</v>
      </c>
      <c r="AH82" s="40" t="s">
        <v>1324</v>
      </c>
      <c r="AI82" s="39" t="str">
        <f>データ!L82</f>
        <v>天使の微笑／真</v>
      </c>
      <c r="AJ82" s="10" t="s">
        <v>1113</v>
      </c>
      <c r="AK82" s="39" t="str">
        <f>データ!M82</f>
        <v>味方全員のHPを回復[中]</v>
      </c>
      <c r="AL82" s="10" t="s">
        <v>1024</v>
      </c>
      <c r="AM82" s="40" t="s">
        <v>1325</v>
      </c>
      <c r="AN82" s="39" t="str">
        <f>データ!N82</f>
        <v>-</v>
      </c>
      <c r="AO82" s="10" t="s">
        <v>1113</v>
      </c>
      <c r="AP82" s="39" t="str">
        <f>データ!O82</f>
        <v>　</v>
      </c>
      <c r="AQ82" s="41" t="s">
        <v>1024</v>
      </c>
      <c r="AR82" s="40" t="s">
        <v>1324</v>
      </c>
      <c r="AS82" s="39" t="str">
        <f>データ!P82</f>
        <v>ヒール／真遠翠</v>
      </c>
      <c r="AT82" s="10" t="s">
        <v>1113</v>
      </c>
      <c r="AU82" s="39" t="str">
        <f>データ!Q82</f>
        <v>遠属性の生存ユニットのHPを高確率で全回復</v>
      </c>
      <c r="AV82" s="10" t="s">
        <v>1024</v>
      </c>
      <c r="AW82" s="40" t="s">
        <v>1324</v>
      </c>
      <c r="AX82" s="39" t="str">
        <f>データ!R82</f>
        <v>-</v>
      </c>
      <c r="AY82" s="10" t="s">
        <v>1113</v>
      </c>
      <c r="AZ82" s="39" t="str">
        <f>データ!S82</f>
        <v>　</v>
      </c>
      <c r="BA82" s="41" t="s">
        <v>1024</v>
      </c>
      <c r="BB82" s="40" t="s">
        <v>1319</v>
      </c>
      <c r="BC82" s="39" t="str">
        <f>データ!T82</f>
        <v>-</v>
      </c>
      <c r="BD82" s="41" t="s">
        <v>1024</v>
      </c>
      <c r="BE82" s="40" t="s">
        <v>1320</v>
      </c>
      <c r="BF82" s="39" t="str">
        <f>データ!U82</f>
        <v>-</v>
      </c>
      <c r="BG82" s="41" t="s">
        <v>1024</v>
      </c>
      <c r="BH82" s="40" t="s">
        <v>1319</v>
      </c>
      <c r="BI82" s="39" t="str">
        <f>データ!V82</f>
        <v>常設</v>
      </c>
      <c r="BJ82" s="41" t="s">
        <v>1024</v>
      </c>
      <c r="BK82" s="10" t="s">
        <v>1019</v>
      </c>
    </row>
    <row r="83" spans="1:63" x14ac:dyDescent="0.15">
      <c r="A83" s="10" t="s">
        <v>1016</v>
      </c>
      <c r="B83" s="10" t="s">
        <v>1454</v>
      </c>
      <c r="C83" s="38" t="str">
        <f>"./images/thumbnail/"&amp;データ!B83&amp;".jpg"</f>
        <v>./images/thumbnail/1103.jpg</v>
      </c>
      <c r="D83" s="38" t="s">
        <v>1455</v>
      </c>
      <c r="E83" s="38" t="str">
        <f>"./images/thumbnail/"&amp;データ!B83&amp;".jpg"</f>
        <v>./images/thumbnail/1103.jpg</v>
      </c>
      <c r="F83" s="38" t="s">
        <v>1116</v>
      </c>
      <c r="G83" s="38" t="s">
        <v>1319</v>
      </c>
      <c r="H83" s="38" t="str">
        <f>データ!C83</f>
        <v>ロザリー</v>
      </c>
      <c r="I83" s="38" t="s">
        <v>1024</v>
      </c>
      <c r="J83" s="38" t="s">
        <v>1320</v>
      </c>
      <c r="K83" s="38" t="str">
        <f>データ!D83</f>
        <v>SSR</v>
      </c>
      <c r="L83" s="38" t="s">
        <v>1024</v>
      </c>
      <c r="M83" s="38" t="s">
        <v>1321</v>
      </c>
      <c r="N83" s="38">
        <f>データ!E83</f>
        <v>12</v>
      </c>
      <c r="O83" s="38" t="s">
        <v>1024</v>
      </c>
      <c r="P83" s="38" t="s">
        <v>1319</v>
      </c>
      <c r="Q83" s="38" t="str">
        <f>データ!F83</f>
        <v>遠</v>
      </c>
      <c r="R83" s="38" t="s">
        <v>1024</v>
      </c>
      <c r="S83" s="38" t="s">
        <v>1319</v>
      </c>
      <c r="T83" s="39">
        <f>データ!G83</f>
        <v>14037</v>
      </c>
      <c r="U83" s="40" t="s">
        <v>1024</v>
      </c>
      <c r="V83" s="40" t="s">
        <v>1319</v>
      </c>
      <c r="W83" s="39">
        <f>データ!H83</f>
        <v>5625</v>
      </c>
      <c r="X83" s="40" t="s">
        <v>1024</v>
      </c>
      <c r="Y83" s="40" t="s">
        <v>1319</v>
      </c>
      <c r="Z83" s="39">
        <f>データ!I83</f>
        <v>5015</v>
      </c>
      <c r="AA83" s="40" t="s">
        <v>1024</v>
      </c>
      <c r="AB83" s="40" t="s">
        <v>1322</v>
      </c>
      <c r="AC83" s="39" t="str">
        <f>データ!J83</f>
        <v>S-</v>
      </c>
      <c r="AD83" s="38" t="s">
        <v>1024</v>
      </c>
      <c r="AE83" s="40" t="s">
        <v>1323</v>
      </c>
      <c r="AF83" s="39">
        <f>データ!K83</f>
        <v>24677</v>
      </c>
      <c r="AG83" s="40" t="s">
        <v>1024</v>
      </c>
      <c r="AH83" s="40" t="s">
        <v>1324</v>
      </c>
      <c r="AI83" s="39" t="str">
        <f>データ!L83</f>
        <v>幻射の五連撃</v>
      </c>
      <c r="AJ83" s="10" t="s">
        <v>1113</v>
      </c>
      <c r="AK83" s="39" t="str">
        <f>データ!M83</f>
        <v>ランダムで5連続攻撃[小]</v>
      </c>
      <c r="AL83" s="10" t="s">
        <v>1024</v>
      </c>
      <c r="AM83" s="40" t="s">
        <v>1325</v>
      </c>
      <c r="AN83" s="39" t="str">
        <f>データ!N83</f>
        <v>-</v>
      </c>
      <c r="AO83" s="10" t="s">
        <v>1113</v>
      </c>
      <c r="AP83" s="39" t="str">
        <f>データ!O83</f>
        <v>　</v>
      </c>
      <c r="AQ83" s="41" t="s">
        <v>1024</v>
      </c>
      <c r="AR83" s="40" t="s">
        <v>1324</v>
      </c>
      <c r="AS83" s="39" t="str">
        <f>データ!P83</f>
        <v>リザレクション／真</v>
      </c>
      <c r="AT83" s="10" t="s">
        <v>1113</v>
      </c>
      <c r="AU83" s="39" t="str">
        <f>データ!Q83</f>
        <v>中確率でパーティ全員を復帰(全滅時のみ使用可)</v>
      </c>
      <c r="AV83" s="10" t="s">
        <v>1024</v>
      </c>
      <c r="AW83" s="40" t="s">
        <v>1324</v>
      </c>
      <c r="AX83" s="39" t="str">
        <f>データ!R83</f>
        <v>-</v>
      </c>
      <c r="AY83" s="10" t="s">
        <v>1113</v>
      </c>
      <c r="AZ83" s="39" t="str">
        <f>データ!S83</f>
        <v>　</v>
      </c>
      <c r="BA83" s="41" t="s">
        <v>1024</v>
      </c>
      <c r="BB83" s="40" t="s">
        <v>1319</v>
      </c>
      <c r="BC83" s="39" t="str">
        <f>データ!T83</f>
        <v>-</v>
      </c>
      <c r="BD83" s="41" t="s">
        <v>1024</v>
      </c>
      <c r="BE83" s="40" t="s">
        <v>1320</v>
      </c>
      <c r="BF83" s="39" t="str">
        <f>データ!U83</f>
        <v>-</v>
      </c>
      <c r="BG83" s="41" t="s">
        <v>1024</v>
      </c>
      <c r="BH83" s="40" t="s">
        <v>1319</v>
      </c>
      <c r="BI83" s="39" t="str">
        <f>データ!V83</f>
        <v>常設</v>
      </c>
      <c r="BJ83" s="41" t="s">
        <v>1024</v>
      </c>
      <c r="BK83" s="10" t="s">
        <v>1019</v>
      </c>
    </row>
    <row r="84" spans="1:63" x14ac:dyDescent="0.15">
      <c r="A84" s="10" t="s">
        <v>1016</v>
      </c>
      <c r="B84" s="10" t="s">
        <v>1454</v>
      </c>
      <c r="C84" s="38" t="str">
        <f>"./images/thumbnail/"&amp;データ!B84&amp;".jpg"</f>
        <v>./images/thumbnail/1107.jpg</v>
      </c>
      <c r="D84" s="38" t="s">
        <v>1455</v>
      </c>
      <c r="E84" s="38" t="str">
        <f>"./images/thumbnail/"&amp;データ!B84&amp;".jpg"</f>
        <v>./images/thumbnail/1107.jpg</v>
      </c>
      <c r="F84" s="38" t="s">
        <v>1116</v>
      </c>
      <c r="G84" s="38" t="s">
        <v>1319</v>
      </c>
      <c r="H84" s="38" t="str">
        <f>データ!C84</f>
        <v>エルザ</v>
      </c>
      <c r="I84" s="38" t="s">
        <v>1024</v>
      </c>
      <c r="J84" s="38" t="s">
        <v>1320</v>
      </c>
      <c r="K84" s="38" t="str">
        <f>データ!D84</f>
        <v>SSR</v>
      </c>
      <c r="L84" s="38" t="s">
        <v>1024</v>
      </c>
      <c r="M84" s="38" t="s">
        <v>1321</v>
      </c>
      <c r="N84" s="38">
        <f>データ!E84</f>
        <v>12</v>
      </c>
      <c r="O84" s="38" t="s">
        <v>1024</v>
      </c>
      <c r="P84" s="38" t="s">
        <v>1319</v>
      </c>
      <c r="Q84" s="38" t="str">
        <f>データ!F84</f>
        <v>斬</v>
      </c>
      <c r="R84" s="38" t="s">
        <v>1024</v>
      </c>
      <c r="S84" s="38" t="s">
        <v>1319</v>
      </c>
      <c r="T84" s="39">
        <f>データ!G84</f>
        <v>13546</v>
      </c>
      <c r="U84" s="40" t="s">
        <v>1024</v>
      </c>
      <c r="V84" s="40" t="s">
        <v>1319</v>
      </c>
      <c r="W84" s="39">
        <f>データ!H84</f>
        <v>6229</v>
      </c>
      <c r="X84" s="40" t="s">
        <v>1024</v>
      </c>
      <c r="Y84" s="40" t="s">
        <v>1319</v>
      </c>
      <c r="Z84" s="39">
        <f>データ!I84</f>
        <v>5666</v>
      </c>
      <c r="AA84" s="40" t="s">
        <v>1024</v>
      </c>
      <c r="AB84" s="40" t="s">
        <v>1322</v>
      </c>
      <c r="AC84" s="39" t="str">
        <f>データ!J84</f>
        <v>A+</v>
      </c>
      <c r="AD84" s="38" t="s">
        <v>1024</v>
      </c>
      <c r="AE84" s="40" t="s">
        <v>1323</v>
      </c>
      <c r="AF84" s="39">
        <f>データ!K84</f>
        <v>25441</v>
      </c>
      <c r="AG84" s="40" t="s">
        <v>1024</v>
      </c>
      <c r="AH84" s="40" t="s">
        <v>1324</v>
      </c>
      <c r="AI84" s="39" t="str">
        <f>データ!L84</f>
        <v>破魔の閃光／絶</v>
      </c>
      <c r="AJ84" s="10" t="s">
        <v>1113</v>
      </c>
      <c r="AK84" s="39" t="str">
        <f>データ!M84</f>
        <v>縦一列に固定ダメージ[大]</v>
      </c>
      <c r="AL84" s="10" t="s">
        <v>1024</v>
      </c>
      <c r="AM84" s="40" t="s">
        <v>1325</v>
      </c>
      <c r="AN84" s="39" t="str">
        <f>データ!N84</f>
        <v>-</v>
      </c>
      <c r="AO84" s="10" t="s">
        <v>1113</v>
      </c>
      <c r="AP84" s="39" t="str">
        <f>データ!O84</f>
        <v>　</v>
      </c>
      <c r="AQ84" s="41" t="s">
        <v>1024</v>
      </c>
      <c r="AR84" s="40" t="s">
        <v>1324</v>
      </c>
      <c r="AS84" s="39" t="str">
        <f>データ!P84</f>
        <v>ヒール／真斬紅</v>
      </c>
      <c r="AT84" s="10" t="s">
        <v>1113</v>
      </c>
      <c r="AU84" s="39" t="str">
        <f>データ!Q84</f>
        <v>斬属性の生存ユニットのHPを高確率で全回復</v>
      </c>
      <c r="AV84" s="10" t="s">
        <v>1024</v>
      </c>
      <c r="AW84" s="40" t="s">
        <v>1324</v>
      </c>
      <c r="AX84" s="39" t="str">
        <f>データ!R84</f>
        <v>-</v>
      </c>
      <c r="AY84" s="10" t="s">
        <v>1113</v>
      </c>
      <c r="AZ84" s="39" t="str">
        <f>データ!S84</f>
        <v>　</v>
      </c>
      <c r="BA84" s="41" t="s">
        <v>1024</v>
      </c>
      <c r="BB84" s="40" t="s">
        <v>1319</v>
      </c>
      <c r="BC84" s="39" t="str">
        <f>データ!T84</f>
        <v>-</v>
      </c>
      <c r="BD84" s="41" t="s">
        <v>1024</v>
      </c>
      <c r="BE84" s="40" t="s">
        <v>1320</v>
      </c>
      <c r="BF84" s="39" t="str">
        <f>データ!U84</f>
        <v>-</v>
      </c>
      <c r="BG84" s="41" t="s">
        <v>1024</v>
      </c>
      <c r="BH84" s="40" t="s">
        <v>1319</v>
      </c>
      <c r="BI84" s="39" t="str">
        <f>データ!V84</f>
        <v>常設</v>
      </c>
      <c r="BJ84" s="41" t="s">
        <v>1024</v>
      </c>
      <c r="BK84" s="10" t="s">
        <v>1019</v>
      </c>
    </row>
    <row r="85" spans="1:63" x14ac:dyDescent="0.15">
      <c r="A85" s="10" t="s">
        <v>1016</v>
      </c>
      <c r="B85" s="10" t="s">
        <v>1454</v>
      </c>
      <c r="C85" s="38" t="str">
        <f>"./images/thumbnail/"&amp;データ!B85&amp;".jpg"</f>
        <v>./images/thumbnail/1112.jpg</v>
      </c>
      <c r="D85" s="38" t="s">
        <v>1455</v>
      </c>
      <c r="E85" s="38" t="str">
        <f>"./images/thumbnail/"&amp;データ!B85&amp;".jpg"</f>
        <v>./images/thumbnail/1112.jpg</v>
      </c>
      <c r="F85" s="38" t="s">
        <v>1116</v>
      </c>
      <c r="G85" s="38" t="s">
        <v>1319</v>
      </c>
      <c r="H85" s="38" t="str">
        <f>データ!C85</f>
        <v>ジャンヌ</v>
      </c>
      <c r="I85" s="38" t="s">
        <v>1024</v>
      </c>
      <c r="J85" s="38" t="s">
        <v>1320</v>
      </c>
      <c r="K85" s="38" t="str">
        <f>データ!D85</f>
        <v>SSR</v>
      </c>
      <c r="L85" s="38" t="s">
        <v>1024</v>
      </c>
      <c r="M85" s="38" t="s">
        <v>1321</v>
      </c>
      <c r="N85" s="38">
        <f>データ!E85</f>
        <v>12</v>
      </c>
      <c r="O85" s="38" t="s">
        <v>1024</v>
      </c>
      <c r="P85" s="38" t="s">
        <v>1319</v>
      </c>
      <c r="Q85" s="38" t="str">
        <f>データ!F85</f>
        <v>突</v>
      </c>
      <c r="R85" s="38" t="s">
        <v>1024</v>
      </c>
      <c r="S85" s="38" t="s">
        <v>1319</v>
      </c>
      <c r="T85" s="39">
        <f>データ!G85</f>
        <v>16770</v>
      </c>
      <c r="U85" s="40" t="s">
        <v>1024</v>
      </c>
      <c r="V85" s="40" t="s">
        <v>1319</v>
      </c>
      <c r="W85" s="39">
        <f>データ!H85</f>
        <v>4991</v>
      </c>
      <c r="X85" s="40" t="s">
        <v>1024</v>
      </c>
      <c r="Y85" s="40" t="s">
        <v>1319</v>
      </c>
      <c r="Z85" s="39">
        <f>データ!I85</f>
        <v>5276</v>
      </c>
      <c r="AA85" s="40" t="s">
        <v>1024</v>
      </c>
      <c r="AB85" s="40" t="s">
        <v>1322</v>
      </c>
      <c r="AC85" s="39" t="str">
        <f>データ!J85</f>
        <v>SS-</v>
      </c>
      <c r="AD85" s="38" t="s">
        <v>1024</v>
      </c>
      <c r="AE85" s="40" t="s">
        <v>1323</v>
      </c>
      <c r="AF85" s="39">
        <f>データ!K85</f>
        <v>27037</v>
      </c>
      <c r="AG85" s="40" t="s">
        <v>1024</v>
      </c>
      <c r="AH85" s="40" t="s">
        <v>1324</v>
      </c>
      <c r="AI85" s="39" t="str">
        <f>データ!L85</f>
        <v>幻神の四連撃／真</v>
      </c>
      <c r="AJ85" s="10" t="s">
        <v>1113</v>
      </c>
      <c r="AK85" s="39" t="str">
        <f>データ!M85</f>
        <v>ランダムで4連続攻撃[中]</v>
      </c>
      <c r="AL85" s="10" t="s">
        <v>1024</v>
      </c>
      <c r="AM85" s="40" t="s">
        <v>1325</v>
      </c>
      <c r="AN85" s="39" t="str">
        <f>データ!N85</f>
        <v>-</v>
      </c>
      <c r="AO85" s="10" t="s">
        <v>1113</v>
      </c>
      <c r="AP85" s="39" t="str">
        <f>データ!O85</f>
        <v>　</v>
      </c>
      <c r="AQ85" s="41" t="s">
        <v>1024</v>
      </c>
      <c r="AR85" s="40" t="s">
        <v>1324</v>
      </c>
      <c r="AS85" s="39" t="str">
        <f>データ!P85</f>
        <v>ヒール／真蒼突</v>
      </c>
      <c r="AT85" s="10" t="s">
        <v>1113</v>
      </c>
      <c r="AU85" s="39" t="str">
        <f>データ!Q85</f>
        <v>突属性の生存ユニットのHPを高確率で全回復</v>
      </c>
      <c r="AV85" s="10" t="s">
        <v>1024</v>
      </c>
      <c r="AW85" s="40" t="s">
        <v>1324</v>
      </c>
      <c r="AX85" s="39" t="str">
        <f>データ!R85</f>
        <v>-</v>
      </c>
      <c r="AY85" s="10" t="s">
        <v>1113</v>
      </c>
      <c r="AZ85" s="39" t="str">
        <f>データ!S85</f>
        <v>　</v>
      </c>
      <c r="BA85" s="41" t="s">
        <v>1024</v>
      </c>
      <c r="BB85" s="40" t="s">
        <v>1319</v>
      </c>
      <c r="BC85" s="39" t="str">
        <f>データ!T85</f>
        <v>-</v>
      </c>
      <c r="BD85" s="41" t="s">
        <v>1024</v>
      </c>
      <c r="BE85" s="40" t="s">
        <v>1320</v>
      </c>
      <c r="BF85" s="39" t="str">
        <f>データ!U85</f>
        <v>-</v>
      </c>
      <c r="BG85" s="41" t="s">
        <v>1024</v>
      </c>
      <c r="BH85" s="40" t="s">
        <v>1319</v>
      </c>
      <c r="BI85" s="39" t="str">
        <f>データ!V85</f>
        <v>常設</v>
      </c>
      <c r="BJ85" s="41" t="s">
        <v>1024</v>
      </c>
      <c r="BK85" s="10" t="s">
        <v>1019</v>
      </c>
    </row>
    <row r="86" spans="1:63" x14ac:dyDescent="0.15">
      <c r="A86" s="10" t="s">
        <v>1016</v>
      </c>
      <c r="B86" s="10" t="s">
        <v>1454</v>
      </c>
      <c r="C86" s="38" t="str">
        <f>"./images/thumbnail/"&amp;データ!B86&amp;".jpg"</f>
        <v>./images/thumbnail/1116.jpg</v>
      </c>
      <c r="D86" s="38" t="s">
        <v>1455</v>
      </c>
      <c r="E86" s="38" t="str">
        <f>"./images/thumbnail/"&amp;データ!B86&amp;".jpg"</f>
        <v>./images/thumbnail/1116.jpg</v>
      </c>
      <c r="F86" s="38" t="s">
        <v>1116</v>
      </c>
      <c r="G86" s="38" t="s">
        <v>1319</v>
      </c>
      <c r="H86" s="38" t="str">
        <f>データ!C86</f>
        <v>ギルバード</v>
      </c>
      <c r="I86" s="38" t="s">
        <v>1024</v>
      </c>
      <c r="J86" s="38" t="s">
        <v>1320</v>
      </c>
      <c r="K86" s="38" t="str">
        <f>データ!D86</f>
        <v>SSR</v>
      </c>
      <c r="L86" s="38" t="s">
        <v>1024</v>
      </c>
      <c r="M86" s="38" t="s">
        <v>1321</v>
      </c>
      <c r="N86" s="38">
        <f>データ!E86</f>
        <v>12</v>
      </c>
      <c r="O86" s="38" t="s">
        <v>1024</v>
      </c>
      <c r="P86" s="38" t="s">
        <v>1319</v>
      </c>
      <c r="Q86" s="38" t="str">
        <f>データ!F86</f>
        <v>打</v>
      </c>
      <c r="R86" s="38" t="s">
        <v>1024</v>
      </c>
      <c r="S86" s="38" t="s">
        <v>1319</v>
      </c>
      <c r="T86" s="39">
        <f>データ!G86</f>
        <v>16840</v>
      </c>
      <c r="U86" s="40" t="s">
        <v>1024</v>
      </c>
      <c r="V86" s="40" t="s">
        <v>1319</v>
      </c>
      <c r="W86" s="39">
        <f>データ!H86</f>
        <v>6074</v>
      </c>
      <c r="X86" s="40" t="s">
        <v>1024</v>
      </c>
      <c r="Y86" s="40" t="s">
        <v>1319</v>
      </c>
      <c r="Z86" s="39">
        <f>データ!I86</f>
        <v>6015</v>
      </c>
      <c r="AA86" s="40" t="s">
        <v>1024</v>
      </c>
      <c r="AB86" s="40" t="s">
        <v>1322</v>
      </c>
      <c r="AC86" s="39" t="str">
        <f>データ!J86</f>
        <v>A-</v>
      </c>
      <c r="AD86" s="38" t="s">
        <v>1024</v>
      </c>
      <c r="AE86" s="40" t="s">
        <v>1323</v>
      </c>
      <c r="AF86" s="39">
        <f>データ!K86</f>
        <v>28929</v>
      </c>
      <c r="AG86" s="40" t="s">
        <v>1024</v>
      </c>
      <c r="AH86" s="40" t="s">
        <v>1324</v>
      </c>
      <c r="AI86" s="39" t="str">
        <f>データ!L86</f>
        <v>紫打の聖護</v>
      </c>
      <c r="AJ86" s="10" t="s">
        <v>1113</v>
      </c>
      <c r="AK86" s="39" t="str">
        <f>データ!M86</f>
        <v>味方打属性の防御力をUP[大]</v>
      </c>
      <c r="AL86" s="10" t="s">
        <v>1024</v>
      </c>
      <c r="AM86" s="40" t="s">
        <v>1325</v>
      </c>
      <c r="AN86" s="39" t="str">
        <f>データ!N86</f>
        <v>-</v>
      </c>
      <c r="AO86" s="10" t="s">
        <v>1113</v>
      </c>
      <c r="AP86" s="39" t="str">
        <f>データ!O86</f>
        <v>　</v>
      </c>
      <c r="AQ86" s="41" t="s">
        <v>1024</v>
      </c>
      <c r="AR86" s="40" t="s">
        <v>1324</v>
      </c>
      <c r="AS86" s="39" t="str">
        <f>データ!P86</f>
        <v>ポイントライズ／真</v>
      </c>
      <c r="AT86" s="10" t="s">
        <v>1113</v>
      </c>
      <c r="AU86" s="39" t="str">
        <f>データ!Q86</f>
        <v>獲得する騎士団戦スコアが中アップ(バトル3回)</v>
      </c>
      <c r="AV86" s="10" t="s">
        <v>1024</v>
      </c>
      <c r="AW86" s="40" t="s">
        <v>1324</v>
      </c>
      <c r="AX86" s="39" t="str">
        <f>データ!R86</f>
        <v>-</v>
      </c>
      <c r="AY86" s="10" t="s">
        <v>1113</v>
      </c>
      <c r="AZ86" s="39" t="str">
        <f>データ!S86</f>
        <v>　</v>
      </c>
      <c r="BA86" s="41" t="s">
        <v>1024</v>
      </c>
      <c r="BB86" s="40" t="s">
        <v>1319</v>
      </c>
      <c r="BC86" s="39" t="str">
        <f>データ!T86</f>
        <v>-</v>
      </c>
      <c r="BD86" s="41" t="s">
        <v>1024</v>
      </c>
      <c r="BE86" s="40" t="s">
        <v>1320</v>
      </c>
      <c r="BF86" s="39" t="str">
        <f>データ!U86</f>
        <v>-</v>
      </c>
      <c r="BG86" s="41" t="s">
        <v>1024</v>
      </c>
      <c r="BH86" s="40" t="s">
        <v>1319</v>
      </c>
      <c r="BI86" s="39" t="str">
        <f>データ!V86</f>
        <v>常設</v>
      </c>
      <c r="BJ86" s="41" t="s">
        <v>1024</v>
      </c>
      <c r="BK86" s="10" t="s">
        <v>1019</v>
      </c>
    </row>
    <row r="87" spans="1:63" x14ac:dyDescent="0.15">
      <c r="A87" s="10" t="s">
        <v>1016</v>
      </c>
      <c r="B87" s="10" t="s">
        <v>1454</v>
      </c>
      <c r="C87" s="38" t="str">
        <f>"./images/thumbnail/"&amp;データ!B87&amp;".jpg"</f>
        <v>./images/thumbnail/1120.jpg</v>
      </c>
      <c r="D87" s="38" t="s">
        <v>1455</v>
      </c>
      <c r="E87" s="38" t="str">
        <f>"./images/thumbnail/"&amp;データ!B87&amp;".jpg"</f>
        <v>./images/thumbnail/1120.jpg</v>
      </c>
      <c r="F87" s="38" t="s">
        <v>1116</v>
      </c>
      <c r="G87" s="38" t="s">
        <v>1319</v>
      </c>
      <c r="H87" s="38" t="str">
        <f>データ!C87</f>
        <v>ウィル</v>
      </c>
      <c r="I87" s="38" t="s">
        <v>1024</v>
      </c>
      <c r="J87" s="38" t="s">
        <v>1320</v>
      </c>
      <c r="K87" s="38" t="str">
        <f>データ!D87</f>
        <v>SSR</v>
      </c>
      <c r="L87" s="38" t="s">
        <v>1024</v>
      </c>
      <c r="M87" s="38" t="s">
        <v>1321</v>
      </c>
      <c r="N87" s="38">
        <f>データ!E87</f>
        <v>12</v>
      </c>
      <c r="O87" s="38" t="s">
        <v>1024</v>
      </c>
      <c r="P87" s="38" t="s">
        <v>1319</v>
      </c>
      <c r="Q87" s="38" t="str">
        <f>データ!F87</f>
        <v>遠</v>
      </c>
      <c r="R87" s="38" t="s">
        <v>1024</v>
      </c>
      <c r="S87" s="38" t="s">
        <v>1319</v>
      </c>
      <c r="T87" s="39">
        <f>データ!G87</f>
        <v>16212</v>
      </c>
      <c r="U87" s="40" t="s">
        <v>1024</v>
      </c>
      <c r="V87" s="40" t="s">
        <v>1319</v>
      </c>
      <c r="W87" s="39">
        <f>データ!H87</f>
        <v>5656</v>
      </c>
      <c r="X87" s="40" t="s">
        <v>1024</v>
      </c>
      <c r="Y87" s="40" t="s">
        <v>1319</v>
      </c>
      <c r="Z87" s="39">
        <f>データ!I87</f>
        <v>4343</v>
      </c>
      <c r="AA87" s="40" t="s">
        <v>1024</v>
      </c>
      <c r="AB87" s="40" t="s">
        <v>1322</v>
      </c>
      <c r="AC87" s="39" t="str">
        <f>データ!J87</f>
        <v>S-</v>
      </c>
      <c r="AD87" s="38" t="s">
        <v>1024</v>
      </c>
      <c r="AE87" s="40" t="s">
        <v>1323</v>
      </c>
      <c r="AF87" s="39">
        <f>データ!K87</f>
        <v>26211</v>
      </c>
      <c r="AG87" s="40" t="s">
        <v>1024</v>
      </c>
      <c r="AH87" s="40" t="s">
        <v>1324</v>
      </c>
      <c r="AI87" s="39" t="str">
        <f>データ!L87</f>
        <v xml:space="preserve">光芒の無双 </v>
      </c>
      <c r="AJ87" s="10" t="s">
        <v>1113</v>
      </c>
      <c r="AK87" s="39" t="str">
        <f>データ!M87</f>
        <v>味方全体の攻撃力をUP[中]</v>
      </c>
      <c r="AL87" s="38" t="s">
        <v>1024</v>
      </c>
      <c r="AM87" s="40" t="s">
        <v>1325</v>
      </c>
      <c r="AN87" s="39" t="str">
        <f>データ!N87</f>
        <v>-</v>
      </c>
      <c r="AO87" s="10" t="s">
        <v>1113</v>
      </c>
      <c r="AP87" s="39" t="str">
        <f>データ!O87</f>
        <v>　</v>
      </c>
      <c r="AQ87" s="41" t="s">
        <v>1024</v>
      </c>
      <c r="AR87" s="40" t="s">
        <v>1324</v>
      </c>
      <c r="AS87" s="39" t="str">
        <f>データ!P87</f>
        <v>リヴァイブ／真遠翠</v>
      </c>
      <c r="AT87" s="10" t="s">
        <v>1113</v>
      </c>
      <c r="AU87" s="39" t="str">
        <f>データ!Q87</f>
        <v>高確率で遠属性のユニットを復帰</v>
      </c>
      <c r="AV87" s="10" t="s">
        <v>1024</v>
      </c>
      <c r="AW87" s="40" t="s">
        <v>1324</v>
      </c>
      <c r="AX87" s="39" t="str">
        <f>データ!R87</f>
        <v>-</v>
      </c>
      <c r="AY87" s="10" t="s">
        <v>1113</v>
      </c>
      <c r="AZ87" s="39" t="str">
        <f>データ!S87</f>
        <v>　</v>
      </c>
      <c r="BA87" s="41" t="s">
        <v>1024</v>
      </c>
      <c r="BB87" s="40" t="s">
        <v>1319</v>
      </c>
      <c r="BC87" s="39" t="str">
        <f>データ!T87</f>
        <v>-</v>
      </c>
      <c r="BD87" s="41" t="s">
        <v>1024</v>
      </c>
      <c r="BE87" s="40" t="s">
        <v>1320</v>
      </c>
      <c r="BF87" s="39" t="str">
        <f>データ!U87</f>
        <v>-</v>
      </c>
      <c r="BG87" s="41" t="s">
        <v>1024</v>
      </c>
      <c r="BH87" s="40" t="s">
        <v>1319</v>
      </c>
      <c r="BI87" s="39" t="str">
        <f>データ!V87</f>
        <v>常設</v>
      </c>
      <c r="BJ87" s="41" t="s">
        <v>1024</v>
      </c>
      <c r="BK87" s="10" t="s">
        <v>1019</v>
      </c>
    </row>
    <row r="88" spans="1:63" x14ac:dyDescent="0.15">
      <c r="A88" s="10" t="s">
        <v>1016</v>
      </c>
      <c r="B88" s="10" t="s">
        <v>1454</v>
      </c>
      <c r="C88" s="38" t="str">
        <f>"./images/thumbnail/"&amp;データ!B88&amp;".jpg"</f>
        <v>./images/thumbnail/1121.jpg</v>
      </c>
      <c r="D88" s="38" t="s">
        <v>1455</v>
      </c>
      <c r="E88" s="38" t="str">
        <f>"./images/thumbnail/"&amp;データ!B88&amp;".jpg"</f>
        <v>./images/thumbnail/1121.jpg</v>
      </c>
      <c r="F88" s="38" t="s">
        <v>1116</v>
      </c>
      <c r="G88" s="38" t="s">
        <v>1319</v>
      </c>
      <c r="H88" s="38" t="str">
        <f>データ!C88</f>
        <v>ユニス</v>
      </c>
      <c r="I88" s="38" t="s">
        <v>1024</v>
      </c>
      <c r="J88" s="38" t="s">
        <v>1320</v>
      </c>
      <c r="K88" s="38" t="str">
        <f>データ!D88</f>
        <v>SSR</v>
      </c>
      <c r="L88" s="38" t="s">
        <v>1024</v>
      </c>
      <c r="M88" s="38" t="s">
        <v>1321</v>
      </c>
      <c r="N88" s="38">
        <f>データ!E88</f>
        <v>12</v>
      </c>
      <c r="O88" s="38" t="s">
        <v>1024</v>
      </c>
      <c r="P88" s="38" t="s">
        <v>1319</v>
      </c>
      <c r="Q88" s="38" t="str">
        <f>データ!F88</f>
        <v>斬</v>
      </c>
      <c r="R88" s="38" t="s">
        <v>1024</v>
      </c>
      <c r="S88" s="38" t="s">
        <v>1319</v>
      </c>
      <c r="T88" s="39">
        <f>データ!G88</f>
        <v>13472</v>
      </c>
      <c r="U88" s="40" t="s">
        <v>1024</v>
      </c>
      <c r="V88" s="40" t="s">
        <v>1319</v>
      </c>
      <c r="W88" s="39">
        <f>データ!H88</f>
        <v>6557</v>
      </c>
      <c r="X88" s="40" t="s">
        <v>1024</v>
      </c>
      <c r="Y88" s="40" t="s">
        <v>1319</v>
      </c>
      <c r="Z88" s="39">
        <f>データ!I88</f>
        <v>4832</v>
      </c>
      <c r="AA88" s="40" t="s">
        <v>1024</v>
      </c>
      <c r="AB88" s="40" t="s">
        <v>1322</v>
      </c>
      <c r="AC88" s="39" t="str">
        <f>データ!J88</f>
        <v>S+</v>
      </c>
      <c r="AD88" s="38" t="s">
        <v>1024</v>
      </c>
      <c r="AE88" s="40" t="s">
        <v>1323</v>
      </c>
      <c r="AF88" s="39">
        <f>データ!K88</f>
        <v>24861</v>
      </c>
      <c r="AG88" s="40" t="s">
        <v>1024</v>
      </c>
      <c r="AH88" s="40" t="s">
        <v>1324</v>
      </c>
      <c r="AI88" s="39" t="str">
        <f>データ!L88</f>
        <v>破焔の一閃／絶</v>
      </c>
      <c r="AJ88" s="10" t="s">
        <v>1113</v>
      </c>
      <c r="AK88" s="39" t="str">
        <f>データ!M88</f>
        <v>横一列に固定ダメージ[大]</v>
      </c>
      <c r="AL88" s="10" t="s">
        <v>1024</v>
      </c>
      <c r="AM88" s="40" t="s">
        <v>1325</v>
      </c>
      <c r="AN88" s="39" t="str">
        <f>データ!N88</f>
        <v>-</v>
      </c>
      <c r="AO88" s="10" t="s">
        <v>1113</v>
      </c>
      <c r="AP88" s="39" t="str">
        <f>データ!O88</f>
        <v>　</v>
      </c>
      <c r="AQ88" s="41" t="s">
        <v>1024</v>
      </c>
      <c r="AR88" s="40" t="s">
        <v>1324</v>
      </c>
      <c r="AS88" s="39" t="str">
        <f>データ!P88</f>
        <v>ジャガーノート／真</v>
      </c>
      <c r="AT88" s="10" t="s">
        <v>1113</v>
      </c>
      <c r="AU88" s="39" t="str">
        <f>データ!Q88</f>
        <v>バトルで敵を全滅するとBPが中回復(バトル3回)</v>
      </c>
      <c r="AV88" s="10" t="s">
        <v>1024</v>
      </c>
      <c r="AW88" s="40" t="s">
        <v>1324</v>
      </c>
      <c r="AX88" s="39" t="str">
        <f>データ!R88</f>
        <v>-</v>
      </c>
      <c r="AY88" s="10" t="s">
        <v>1113</v>
      </c>
      <c r="AZ88" s="39" t="str">
        <f>データ!S88</f>
        <v>　</v>
      </c>
      <c r="BA88" s="41" t="s">
        <v>1024</v>
      </c>
      <c r="BB88" s="40" t="s">
        <v>1319</v>
      </c>
      <c r="BC88" s="39" t="str">
        <f>データ!T88</f>
        <v>-</v>
      </c>
      <c r="BD88" s="41" t="s">
        <v>1024</v>
      </c>
      <c r="BE88" s="40" t="s">
        <v>1320</v>
      </c>
      <c r="BF88" s="39" t="str">
        <f>データ!U88</f>
        <v>-</v>
      </c>
      <c r="BG88" s="41" t="s">
        <v>1024</v>
      </c>
      <c r="BH88" s="40" t="s">
        <v>1319</v>
      </c>
      <c r="BI88" s="39" t="str">
        <f>データ!V88</f>
        <v>誓いイベ</v>
      </c>
      <c r="BJ88" s="41" t="s">
        <v>1024</v>
      </c>
      <c r="BK88" s="10" t="s">
        <v>1019</v>
      </c>
    </row>
    <row r="89" spans="1:63" x14ac:dyDescent="0.15">
      <c r="A89" s="10" t="s">
        <v>1016</v>
      </c>
      <c r="B89" s="10" t="s">
        <v>1454</v>
      </c>
      <c r="C89" s="38" t="str">
        <f>"./images/thumbnail/"&amp;データ!B89&amp;".jpg"</f>
        <v>./images/thumbnail/1123.jpg</v>
      </c>
      <c r="D89" s="38" t="s">
        <v>1455</v>
      </c>
      <c r="E89" s="38" t="str">
        <f>"./images/thumbnail/"&amp;データ!B89&amp;".jpg"</f>
        <v>./images/thumbnail/1123.jpg</v>
      </c>
      <c r="F89" s="38" t="s">
        <v>1116</v>
      </c>
      <c r="G89" s="38" t="s">
        <v>1319</v>
      </c>
      <c r="H89" s="38" t="str">
        <f>データ!C89</f>
        <v>ジム</v>
      </c>
      <c r="I89" s="38" t="s">
        <v>1024</v>
      </c>
      <c r="J89" s="38" t="s">
        <v>1320</v>
      </c>
      <c r="K89" s="38" t="str">
        <f>データ!D89</f>
        <v>SSR</v>
      </c>
      <c r="L89" s="38" t="s">
        <v>1024</v>
      </c>
      <c r="M89" s="38" t="s">
        <v>1321</v>
      </c>
      <c r="N89" s="38">
        <f>データ!E89</f>
        <v>12</v>
      </c>
      <c r="O89" s="38" t="s">
        <v>1024</v>
      </c>
      <c r="P89" s="38" t="s">
        <v>1319</v>
      </c>
      <c r="Q89" s="38" t="str">
        <f>データ!F89</f>
        <v>斬</v>
      </c>
      <c r="R89" s="38" t="s">
        <v>1024</v>
      </c>
      <c r="S89" s="38" t="s">
        <v>1319</v>
      </c>
      <c r="T89" s="39">
        <f>データ!G89</f>
        <v>15068</v>
      </c>
      <c r="U89" s="40" t="s">
        <v>1024</v>
      </c>
      <c r="V89" s="40" t="s">
        <v>1319</v>
      </c>
      <c r="W89" s="39">
        <f>データ!H89</f>
        <v>6034</v>
      </c>
      <c r="X89" s="40" t="s">
        <v>1024</v>
      </c>
      <c r="Y89" s="40" t="s">
        <v>1319</v>
      </c>
      <c r="Z89" s="39">
        <f>データ!I89</f>
        <v>5291</v>
      </c>
      <c r="AA89" s="40" t="s">
        <v>1024</v>
      </c>
      <c r="AB89" s="40" t="s">
        <v>1322</v>
      </c>
      <c r="AC89" s="39" t="str">
        <f>データ!J89</f>
        <v>A+</v>
      </c>
      <c r="AD89" s="38" t="s">
        <v>1024</v>
      </c>
      <c r="AE89" s="40" t="s">
        <v>1323</v>
      </c>
      <c r="AF89" s="39">
        <f>データ!K89</f>
        <v>26393</v>
      </c>
      <c r="AG89" s="40" t="s">
        <v>1024</v>
      </c>
      <c r="AH89" s="40" t="s">
        <v>1324</v>
      </c>
      <c r="AI89" s="39" t="str">
        <f>データ!L89</f>
        <v>斬紅の叡智</v>
      </c>
      <c r="AJ89" s="10" t="s">
        <v>1113</v>
      </c>
      <c r="AK89" s="39" t="str">
        <f>データ!M89</f>
        <v>味方斬属性の攻撃力と防御力をUP[中]</v>
      </c>
      <c r="AL89" s="10" t="s">
        <v>1024</v>
      </c>
      <c r="AM89" s="40" t="s">
        <v>1325</v>
      </c>
      <c r="AN89" s="39" t="str">
        <f>データ!N89</f>
        <v>-</v>
      </c>
      <c r="AO89" s="10" t="s">
        <v>1113</v>
      </c>
      <c r="AP89" s="39" t="str">
        <f>データ!O89</f>
        <v>　</v>
      </c>
      <c r="AQ89" s="41" t="s">
        <v>1024</v>
      </c>
      <c r="AR89" s="40" t="s">
        <v>1324</v>
      </c>
      <c r="AS89" s="39" t="str">
        <f>データ!P89</f>
        <v>ポイントライズ／真</v>
      </c>
      <c r="AT89" s="10" t="s">
        <v>1113</v>
      </c>
      <c r="AU89" s="39" t="str">
        <f>データ!Q89</f>
        <v>獲得する騎士団戦スコアが中アップ(バトル3回)</v>
      </c>
      <c r="AV89" s="10" t="s">
        <v>1024</v>
      </c>
      <c r="AW89" s="40" t="s">
        <v>1324</v>
      </c>
      <c r="AX89" s="39" t="str">
        <f>データ!R89</f>
        <v>-</v>
      </c>
      <c r="AY89" s="10" t="s">
        <v>1113</v>
      </c>
      <c r="AZ89" s="39" t="str">
        <f>データ!S89</f>
        <v>　</v>
      </c>
      <c r="BA89" s="41" t="s">
        <v>1024</v>
      </c>
      <c r="BB89" s="40" t="s">
        <v>1319</v>
      </c>
      <c r="BC89" s="39" t="str">
        <f>データ!T89</f>
        <v>-</v>
      </c>
      <c r="BD89" s="41" t="s">
        <v>1024</v>
      </c>
      <c r="BE89" s="40" t="s">
        <v>1320</v>
      </c>
      <c r="BF89" s="39" t="str">
        <f>データ!U89</f>
        <v>-</v>
      </c>
      <c r="BG89" s="41" t="s">
        <v>1024</v>
      </c>
      <c r="BH89" s="40" t="s">
        <v>1319</v>
      </c>
      <c r="BI89" s="39" t="str">
        <f>データ!V89</f>
        <v>常設</v>
      </c>
      <c r="BJ89" s="41" t="s">
        <v>1024</v>
      </c>
      <c r="BK89" s="10" t="s">
        <v>1019</v>
      </c>
    </row>
    <row r="90" spans="1:63" x14ac:dyDescent="0.15">
      <c r="A90" s="10" t="s">
        <v>1016</v>
      </c>
      <c r="B90" s="10" t="s">
        <v>1454</v>
      </c>
      <c r="C90" s="38" t="str">
        <f>"./images/thumbnail/"&amp;データ!B90&amp;".jpg"</f>
        <v>./images/thumbnail/1125.jpg</v>
      </c>
      <c r="D90" s="38" t="s">
        <v>1455</v>
      </c>
      <c r="E90" s="38" t="str">
        <f>"./images/thumbnail/"&amp;データ!B90&amp;".jpg"</f>
        <v>./images/thumbnail/1125.jpg</v>
      </c>
      <c r="F90" s="38" t="s">
        <v>1116</v>
      </c>
      <c r="G90" s="38" t="s">
        <v>1319</v>
      </c>
      <c r="H90" s="38" t="str">
        <f>データ!C90</f>
        <v>フレッド</v>
      </c>
      <c r="I90" s="38" t="s">
        <v>1024</v>
      </c>
      <c r="J90" s="38" t="s">
        <v>1320</v>
      </c>
      <c r="K90" s="38" t="str">
        <f>データ!D90</f>
        <v>SSR</v>
      </c>
      <c r="L90" s="38" t="s">
        <v>1024</v>
      </c>
      <c r="M90" s="38" t="s">
        <v>1321</v>
      </c>
      <c r="N90" s="38">
        <f>データ!E90</f>
        <v>12</v>
      </c>
      <c r="O90" s="38" t="s">
        <v>1024</v>
      </c>
      <c r="P90" s="38" t="s">
        <v>1319</v>
      </c>
      <c r="Q90" s="38" t="str">
        <f>データ!F90</f>
        <v>突</v>
      </c>
      <c r="R90" s="38" t="s">
        <v>1024</v>
      </c>
      <c r="S90" s="38" t="s">
        <v>1319</v>
      </c>
      <c r="T90" s="39">
        <f>データ!G90</f>
        <v>15240</v>
      </c>
      <c r="U90" s="40" t="s">
        <v>1024</v>
      </c>
      <c r="V90" s="40" t="s">
        <v>1319</v>
      </c>
      <c r="W90" s="39">
        <f>データ!H90</f>
        <v>4536</v>
      </c>
      <c r="X90" s="40" t="s">
        <v>1024</v>
      </c>
      <c r="Y90" s="40" t="s">
        <v>1319</v>
      </c>
      <c r="Z90" s="39">
        <f>データ!I90</f>
        <v>6422</v>
      </c>
      <c r="AA90" s="40" t="s">
        <v>1024</v>
      </c>
      <c r="AB90" s="40" t="s">
        <v>1322</v>
      </c>
      <c r="AC90" s="39" t="str">
        <f>データ!J90</f>
        <v>SS-</v>
      </c>
      <c r="AD90" s="38" t="s">
        <v>1024</v>
      </c>
      <c r="AE90" s="40" t="s">
        <v>1323</v>
      </c>
      <c r="AF90" s="39">
        <f>データ!K90</f>
        <v>26198</v>
      </c>
      <c r="AG90" s="40" t="s">
        <v>1024</v>
      </c>
      <c r="AH90" s="40" t="s">
        <v>1324</v>
      </c>
      <c r="AI90" s="39" t="str">
        <f>データ!L90</f>
        <v xml:space="preserve">蒼突の聖護 </v>
      </c>
      <c r="AJ90" s="10" t="s">
        <v>1113</v>
      </c>
      <c r="AK90" s="39" t="str">
        <f>データ!M90</f>
        <v>味方突属性の防御力をUP[大]</v>
      </c>
      <c r="AL90" s="10" t="s">
        <v>1024</v>
      </c>
      <c r="AM90" s="40" t="s">
        <v>1325</v>
      </c>
      <c r="AN90" s="39" t="str">
        <f>データ!N90</f>
        <v>-</v>
      </c>
      <c r="AO90" s="10" t="s">
        <v>1113</v>
      </c>
      <c r="AP90" s="39" t="str">
        <f>データ!O90</f>
        <v>　</v>
      </c>
      <c r="AQ90" s="41" t="s">
        <v>1024</v>
      </c>
      <c r="AR90" s="40" t="s">
        <v>1324</v>
      </c>
      <c r="AS90" s="39" t="str">
        <f>データ!P90</f>
        <v>アサルト／真</v>
      </c>
      <c r="AT90" s="10" t="s">
        <v>1113</v>
      </c>
      <c r="AU90" s="39" t="str">
        <f>データ!Q90</f>
        <v>パーティ全体の攻撃力が中UP(3分間)</v>
      </c>
      <c r="AV90" s="10" t="s">
        <v>1024</v>
      </c>
      <c r="AW90" s="40" t="s">
        <v>1324</v>
      </c>
      <c r="AX90" s="39" t="str">
        <f>データ!R90</f>
        <v>-</v>
      </c>
      <c r="AY90" s="10" t="s">
        <v>1113</v>
      </c>
      <c r="AZ90" s="39" t="str">
        <f>データ!S90</f>
        <v>　</v>
      </c>
      <c r="BA90" s="41" t="s">
        <v>1024</v>
      </c>
      <c r="BB90" s="40" t="s">
        <v>1319</v>
      </c>
      <c r="BC90" s="39" t="str">
        <f>データ!T90</f>
        <v>-</v>
      </c>
      <c r="BD90" s="41" t="s">
        <v>1024</v>
      </c>
      <c r="BE90" s="40" t="s">
        <v>1320</v>
      </c>
      <c r="BF90" s="39" t="str">
        <f>データ!U90</f>
        <v>-</v>
      </c>
      <c r="BG90" s="41" t="s">
        <v>1024</v>
      </c>
      <c r="BH90" s="40" t="s">
        <v>1319</v>
      </c>
      <c r="BI90" s="39" t="str">
        <f>データ!V90</f>
        <v>常設</v>
      </c>
      <c r="BJ90" s="41" t="s">
        <v>1024</v>
      </c>
      <c r="BK90" s="10" t="s">
        <v>1019</v>
      </c>
    </row>
    <row r="91" spans="1:63" x14ac:dyDescent="0.15">
      <c r="A91" s="10" t="s">
        <v>1016</v>
      </c>
      <c r="B91" s="10" t="s">
        <v>1454</v>
      </c>
      <c r="C91" s="38" t="str">
        <f>"./images/thumbnail/"&amp;データ!B91&amp;".jpg"</f>
        <v>./images/thumbnail/1127.jpg</v>
      </c>
      <c r="D91" s="38" t="s">
        <v>1455</v>
      </c>
      <c r="E91" s="38" t="str">
        <f>"./images/thumbnail/"&amp;データ!B91&amp;".jpg"</f>
        <v>./images/thumbnail/1127.jpg</v>
      </c>
      <c r="F91" s="38" t="s">
        <v>1116</v>
      </c>
      <c r="G91" s="38" t="s">
        <v>1319</v>
      </c>
      <c r="H91" s="38" t="str">
        <f>データ!C91</f>
        <v>マリー</v>
      </c>
      <c r="I91" s="38" t="s">
        <v>1024</v>
      </c>
      <c r="J91" s="38" t="s">
        <v>1320</v>
      </c>
      <c r="K91" s="38" t="str">
        <f>データ!D91</f>
        <v>SSR</v>
      </c>
      <c r="L91" s="38" t="s">
        <v>1024</v>
      </c>
      <c r="M91" s="38" t="s">
        <v>1321</v>
      </c>
      <c r="N91" s="38">
        <f>データ!E91</f>
        <v>12</v>
      </c>
      <c r="O91" s="38" t="s">
        <v>1024</v>
      </c>
      <c r="P91" s="38" t="s">
        <v>1319</v>
      </c>
      <c r="Q91" s="38" t="str">
        <f>データ!F91</f>
        <v>打</v>
      </c>
      <c r="R91" s="38" t="s">
        <v>1024</v>
      </c>
      <c r="S91" s="38" t="s">
        <v>1319</v>
      </c>
      <c r="T91" s="39">
        <f>データ!G91</f>
        <v>16310</v>
      </c>
      <c r="U91" s="40" t="s">
        <v>1024</v>
      </c>
      <c r="V91" s="40" t="s">
        <v>1319</v>
      </c>
      <c r="W91" s="39">
        <f>データ!H91</f>
        <v>5673</v>
      </c>
      <c r="X91" s="40" t="s">
        <v>1024</v>
      </c>
      <c r="Y91" s="40" t="s">
        <v>1319</v>
      </c>
      <c r="Z91" s="39">
        <f>データ!I91</f>
        <v>6693</v>
      </c>
      <c r="AA91" s="40" t="s">
        <v>1024</v>
      </c>
      <c r="AB91" s="40" t="s">
        <v>1322</v>
      </c>
      <c r="AC91" s="39" t="str">
        <f>データ!J91</f>
        <v>A-</v>
      </c>
      <c r="AD91" s="38" t="s">
        <v>1024</v>
      </c>
      <c r="AE91" s="40" t="s">
        <v>1323</v>
      </c>
      <c r="AF91" s="39">
        <f>データ!K91</f>
        <v>28676</v>
      </c>
      <c r="AG91" s="40" t="s">
        <v>1024</v>
      </c>
      <c r="AH91" s="40" t="s">
        <v>1324</v>
      </c>
      <c r="AI91" s="39" t="str">
        <f>データ!L91</f>
        <v>蒼突の叛逆／絶</v>
      </c>
      <c r="AJ91" s="10" t="s">
        <v>1113</v>
      </c>
      <c r="AK91" s="39" t="str">
        <f>データ!M91</f>
        <v>攻撃をカウンター[高確率]</v>
      </c>
      <c r="AL91" s="10" t="s">
        <v>1024</v>
      </c>
      <c r="AM91" s="40" t="s">
        <v>1325</v>
      </c>
      <c r="AN91" s="39" t="str">
        <f>データ!N91</f>
        <v>-</v>
      </c>
      <c r="AO91" s="10" t="s">
        <v>1113</v>
      </c>
      <c r="AP91" s="39" t="str">
        <f>データ!O91</f>
        <v>　</v>
      </c>
      <c r="AQ91" s="41" t="s">
        <v>1024</v>
      </c>
      <c r="AR91" s="40" t="s">
        <v>1324</v>
      </c>
      <c r="AS91" s="39" t="str">
        <f>データ!P91</f>
        <v>エース／真</v>
      </c>
      <c r="AT91" s="10" t="s">
        <v>1113</v>
      </c>
      <c r="AU91" s="39" t="str">
        <f>データ!Q91</f>
        <v>パーティ全体の攻・防が中UP(3分間)</v>
      </c>
      <c r="AV91" s="10" t="s">
        <v>1024</v>
      </c>
      <c r="AW91" s="40" t="s">
        <v>1324</v>
      </c>
      <c r="AX91" s="39" t="str">
        <f>データ!R91</f>
        <v>-</v>
      </c>
      <c r="AY91" s="10" t="s">
        <v>1113</v>
      </c>
      <c r="AZ91" s="39" t="str">
        <f>データ!S91</f>
        <v>　</v>
      </c>
      <c r="BA91" s="41" t="s">
        <v>1024</v>
      </c>
      <c r="BB91" s="40" t="s">
        <v>1319</v>
      </c>
      <c r="BC91" s="39" t="str">
        <f>データ!T91</f>
        <v>-</v>
      </c>
      <c r="BD91" s="41" t="s">
        <v>1024</v>
      </c>
      <c r="BE91" s="40" t="s">
        <v>1320</v>
      </c>
      <c r="BF91" s="39" t="str">
        <f>データ!U91</f>
        <v>-</v>
      </c>
      <c r="BG91" s="41" t="s">
        <v>1024</v>
      </c>
      <c r="BH91" s="40" t="s">
        <v>1319</v>
      </c>
      <c r="BI91" s="39" t="str">
        <f>データ!V91</f>
        <v>常設</v>
      </c>
      <c r="BJ91" s="41" t="s">
        <v>1024</v>
      </c>
      <c r="BK91" s="10" t="s">
        <v>1019</v>
      </c>
    </row>
    <row r="92" spans="1:63" x14ac:dyDescent="0.15">
      <c r="A92" s="10" t="s">
        <v>1016</v>
      </c>
      <c r="B92" s="10" t="s">
        <v>1454</v>
      </c>
      <c r="C92" s="38" t="str">
        <f>"./images/thumbnail/"&amp;データ!B92&amp;".jpg"</f>
        <v>./images/thumbnail/1129.jpg</v>
      </c>
      <c r="D92" s="38" t="s">
        <v>1455</v>
      </c>
      <c r="E92" s="38" t="str">
        <f>"./images/thumbnail/"&amp;データ!B92&amp;".jpg"</f>
        <v>./images/thumbnail/1129.jpg</v>
      </c>
      <c r="F92" s="38" t="s">
        <v>1116</v>
      </c>
      <c r="G92" s="38" t="s">
        <v>1319</v>
      </c>
      <c r="H92" s="38" t="str">
        <f>データ!C92</f>
        <v>ルナ</v>
      </c>
      <c r="I92" s="38" t="s">
        <v>1024</v>
      </c>
      <c r="J92" s="38" t="s">
        <v>1320</v>
      </c>
      <c r="K92" s="38" t="str">
        <f>データ!D92</f>
        <v>SSR</v>
      </c>
      <c r="L92" s="38" t="s">
        <v>1024</v>
      </c>
      <c r="M92" s="38" t="s">
        <v>1321</v>
      </c>
      <c r="N92" s="38">
        <f>データ!E92</f>
        <v>12</v>
      </c>
      <c r="O92" s="38" t="s">
        <v>1024</v>
      </c>
      <c r="P92" s="38" t="s">
        <v>1319</v>
      </c>
      <c r="Q92" s="38" t="str">
        <f>データ!F92</f>
        <v>遠</v>
      </c>
      <c r="R92" s="38" t="s">
        <v>1024</v>
      </c>
      <c r="S92" s="38" t="s">
        <v>1319</v>
      </c>
      <c r="T92" s="39">
        <f>データ!G92</f>
        <v>14729</v>
      </c>
      <c r="U92" s="40" t="s">
        <v>1024</v>
      </c>
      <c r="V92" s="40" t="s">
        <v>1319</v>
      </c>
      <c r="W92" s="39">
        <f>データ!H92</f>
        <v>6059</v>
      </c>
      <c r="X92" s="40" t="s">
        <v>1024</v>
      </c>
      <c r="Y92" s="40" t="s">
        <v>1319</v>
      </c>
      <c r="Z92" s="39">
        <f>データ!I92</f>
        <v>4486</v>
      </c>
      <c r="AA92" s="40" t="s">
        <v>1024</v>
      </c>
      <c r="AB92" s="40" t="s">
        <v>1322</v>
      </c>
      <c r="AC92" s="39" t="str">
        <f>データ!J92</f>
        <v>S-</v>
      </c>
      <c r="AD92" s="38" t="s">
        <v>1024</v>
      </c>
      <c r="AE92" s="40" t="s">
        <v>1323</v>
      </c>
      <c r="AF92" s="39">
        <f>データ!K92</f>
        <v>25274</v>
      </c>
      <c r="AG92" s="40" t="s">
        <v>1024</v>
      </c>
      <c r="AH92" s="40" t="s">
        <v>1324</v>
      </c>
      <c r="AI92" s="39" t="str">
        <f>データ!L92</f>
        <v>破界の包囲陣／絶</v>
      </c>
      <c r="AJ92" s="10" t="s">
        <v>1113</v>
      </c>
      <c r="AK92" s="39" t="str">
        <f>データ!M92</f>
        <v>敵全体に固定ダメージ[大]</v>
      </c>
      <c r="AL92" s="10" t="s">
        <v>1024</v>
      </c>
      <c r="AM92" s="40" t="s">
        <v>1325</v>
      </c>
      <c r="AN92" s="39" t="str">
        <f>データ!N92</f>
        <v>-</v>
      </c>
      <c r="AO92" s="10" t="s">
        <v>1113</v>
      </c>
      <c r="AP92" s="39" t="str">
        <f>データ!O92</f>
        <v>　</v>
      </c>
      <c r="AQ92" s="41" t="s">
        <v>1024</v>
      </c>
      <c r="AR92" s="40" t="s">
        <v>1324</v>
      </c>
      <c r="AS92" s="39" t="str">
        <f>データ!P92</f>
        <v>ヒール／真</v>
      </c>
      <c r="AT92" s="10" t="s">
        <v>1113</v>
      </c>
      <c r="AU92" s="39" t="str">
        <f>データ!Q92</f>
        <v>生存ユニットのHPを中回復</v>
      </c>
      <c r="AV92" s="10" t="s">
        <v>1024</v>
      </c>
      <c r="AW92" s="40" t="s">
        <v>1324</v>
      </c>
      <c r="AX92" s="39" t="str">
        <f>データ!R92</f>
        <v>-</v>
      </c>
      <c r="AY92" s="10" t="s">
        <v>1113</v>
      </c>
      <c r="AZ92" s="39" t="str">
        <f>データ!S92</f>
        <v>　</v>
      </c>
      <c r="BA92" s="41" t="s">
        <v>1024</v>
      </c>
      <c r="BB92" s="40" t="s">
        <v>1319</v>
      </c>
      <c r="BC92" s="39" t="str">
        <f>データ!T92</f>
        <v>-</v>
      </c>
      <c r="BD92" s="41" t="s">
        <v>1024</v>
      </c>
      <c r="BE92" s="40" t="s">
        <v>1320</v>
      </c>
      <c r="BF92" s="39" t="str">
        <f>データ!U92</f>
        <v>-</v>
      </c>
      <c r="BG92" s="41" t="s">
        <v>1024</v>
      </c>
      <c r="BH92" s="40" t="s">
        <v>1319</v>
      </c>
      <c r="BI92" s="39" t="str">
        <f>データ!V92</f>
        <v>常設</v>
      </c>
      <c r="BJ92" s="41" t="s">
        <v>1024</v>
      </c>
      <c r="BK92" s="10" t="s">
        <v>1019</v>
      </c>
    </row>
    <row r="93" spans="1:63" x14ac:dyDescent="0.15">
      <c r="A93" s="10" t="s">
        <v>1016</v>
      </c>
      <c r="B93" s="10" t="s">
        <v>1454</v>
      </c>
      <c r="C93" s="38" t="str">
        <f>"./images/thumbnail/"&amp;データ!B93&amp;".jpg"</f>
        <v>./images/thumbnail/1132.jpg</v>
      </c>
      <c r="D93" s="38" t="s">
        <v>1455</v>
      </c>
      <c r="E93" s="38" t="str">
        <f>"./images/thumbnail/"&amp;データ!B93&amp;".jpg"</f>
        <v>./images/thumbnail/1132.jpg</v>
      </c>
      <c r="F93" s="38" t="s">
        <v>1116</v>
      </c>
      <c r="G93" s="38" t="s">
        <v>1319</v>
      </c>
      <c r="H93" s="38" t="str">
        <f>データ!C93</f>
        <v>エドガー</v>
      </c>
      <c r="I93" s="38" t="s">
        <v>1024</v>
      </c>
      <c r="J93" s="38" t="s">
        <v>1320</v>
      </c>
      <c r="K93" s="38" t="str">
        <f>データ!D93</f>
        <v>SSR</v>
      </c>
      <c r="L93" s="38" t="s">
        <v>1024</v>
      </c>
      <c r="M93" s="38" t="s">
        <v>1321</v>
      </c>
      <c r="N93" s="38">
        <f>データ!E93</f>
        <v>12</v>
      </c>
      <c r="O93" s="38" t="s">
        <v>1024</v>
      </c>
      <c r="P93" s="38" t="s">
        <v>1319</v>
      </c>
      <c r="Q93" s="38" t="str">
        <f>データ!F93</f>
        <v>打</v>
      </c>
      <c r="R93" s="38" t="s">
        <v>1024</v>
      </c>
      <c r="S93" s="38" t="s">
        <v>1319</v>
      </c>
      <c r="T93" s="39">
        <f>データ!G93</f>
        <v>18837</v>
      </c>
      <c r="U93" s="40" t="s">
        <v>1024</v>
      </c>
      <c r="V93" s="40" t="s">
        <v>1319</v>
      </c>
      <c r="W93" s="39">
        <f>データ!H93</f>
        <v>5642</v>
      </c>
      <c r="X93" s="40" t="s">
        <v>1024</v>
      </c>
      <c r="Y93" s="40" t="s">
        <v>1319</v>
      </c>
      <c r="Z93" s="39">
        <f>データ!I93</f>
        <v>5857</v>
      </c>
      <c r="AA93" s="40" t="s">
        <v>1024</v>
      </c>
      <c r="AB93" s="40" t="s">
        <v>1322</v>
      </c>
      <c r="AC93" s="39" t="str">
        <f>データ!J93</f>
        <v>A-</v>
      </c>
      <c r="AD93" s="38" t="s">
        <v>1024</v>
      </c>
      <c r="AE93" s="40" t="s">
        <v>1323</v>
      </c>
      <c r="AF93" s="39">
        <f>データ!K93</f>
        <v>30336</v>
      </c>
      <c r="AG93" s="40" t="s">
        <v>1024</v>
      </c>
      <c r="AH93" s="40" t="s">
        <v>1324</v>
      </c>
      <c r="AI93" s="39" t="str">
        <f>データ!L93</f>
        <v>焔幻の一閃／絶</v>
      </c>
      <c r="AJ93" s="10" t="s">
        <v>1113</v>
      </c>
      <c r="AK93" s="39" t="str">
        <f>データ!M93</f>
        <v>横一列に攻撃[大]</v>
      </c>
      <c r="AL93" s="10" t="s">
        <v>1024</v>
      </c>
      <c r="AM93" s="40" t="s">
        <v>1325</v>
      </c>
      <c r="AN93" s="39" t="str">
        <f>データ!N93</f>
        <v>-</v>
      </c>
      <c r="AO93" s="10" t="s">
        <v>1113</v>
      </c>
      <c r="AP93" s="39" t="str">
        <f>データ!O93</f>
        <v>　</v>
      </c>
      <c r="AQ93" s="41" t="s">
        <v>1024</v>
      </c>
      <c r="AR93" s="40" t="s">
        <v>1324</v>
      </c>
      <c r="AS93" s="39" t="str">
        <f>データ!P93</f>
        <v>リヴァイブ／真紫打</v>
      </c>
      <c r="AT93" s="10" t="s">
        <v>1113</v>
      </c>
      <c r="AU93" s="39" t="str">
        <f>データ!Q93</f>
        <v>高確率で打属性のユニットを復帰</v>
      </c>
      <c r="AV93" s="10" t="s">
        <v>1024</v>
      </c>
      <c r="AW93" s="40" t="s">
        <v>1324</v>
      </c>
      <c r="AX93" s="39" t="str">
        <f>データ!R93</f>
        <v>-</v>
      </c>
      <c r="AY93" s="10" t="s">
        <v>1113</v>
      </c>
      <c r="AZ93" s="39" t="str">
        <f>データ!S93</f>
        <v>　</v>
      </c>
      <c r="BA93" s="41" t="s">
        <v>1024</v>
      </c>
      <c r="BB93" s="40" t="s">
        <v>1319</v>
      </c>
      <c r="BC93" s="39" t="str">
        <f>データ!T93</f>
        <v>-</v>
      </c>
      <c r="BD93" s="41" t="s">
        <v>1024</v>
      </c>
      <c r="BE93" s="40" t="s">
        <v>1320</v>
      </c>
      <c r="BF93" s="39" t="str">
        <f>データ!U93</f>
        <v>-</v>
      </c>
      <c r="BG93" s="41" t="s">
        <v>1024</v>
      </c>
      <c r="BH93" s="40" t="s">
        <v>1319</v>
      </c>
      <c r="BI93" s="39" t="str">
        <f>データ!V93</f>
        <v>マゴニア</v>
      </c>
      <c r="BJ93" s="41" t="s">
        <v>1024</v>
      </c>
      <c r="BK93" s="10" t="s">
        <v>1019</v>
      </c>
    </row>
    <row r="94" spans="1:63" x14ac:dyDescent="0.15">
      <c r="A94" s="10" t="s">
        <v>1016</v>
      </c>
      <c r="B94" s="10" t="s">
        <v>1454</v>
      </c>
      <c r="C94" s="38" t="str">
        <f>"./images/thumbnail/"&amp;データ!B94&amp;".jpg"</f>
        <v>./images/thumbnail/1134.jpg</v>
      </c>
      <c r="D94" s="38" t="s">
        <v>1455</v>
      </c>
      <c r="E94" s="38" t="str">
        <f>"./images/thumbnail/"&amp;データ!B94&amp;".jpg"</f>
        <v>./images/thumbnail/1134.jpg</v>
      </c>
      <c r="F94" s="38" t="s">
        <v>1116</v>
      </c>
      <c r="G94" s="38" t="s">
        <v>1319</v>
      </c>
      <c r="H94" s="38" t="str">
        <f>データ!C94</f>
        <v>ガルム</v>
      </c>
      <c r="I94" s="38" t="s">
        <v>1024</v>
      </c>
      <c r="J94" s="38" t="s">
        <v>1320</v>
      </c>
      <c r="K94" s="38" t="str">
        <f>データ!D94</f>
        <v>SSR</v>
      </c>
      <c r="L94" s="38" t="s">
        <v>1024</v>
      </c>
      <c r="M94" s="38" t="s">
        <v>1321</v>
      </c>
      <c r="N94" s="38">
        <f>データ!E94</f>
        <v>12</v>
      </c>
      <c r="O94" s="38" t="s">
        <v>1024</v>
      </c>
      <c r="P94" s="38" t="s">
        <v>1319</v>
      </c>
      <c r="Q94" s="38" t="str">
        <f>データ!F94</f>
        <v>突</v>
      </c>
      <c r="R94" s="38" t="s">
        <v>1024</v>
      </c>
      <c r="S94" s="38" t="s">
        <v>1319</v>
      </c>
      <c r="T94" s="39">
        <f>データ!G94</f>
        <v>15321</v>
      </c>
      <c r="U94" s="40" t="s">
        <v>1024</v>
      </c>
      <c r="V94" s="40" t="s">
        <v>1319</v>
      </c>
      <c r="W94" s="39">
        <f>データ!H94</f>
        <v>4561</v>
      </c>
      <c r="X94" s="40" t="s">
        <v>1024</v>
      </c>
      <c r="Y94" s="40" t="s">
        <v>1319</v>
      </c>
      <c r="Z94" s="39">
        <f>データ!I94</f>
        <v>6389</v>
      </c>
      <c r="AA94" s="40" t="s">
        <v>1024</v>
      </c>
      <c r="AB94" s="40" t="s">
        <v>1322</v>
      </c>
      <c r="AC94" s="39" t="str">
        <f>データ!J94</f>
        <v>SS-</v>
      </c>
      <c r="AD94" s="38" t="s">
        <v>1024</v>
      </c>
      <c r="AE94" s="40" t="s">
        <v>1323</v>
      </c>
      <c r="AF94" s="39">
        <f>データ!K94</f>
        <v>26271</v>
      </c>
      <c r="AG94" s="40" t="s">
        <v>1024</v>
      </c>
      <c r="AH94" s="40" t="s">
        <v>1324</v>
      </c>
      <c r="AI94" s="39" t="str">
        <f>データ!L94</f>
        <v>加護消滅／光芒</v>
      </c>
      <c r="AJ94" s="10" t="s">
        <v>1113</v>
      </c>
      <c r="AK94" s="39" t="str">
        <f>データ!M94</f>
        <v>敵全体の防御力をDOWN[中]</v>
      </c>
      <c r="AL94" s="10" t="s">
        <v>1024</v>
      </c>
      <c r="AM94" s="40" t="s">
        <v>1325</v>
      </c>
      <c r="AN94" s="39" t="str">
        <f>データ!N94</f>
        <v>-</v>
      </c>
      <c r="AO94" s="10" t="s">
        <v>1113</v>
      </c>
      <c r="AP94" s="39" t="str">
        <f>データ!O94</f>
        <v>　</v>
      </c>
      <c r="AQ94" s="41" t="s">
        <v>1024</v>
      </c>
      <c r="AR94" s="40" t="s">
        <v>1324</v>
      </c>
      <c r="AS94" s="39" t="str">
        <f>データ!P94</f>
        <v>リヴァイブ／真</v>
      </c>
      <c r="AT94" s="10" t="s">
        <v>1113</v>
      </c>
      <c r="AU94" s="39" t="str">
        <f>データ!Q94</f>
        <v>中確率で戦闘不能ユニットを復帰</v>
      </c>
      <c r="AV94" s="10" t="s">
        <v>1024</v>
      </c>
      <c r="AW94" s="40" t="s">
        <v>1324</v>
      </c>
      <c r="AX94" s="39" t="str">
        <f>データ!R94</f>
        <v>-</v>
      </c>
      <c r="AY94" s="10" t="s">
        <v>1113</v>
      </c>
      <c r="AZ94" s="39" t="str">
        <f>データ!S94</f>
        <v>　</v>
      </c>
      <c r="BA94" s="41" t="s">
        <v>1024</v>
      </c>
      <c r="BB94" s="40" t="s">
        <v>1319</v>
      </c>
      <c r="BC94" s="39" t="str">
        <f>データ!T94</f>
        <v>-</v>
      </c>
      <c r="BD94" s="41" t="s">
        <v>1024</v>
      </c>
      <c r="BE94" s="40" t="s">
        <v>1320</v>
      </c>
      <c r="BF94" s="39" t="str">
        <f>データ!U94</f>
        <v>-</v>
      </c>
      <c r="BG94" s="41" t="s">
        <v>1024</v>
      </c>
      <c r="BH94" s="40" t="s">
        <v>1319</v>
      </c>
      <c r="BI94" s="39" t="str">
        <f>データ!V94</f>
        <v>メダル</v>
      </c>
      <c r="BJ94" s="41" t="s">
        <v>1024</v>
      </c>
      <c r="BK94" s="10" t="s">
        <v>1019</v>
      </c>
    </row>
    <row r="95" spans="1:63" x14ac:dyDescent="0.15">
      <c r="A95" s="10" t="s">
        <v>1016</v>
      </c>
      <c r="B95" s="10" t="s">
        <v>1454</v>
      </c>
      <c r="C95" s="38" t="str">
        <f>"./images/thumbnail/"&amp;データ!B95&amp;".jpg"</f>
        <v>./images/thumbnail/1136.jpg</v>
      </c>
      <c r="D95" s="38" t="s">
        <v>1455</v>
      </c>
      <c r="E95" s="38" t="str">
        <f>"./images/thumbnail/"&amp;データ!B95&amp;".jpg"</f>
        <v>./images/thumbnail/1136.jpg</v>
      </c>
      <c r="F95" s="38" t="s">
        <v>1116</v>
      </c>
      <c r="G95" s="38" t="s">
        <v>1319</v>
      </c>
      <c r="H95" s="38" t="str">
        <f>データ!C95</f>
        <v>トルテ</v>
      </c>
      <c r="I95" s="38" t="s">
        <v>1024</v>
      </c>
      <c r="J95" s="38" t="s">
        <v>1320</v>
      </c>
      <c r="K95" s="38" t="str">
        <f>データ!D95</f>
        <v>SSR</v>
      </c>
      <c r="L95" s="38" t="s">
        <v>1024</v>
      </c>
      <c r="M95" s="38" t="s">
        <v>1321</v>
      </c>
      <c r="N95" s="38">
        <f>データ!E95</f>
        <v>12</v>
      </c>
      <c r="O95" s="38" t="s">
        <v>1024</v>
      </c>
      <c r="P95" s="38" t="s">
        <v>1319</v>
      </c>
      <c r="Q95" s="38" t="str">
        <f>データ!F95</f>
        <v>遠</v>
      </c>
      <c r="R95" s="38" t="s">
        <v>1024</v>
      </c>
      <c r="S95" s="38" t="s">
        <v>1319</v>
      </c>
      <c r="T95" s="39">
        <f>データ!G95</f>
        <v>14810</v>
      </c>
      <c r="U95" s="40" t="s">
        <v>1024</v>
      </c>
      <c r="V95" s="40" t="s">
        <v>1319</v>
      </c>
      <c r="W95" s="39">
        <f>データ!H95</f>
        <v>6092</v>
      </c>
      <c r="X95" s="40" t="s">
        <v>1024</v>
      </c>
      <c r="Y95" s="40" t="s">
        <v>1319</v>
      </c>
      <c r="Z95" s="39">
        <f>データ!I95</f>
        <v>4464</v>
      </c>
      <c r="AA95" s="40" t="s">
        <v>1024</v>
      </c>
      <c r="AB95" s="40" t="s">
        <v>1322</v>
      </c>
      <c r="AC95" s="39" t="str">
        <f>データ!J95</f>
        <v>S-</v>
      </c>
      <c r="AD95" s="38" t="s">
        <v>1024</v>
      </c>
      <c r="AE95" s="40" t="s">
        <v>1323</v>
      </c>
      <c r="AF95" s="39">
        <f>データ!K95</f>
        <v>25366</v>
      </c>
      <c r="AG95" s="40" t="s">
        <v>1024</v>
      </c>
      <c r="AH95" s="40" t="s">
        <v>1324</v>
      </c>
      <c r="AI95" s="39" t="str">
        <f>データ!L95</f>
        <v>幻射の四連撃／真</v>
      </c>
      <c r="AJ95" s="10" t="s">
        <v>1113</v>
      </c>
      <c r="AK95" s="39" t="str">
        <f>データ!M95</f>
        <v>ランダムで4連続攻撃[中]</v>
      </c>
      <c r="AL95" s="10" t="s">
        <v>1024</v>
      </c>
      <c r="AM95" s="40" t="s">
        <v>1325</v>
      </c>
      <c r="AN95" s="39" t="str">
        <f>データ!N95</f>
        <v>-</v>
      </c>
      <c r="AO95" s="10" t="s">
        <v>1113</v>
      </c>
      <c r="AP95" s="39" t="str">
        <f>データ!O95</f>
        <v>　</v>
      </c>
      <c r="AQ95" s="41" t="s">
        <v>1024</v>
      </c>
      <c r="AR95" s="40" t="s">
        <v>1324</v>
      </c>
      <c r="AS95" s="39" t="str">
        <f>データ!P95</f>
        <v>リヴァイブ／真遠翠</v>
      </c>
      <c r="AT95" s="10" t="s">
        <v>1113</v>
      </c>
      <c r="AU95" s="39" t="str">
        <f>データ!Q95</f>
        <v>高確率で遠属性のユニットを復帰</v>
      </c>
      <c r="AV95" s="10" t="s">
        <v>1024</v>
      </c>
      <c r="AW95" s="40" t="s">
        <v>1324</v>
      </c>
      <c r="AX95" s="39" t="str">
        <f>データ!R95</f>
        <v>-</v>
      </c>
      <c r="AY95" s="10" t="s">
        <v>1113</v>
      </c>
      <c r="AZ95" s="39" t="str">
        <f>データ!S95</f>
        <v>　</v>
      </c>
      <c r="BA95" s="41" t="s">
        <v>1024</v>
      </c>
      <c r="BB95" s="40" t="s">
        <v>1319</v>
      </c>
      <c r="BC95" s="39" t="str">
        <f>データ!T95</f>
        <v>-</v>
      </c>
      <c r="BD95" s="41" t="s">
        <v>1024</v>
      </c>
      <c r="BE95" s="40" t="s">
        <v>1320</v>
      </c>
      <c r="BF95" s="39" t="str">
        <f>データ!U95</f>
        <v>-</v>
      </c>
      <c r="BG95" s="41" t="s">
        <v>1024</v>
      </c>
      <c r="BH95" s="40" t="s">
        <v>1319</v>
      </c>
      <c r="BI95" s="39" t="str">
        <f>データ!V95</f>
        <v>ポーカー</v>
      </c>
      <c r="BJ95" s="41" t="s">
        <v>1024</v>
      </c>
      <c r="BK95" s="10" t="s">
        <v>1019</v>
      </c>
    </row>
    <row r="96" spans="1:63" x14ac:dyDescent="0.15">
      <c r="A96" s="10" t="s">
        <v>1016</v>
      </c>
      <c r="B96" s="10" t="s">
        <v>1454</v>
      </c>
      <c r="C96" s="38" t="str">
        <f>"./images/thumbnail/"&amp;データ!B96&amp;".jpg"</f>
        <v>./images/thumbnail/1138.jpg</v>
      </c>
      <c r="D96" s="38" t="s">
        <v>1455</v>
      </c>
      <c r="E96" s="38" t="str">
        <f>"./images/thumbnail/"&amp;データ!B96&amp;".jpg"</f>
        <v>./images/thumbnail/1138.jpg</v>
      </c>
      <c r="F96" s="38" t="s">
        <v>1116</v>
      </c>
      <c r="G96" s="38" t="s">
        <v>1319</v>
      </c>
      <c r="H96" s="38" t="str">
        <f>データ!C96</f>
        <v>ロッテ</v>
      </c>
      <c r="I96" s="38" t="s">
        <v>1024</v>
      </c>
      <c r="J96" s="38" t="s">
        <v>1320</v>
      </c>
      <c r="K96" s="38" t="str">
        <f>データ!D96</f>
        <v>SSR</v>
      </c>
      <c r="L96" s="38" t="s">
        <v>1024</v>
      </c>
      <c r="M96" s="38" t="s">
        <v>1321</v>
      </c>
      <c r="N96" s="38">
        <f>データ!E96</f>
        <v>12</v>
      </c>
      <c r="O96" s="38" t="s">
        <v>1024</v>
      </c>
      <c r="P96" s="38" t="s">
        <v>1319</v>
      </c>
      <c r="Q96" s="38" t="str">
        <f>データ!F96</f>
        <v>斬</v>
      </c>
      <c r="R96" s="38" t="s">
        <v>1024</v>
      </c>
      <c r="S96" s="38" t="s">
        <v>1319</v>
      </c>
      <c r="T96" s="39">
        <f>データ!G96</f>
        <v>13694</v>
      </c>
      <c r="U96" s="40" t="s">
        <v>1024</v>
      </c>
      <c r="V96" s="40" t="s">
        <v>1319</v>
      </c>
      <c r="W96" s="39">
        <f>データ!H96</f>
        <v>6665</v>
      </c>
      <c r="X96" s="40" t="s">
        <v>1024</v>
      </c>
      <c r="Y96" s="40" t="s">
        <v>1319</v>
      </c>
      <c r="Z96" s="39">
        <f>データ!I96</f>
        <v>4757</v>
      </c>
      <c r="AA96" s="40" t="s">
        <v>1024</v>
      </c>
      <c r="AB96" s="40" t="s">
        <v>1322</v>
      </c>
      <c r="AC96" s="39" t="str">
        <f>データ!J96</f>
        <v>S+</v>
      </c>
      <c r="AD96" s="38" t="s">
        <v>1024</v>
      </c>
      <c r="AE96" s="40" t="s">
        <v>1323</v>
      </c>
      <c r="AF96" s="39">
        <f>データ!K96</f>
        <v>25116</v>
      </c>
      <c r="AG96" s="40" t="s">
        <v>1024</v>
      </c>
      <c r="AH96" s="40" t="s">
        <v>1324</v>
      </c>
      <c r="AI96" s="39" t="str">
        <f>データ!L96</f>
        <v>猛毒の言霊／絶</v>
      </c>
      <c r="AJ96" s="10" t="s">
        <v>1113</v>
      </c>
      <c r="AK96" s="39" t="str">
        <f>データ!M96</f>
        <v>一定確率で敵を猛毒状態にする[高確率]</v>
      </c>
      <c r="AL96" s="10" t="s">
        <v>1024</v>
      </c>
      <c r="AM96" s="40" t="s">
        <v>1325</v>
      </c>
      <c r="AN96" s="39" t="str">
        <f>データ!N96</f>
        <v>-</v>
      </c>
      <c r="AO96" s="10" t="s">
        <v>1113</v>
      </c>
      <c r="AP96" s="39" t="str">
        <f>データ!O96</f>
        <v>　</v>
      </c>
      <c r="AQ96" s="41" t="s">
        <v>1024</v>
      </c>
      <c r="AR96" s="40" t="s">
        <v>1324</v>
      </c>
      <c r="AS96" s="39" t="str">
        <f>データ!P96</f>
        <v>ヒール／真斬紅</v>
      </c>
      <c r="AT96" s="10" t="s">
        <v>1113</v>
      </c>
      <c r="AU96" s="39" t="str">
        <f>データ!Q96</f>
        <v>斬属性の生存ユニットのHPを高確率で全回復</v>
      </c>
      <c r="AV96" s="10" t="s">
        <v>1024</v>
      </c>
      <c r="AW96" s="40" t="s">
        <v>1324</v>
      </c>
      <c r="AX96" s="39" t="str">
        <f>データ!R96</f>
        <v>-</v>
      </c>
      <c r="AY96" s="10" t="s">
        <v>1113</v>
      </c>
      <c r="AZ96" s="39" t="str">
        <f>データ!S96</f>
        <v>　</v>
      </c>
      <c r="BA96" s="41" t="s">
        <v>1024</v>
      </c>
      <c r="BB96" s="40" t="s">
        <v>1319</v>
      </c>
      <c r="BC96" s="39" t="str">
        <f>データ!T96</f>
        <v>-</v>
      </c>
      <c r="BD96" s="41" t="s">
        <v>1024</v>
      </c>
      <c r="BE96" s="40" t="s">
        <v>1320</v>
      </c>
      <c r="BF96" s="39" t="str">
        <f>データ!U96</f>
        <v>-</v>
      </c>
      <c r="BG96" s="41" t="s">
        <v>1024</v>
      </c>
      <c r="BH96" s="40" t="s">
        <v>1319</v>
      </c>
      <c r="BI96" s="39" t="str">
        <f>データ!V96</f>
        <v>常設</v>
      </c>
      <c r="BJ96" s="41" t="s">
        <v>1024</v>
      </c>
      <c r="BK96" s="10" t="s">
        <v>1019</v>
      </c>
    </row>
    <row r="97" spans="1:63" x14ac:dyDescent="0.15">
      <c r="A97" s="10" t="s">
        <v>1016</v>
      </c>
      <c r="B97" s="10" t="s">
        <v>1454</v>
      </c>
      <c r="C97" s="38" t="str">
        <f>"./images/thumbnail/"&amp;データ!B97&amp;".jpg"</f>
        <v>./images/thumbnail/1140.jpg</v>
      </c>
      <c r="D97" s="38" t="s">
        <v>1455</v>
      </c>
      <c r="E97" s="38" t="str">
        <f>"./images/thumbnail/"&amp;データ!B97&amp;".jpg"</f>
        <v>./images/thumbnail/1140.jpg</v>
      </c>
      <c r="F97" s="38" t="s">
        <v>1116</v>
      </c>
      <c r="G97" s="38" t="s">
        <v>1319</v>
      </c>
      <c r="H97" s="38" t="str">
        <f>データ!C97</f>
        <v>シグマ</v>
      </c>
      <c r="I97" s="38" t="s">
        <v>1024</v>
      </c>
      <c r="J97" s="38" t="s">
        <v>1320</v>
      </c>
      <c r="K97" s="38" t="str">
        <f>データ!D97</f>
        <v>SSR</v>
      </c>
      <c r="L97" s="38" t="s">
        <v>1024</v>
      </c>
      <c r="M97" s="38" t="s">
        <v>1321</v>
      </c>
      <c r="N97" s="38">
        <f>データ!E97</f>
        <v>12</v>
      </c>
      <c r="O97" s="38" t="s">
        <v>1024</v>
      </c>
      <c r="P97" s="38" t="s">
        <v>1319</v>
      </c>
      <c r="Q97" s="38" t="str">
        <f>データ!F97</f>
        <v>突</v>
      </c>
      <c r="R97" s="38" t="s">
        <v>1024</v>
      </c>
      <c r="S97" s="38" t="s">
        <v>1319</v>
      </c>
      <c r="T97" s="39">
        <f>データ!G97</f>
        <v>15406</v>
      </c>
      <c r="U97" s="40" t="s">
        <v>1024</v>
      </c>
      <c r="V97" s="40" t="s">
        <v>1319</v>
      </c>
      <c r="W97" s="39">
        <f>データ!H97</f>
        <v>4853</v>
      </c>
      <c r="X97" s="40" t="s">
        <v>1024</v>
      </c>
      <c r="Y97" s="40" t="s">
        <v>1319</v>
      </c>
      <c r="Z97" s="39">
        <f>データ!I97</f>
        <v>5392</v>
      </c>
      <c r="AA97" s="40" t="s">
        <v>1024</v>
      </c>
      <c r="AB97" s="40" t="s">
        <v>1322</v>
      </c>
      <c r="AC97" s="39" t="str">
        <f>データ!J97</f>
        <v>SS1</v>
      </c>
      <c r="AD97" s="38" t="s">
        <v>1024</v>
      </c>
      <c r="AE97" s="40" t="s">
        <v>1323</v>
      </c>
      <c r="AF97" s="39">
        <f>データ!K97</f>
        <v>25651</v>
      </c>
      <c r="AG97" s="40" t="s">
        <v>1024</v>
      </c>
      <c r="AH97" s="40" t="s">
        <v>1324</v>
      </c>
      <c r="AI97" s="39" t="str">
        <f>データ!L97</f>
        <v>狂化の冥呪</v>
      </c>
      <c r="AJ97" s="10" t="s">
        <v>1113</v>
      </c>
      <c r="AK97" s="39" t="str">
        <f>データ!M97</f>
        <v>防御力を極大DOWNし、攻撃力を極大UP</v>
      </c>
      <c r="AL97" s="10" t="s">
        <v>1024</v>
      </c>
      <c r="AM97" s="40" t="s">
        <v>1325</v>
      </c>
      <c r="AN97" s="39" t="str">
        <f>データ!N97</f>
        <v>-</v>
      </c>
      <c r="AO97" s="10" t="s">
        <v>1113</v>
      </c>
      <c r="AP97" s="39" t="str">
        <f>データ!O97</f>
        <v>　</v>
      </c>
      <c r="AQ97" s="41" t="s">
        <v>1024</v>
      </c>
      <c r="AR97" s="40" t="s">
        <v>1324</v>
      </c>
      <c r="AS97" s="39" t="str">
        <f>データ!P97</f>
        <v>ポイントライズ／真</v>
      </c>
      <c r="AT97" s="10" t="s">
        <v>1113</v>
      </c>
      <c r="AU97" s="39" t="str">
        <f>データ!Q97</f>
        <v>獲得する騎士団戦スコアが中アップ(バトル3回)</v>
      </c>
      <c r="AV97" s="10" t="s">
        <v>1024</v>
      </c>
      <c r="AW97" s="40" t="s">
        <v>1324</v>
      </c>
      <c r="AX97" s="39" t="str">
        <f>データ!R97</f>
        <v>-</v>
      </c>
      <c r="AY97" s="10" t="s">
        <v>1113</v>
      </c>
      <c r="AZ97" s="39" t="str">
        <f>データ!S97</f>
        <v>　</v>
      </c>
      <c r="BA97" s="41" t="s">
        <v>1024</v>
      </c>
      <c r="BB97" s="40" t="s">
        <v>1319</v>
      </c>
      <c r="BC97" s="39" t="str">
        <f>データ!T97</f>
        <v>-</v>
      </c>
      <c r="BD97" s="41" t="s">
        <v>1024</v>
      </c>
      <c r="BE97" s="40" t="s">
        <v>1320</v>
      </c>
      <c r="BF97" s="39" t="str">
        <f>データ!U97</f>
        <v>-</v>
      </c>
      <c r="BG97" s="41" t="s">
        <v>1024</v>
      </c>
      <c r="BH97" s="40" t="s">
        <v>1319</v>
      </c>
      <c r="BI97" s="39" t="str">
        <f>データ!V97</f>
        <v>常設</v>
      </c>
      <c r="BJ97" s="41" t="s">
        <v>1024</v>
      </c>
      <c r="BK97" s="10" t="s">
        <v>1019</v>
      </c>
    </row>
    <row r="98" spans="1:63" x14ac:dyDescent="0.15">
      <c r="A98" s="10" t="s">
        <v>1016</v>
      </c>
      <c r="B98" s="10" t="s">
        <v>1454</v>
      </c>
      <c r="C98" s="38" t="str">
        <f>"./images/thumbnail/"&amp;データ!B98&amp;".jpg"</f>
        <v>./images/thumbnail/1142.jpg</v>
      </c>
      <c r="D98" s="38" t="s">
        <v>1455</v>
      </c>
      <c r="E98" s="38" t="str">
        <f>"./images/thumbnail/"&amp;データ!B98&amp;".jpg"</f>
        <v>./images/thumbnail/1142.jpg</v>
      </c>
      <c r="F98" s="38" t="s">
        <v>1116</v>
      </c>
      <c r="G98" s="38" t="s">
        <v>1319</v>
      </c>
      <c r="H98" s="38" t="str">
        <f>データ!C98</f>
        <v>アデル</v>
      </c>
      <c r="I98" s="38" t="s">
        <v>1024</v>
      </c>
      <c r="J98" s="38" t="s">
        <v>1320</v>
      </c>
      <c r="K98" s="38" t="str">
        <f>データ!D98</f>
        <v>SSR</v>
      </c>
      <c r="L98" s="38" t="s">
        <v>1024</v>
      </c>
      <c r="M98" s="38" t="s">
        <v>1321</v>
      </c>
      <c r="N98" s="38">
        <f>データ!E98</f>
        <v>12</v>
      </c>
      <c r="O98" s="38" t="s">
        <v>1024</v>
      </c>
      <c r="P98" s="38" t="s">
        <v>1319</v>
      </c>
      <c r="Q98" s="38" t="str">
        <f>データ!F98</f>
        <v>打</v>
      </c>
      <c r="R98" s="38" t="s">
        <v>1024</v>
      </c>
      <c r="S98" s="38" t="s">
        <v>1319</v>
      </c>
      <c r="T98" s="39">
        <f>データ!G98</f>
        <v>19040</v>
      </c>
      <c r="U98" s="40" t="s">
        <v>1024</v>
      </c>
      <c r="V98" s="40" t="s">
        <v>1319</v>
      </c>
      <c r="W98" s="39">
        <f>データ!H98</f>
        <v>5587</v>
      </c>
      <c r="X98" s="40" t="s">
        <v>1024</v>
      </c>
      <c r="Y98" s="40" t="s">
        <v>1319</v>
      </c>
      <c r="Z98" s="39">
        <f>データ!I98</f>
        <v>5920</v>
      </c>
      <c r="AA98" s="40" t="s">
        <v>1024</v>
      </c>
      <c r="AB98" s="40" t="s">
        <v>1322</v>
      </c>
      <c r="AC98" s="39" t="str">
        <f>データ!J98</f>
        <v>A-</v>
      </c>
      <c r="AD98" s="38" t="s">
        <v>1024</v>
      </c>
      <c r="AE98" s="40" t="s">
        <v>1323</v>
      </c>
      <c r="AF98" s="39">
        <f>データ!K98</f>
        <v>30547</v>
      </c>
      <c r="AG98" s="40" t="s">
        <v>1024</v>
      </c>
      <c r="AH98" s="40" t="s">
        <v>1324</v>
      </c>
      <c r="AI98" s="39" t="str">
        <f>データ!L98</f>
        <v>魔幻の閃光／絶</v>
      </c>
      <c r="AJ98" s="10" t="s">
        <v>1113</v>
      </c>
      <c r="AK98" s="39" t="str">
        <f>データ!M98</f>
        <v>縦一列に攻撃[大]</v>
      </c>
      <c r="AL98" s="38" t="s">
        <v>1024</v>
      </c>
      <c r="AM98" s="40" t="s">
        <v>1325</v>
      </c>
      <c r="AN98" s="39" t="str">
        <f>データ!N98</f>
        <v>-</v>
      </c>
      <c r="AO98" s="10" t="s">
        <v>1113</v>
      </c>
      <c r="AP98" s="39" t="str">
        <f>データ!O98</f>
        <v>　</v>
      </c>
      <c r="AQ98" s="41" t="s">
        <v>1024</v>
      </c>
      <c r="AR98" s="40" t="s">
        <v>1324</v>
      </c>
      <c r="AS98" s="39" t="str">
        <f>データ!P98</f>
        <v>ジャガーノート／真</v>
      </c>
      <c r="AT98" s="10" t="s">
        <v>1113</v>
      </c>
      <c r="AU98" s="39" t="str">
        <f>データ!Q98</f>
        <v>バトルで敵を全滅するとBPが中回復(バトル3回)</v>
      </c>
      <c r="AV98" s="10" t="s">
        <v>1024</v>
      </c>
      <c r="AW98" s="40" t="s">
        <v>1324</v>
      </c>
      <c r="AX98" s="39" t="str">
        <f>データ!R98</f>
        <v>-</v>
      </c>
      <c r="AY98" s="10" t="s">
        <v>1113</v>
      </c>
      <c r="AZ98" s="39" t="str">
        <f>データ!S98</f>
        <v>　</v>
      </c>
      <c r="BA98" s="41" t="s">
        <v>1024</v>
      </c>
      <c r="BB98" s="40" t="s">
        <v>1319</v>
      </c>
      <c r="BC98" s="39" t="str">
        <f>データ!T98</f>
        <v>-</v>
      </c>
      <c r="BD98" s="41" t="s">
        <v>1024</v>
      </c>
      <c r="BE98" s="40" t="s">
        <v>1320</v>
      </c>
      <c r="BF98" s="39" t="str">
        <f>データ!U98</f>
        <v>-</v>
      </c>
      <c r="BG98" s="41" t="s">
        <v>1024</v>
      </c>
      <c r="BH98" s="40" t="s">
        <v>1319</v>
      </c>
      <c r="BI98" s="39" t="str">
        <f>データ!V98</f>
        <v>常設</v>
      </c>
      <c r="BJ98" s="41" t="s">
        <v>1024</v>
      </c>
      <c r="BK98" s="10" t="s">
        <v>1019</v>
      </c>
    </row>
    <row r="99" spans="1:63" x14ac:dyDescent="0.15">
      <c r="A99" s="10" t="s">
        <v>1016</v>
      </c>
      <c r="B99" s="10" t="s">
        <v>1454</v>
      </c>
      <c r="C99" s="38" t="str">
        <f>"./images/thumbnail/"&amp;データ!B99&amp;".jpg"</f>
        <v>./images/thumbnail/1144.jpg</v>
      </c>
      <c r="D99" s="38" t="s">
        <v>1455</v>
      </c>
      <c r="E99" s="38" t="str">
        <f>"./images/thumbnail/"&amp;データ!B99&amp;".jpg"</f>
        <v>./images/thumbnail/1144.jpg</v>
      </c>
      <c r="F99" s="38" t="s">
        <v>1116</v>
      </c>
      <c r="G99" s="38" t="s">
        <v>1319</v>
      </c>
      <c r="H99" s="38" t="str">
        <f>データ!C99</f>
        <v>セシル</v>
      </c>
      <c r="I99" s="38" t="s">
        <v>1024</v>
      </c>
      <c r="J99" s="38" t="s">
        <v>1320</v>
      </c>
      <c r="K99" s="38" t="str">
        <f>データ!D99</f>
        <v>SSR</v>
      </c>
      <c r="L99" s="38" t="s">
        <v>1024</v>
      </c>
      <c r="M99" s="38" t="s">
        <v>1321</v>
      </c>
      <c r="N99" s="38">
        <f>データ!E99</f>
        <v>12</v>
      </c>
      <c r="O99" s="38" t="s">
        <v>1024</v>
      </c>
      <c r="P99" s="38" t="s">
        <v>1319</v>
      </c>
      <c r="Q99" s="38" t="str">
        <f>データ!F99</f>
        <v>遠</v>
      </c>
      <c r="R99" s="38" t="s">
        <v>1024</v>
      </c>
      <c r="S99" s="38" t="s">
        <v>1319</v>
      </c>
      <c r="T99" s="39">
        <f>データ!G99</f>
        <v>16477</v>
      </c>
      <c r="U99" s="40" t="s">
        <v>1024</v>
      </c>
      <c r="V99" s="40" t="s">
        <v>1319</v>
      </c>
      <c r="W99" s="39">
        <f>データ!H99</f>
        <v>5006</v>
      </c>
      <c r="X99" s="40" t="s">
        <v>1024</v>
      </c>
      <c r="Y99" s="40" t="s">
        <v>1319</v>
      </c>
      <c r="Z99" s="39">
        <f>データ!I99</f>
        <v>4912</v>
      </c>
      <c r="AA99" s="40" t="s">
        <v>1024</v>
      </c>
      <c r="AB99" s="40" t="s">
        <v>1322</v>
      </c>
      <c r="AC99" s="39" t="str">
        <f>データ!J99</f>
        <v>S-</v>
      </c>
      <c r="AD99" s="38" t="s">
        <v>1024</v>
      </c>
      <c r="AE99" s="40" t="s">
        <v>1323</v>
      </c>
      <c r="AF99" s="39">
        <f>データ!K99</f>
        <v>26395</v>
      </c>
      <c r="AG99" s="40" t="s">
        <v>1024</v>
      </c>
      <c r="AH99" s="40" t="s">
        <v>1324</v>
      </c>
      <c r="AI99" s="39" t="str">
        <f>データ!L99</f>
        <v>遠翠の覇道</v>
      </c>
      <c r="AJ99" s="10" t="s">
        <v>1113</v>
      </c>
      <c r="AK99" s="39" t="str">
        <f>データ!M99</f>
        <v>味方遠属性の攻撃力をUP[大]</v>
      </c>
      <c r="AL99" s="10" t="s">
        <v>1024</v>
      </c>
      <c r="AM99" s="40" t="s">
        <v>1325</v>
      </c>
      <c r="AN99" s="39" t="str">
        <f>データ!N99</f>
        <v>-</v>
      </c>
      <c r="AO99" s="10" t="s">
        <v>1113</v>
      </c>
      <c r="AP99" s="39" t="str">
        <f>データ!O99</f>
        <v>　</v>
      </c>
      <c r="AQ99" s="41" t="s">
        <v>1024</v>
      </c>
      <c r="AR99" s="40" t="s">
        <v>1324</v>
      </c>
      <c r="AS99" s="39" t="str">
        <f>データ!P99</f>
        <v>リザレクション／真</v>
      </c>
      <c r="AT99" s="10" t="s">
        <v>1113</v>
      </c>
      <c r="AU99" s="39" t="str">
        <f>データ!Q99</f>
        <v>中確率でパーティ全員を復帰(全滅時のみ使用可)</v>
      </c>
      <c r="AV99" s="10" t="s">
        <v>1024</v>
      </c>
      <c r="AW99" s="40" t="s">
        <v>1324</v>
      </c>
      <c r="AX99" s="39" t="str">
        <f>データ!R99</f>
        <v>-</v>
      </c>
      <c r="AY99" s="10" t="s">
        <v>1113</v>
      </c>
      <c r="AZ99" s="39" t="str">
        <f>データ!S99</f>
        <v>　</v>
      </c>
      <c r="BA99" s="41" t="s">
        <v>1024</v>
      </c>
      <c r="BB99" s="40" t="s">
        <v>1319</v>
      </c>
      <c r="BC99" s="39" t="str">
        <f>データ!T99</f>
        <v>-</v>
      </c>
      <c r="BD99" s="41" t="s">
        <v>1024</v>
      </c>
      <c r="BE99" s="40" t="s">
        <v>1320</v>
      </c>
      <c r="BF99" s="39" t="str">
        <f>データ!U99</f>
        <v>-</v>
      </c>
      <c r="BG99" s="41" t="s">
        <v>1024</v>
      </c>
      <c r="BH99" s="40" t="s">
        <v>1319</v>
      </c>
      <c r="BI99" s="39" t="str">
        <f>データ!V99</f>
        <v>常設</v>
      </c>
      <c r="BJ99" s="41" t="s">
        <v>1024</v>
      </c>
      <c r="BK99" s="10" t="s">
        <v>1019</v>
      </c>
    </row>
    <row r="100" spans="1:63" x14ac:dyDescent="0.15">
      <c r="A100" s="10" t="s">
        <v>1016</v>
      </c>
      <c r="B100" s="10" t="s">
        <v>1454</v>
      </c>
      <c r="C100" s="38" t="str">
        <f>"./images/thumbnail/"&amp;データ!B100&amp;".jpg"</f>
        <v>./images/thumbnail/1146.jpg</v>
      </c>
      <c r="D100" s="38" t="s">
        <v>1455</v>
      </c>
      <c r="E100" s="38" t="str">
        <f>"./images/thumbnail/"&amp;データ!B100&amp;".jpg"</f>
        <v>./images/thumbnail/1146.jpg</v>
      </c>
      <c r="F100" s="38" t="s">
        <v>1116</v>
      </c>
      <c r="G100" s="38" t="s">
        <v>1319</v>
      </c>
      <c r="H100" s="38" t="str">
        <f>データ!C100</f>
        <v>メイリン</v>
      </c>
      <c r="I100" s="38" t="s">
        <v>1024</v>
      </c>
      <c r="J100" s="38" t="s">
        <v>1320</v>
      </c>
      <c r="K100" s="38" t="str">
        <f>データ!D100</f>
        <v>SSR</v>
      </c>
      <c r="L100" s="38" t="s">
        <v>1024</v>
      </c>
      <c r="M100" s="38" t="s">
        <v>1321</v>
      </c>
      <c r="N100" s="38">
        <f>データ!E100</f>
        <v>12</v>
      </c>
      <c r="O100" s="38" t="s">
        <v>1024</v>
      </c>
      <c r="P100" s="38" t="s">
        <v>1319</v>
      </c>
      <c r="Q100" s="38" t="str">
        <f>データ!F100</f>
        <v>打</v>
      </c>
      <c r="R100" s="38" t="s">
        <v>1024</v>
      </c>
      <c r="S100" s="38" t="s">
        <v>1319</v>
      </c>
      <c r="T100" s="39">
        <f>データ!G100</f>
        <v>17115</v>
      </c>
      <c r="U100" s="40" t="s">
        <v>1024</v>
      </c>
      <c r="V100" s="40" t="s">
        <v>1319</v>
      </c>
      <c r="W100" s="39">
        <f>データ!H100</f>
        <v>5370</v>
      </c>
      <c r="X100" s="40" t="s">
        <v>1024</v>
      </c>
      <c r="Y100" s="40" t="s">
        <v>1319</v>
      </c>
      <c r="Z100" s="39">
        <f>データ!I100</f>
        <v>6115</v>
      </c>
      <c r="AA100" s="40" t="s">
        <v>1024</v>
      </c>
      <c r="AB100" s="40" t="s">
        <v>1322</v>
      </c>
      <c r="AC100" s="39" t="str">
        <f>データ!J100</f>
        <v>S-</v>
      </c>
      <c r="AD100" s="38" t="s">
        <v>1024</v>
      </c>
      <c r="AE100" s="40" t="s">
        <v>1323</v>
      </c>
      <c r="AF100" s="39">
        <f>データ!K100</f>
        <v>28600</v>
      </c>
      <c r="AG100" s="40" t="s">
        <v>1024</v>
      </c>
      <c r="AH100" s="40" t="s">
        <v>1324</v>
      </c>
      <c r="AI100" s="39" t="str">
        <f>データ!L100</f>
        <v xml:space="preserve">紫打の叡智 </v>
      </c>
      <c r="AJ100" s="10" t="s">
        <v>1113</v>
      </c>
      <c r="AK100" s="39" t="str">
        <f>データ!M100</f>
        <v>味方打属性の攻撃力と防御力をUP[中]</v>
      </c>
      <c r="AL100" s="10" t="s">
        <v>1024</v>
      </c>
      <c r="AM100" s="40" t="s">
        <v>1325</v>
      </c>
      <c r="AN100" s="39" t="str">
        <f>データ!N100</f>
        <v>-</v>
      </c>
      <c r="AO100" s="10" t="s">
        <v>1113</v>
      </c>
      <c r="AP100" s="39" t="str">
        <f>データ!O100</f>
        <v>　</v>
      </c>
      <c r="AQ100" s="41" t="s">
        <v>1024</v>
      </c>
      <c r="AR100" s="40" t="s">
        <v>1324</v>
      </c>
      <c r="AS100" s="39" t="str">
        <f>データ!P100</f>
        <v>ヒール／真紫打</v>
      </c>
      <c r="AT100" s="10" t="s">
        <v>1113</v>
      </c>
      <c r="AU100" s="39" t="str">
        <f>データ!Q100</f>
        <v>打属性の生存ユニットのHPを高確率で全回復</v>
      </c>
      <c r="AV100" s="10" t="s">
        <v>1024</v>
      </c>
      <c r="AW100" s="40" t="s">
        <v>1324</v>
      </c>
      <c r="AX100" s="39" t="str">
        <f>データ!R100</f>
        <v>-</v>
      </c>
      <c r="AY100" s="10" t="s">
        <v>1113</v>
      </c>
      <c r="AZ100" s="39" t="str">
        <f>データ!S100</f>
        <v>　</v>
      </c>
      <c r="BA100" s="41" t="s">
        <v>1024</v>
      </c>
      <c r="BB100" s="40" t="s">
        <v>1319</v>
      </c>
      <c r="BC100" s="39" t="str">
        <f>データ!T100</f>
        <v>-</v>
      </c>
      <c r="BD100" s="41" t="s">
        <v>1024</v>
      </c>
      <c r="BE100" s="40" t="s">
        <v>1320</v>
      </c>
      <c r="BF100" s="39" t="str">
        <f>データ!U100</f>
        <v>-</v>
      </c>
      <c r="BG100" s="41" t="s">
        <v>1024</v>
      </c>
      <c r="BH100" s="40" t="s">
        <v>1319</v>
      </c>
      <c r="BI100" s="39" t="str">
        <f>データ!V100</f>
        <v>メダル</v>
      </c>
      <c r="BJ100" s="41" t="s">
        <v>1024</v>
      </c>
      <c r="BK100" s="10" t="s">
        <v>1019</v>
      </c>
    </row>
    <row r="101" spans="1:63" x14ac:dyDescent="0.15">
      <c r="A101" s="10" t="s">
        <v>1016</v>
      </c>
      <c r="B101" s="10" t="s">
        <v>1454</v>
      </c>
      <c r="C101" s="38" t="str">
        <f>"./images/thumbnail/"&amp;データ!B101&amp;".jpg"</f>
        <v>./images/thumbnail/1149.jpg</v>
      </c>
      <c r="D101" s="38" t="s">
        <v>1455</v>
      </c>
      <c r="E101" s="38" t="str">
        <f>"./images/thumbnail/"&amp;データ!B101&amp;".jpg"</f>
        <v>./images/thumbnail/1149.jpg</v>
      </c>
      <c r="F101" s="38" t="s">
        <v>1116</v>
      </c>
      <c r="G101" s="38" t="s">
        <v>1319</v>
      </c>
      <c r="H101" s="38" t="str">
        <f>データ!C101</f>
        <v>マリユス</v>
      </c>
      <c r="I101" s="38" t="s">
        <v>1024</v>
      </c>
      <c r="J101" s="38" t="s">
        <v>1320</v>
      </c>
      <c r="K101" s="38" t="str">
        <f>データ!D101</f>
        <v>SSR</v>
      </c>
      <c r="L101" s="38" t="s">
        <v>1024</v>
      </c>
      <c r="M101" s="38" t="s">
        <v>1321</v>
      </c>
      <c r="N101" s="38">
        <f>データ!E101</f>
        <v>12</v>
      </c>
      <c r="O101" s="38" t="s">
        <v>1024</v>
      </c>
      <c r="P101" s="38" t="s">
        <v>1319</v>
      </c>
      <c r="Q101" s="38" t="str">
        <f>データ!F101</f>
        <v>斬</v>
      </c>
      <c r="R101" s="38" t="s">
        <v>1024</v>
      </c>
      <c r="S101" s="38" t="s">
        <v>1319</v>
      </c>
      <c r="T101" s="39">
        <f>データ!G101</f>
        <v>13263</v>
      </c>
      <c r="U101" s="40" t="s">
        <v>1024</v>
      </c>
      <c r="V101" s="40" t="s">
        <v>1319</v>
      </c>
      <c r="W101" s="39">
        <f>データ!H101</f>
        <v>7003</v>
      </c>
      <c r="X101" s="40" t="s">
        <v>1024</v>
      </c>
      <c r="Y101" s="40" t="s">
        <v>1319</v>
      </c>
      <c r="Z101" s="39">
        <f>データ!I101</f>
        <v>5236</v>
      </c>
      <c r="AA101" s="40" t="s">
        <v>1024</v>
      </c>
      <c r="AB101" s="40" t="s">
        <v>1322</v>
      </c>
      <c r="AC101" s="39" t="str">
        <f>データ!J101</f>
        <v>A+</v>
      </c>
      <c r="AD101" s="38" t="s">
        <v>1024</v>
      </c>
      <c r="AE101" s="40" t="s">
        <v>1323</v>
      </c>
      <c r="AF101" s="39">
        <f>データ!K101</f>
        <v>25502</v>
      </c>
      <c r="AG101" s="40" t="s">
        <v>1024</v>
      </c>
      <c r="AH101" s="40" t="s">
        <v>1324</v>
      </c>
      <c r="AI101" s="39" t="str">
        <f>データ!L101</f>
        <v>幻氷の縦十字／絶</v>
      </c>
      <c r="AJ101" s="10" t="s">
        <v>1113</v>
      </c>
      <c r="AK101" s="39" t="str">
        <f>データ!M101</f>
        <v>十字型に攻撃[大]</v>
      </c>
      <c r="AL101" s="10" t="s">
        <v>1024</v>
      </c>
      <c r="AM101" s="40" t="s">
        <v>1325</v>
      </c>
      <c r="AN101" s="39" t="str">
        <f>データ!N101</f>
        <v>-</v>
      </c>
      <c r="AO101" s="10" t="s">
        <v>1113</v>
      </c>
      <c r="AP101" s="39" t="str">
        <f>データ!O101</f>
        <v>　</v>
      </c>
      <c r="AQ101" s="41" t="s">
        <v>1024</v>
      </c>
      <c r="AR101" s="40" t="s">
        <v>1324</v>
      </c>
      <c r="AS101" s="39" t="str">
        <f>データ!P101</f>
        <v>エース／真</v>
      </c>
      <c r="AT101" s="10" t="s">
        <v>1113</v>
      </c>
      <c r="AU101" s="39" t="str">
        <f>データ!Q101</f>
        <v>パーティ全体の攻・防が中UP(3分間)</v>
      </c>
      <c r="AV101" s="10" t="s">
        <v>1024</v>
      </c>
      <c r="AW101" s="40" t="s">
        <v>1324</v>
      </c>
      <c r="AX101" s="39" t="str">
        <f>データ!R101</f>
        <v>-</v>
      </c>
      <c r="AY101" s="10" t="s">
        <v>1113</v>
      </c>
      <c r="AZ101" s="39" t="str">
        <f>データ!S101</f>
        <v>　</v>
      </c>
      <c r="BA101" s="41" t="s">
        <v>1024</v>
      </c>
      <c r="BB101" s="40" t="s">
        <v>1319</v>
      </c>
      <c r="BC101" s="39" t="str">
        <f>データ!T101</f>
        <v>-</v>
      </c>
      <c r="BD101" s="41" t="s">
        <v>1024</v>
      </c>
      <c r="BE101" s="40" t="s">
        <v>1320</v>
      </c>
      <c r="BF101" s="39" t="str">
        <f>データ!U101</f>
        <v>-</v>
      </c>
      <c r="BG101" s="41" t="s">
        <v>1024</v>
      </c>
      <c r="BH101" s="40" t="s">
        <v>1319</v>
      </c>
      <c r="BI101" s="39" t="str">
        <f>データ!V101</f>
        <v>第1回統一報酬</v>
      </c>
      <c r="BJ101" s="41" t="s">
        <v>1024</v>
      </c>
      <c r="BK101" s="10" t="s">
        <v>1019</v>
      </c>
    </row>
    <row r="102" spans="1:63" x14ac:dyDescent="0.15">
      <c r="A102" s="10" t="s">
        <v>1016</v>
      </c>
      <c r="B102" s="10" t="s">
        <v>1454</v>
      </c>
      <c r="C102" s="38" t="str">
        <f>"./images/thumbnail/"&amp;データ!B102&amp;".jpg"</f>
        <v>./images/thumbnail/1150.jpg</v>
      </c>
      <c r="D102" s="38" t="s">
        <v>1455</v>
      </c>
      <c r="E102" s="38" t="str">
        <f>"./images/thumbnail/"&amp;データ!B102&amp;".jpg"</f>
        <v>./images/thumbnail/1150.jpg</v>
      </c>
      <c r="F102" s="38" t="s">
        <v>1116</v>
      </c>
      <c r="G102" s="38" t="s">
        <v>1319</v>
      </c>
      <c r="H102" s="38" t="str">
        <f>データ!C102</f>
        <v>マリユス</v>
      </c>
      <c r="I102" s="38" t="s">
        <v>1024</v>
      </c>
      <c r="J102" s="38" t="s">
        <v>1320</v>
      </c>
      <c r="K102" s="38" t="str">
        <f>データ!D102</f>
        <v>SSR</v>
      </c>
      <c r="L102" s="38" t="s">
        <v>1024</v>
      </c>
      <c r="M102" s="38" t="s">
        <v>1321</v>
      </c>
      <c r="N102" s="38">
        <f>データ!E102</f>
        <v>13</v>
      </c>
      <c r="O102" s="38" t="s">
        <v>1024</v>
      </c>
      <c r="P102" s="38" t="s">
        <v>1319</v>
      </c>
      <c r="Q102" s="38" t="str">
        <f>データ!F102</f>
        <v>斬</v>
      </c>
      <c r="R102" s="38" t="s">
        <v>1024</v>
      </c>
      <c r="S102" s="38" t="s">
        <v>1319</v>
      </c>
      <c r="T102" s="39">
        <f>データ!G102</f>
        <v>13875</v>
      </c>
      <c r="U102" s="40" t="s">
        <v>1024</v>
      </c>
      <c r="V102" s="40" t="s">
        <v>1319</v>
      </c>
      <c r="W102" s="39">
        <f>データ!H102</f>
        <v>7331</v>
      </c>
      <c r="X102" s="40" t="s">
        <v>1024</v>
      </c>
      <c r="Y102" s="40" t="s">
        <v>1319</v>
      </c>
      <c r="Z102" s="39">
        <f>データ!I102</f>
        <v>5777</v>
      </c>
      <c r="AA102" s="40" t="s">
        <v>1024</v>
      </c>
      <c r="AB102" s="40" t="s">
        <v>1322</v>
      </c>
      <c r="AC102" s="39" t="str">
        <f>データ!J102</f>
        <v>A+</v>
      </c>
      <c r="AD102" s="38" t="s">
        <v>1024</v>
      </c>
      <c r="AE102" s="40" t="s">
        <v>1323</v>
      </c>
      <c r="AF102" s="39">
        <f>データ!K102</f>
        <v>26983</v>
      </c>
      <c r="AG102" s="40" t="s">
        <v>1024</v>
      </c>
      <c r="AH102" s="40" t="s">
        <v>1324</v>
      </c>
      <c r="AI102" s="39" t="str">
        <f>データ!L102</f>
        <v>幻氷の縦十字／絶</v>
      </c>
      <c r="AJ102" s="10" t="s">
        <v>1113</v>
      </c>
      <c r="AK102" s="39" t="str">
        <f>データ!M102</f>
        <v>十字型に攻撃[大]</v>
      </c>
      <c r="AL102" s="10" t="s">
        <v>1024</v>
      </c>
      <c r="AM102" s="40" t="s">
        <v>1325</v>
      </c>
      <c r="AN102" s="39" t="str">
        <f>データ!N102</f>
        <v>-</v>
      </c>
      <c r="AO102" s="10" t="s">
        <v>1113</v>
      </c>
      <c r="AP102" s="39" t="str">
        <f>データ!O102</f>
        <v>　</v>
      </c>
      <c r="AQ102" s="41" t="s">
        <v>1024</v>
      </c>
      <c r="AR102" s="40" t="s">
        <v>1324</v>
      </c>
      <c r="AS102" s="39" t="str">
        <f>データ!P102</f>
        <v>エース／真</v>
      </c>
      <c r="AT102" s="10" t="s">
        <v>1113</v>
      </c>
      <c r="AU102" s="39" t="str">
        <f>データ!Q102</f>
        <v>パーティ全体の攻・防が中UP(3分間)</v>
      </c>
      <c r="AV102" s="10" t="s">
        <v>1024</v>
      </c>
      <c r="AW102" s="40" t="s">
        <v>1324</v>
      </c>
      <c r="AX102" s="39" t="str">
        <f>データ!R102</f>
        <v>-</v>
      </c>
      <c r="AY102" s="10" t="s">
        <v>1113</v>
      </c>
      <c r="AZ102" s="39" t="str">
        <f>データ!S102</f>
        <v>　</v>
      </c>
      <c r="BA102" s="41" t="s">
        <v>1024</v>
      </c>
      <c r="BB102" s="40" t="s">
        <v>1319</v>
      </c>
      <c r="BC102" s="39" t="str">
        <f>データ!T102</f>
        <v>-</v>
      </c>
      <c r="BD102" s="41" t="s">
        <v>1024</v>
      </c>
      <c r="BE102" s="40" t="s">
        <v>1320</v>
      </c>
      <c r="BF102" s="39" t="str">
        <f>データ!U102</f>
        <v>-</v>
      </c>
      <c r="BG102" s="41" t="s">
        <v>1024</v>
      </c>
      <c r="BH102" s="40" t="s">
        <v>1319</v>
      </c>
      <c r="BI102" s="39" t="str">
        <f>データ!V102</f>
        <v>第1回統一報酬</v>
      </c>
      <c r="BJ102" s="41" t="s">
        <v>1024</v>
      </c>
      <c r="BK102" s="10" t="s">
        <v>1019</v>
      </c>
    </row>
    <row r="103" spans="1:63" x14ac:dyDescent="0.15">
      <c r="A103" s="10" t="s">
        <v>1016</v>
      </c>
      <c r="B103" s="10" t="s">
        <v>1454</v>
      </c>
      <c r="C103" s="38" t="str">
        <f>"./images/thumbnail/"&amp;データ!B103&amp;".jpg"</f>
        <v>./images/thumbnail/1151.jpg</v>
      </c>
      <c r="D103" s="38" t="s">
        <v>1455</v>
      </c>
      <c r="E103" s="38" t="str">
        <f>"./images/thumbnail/"&amp;データ!B103&amp;".jpg"</f>
        <v>./images/thumbnail/1151.jpg</v>
      </c>
      <c r="F103" s="38" t="s">
        <v>1116</v>
      </c>
      <c r="G103" s="38" t="s">
        <v>1319</v>
      </c>
      <c r="H103" s="38" t="str">
        <f>データ!C103</f>
        <v>ローズ</v>
      </c>
      <c r="I103" s="38" t="s">
        <v>1024</v>
      </c>
      <c r="J103" s="38" t="s">
        <v>1320</v>
      </c>
      <c r="K103" s="38" t="str">
        <f>データ!D103</f>
        <v>SSR</v>
      </c>
      <c r="L103" s="38" t="s">
        <v>1024</v>
      </c>
      <c r="M103" s="38" t="s">
        <v>1321</v>
      </c>
      <c r="N103" s="38">
        <f>データ!E103</f>
        <v>12</v>
      </c>
      <c r="O103" s="38" t="s">
        <v>1024</v>
      </c>
      <c r="P103" s="38" t="s">
        <v>1319</v>
      </c>
      <c r="Q103" s="38" t="str">
        <f>データ!F103</f>
        <v>遠</v>
      </c>
      <c r="R103" s="38" t="s">
        <v>1024</v>
      </c>
      <c r="S103" s="38" t="s">
        <v>1319</v>
      </c>
      <c r="T103" s="39">
        <f>データ!G103</f>
        <v>17646</v>
      </c>
      <c r="U103" s="40" t="s">
        <v>1024</v>
      </c>
      <c r="V103" s="40" t="s">
        <v>1319</v>
      </c>
      <c r="W103" s="39">
        <f>データ!H103</f>
        <v>5224</v>
      </c>
      <c r="X103" s="40" t="s">
        <v>1024</v>
      </c>
      <c r="Y103" s="40" t="s">
        <v>1319</v>
      </c>
      <c r="Z103" s="39">
        <f>データ!I103</f>
        <v>4417</v>
      </c>
      <c r="AA103" s="40" t="s">
        <v>1024</v>
      </c>
      <c r="AB103" s="40" t="s">
        <v>1322</v>
      </c>
      <c r="AC103" s="39" t="str">
        <f>データ!J103</f>
        <v>S-</v>
      </c>
      <c r="AD103" s="38" t="s">
        <v>1024</v>
      </c>
      <c r="AE103" s="40" t="s">
        <v>1323</v>
      </c>
      <c r="AF103" s="39">
        <f>データ!K103</f>
        <v>27287</v>
      </c>
      <c r="AG103" s="40" t="s">
        <v>1024</v>
      </c>
      <c r="AH103" s="40" t="s">
        <v>1324</v>
      </c>
      <c r="AI103" s="39" t="str">
        <f>データ!L103</f>
        <v xml:space="preserve">遠翠の叡智 </v>
      </c>
      <c r="AJ103" s="10" t="s">
        <v>1113</v>
      </c>
      <c r="AK103" s="39" t="str">
        <f>データ!M103</f>
        <v>味方遠属性の攻撃力と防御力をUP[中]</v>
      </c>
      <c r="AL103" s="10" t="s">
        <v>1024</v>
      </c>
      <c r="AM103" s="40" t="s">
        <v>1325</v>
      </c>
      <c r="AN103" s="39" t="str">
        <f>データ!N103</f>
        <v>-</v>
      </c>
      <c r="AO103" s="10" t="s">
        <v>1113</v>
      </c>
      <c r="AP103" s="39" t="str">
        <f>データ!O103</f>
        <v>　</v>
      </c>
      <c r="AQ103" s="41" t="s">
        <v>1024</v>
      </c>
      <c r="AR103" s="40" t="s">
        <v>1324</v>
      </c>
      <c r="AS103" s="39" t="str">
        <f>データ!P103</f>
        <v>リヴァイブ／真</v>
      </c>
      <c r="AT103" s="10" t="s">
        <v>1113</v>
      </c>
      <c r="AU103" s="39" t="str">
        <f>データ!Q103</f>
        <v>中確率で戦闘不能ユニットを復帰</v>
      </c>
      <c r="AV103" s="10" t="s">
        <v>1024</v>
      </c>
      <c r="AW103" s="40" t="s">
        <v>1324</v>
      </c>
      <c r="AX103" s="39" t="str">
        <f>データ!R103</f>
        <v>-</v>
      </c>
      <c r="AY103" s="10" t="s">
        <v>1113</v>
      </c>
      <c r="AZ103" s="39" t="str">
        <f>データ!S103</f>
        <v>　</v>
      </c>
      <c r="BA103" s="41" t="s">
        <v>1024</v>
      </c>
      <c r="BB103" s="40" t="s">
        <v>1319</v>
      </c>
      <c r="BC103" s="39" t="str">
        <f>データ!T103</f>
        <v>-</v>
      </c>
      <c r="BD103" s="41" t="s">
        <v>1024</v>
      </c>
      <c r="BE103" s="40" t="s">
        <v>1320</v>
      </c>
      <c r="BF103" s="39" t="str">
        <f>データ!U103</f>
        <v>-</v>
      </c>
      <c r="BG103" s="41" t="s">
        <v>1024</v>
      </c>
      <c r="BH103" s="40" t="s">
        <v>1319</v>
      </c>
      <c r="BI103" s="39" t="str">
        <f>データ!V103</f>
        <v>誓いイベ</v>
      </c>
      <c r="BJ103" s="41" t="s">
        <v>1024</v>
      </c>
      <c r="BK103" s="10" t="s">
        <v>1019</v>
      </c>
    </row>
    <row r="104" spans="1:63" x14ac:dyDescent="0.15">
      <c r="A104" s="10" t="s">
        <v>1016</v>
      </c>
      <c r="B104" s="10" t="s">
        <v>1454</v>
      </c>
      <c r="C104" s="38" t="str">
        <f>"./images/thumbnail/"&amp;データ!B104&amp;".jpg"</f>
        <v>./images/thumbnail/1153.jpg</v>
      </c>
      <c r="D104" s="38" t="s">
        <v>1455</v>
      </c>
      <c r="E104" s="38" t="str">
        <f>"./images/thumbnail/"&amp;データ!B104&amp;".jpg"</f>
        <v>./images/thumbnail/1153.jpg</v>
      </c>
      <c r="F104" s="38" t="s">
        <v>1116</v>
      </c>
      <c r="G104" s="38" t="s">
        <v>1319</v>
      </c>
      <c r="H104" s="38" t="str">
        <f>データ!C104</f>
        <v>デュケーヌ</v>
      </c>
      <c r="I104" s="38" t="s">
        <v>1024</v>
      </c>
      <c r="J104" s="38" t="s">
        <v>1320</v>
      </c>
      <c r="K104" s="38" t="str">
        <f>データ!D104</f>
        <v>SSR</v>
      </c>
      <c r="L104" s="38" t="s">
        <v>1024</v>
      </c>
      <c r="M104" s="38" t="s">
        <v>1321</v>
      </c>
      <c r="N104" s="38">
        <f>データ!E104</f>
        <v>13</v>
      </c>
      <c r="O104" s="38" t="s">
        <v>1024</v>
      </c>
      <c r="P104" s="38" t="s">
        <v>1319</v>
      </c>
      <c r="Q104" s="38" t="str">
        <f>データ!F104</f>
        <v>斬</v>
      </c>
      <c r="R104" s="38" t="s">
        <v>1024</v>
      </c>
      <c r="S104" s="38" t="s">
        <v>1319</v>
      </c>
      <c r="T104" s="39">
        <f>データ!G104</f>
        <v>15761</v>
      </c>
      <c r="U104" s="40" t="s">
        <v>1024</v>
      </c>
      <c r="V104" s="40" t="s">
        <v>1319</v>
      </c>
      <c r="W104" s="39">
        <f>データ!H104</f>
        <v>6310</v>
      </c>
      <c r="X104" s="40" t="s">
        <v>1024</v>
      </c>
      <c r="Y104" s="40" t="s">
        <v>1319</v>
      </c>
      <c r="Z104" s="39">
        <f>データ!I104</f>
        <v>5832</v>
      </c>
      <c r="AA104" s="40" t="s">
        <v>1024</v>
      </c>
      <c r="AB104" s="40" t="s">
        <v>1322</v>
      </c>
      <c r="AC104" s="39" t="str">
        <f>データ!J104</f>
        <v>A+</v>
      </c>
      <c r="AD104" s="38" t="s">
        <v>1024</v>
      </c>
      <c r="AE104" s="40" t="s">
        <v>1323</v>
      </c>
      <c r="AF104" s="39">
        <f>データ!K104</f>
        <v>27903</v>
      </c>
      <c r="AG104" s="40" t="s">
        <v>1024</v>
      </c>
      <c r="AH104" s="40" t="s">
        <v>1324</v>
      </c>
      <c r="AI104" s="39" t="str">
        <f>データ!L104</f>
        <v>魔幻の閃光／絶</v>
      </c>
      <c r="AJ104" s="10" t="s">
        <v>1113</v>
      </c>
      <c r="AK104" s="39" t="str">
        <f>データ!M104</f>
        <v>縦一列に攻撃[大]</v>
      </c>
      <c r="AL104" s="10" t="s">
        <v>1024</v>
      </c>
      <c r="AM104" s="40" t="s">
        <v>1325</v>
      </c>
      <c r="AN104" s="39" t="str">
        <f>データ!N104</f>
        <v>-</v>
      </c>
      <c r="AO104" s="10" t="s">
        <v>1113</v>
      </c>
      <c r="AP104" s="39" t="str">
        <f>データ!O104</f>
        <v>　</v>
      </c>
      <c r="AQ104" s="41" t="s">
        <v>1024</v>
      </c>
      <c r="AR104" s="40" t="s">
        <v>1324</v>
      </c>
      <c r="AS104" s="39" t="str">
        <f>データ!P104</f>
        <v>アサルト／真</v>
      </c>
      <c r="AT104" s="10" t="s">
        <v>1113</v>
      </c>
      <c r="AU104" s="39" t="str">
        <f>データ!Q104</f>
        <v>パーティ全体の攻撃力が中UP(3分間)</v>
      </c>
      <c r="AV104" s="10" t="s">
        <v>1024</v>
      </c>
      <c r="AW104" s="40" t="s">
        <v>1324</v>
      </c>
      <c r="AX104" s="39" t="str">
        <f>データ!R104</f>
        <v>-</v>
      </c>
      <c r="AY104" s="10" t="s">
        <v>1113</v>
      </c>
      <c r="AZ104" s="39" t="str">
        <f>データ!S104</f>
        <v>　</v>
      </c>
      <c r="BA104" s="41" t="s">
        <v>1024</v>
      </c>
      <c r="BB104" s="40" t="s">
        <v>1319</v>
      </c>
      <c r="BC104" s="39" t="str">
        <f>データ!T104</f>
        <v>-</v>
      </c>
      <c r="BD104" s="41" t="s">
        <v>1024</v>
      </c>
      <c r="BE104" s="40" t="s">
        <v>1320</v>
      </c>
      <c r="BF104" s="39" t="str">
        <f>データ!U104</f>
        <v>-</v>
      </c>
      <c r="BG104" s="41" t="s">
        <v>1024</v>
      </c>
      <c r="BH104" s="40" t="s">
        <v>1319</v>
      </c>
      <c r="BI104" s="39" t="str">
        <f>データ!V104</f>
        <v>常設</v>
      </c>
      <c r="BJ104" s="41" t="s">
        <v>1024</v>
      </c>
      <c r="BK104" s="10" t="s">
        <v>1019</v>
      </c>
    </row>
    <row r="105" spans="1:63" x14ac:dyDescent="0.15">
      <c r="A105" s="10" t="s">
        <v>1016</v>
      </c>
      <c r="B105" s="10" t="s">
        <v>1454</v>
      </c>
      <c r="C105" s="38" t="str">
        <f>"./images/thumbnail/"&amp;データ!B105&amp;".jpg"</f>
        <v>./images/thumbnail/1155.jpg</v>
      </c>
      <c r="D105" s="38" t="s">
        <v>1455</v>
      </c>
      <c r="E105" s="38" t="str">
        <f>"./images/thumbnail/"&amp;データ!B105&amp;".jpg"</f>
        <v>./images/thumbnail/1155.jpg</v>
      </c>
      <c r="F105" s="38" t="s">
        <v>1116</v>
      </c>
      <c r="G105" s="38" t="s">
        <v>1319</v>
      </c>
      <c r="H105" s="38" t="str">
        <f>データ!C105</f>
        <v>シーラ</v>
      </c>
      <c r="I105" s="38" t="s">
        <v>1024</v>
      </c>
      <c r="J105" s="38" t="s">
        <v>1320</v>
      </c>
      <c r="K105" s="38" t="str">
        <f>データ!D105</f>
        <v>SSR</v>
      </c>
      <c r="L105" s="38" t="s">
        <v>1024</v>
      </c>
      <c r="M105" s="38" t="s">
        <v>1321</v>
      </c>
      <c r="N105" s="38">
        <f>データ!E105</f>
        <v>13</v>
      </c>
      <c r="O105" s="38" t="s">
        <v>1024</v>
      </c>
      <c r="P105" s="38" t="s">
        <v>1319</v>
      </c>
      <c r="Q105" s="38" t="str">
        <f>データ!F105</f>
        <v>突</v>
      </c>
      <c r="R105" s="38" t="s">
        <v>1024</v>
      </c>
      <c r="S105" s="38" t="s">
        <v>1319</v>
      </c>
      <c r="T105" s="39">
        <f>データ!G105</f>
        <v>17731</v>
      </c>
      <c r="U105" s="40" t="s">
        <v>1024</v>
      </c>
      <c r="V105" s="40" t="s">
        <v>1319</v>
      </c>
      <c r="W105" s="39">
        <f>データ!H105</f>
        <v>5277</v>
      </c>
      <c r="X105" s="40" t="s">
        <v>1024</v>
      </c>
      <c r="Y105" s="40" t="s">
        <v>1319</v>
      </c>
      <c r="Z105" s="39">
        <f>データ!I105</f>
        <v>5755</v>
      </c>
      <c r="AA105" s="40" t="s">
        <v>1024</v>
      </c>
      <c r="AB105" s="40" t="s">
        <v>1322</v>
      </c>
      <c r="AC105" s="39" t="str">
        <f>データ!J105</f>
        <v>SS-</v>
      </c>
      <c r="AD105" s="38" t="s">
        <v>1024</v>
      </c>
      <c r="AE105" s="40" t="s">
        <v>1323</v>
      </c>
      <c r="AF105" s="39">
        <f>データ!K105</f>
        <v>28763</v>
      </c>
      <c r="AG105" s="40" t="s">
        <v>1024</v>
      </c>
      <c r="AH105" s="40" t="s">
        <v>1324</v>
      </c>
      <c r="AI105" s="39" t="str">
        <f>データ!L105</f>
        <v>孤撃の言霊／絶</v>
      </c>
      <c r="AJ105" s="10" t="s">
        <v>1113</v>
      </c>
      <c r="AK105" s="39" t="str">
        <f>データ!M105</f>
        <v>一定確率で敵を範囲不可にする[高確率]</v>
      </c>
      <c r="AL105" s="10" t="s">
        <v>1024</v>
      </c>
      <c r="AM105" s="40" t="s">
        <v>1325</v>
      </c>
      <c r="AN105" s="39" t="str">
        <f>データ!N105</f>
        <v>-</v>
      </c>
      <c r="AO105" s="10" t="s">
        <v>1113</v>
      </c>
      <c r="AP105" s="39" t="str">
        <f>データ!O105</f>
        <v>　</v>
      </c>
      <c r="AQ105" s="41" t="s">
        <v>1024</v>
      </c>
      <c r="AR105" s="40" t="s">
        <v>1324</v>
      </c>
      <c r="AS105" s="39" t="str">
        <f>データ!P105</f>
        <v>ジャガーノート／真</v>
      </c>
      <c r="AT105" s="10" t="s">
        <v>1113</v>
      </c>
      <c r="AU105" s="39" t="str">
        <f>データ!Q105</f>
        <v>バトルで敵を全滅するとBPが中回復(バトル3回)</v>
      </c>
      <c r="AV105" s="10" t="s">
        <v>1024</v>
      </c>
      <c r="AW105" s="40" t="s">
        <v>1324</v>
      </c>
      <c r="AX105" s="39" t="str">
        <f>データ!R105</f>
        <v>-</v>
      </c>
      <c r="AY105" s="10" t="s">
        <v>1113</v>
      </c>
      <c r="AZ105" s="39" t="str">
        <f>データ!S105</f>
        <v>　</v>
      </c>
      <c r="BA105" s="41" t="s">
        <v>1024</v>
      </c>
      <c r="BB105" s="40" t="s">
        <v>1319</v>
      </c>
      <c r="BC105" s="39" t="str">
        <f>データ!T105</f>
        <v>-</v>
      </c>
      <c r="BD105" s="41" t="s">
        <v>1024</v>
      </c>
      <c r="BE105" s="40" t="s">
        <v>1320</v>
      </c>
      <c r="BF105" s="39" t="str">
        <f>データ!U105</f>
        <v>-</v>
      </c>
      <c r="BG105" s="41" t="s">
        <v>1024</v>
      </c>
      <c r="BH105" s="40" t="s">
        <v>1319</v>
      </c>
      <c r="BI105" s="39" t="str">
        <f>データ!V105</f>
        <v>常設</v>
      </c>
      <c r="BJ105" s="41" t="s">
        <v>1024</v>
      </c>
      <c r="BK105" s="10" t="s">
        <v>1019</v>
      </c>
    </row>
    <row r="106" spans="1:63" x14ac:dyDescent="0.15">
      <c r="A106" s="10" t="s">
        <v>1016</v>
      </c>
      <c r="B106" s="10" t="s">
        <v>1454</v>
      </c>
      <c r="C106" s="38" t="str">
        <f>"./images/thumbnail/"&amp;データ!B106&amp;".jpg"</f>
        <v>./images/thumbnail/1157.jpg</v>
      </c>
      <c r="D106" s="38" t="s">
        <v>1455</v>
      </c>
      <c r="E106" s="38" t="str">
        <f>"./images/thumbnail/"&amp;データ!B106&amp;".jpg"</f>
        <v>./images/thumbnail/1157.jpg</v>
      </c>
      <c r="F106" s="38" t="s">
        <v>1116</v>
      </c>
      <c r="G106" s="38" t="s">
        <v>1319</v>
      </c>
      <c r="H106" s="38" t="str">
        <f>データ!C106</f>
        <v>ガット</v>
      </c>
      <c r="I106" s="38" t="s">
        <v>1024</v>
      </c>
      <c r="J106" s="38" t="s">
        <v>1320</v>
      </c>
      <c r="K106" s="38" t="str">
        <f>データ!D106</f>
        <v>SSR</v>
      </c>
      <c r="L106" s="38" t="s">
        <v>1024</v>
      </c>
      <c r="M106" s="38" t="s">
        <v>1321</v>
      </c>
      <c r="N106" s="38">
        <f>データ!E106</f>
        <v>13</v>
      </c>
      <c r="O106" s="38" t="s">
        <v>1024</v>
      </c>
      <c r="P106" s="38" t="s">
        <v>1319</v>
      </c>
      <c r="Q106" s="38" t="str">
        <f>データ!F106</f>
        <v>打</v>
      </c>
      <c r="R106" s="38" t="s">
        <v>1024</v>
      </c>
      <c r="S106" s="38" t="s">
        <v>1319</v>
      </c>
      <c r="T106" s="39">
        <f>データ!G106</f>
        <v>17805</v>
      </c>
      <c r="U106" s="40" t="s">
        <v>1024</v>
      </c>
      <c r="V106" s="40" t="s">
        <v>1319</v>
      </c>
      <c r="W106" s="39">
        <f>データ!H106</f>
        <v>5622</v>
      </c>
      <c r="X106" s="40" t="s">
        <v>1024</v>
      </c>
      <c r="Y106" s="40" t="s">
        <v>1319</v>
      </c>
      <c r="Z106" s="39">
        <f>データ!I106</f>
        <v>7498</v>
      </c>
      <c r="AA106" s="40" t="s">
        <v>1024</v>
      </c>
      <c r="AB106" s="40" t="s">
        <v>1322</v>
      </c>
      <c r="AC106" s="39" t="str">
        <f>データ!J106</f>
        <v>A-</v>
      </c>
      <c r="AD106" s="38" t="s">
        <v>1024</v>
      </c>
      <c r="AE106" s="40" t="s">
        <v>1323</v>
      </c>
      <c r="AF106" s="39">
        <f>データ!K106</f>
        <v>30925</v>
      </c>
      <c r="AG106" s="40" t="s">
        <v>1024</v>
      </c>
      <c r="AH106" s="40" t="s">
        <v>1324</v>
      </c>
      <c r="AI106" s="39" t="str">
        <f>データ!L106</f>
        <v>聖天消滅</v>
      </c>
      <c r="AJ106" s="10" t="s">
        <v>1113</v>
      </c>
      <c r="AK106" s="39" t="str">
        <f>データ!M106</f>
        <v>敵単体の攻撃力と防御力をDOWN[大]</v>
      </c>
      <c r="AL106" s="38" t="s">
        <v>1024</v>
      </c>
      <c r="AM106" s="40" t="s">
        <v>1325</v>
      </c>
      <c r="AN106" s="39" t="str">
        <f>データ!N106</f>
        <v>-</v>
      </c>
      <c r="AO106" s="10" t="s">
        <v>1113</v>
      </c>
      <c r="AP106" s="39" t="str">
        <f>データ!O106</f>
        <v>　</v>
      </c>
      <c r="AQ106" s="41" t="s">
        <v>1024</v>
      </c>
      <c r="AR106" s="40" t="s">
        <v>1324</v>
      </c>
      <c r="AS106" s="39" t="str">
        <f>データ!P106</f>
        <v>ヒール／真</v>
      </c>
      <c r="AT106" s="10" t="s">
        <v>1113</v>
      </c>
      <c r="AU106" s="39" t="str">
        <f>データ!Q106</f>
        <v>生存ユニットのHPを中回復</v>
      </c>
      <c r="AV106" s="10" t="s">
        <v>1024</v>
      </c>
      <c r="AW106" s="40" t="s">
        <v>1324</v>
      </c>
      <c r="AX106" s="39" t="str">
        <f>データ!R106</f>
        <v>-</v>
      </c>
      <c r="AY106" s="10" t="s">
        <v>1113</v>
      </c>
      <c r="AZ106" s="39" t="str">
        <f>データ!S106</f>
        <v>　</v>
      </c>
      <c r="BA106" s="41" t="s">
        <v>1024</v>
      </c>
      <c r="BB106" s="40" t="s">
        <v>1319</v>
      </c>
      <c r="BC106" s="39" t="str">
        <f>データ!T106</f>
        <v>-</v>
      </c>
      <c r="BD106" s="41" t="s">
        <v>1024</v>
      </c>
      <c r="BE106" s="40" t="s">
        <v>1320</v>
      </c>
      <c r="BF106" s="39" t="str">
        <f>データ!U106</f>
        <v>-</v>
      </c>
      <c r="BG106" s="41" t="s">
        <v>1024</v>
      </c>
      <c r="BH106" s="40" t="s">
        <v>1319</v>
      </c>
      <c r="BI106" s="39" t="str">
        <f>データ!V106</f>
        <v>常設</v>
      </c>
      <c r="BJ106" s="41" t="s">
        <v>1024</v>
      </c>
      <c r="BK106" s="10" t="s">
        <v>1019</v>
      </c>
    </row>
    <row r="107" spans="1:63" x14ac:dyDescent="0.15">
      <c r="A107" s="10" t="s">
        <v>1016</v>
      </c>
      <c r="B107" s="10" t="s">
        <v>1454</v>
      </c>
      <c r="C107" s="38" t="str">
        <f>"./images/thumbnail/"&amp;データ!B107&amp;".jpg"</f>
        <v>./images/thumbnail/1159.jpg</v>
      </c>
      <c r="D107" s="38" t="s">
        <v>1455</v>
      </c>
      <c r="E107" s="38" t="str">
        <f>"./images/thumbnail/"&amp;データ!B107&amp;".jpg"</f>
        <v>./images/thumbnail/1159.jpg</v>
      </c>
      <c r="F107" s="38" t="s">
        <v>1116</v>
      </c>
      <c r="G107" s="38" t="s">
        <v>1319</v>
      </c>
      <c r="H107" s="38" t="str">
        <f>データ!C107</f>
        <v>アンネ</v>
      </c>
      <c r="I107" s="38" t="s">
        <v>1024</v>
      </c>
      <c r="J107" s="38" t="s">
        <v>1320</v>
      </c>
      <c r="K107" s="38" t="str">
        <f>データ!D107</f>
        <v>SSR</v>
      </c>
      <c r="L107" s="38" t="s">
        <v>1024</v>
      </c>
      <c r="M107" s="38" t="s">
        <v>1321</v>
      </c>
      <c r="N107" s="38">
        <f>データ!E107</f>
        <v>13</v>
      </c>
      <c r="O107" s="38" t="s">
        <v>1024</v>
      </c>
      <c r="P107" s="38" t="s">
        <v>1319</v>
      </c>
      <c r="Q107" s="38" t="str">
        <f>データ!F107</f>
        <v>遠</v>
      </c>
      <c r="R107" s="38" t="s">
        <v>1024</v>
      </c>
      <c r="S107" s="38" t="s">
        <v>1319</v>
      </c>
      <c r="T107" s="39">
        <f>データ!G107</f>
        <v>15492</v>
      </c>
      <c r="U107" s="40" t="s">
        <v>1024</v>
      </c>
      <c r="V107" s="40" t="s">
        <v>1319</v>
      </c>
      <c r="W107" s="39">
        <f>データ!H107</f>
        <v>5404</v>
      </c>
      <c r="X107" s="40" t="s">
        <v>1024</v>
      </c>
      <c r="Y107" s="40" t="s">
        <v>1319</v>
      </c>
      <c r="Z107" s="39">
        <f>データ!I107</f>
        <v>5798</v>
      </c>
      <c r="AA107" s="40" t="s">
        <v>1024</v>
      </c>
      <c r="AB107" s="40" t="s">
        <v>1322</v>
      </c>
      <c r="AC107" s="39" t="str">
        <f>データ!J107</f>
        <v>S-</v>
      </c>
      <c r="AD107" s="38" t="s">
        <v>1024</v>
      </c>
      <c r="AE107" s="40" t="s">
        <v>1323</v>
      </c>
      <c r="AF107" s="39">
        <f>データ!K107</f>
        <v>26694</v>
      </c>
      <c r="AG107" s="40" t="s">
        <v>1024</v>
      </c>
      <c r="AH107" s="40" t="s">
        <v>1324</v>
      </c>
      <c r="AI107" s="39" t="str">
        <f>データ!L107</f>
        <v>幻瞑の包囲陣／絶</v>
      </c>
      <c r="AJ107" s="10" t="s">
        <v>1113</v>
      </c>
      <c r="AK107" s="39" t="str">
        <f>データ!M107</f>
        <v>敵全体に攻撃[大]</v>
      </c>
      <c r="AL107" s="10" t="s">
        <v>1024</v>
      </c>
      <c r="AM107" s="40" t="s">
        <v>1325</v>
      </c>
      <c r="AN107" s="39" t="str">
        <f>データ!N107</f>
        <v>-</v>
      </c>
      <c r="AO107" s="10" t="s">
        <v>1113</v>
      </c>
      <c r="AP107" s="39" t="str">
        <f>データ!O107</f>
        <v>　</v>
      </c>
      <c r="AQ107" s="41" t="s">
        <v>1024</v>
      </c>
      <c r="AR107" s="40" t="s">
        <v>1324</v>
      </c>
      <c r="AS107" s="39" t="str">
        <f>データ!P107</f>
        <v>フォートレス／真</v>
      </c>
      <c r="AT107" s="10" t="s">
        <v>1113</v>
      </c>
      <c r="AU107" s="39" t="str">
        <f>データ!Q107</f>
        <v>パーティ全体の防御力が中UP(3分間)</v>
      </c>
      <c r="AV107" s="10" t="s">
        <v>1024</v>
      </c>
      <c r="AW107" s="40" t="s">
        <v>1324</v>
      </c>
      <c r="AX107" s="39" t="str">
        <f>データ!R107</f>
        <v>-</v>
      </c>
      <c r="AY107" s="10" t="s">
        <v>1113</v>
      </c>
      <c r="AZ107" s="39" t="str">
        <f>データ!S107</f>
        <v>　</v>
      </c>
      <c r="BA107" s="41" t="s">
        <v>1024</v>
      </c>
      <c r="BB107" s="40" t="s">
        <v>1319</v>
      </c>
      <c r="BC107" s="39" t="str">
        <f>データ!T107</f>
        <v>-</v>
      </c>
      <c r="BD107" s="41" t="s">
        <v>1024</v>
      </c>
      <c r="BE107" s="40" t="s">
        <v>1320</v>
      </c>
      <c r="BF107" s="39" t="str">
        <f>データ!U107</f>
        <v>-</v>
      </c>
      <c r="BG107" s="41" t="s">
        <v>1024</v>
      </c>
      <c r="BH107" s="40" t="s">
        <v>1319</v>
      </c>
      <c r="BI107" s="39" t="str">
        <f>データ!V107</f>
        <v>常設</v>
      </c>
      <c r="BJ107" s="41" t="s">
        <v>1024</v>
      </c>
      <c r="BK107" s="10" t="s">
        <v>1019</v>
      </c>
    </row>
    <row r="108" spans="1:63" x14ac:dyDescent="0.15">
      <c r="A108" s="10" t="s">
        <v>1016</v>
      </c>
      <c r="B108" s="10" t="s">
        <v>1454</v>
      </c>
      <c r="C108" s="38" t="str">
        <f>"./images/thumbnail/"&amp;データ!B108&amp;".jpg"</f>
        <v>./images/thumbnail/1162.jpg</v>
      </c>
      <c r="D108" s="38" t="s">
        <v>1455</v>
      </c>
      <c r="E108" s="38" t="str">
        <f>"./images/thumbnail/"&amp;データ!B108&amp;".jpg"</f>
        <v>./images/thumbnail/1162.jpg</v>
      </c>
      <c r="F108" s="38" t="s">
        <v>1116</v>
      </c>
      <c r="G108" s="38" t="s">
        <v>1319</v>
      </c>
      <c r="H108" s="38" t="str">
        <f>データ!C108</f>
        <v>レオ</v>
      </c>
      <c r="I108" s="38" t="s">
        <v>1024</v>
      </c>
      <c r="J108" s="38" t="s">
        <v>1320</v>
      </c>
      <c r="K108" s="38" t="str">
        <f>データ!D108</f>
        <v>SSR</v>
      </c>
      <c r="L108" s="38" t="s">
        <v>1024</v>
      </c>
      <c r="M108" s="38" t="s">
        <v>1321</v>
      </c>
      <c r="N108" s="38">
        <f>データ!E108</f>
        <v>12</v>
      </c>
      <c r="O108" s="38" t="s">
        <v>1024</v>
      </c>
      <c r="P108" s="38" t="s">
        <v>1319</v>
      </c>
      <c r="Q108" s="38" t="str">
        <f>データ!F108</f>
        <v>突</v>
      </c>
      <c r="R108" s="38" t="s">
        <v>1024</v>
      </c>
      <c r="S108" s="38" t="s">
        <v>1319</v>
      </c>
      <c r="T108" s="39">
        <f>データ!G108</f>
        <v>14919</v>
      </c>
      <c r="U108" s="40" t="s">
        <v>1024</v>
      </c>
      <c r="V108" s="40" t="s">
        <v>1319</v>
      </c>
      <c r="W108" s="39">
        <f>データ!H108</f>
        <v>5102</v>
      </c>
      <c r="X108" s="40" t="s">
        <v>1024</v>
      </c>
      <c r="Y108" s="40" t="s">
        <v>1319</v>
      </c>
      <c r="Z108" s="39">
        <f>データ!I108</f>
        <v>5935</v>
      </c>
      <c r="AA108" s="40" t="s">
        <v>1024</v>
      </c>
      <c r="AB108" s="40" t="s">
        <v>1322</v>
      </c>
      <c r="AC108" s="39" t="str">
        <f>データ!J108</f>
        <v>SS-</v>
      </c>
      <c r="AD108" s="38" t="s">
        <v>1024</v>
      </c>
      <c r="AE108" s="40" t="s">
        <v>1323</v>
      </c>
      <c r="AF108" s="39">
        <f>データ!K108</f>
        <v>25956</v>
      </c>
      <c r="AG108" s="40" t="s">
        <v>1024</v>
      </c>
      <c r="AH108" s="40" t="s">
        <v>1324</v>
      </c>
      <c r="AI108" s="39" t="str">
        <f>データ!L108</f>
        <v>蒼突の覇道</v>
      </c>
      <c r="AJ108" s="10" t="s">
        <v>1113</v>
      </c>
      <c r="AK108" s="39" t="str">
        <f>データ!M108</f>
        <v>味方突属性の攻撃力をUP[大]</v>
      </c>
      <c r="AL108" s="10" t="s">
        <v>1024</v>
      </c>
      <c r="AM108" s="40" t="s">
        <v>1325</v>
      </c>
      <c r="AN108" s="39" t="str">
        <f>データ!N108</f>
        <v>-</v>
      </c>
      <c r="AO108" s="10" t="s">
        <v>1113</v>
      </c>
      <c r="AP108" s="39" t="str">
        <f>データ!O108</f>
        <v>　</v>
      </c>
      <c r="AQ108" s="41" t="s">
        <v>1024</v>
      </c>
      <c r="AR108" s="40" t="s">
        <v>1324</v>
      </c>
      <c r="AS108" s="39" t="str">
        <f>データ!P108</f>
        <v>リヴァイブ／真蒼突</v>
      </c>
      <c r="AT108" s="10" t="s">
        <v>1113</v>
      </c>
      <c r="AU108" s="39" t="str">
        <f>データ!Q108</f>
        <v>高確率で突属性のユニットを復帰</v>
      </c>
      <c r="AV108" s="10" t="s">
        <v>1024</v>
      </c>
      <c r="AW108" s="40" t="s">
        <v>1324</v>
      </c>
      <c r="AX108" s="39" t="str">
        <f>データ!R108</f>
        <v>-</v>
      </c>
      <c r="AY108" s="10" t="s">
        <v>1113</v>
      </c>
      <c r="AZ108" s="39" t="str">
        <f>データ!S108</f>
        <v>　</v>
      </c>
      <c r="BA108" s="41" t="s">
        <v>1024</v>
      </c>
      <c r="BB108" s="40" t="s">
        <v>1319</v>
      </c>
      <c r="BC108" s="39" t="str">
        <f>データ!T108</f>
        <v>-</v>
      </c>
      <c r="BD108" s="41" t="s">
        <v>1024</v>
      </c>
      <c r="BE108" s="40" t="s">
        <v>1320</v>
      </c>
      <c r="BF108" s="39" t="str">
        <f>データ!U108</f>
        <v>-</v>
      </c>
      <c r="BG108" s="41" t="s">
        <v>1024</v>
      </c>
      <c r="BH108" s="40" t="s">
        <v>1319</v>
      </c>
      <c r="BI108" s="39" t="str">
        <f>データ!V108</f>
        <v>マゴニア</v>
      </c>
      <c r="BJ108" s="41" t="s">
        <v>1024</v>
      </c>
      <c r="BK108" s="10" t="s">
        <v>1019</v>
      </c>
    </row>
    <row r="109" spans="1:63" x14ac:dyDescent="0.15">
      <c r="A109" s="10" t="s">
        <v>1016</v>
      </c>
      <c r="B109" s="10" t="s">
        <v>1454</v>
      </c>
      <c r="C109" s="38" t="str">
        <f>"./images/thumbnail/"&amp;データ!B109&amp;".jpg"</f>
        <v>./images/thumbnail/1164.jpg</v>
      </c>
      <c r="D109" s="38" t="s">
        <v>1455</v>
      </c>
      <c r="E109" s="38" t="str">
        <f>"./images/thumbnail/"&amp;データ!B109&amp;".jpg"</f>
        <v>./images/thumbnail/1164.jpg</v>
      </c>
      <c r="F109" s="38" t="s">
        <v>1116</v>
      </c>
      <c r="G109" s="38" t="s">
        <v>1319</v>
      </c>
      <c r="H109" s="38" t="str">
        <f>データ!C109</f>
        <v>セレナ</v>
      </c>
      <c r="I109" s="38" t="s">
        <v>1024</v>
      </c>
      <c r="J109" s="38" t="s">
        <v>1320</v>
      </c>
      <c r="K109" s="38" t="str">
        <f>データ!D109</f>
        <v>SSR</v>
      </c>
      <c r="L109" s="38" t="s">
        <v>1024</v>
      </c>
      <c r="M109" s="38" t="s">
        <v>1321</v>
      </c>
      <c r="N109" s="38">
        <f>データ!E109</f>
        <v>12</v>
      </c>
      <c r="O109" s="38" t="s">
        <v>1024</v>
      </c>
      <c r="P109" s="38" t="s">
        <v>1319</v>
      </c>
      <c r="Q109" s="38" t="str">
        <f>データ!F109</f>
        <v>遠</v>
      </c>
      <c r="R109" s="38" t="s">
        <v>1024</v>
      </c>
      <c r="S109" s="38" t="s">
        <v>1319</v>
      </c>
      <c r="T109" s="39">
        <f>データ!G109</f>
        <v>15051</v>
      </c>
      <c r="U109" s="40" t="s">
        <v>1024</v>
      </c>
      <c r="V109" s="40" t="s">
        <v>1319</v>
      </c>
      <c r="W109" s="39">
        <f>データ!H109</f>
        <v>5558</v>
      </c>
      <c r="X109" s="40" t="s">
        <v>1024</v>
      </c>
      <c r="Y109" s="40" t="s">
        <v>1319</v>
      </c>
      <c r="Z109" s="39">
        <f>データ!I109</f>
        <v>4396</v>
      </c>
      <c r="AA109" s="40" t="s">
        <v>1024</v>
      </c>
      <c r="AB109" s="40" t="s">
        <v>1322</v>
      </c>
      <c r="AC109" s="39" t="str">
        <f>データ!J109</f>
        <v>SS-</v>
      </c>
      <c r="AD109" s="38" t="s">
        <v>1024</v>
      </c>
      <c r="AE109" s="40" t="s">
        <v>1323</v>
      </c>
      <c r="AF109" s="39">
        <f>データ!K109</f>
        <v>25005</v>
      </c>
      <c r="AG109" s="40" t="s">
        <v>1024</v>
      </c>
      <c r="AH109" s="40" t="s">
        <v>1324</v>
      </c>
      <c r="AI109" s="39" t="str">
        <f>データ!L109</f>
        <v xml:space="preserve">浄化の一撃 </v>
      </c>
      <c r="AJ109" s="10" t="s">
        <v>1113</v>
      </c>
      <c r="AK109" s="39" t="str">
        <f>データ!M109</f>
        <v>単体固定ダメージ+味方ステータスDOWN解除</v>
      </c>
      <c r="AL109" s="10" t="s">
        <v>1024</v>
      </c>
      <c r="AM109" s="40" t="s">
        <v>1325</v>
      </c>
      <c r="AN109" s="39" t="str">
        <f>データ!N109</f>
        <v>-</v>
      </c>
      <c r="AO109" s="10" t="s">
        <v>1113</v>
      </c>
      <c r="AP109" s="39" t="str">
        <f>データ!O109</f>
        <v>　</v>
      </c>
      <c r="AQ109" s="41" t="s">
        <v>1024</v>
      </c>
      <c r="AR109" s="40" t="s">
        <v>1324</v>
      </c>
      <c r="AS109" s="39" t="str">
        <f>データ!P109</f>
        <v>ヒール／真遠翠</v>
      </c>
      <c r="AT109" s="10" t="s">
        <v>1113</v>
      </c>
      <c r="AU109" s="39" t="str">
        <f>データ!Q109</f>
        <v>遠属性の生存ユニットのHPを高確率で全回復</v>
      </c>
      <c r="AV109" s="10" t="s">
        <v>1024</v>
      </c>
      <c r="AW109" s="40" t="s">
        <v>1324</v>
      </c>
      <c r="AX109" s="39" t="str">
        <f>データ!R109</f>
        <v>-</v>
      </c>
      <c r="AY109" s="10" t="s">
        <v>1113</v>
      </c>
      <c r="AZ109" s="39" t="str">
        <f>データ!S109</f>
        <v>　</v>
      </c>
      <c r="BA109" s="41" t="s">
        <v>1024</v>
      </c>
      <c r="BB109" s="40" t="s">
        <v>1319</v>
      </c>
      <c r="BC109" s="39" t="str">
        <f>データ!T109</f>
        <v>-</v>
      </c>
      <c r="BD109" s="41" t="s">
        <v>1024</v>
      </c>
      <c r="BE109" s="40" t="s">
        <v>1320</v>
      </c>
      <c r="BF109" s="39" t="str">
        <f>データ!U109</f>
        <v>-</v>
      </c>
      <c r="BG109" s="41" t="s">
        <v>1024</v>
      </c>
      <c r="BH109" s="40" t="s">
        <v>1319</v>
      </c>
      <c r="BI109" s="39" t="str">
        <f>データ!V109</f>
        <v>メダル</v>
      </c>
      <c r="BJ109" s="41" t="s">
        <v>1024</v>
      </c>
      <c r="BK109" s="10" t="s">
        <v>1019</v>
      </c>
    </row>
    <row r="110" spans="1:63" x14ac:dyDescent="0.15">
      <c r="A110" s="10" t="s">
        <v>1016</v>
      </c>
      <c r="B110" s="10" t="s">
        <v>1454</v>
      </c>
      <c r="C110" s="38" t="str">
        <f>"./images/thumbnail/"&amp;データ!B110&amp;".jpg"</f>
        <v>./images/thumbnail/1166.jpg</v>
      </c>
      <c r="D110" s="38" t="s">
        <v>1455</v>
      </c>
      <c r="E110" s="38" t="str">
        <f>"./images/thumbnail/"&amp;データ!B110&amp;".jpg"</f>
        <v>./images/thumbnail/1166.jpg</v>
      </c>
      <c r="F110" s="38" t="s">
        <v>1116</v>
      </c>
      <c r="G110" s="38" t="s">
        <v>1319</v>
      </c>
      <c r="H110" s="38" t="str">
        <f>データ!C110</f>
        <v>マリユス</v>
      </c>
      <c r="I110" s="38" t="s">
        <v>1024</v>
      </c>
      <c r="J110" s="38" t="s">
        <v>1320</v>
      </c>
      <c r="K110" s="38" t="str">
        <f>データ!D110</f>
        <v>SSR</v>
      </c>
      <c r="L110" s="38" t="s">
        <v>1024</v>
      </c>
      <c r="M110" s="38" t="s">
        <v>1321</v>
      </c>
      <c r="N110" s="38">
        <f>データ!E110</f>
        <v>13</v>
      </c>
      <c r="O110" s="38" t="s">
        <v>1024</v>
      </c>
      <c r="P110" s="38" t="s">
        <v>1319</v>
      </c>
      <c r="Q110" s="38" t="str">
        <f>データ!F110</f>
        <v>斬</v>
      </c>
      <c r="R110" s="38" t="s">
        <v>1024</v>
      </c>
      <c r="S110" s="38" t="s">
        <v>1319</v>
      </c>
      <c r="T110" s="39">
        <f>データ!G110</f>
        <v>13953</v>
      </c>
      <c r="U110" s="40" t="s">
        <v>1024</v>
      </c>
      <c r="V110" s="40" t="s">
        <v>1319</v>
      </c>
      <c r="W110" s="39">
        <f>データ!H110</f>
        <v>7368</v>
      </c>
      <c r="X110" s="40" t="s">
        <v>1024</v>
      </c>
      <c r="Y110" s="40" t="s">
        <v>1319</v>
      </c>
      <c r="Z110" s="39">
        <f>データ!I110</f>
        <v>5746</v>
      </c>
      <c r="AA110" s="40" t="s">
        <v>1024</v>
      </c>
      <c r="AB110" s="40" t="s">
        <v>1322</v>
      </c>
      <c r="AC110" s="39" t="str">
        <f>データ!J110</f>
        <v>A+</v>
      </c>
      <c r="AD110" s="38" t="s">
        <v>1024</v>
      </c>
      <c r="AE110" s="40" t="s">
        <v>1323</v>
      </c>
      <c r="AF110" s="39">
        <f>データ!K110</f>
        <v>27067</v>
      </c>
      <c r="AG110" s="40" t="s">
        <v>1024</v>
      </c>
      <c r="AH110" s="40" t="s">
        <v>1324</v>
      </c>
      <c r="AI110" s="39" t="str">
        <f>データ!L110</f>
        <v>斬紅の業火／真</v>
      </c>
      <c r="AJ110" s="10" t="s">
        <v>1113</v>
      </c>
      <c r="AK110" s="39" t="str">
        <f>データ!M110</f>
        <v>次の攻撃でダメージが上昇する[中]</v>
      </c>
      <c r="AL110" s="10" t="s">
        <v>1024</v>
      </c>
      <c r="AM110" s="40" t="s">
        <v>1325</v>
      </c>
      <c r="AN110" s="39" t="str">
        <f>データ!N110</f>
        <v>-</v>
      </c>
      <c r="AO110" s="10" t="s">
        <v>1113</v>
      </c>
      <c r="AP110" s="39" t="str">
        <f>データ!O110</f>
        <v>　</v>
      </c>
      <c r="AQ110" s="41" t="s">
        <v>1024</v>
      </c>
      <c r="AR110" s="40" t="s">
        <v>1324</v>
      </c>
      <c r="AS110" s="39" t="str">
        <f>データ!P110</f>
        <v>フォートレスオーダー</v>
      </c>
      <c r="AT110" s="10" t="s">
        <v>1113</v>
      </c>
      <c r="AU110" s="39" t="str">
        <f>データ!Q110</f>
        <v>騎士団全体の防御力が小UP(3分間)</v>
      </c>
      <c r="AV110" s="10" t="s">
        <v>1024</v>
      </c>
      <c r="AW110" s="40" t="s">
        <v>1324</v>
      </c>
      <c r="AX110" s="39" t="str">
        <f>データ!R110</f>
        <v>-</v>
      </c>
      <c r="AY110" s="10" t="s">
        <v>1113</v>
      </c>
      <c r="AZ110" s="39" t="str">
        <f>データ!S110</f>
        <v>　</v>
      </c>
      <c r="BA110" s="41" t="s">
        <v>1024</v>
      </c>
      <c r="BB110" s="40" t="s">
        <v>1319</v>
      </c>
      <c r="BC110" s="39" t="str">
        <f>データ!T110</f>
        <v>-</v>
      </c>
      <c r="BD110" s="41" t="s">
        <v>1024</v>
      </c>
      <c r="BE110" s="40" t="s">
        <v>1320</v>
      </c>
      <c r="BF110" s="39" t="str">
        <f>データ!U110</f>
        <v>-</v>
      </c>
      <c r="BG110" s="41" t="s">
        <v>1024</v>
      </c>
      <c r="BH110" s="40" t="s">
        <v>1319</v>
      </c>
      <c r="BI110" s="39" t="str">
        <f>データ!V110</f>
        <v>ガチャイベ</v>
      </c>
      <c r="BJ110" s="41" t="s">
        <v>1024</v>
      </c>
      <c r="BK110" s="10" t="s">
        <v>1019</v>
      </c>
    </row>
    <row r="111" spans="1:63" x14ac:dyDescent="0.15">
      <c r="A111" s="10" t="s">
        <v>1016</v>
      </c>
      <c r="B111" s="10" t="s">
        <v>1454</v>
      </c>
      <c r="C111" s="38" t="str">
        <f>"./images/thumbnail/"&amp;データ!B111&amp;".jpg"</f>
        <v>./images/thumbnail/1168.jpg</v>
      </c>
      <c r="D111" s="38" t="s">
        <v>1455</v>
      </c>
      <c r="E111" s="38" t="str">
        <f>"./images/thumbnail/"&amp;データ!B111&amp;".jpg"</f>
        <v>./images/thumbnail/1168.jpg</v>
      </c>
      <c r="F111" s="38" t="s">
        <v>1116</v>
      </c>
      <c r="G111" s="38" t="s">
        <v>1319</v>
      </c>
      <c r="H111" s="38" t="str">
        <f>データ!C111</f>
        <v>アーデルハイド</v>
      </c>
      <c r="I111" s="38" t="s">
        <v>1024</v>
      </c>
      <c r="J111" s="38" t="s">
        <v>1320</v>
      </c>
      <c r="K111" s="38" t="str">
        <f>データ!D111</f>
        <v>SSR</v>
      </c>
      <c r="L111" s="38" t="s">
        <v>1024</v>
      </c>
      <c r="M111" s="38" t="s">
        <v>1321</v>
      </c>
      <c r="N111" s="38">
        <f>データ!E111</f>
        <v>13</v>
      </c>
      <c r="O111" s="38" t="s">
        <v>1024</v>
      </c>
      <c r="P111" s="38" t="s">
        <v>1319</v>
      </c>
      <c r="Q111" s="38" t="str">
        <f>データ!F111</f>
        <v>突</v>
      </c>
      <c r="R111" s="38" t="s">
        <v>1024</v>
      </c>
      <c r="S111" s="38" t="s">
        <v>1319</v>
      </c>
      <c r="T111" s="39">
        <f>データ!G111</f>
        <v>15696</v>
      </c>
      <c r="U111" s="40" t="s">
        <v>1024</v>
      </c>
      <c r="V111" s="40" t="s">
        <v>1319</v>
      </c>
      <c r="W111" s="39">
        <f>データ!H111</f>
        <v>5367</v>
      </c>
      <c r="X111" s="40" t="s">
        <v>1024</v>
      </c>
      <c r="Y111" s="40" t="s">
        <v>1319</v>
      </c>
      <c r="Z111" s="39">
        <f>データ!I111</f>
        <v>6514</v>
      </c>
      <c r="AA111" s="40" t="s">
        <v>1024</v>
      </c>
      <c r="AB111" s="40" t="s">
        <v>1322</v>
      </c>
      <c r="AC111" s="39" t="str">
        <f>データ!J111</f>
        <v>SS-</v>
      </c>
      <c r="AD111" s="38" t="s">
        <v>1024</v>
      </c>
      <c r="AE111" s="40" t="s">
        <v>1323</v>
      </c>
      <c r="AF111" s="39">
        <f>データ!K111</f>
        <v>27577</v>
      </c>
      <c r="AG111" s="40" t="s">
        <v>1024</v>
      </c>
      <c r="AH111" s="40" t="s">
        <v>1324</v>
      </c>
      <c r="AI111" s="39" t="str">
        <f>データ!L111</f>
        <v>蒼突の追撃／真</v>
      </c>
      <c r="AJ111" s="10" t="s">
        <v>1113</v>
      </c>
      <c r="AK111" s="39" t="str">
        <f>データ!M111</f>
        <v>味方の攻撃に一定確率で追撃[高確率]</v>
      </c>
      <c r="AL111" s="10" t="s">
        <v>1024</v>
      </c>
      <c r="AM111" s="40" t="s">
        <v>1325</v>
      </c>
      <c r="AN111" s="39" t="str">
        <f>データ!N111</f>
        <v>-</v>
      </c>
      <c r="AO111" s="10" t="s">
        <v>1113</v>
      </c>
      <c r="AP111" s="39" t="str">
        <f>データ!O111</f>
        <v>　</v>
      </c>
      <c r="AQ111" s="41" t="s">
        <v>1024</v>
      </c>
      <c r="AR111" s="40" t="s">
        <v>1324</v>
      </c>
      <c r="AS111" s="39" t="str">
        <f>データ!P111</f>
        <v>アサルトオーダー</v>
      </c>
      <c r="AT111" s="10" t="s">
        <v>1113</v>
      </c>
      <c r="AU111" s="39" t="str">
        <f>データ!Q111</f>
        <v>騎士団全体の攻撃力が小UP(3分間)</v>
      </c>
      <c r="AV111" s="10" t="s">
        <v>1024</v>
      </c>
      <c r="AW111" s="40" t="s">
        <v>1324</v>
      </c>
      <c r="AX111" s="39" t="str">
        <f>データ!R111</f>
        <v>-</v>
      </c>
      <c r="AY111" s="10" t="s">
        <v>1113</v>
      </c>
      <c r="AZ111" s="39" t="str">
        <f>データ!S111</f>
        <v>　</v>
      </c>
      <c r="BA111" s="41" t="s">
        <v>1024</v>
      </c>
      <c r="BB111" s="40" t="s">
        <v>1319</v>
      </c>
      <c r="BC111" s="39" t="str">
        <f>データ!T111</f>
        <v>-</v>
      </c>
      <c r="BD111" s="41" t="s">
        <v>1024</v>
      </c>
      <c r="BE111" s="40" t="s">
        <v>1320</v>
      </c>
      <c r="BF111" s="39" t="str">
        <f>データ!U111</f>
        <v>-</v>
      </c>
      <c r="BG111" s="41" t="s">
        <v>1024</v>
      </c>
      <c r="BH111" s="40" t="s">
        <v>1319</v>
      </c>
      <c r="BI111" s="39" t="str">
        <f>データ!V111</f>
        <v>ガチャイベ</v>
      </c>
      <c r="BJ111" s="41" t="s">
        <v>1024</v>
      </c>
      <c r="BK111" s="10" t="s">
        <v>1019</v>
      </c>
    </row>
    <row r="112" spans="1:63" x14ac:dyDescent="0.15">
      <c r="A112" s="10" t="s">
        <v>1016</v>
      </c>
      <c r="B112" s="10" t="s">
        <v>1454</v>
      </c>
      <c r="C112" s="38" t="str">
        <f>"./images/thumbnail/"&amp;データ!B112&amp;".jpg"</f>
        <v>./images/thumbnail/1170.jpg</v>
      </c>
      <c r="D112" s="38" t="s">
        <v>1455</v>
      </c>
      <c r="E112" s="38" t="str">
        <f>"./images/thumbnail/"&amp;データ!B112&amp;".jpg"</f>
        <v>./images/thumbnail/1170.jpg</v>
      </c>
      <c r="F112" s="38" t="s">
        <v>1116</v>
      </c>
      <c r="G112" s="38" t="s">
        <v>1319</v>
      </c>
      <c r="H112" s="38" t="str">
        <f>データ!C112</f>
        <v>カノン</v>
      </c>
      <c r="I112" s="38" t="s">
        <v>1024</v>
      </c>
      <c r="J112" s="38" t="s">
        <v>1320</v>
      </c>
      <c r="K112" s="38" t="str">
        <f>データ!D112</f>
        <v>SSR</v>
      </c>
      <c r="L112" s="38" t="s">
        <v>1024</v>
      </c>
      <c r="M112" s="38" t="s">
        <v>1321</v>
      </c>
      <c r="N112" s="38">
        <f>データ!E112</f>
        <v>13</v>
      </c>
      <c r="O112" s="38" t="s">
        <v>1024</v>
      </c>
      <c r="P112" s="38" t="s">
        <v>1319</v>
      </c>
      <c r="Q112" s="38" t="str">
        <f>データ!F112</f>
        <v>打</v>
      </c>
      <c r="R112" s="38" t="s">
        <v>1024</v>
      </c>
      <c r="S112" s="38" t="s">
        <v>1319</v>
      </c>
      <c r="T112" s="39">
        <f>データ!G112</f>
        <v>21342</v>
      </c>
      <c r="U112" s="40" t="s">
        <v>1024</v>
      </c>
      <c r="V112" s="40" t="s">
        <v>1319</v>
      </c>
      <c r="W112" s="39">
        <f>データ!H112</f>
        <v>5538</v>
      </c>
      <c r="X112" s="40" t="s">
        <v>1024</v>
      </c>
      <c r="Y112" s="40" t="s">
        <v>1319</v>
      </c>
      <c r="Z112" s="39">
        <f>データ!I112</f>
        <v>6466</v>
      </c>
      <c r="AA112" s="40" t="s">
        <v>1024</v>
      </c>
      <c r="AB112" s="40" t="s">
        <v>1322</v>
      </c>
      <c r="AC112" s="39" t="str">
        <f>データ!J112</f>
        <v>A-</v>
      </c>
      <c r="AD112" s="38" t="s">
        <v>1024</v>
      </c>
      <c r="AE112" s="40" t="s">
        <v>1323</v>
      </c>
      <c r="AF112" s="39">
        <f>データ!K112</f>
        <v>33346</v>
      </c>
      <c r="AG112" s="40" t="s">
        <v>1024</v>
      </c>
      <c r="AH112" s="40" t="s">
        <v>1324</v>
      </c>
      <c r="AI112" s="39" t="str">
        <f>データ!L112</f>
        <v>紫打の覇道</v>
      </c>
      <c r="AJ112" s="10" t="s">
        <v>1113</v>
      </c>
      <c r="AK112" s="39" t="str">
        <f>データ!M112</f>
        <v>味方打属性の攻撃力をUP[大]</v>
      </c>
      <c r="AL112" s="10" t="s">
        <v>1024</v>
      </c>
      <c r="AM112" s="40" t="s">
        <v>1325</v>
      </c>
      <c r="AN112" s="39" t="str">
        <f>データ!N112</f>
        <v>-</v>
      </c>
      <c r="AO112" s="10" t="s">
        <v>1113</v>
      </c>
      <c r="AP112" s="39" t="str">
        <f>データ!O112</f>
        <v>　</v>
      </c>
      <c r="AQ112" s="41" t="s">
        <v>1024</v>
      </c>
      <c r="AR112" s="40" t="s">
        <v>1324</v>
      </c>
      <c r="AS112" s="39" t="str">
        <f>データ!P112</f>
        <v>エースオーダー</v>
      </c>
      <c r="AT112" s="10" t="s">
        <v>1113</v>
      </c>
      <c r="AU112" s="39" t="str">
        <f>データ!Q112</f>
        <v>騎士団全体の攻・防が小UP(3分間)</v>
      </c>
      <c r="AV112" s="10" t="s">
        <v>1024</v>
      </c>
      <c r="AW112" s="40" t="s">
        <v>1324</v>
      </c>
      <c r="AX112" s="39" t="str">
        <f>データ!R112</f>
        <v>-</v>
      </c>
      <c r="AY112" s="10" t="s">
        <v>1113</v>
      </c>
      <c r="AZ112" s="39" t="str">
        <f>データ!S112</f>
        <v>　</v>
      </c>
      <c r="BA112" s="41" t="s">
        <v>1024</v>
      </c>
      <c r="BB112" s="40" t="s">
        <v>1319</v>
      </c>
      <c r="BC112" s="39" t="str">
        <f>データ!T112</f>
        <v>-</v>
      </c>
      <c r="BD112" s="41" t="s">
        <v>1024</v>
      </c>
      <c r="BE112" s="40" t="s">
        <v>1320</v>
      </c>
      <c r="BF112" s="39" t="str">
        <f>データ!U112</f>
        <v>-</v>
      </c>
      <c r="BG112" s="41" t="s">
        <v>1024</v>
      </c>
      <c r="BH112" s="40" t="s">
        <v>1319</v>
      </c>
      <c r="BI112" s="39" t="str">
        <f>データ!V112</f>
        <v>ガチャイベ</v>
      </c>
      <c r="BJ112" s="41" t="s">
        <v>1024</v>
      </c>
      <c r="BK112" s="10" t="s">
        <v>1019</v>
      </c>
    </row>
    <row r="113" spans="1:63" x14ac:dyDescent="0.15">
      <c r="A113" s="10" t="s">
        <v>1016</v>
      </c>
      <c r="B113" s="10" t="s">
        <v>1454</v>
      </c>
      <c r="C113" s="38" t="str">
        <f>"./images/thumbnail/"&amp;データ!B113&amp;".jpg"</f>
        <v>./images/thumbnail/1172.jpg</v>
      </c>
      <c r="D113" s="38" t="s">
        <v>1455</v>
      </c>
      <c r="E113" s="38" t="str">
        <f>"./images/thumbnail/"&amp;データ!B113&amp;".jpg"</f>
        <v>./images/thumbnail/1172.jpg</v>
      </c>
      <c r="F113" s="38" t="s">
        <v>1116</v>
      </c>
      <c r="G113" s="38" t="s">
        <v>1319</v>
      </c>
      <c r="H113" s="38" t="str">
        <f>データ!C113</f>
        <v>ノンノリア</v>
      </c>
      <c r="I113" s="38" t="s">
        <v>1024</v>
      </c>
      <c r="J113" s="38" t="s">
        <v>1320</v>
      </c>
      <c r="K113" s="38" t="str">
        <f>データ!D113</f>
        <v>SSR</v>
      </c>
      <c r="L113" s="38" t="s">
        <v>1024</v>
      </c>
      <c r="M113" s="38" t="s">
        <v>1321</v>
      </c>
      <c r="N113" s="38">
        <f>データ!E113</f>
        <v>13</v>
      </c>
      <c r="O113" s="38" t="s">
        <v>1024</v>
      </c>
      <c r="P113" s="38" t="s">
        <v>1319</v>
      </c>
      <c r="Q113" s="38" t="str">
        <f>データ!F113</f>
        <v>遠</v>
      </c>
      <c r="R113" s="38" t="s">
        <v>1024</v>
      </c>
      <c r="S113" s="38" t="s">
        <v>1319</v>
      </c>
      <c r="T113" s="39">
        <f>データ!G113</f>
        <v>16658</v>
      </c>
      <c r="U113" s="40" t="s">
        <v>1024</v>
      </c>
      <c r="V113" s="40" t="s">
        <v>1319</v>
      </c>
      <c r="W113" s="39">
        <f>データ!H113</f>
        <v>5811</v>
      </c>
      <c r="X113" s="40" t="s">
        <v>1024</v>
      </c>
      <c r="Y113" s="40" t="s">
        <v>1319</v>
      </c>
      <c r="Z113" s="39">
        <f>データ!I113</f>
        <v>5126</v>
      </c>
      <c r="AA113" s="40" t="s">
        <v>1024</v>
      </c>
      <c r="AB113" s="40" t="s">
        <v>1322</v>
      </c>
      <c r="AC113" s="39" t="str">
        <f>データ!J113</f>
        <v>S-</v>
      </c>
      <c r="AD113" s="38" t="s">
        <v>1024</v>
      </c>
      <c r="AE113" s="40" t="s">
        <v>1323</v>
      </c>
      <c r="AF113" s="39">
        <f>データ!K113</f>
        <v>27595</v>
      </c>
      <c r="AG113" s="40" t="s">
        <v>1024</v>
      </c>
      <c r="AH113" s="40" t="s">
        <v>1324</v>
      </c>
      <c r="AI113" s="39" t="str">
        <f>データ!L113</f>
        <v>夢限の息吹／真</v>
      </c>
      <c r="AJ113" s="10" t="s">
        <v>1113</v>
      </c>
      <c r="AK113" s="39" t="str">
        <f>データ!M113</f>
        <v>味方1体を蘇生[HP中]</v>
      </c>
      <c r="AL113" s="10" t="s">
        <v>1024</v>
      </c>
      <c r="AM113" s="40" t="s">
        <v>1325</v>
      </c>
      <c r="AN113" s="39" t="str">
        <f>データ!N113</f>
        <v>-</v>
      </c>
      <c r="AO113" s="10" t="s">
        <v>1113</v>
      </c>
      <c r="AP113" s="39" t="str">
        <f>データ!O113</f>
        <v>　</v>
      </c>
      <c r="AQ113" s="41" t="s">
        <v>1024</v>
      </c>
      <c r="AR113" s="40" t="s">
        <v>1324</v>
      </c>
      <c r="AS113" s="39" t="str">
        <f>データ!P113</f>
        <v>シャドウ</v>
      </c>
      <c r="AT113" s="10" t="s">
        <v>1113</v>
      </c>
      <c r="AU113" s="39" t="str">
        <f>データ!Q113</f>
        <v>バトル時の強襲CB率が小UP(3分間)</v>
      </c>
      <c r="AV113" s="10" t="s">
        <v>1024</v>
      </c>
      <c r="AW113" s="40" t="s">
        <v>1324</v>
      </c>
      <c r="AX113" s="39" t="str">
        <f>データ!R113</f>
        <v>-</v>
      </c>
      <c r="AY113" s="10" t="s">
        <v>1113</v>
      </c>
      <c r="AZ113" s="39" t="str">
        <f>データ!S113</f>
        <v>　</v>
      </c>
      <c r="BA113" s="41" t="s">
        <v>1024</v>
      </c>
      <c r="BB113" s="40" t="s">
        <v>1319</v>
      </c>
      <c r="BC113" s="39" t="str">
        <f>データ!T113</f>
        <v>-</v>
      </c>
      <c r="BD113" s="41" t="s">
        <v>1024</v>
      </c>
      <c r="BE113" s="40" t="s">
        <v>1320</v>
      </c>
      <c r="BF113" s="39" t="str">
        <f>データ!U113</f>
        <v>-</v>
      </c>
      <c r="BG113" s="41" t="s">
        <v>1024</v>
      </c>
      <c r="BH113" s="40" t="s">
        <v>1319</v>
      </c>
      <c r="BI113" s="39" t="str">
        <f>データ!V113</f>
        <v>ガチャイベ</v>
      </c>
      <c r="BJ113" s="41" t="s">
        <v>1024</v>
      </c>
      <c r="BK113" s="10" t="s">
        <v>1019</v>
      </c>
    </row>
    <row r="114" spans="1:63" x14ac:dyDescent="0.15">
      <c r="A114" s="10" t="s">
        <v>1016</v>
      </c>
      <c r="B114" s="10" t="s">
        <v>1454</v>
      </c>
      <c r="C114" s="38" t="str">
        <f>"./images/thumbnail/"&amp;データ!B114&amp;".jpg"</f>
        <v>./images/thumbnail/1177.jpg</v>
      </c>
      <c r="D114" s="38" t="s">
        <v>1455</v>
      </c>
      <c r="E114" s="38" t="str">
        <f>"./images/thumbnail/"&amp;データ!B114&amp;".jpg"</f>
        <v>./images/thumbnail/1177.jpg</v>
      </c>
      <c r="F114" s="38" t="s">
        <v>1116</v>
      </c>
      <c r="G114" s="38" t="s">
        <v>1319</v>
      </c>
      <c r="H114" s="38" t="str">
        <f>データ!C114</f>
        <v>ナターシャ</v>
      </c>
      <c r="I114" s="38" t="s">
        <v>1024</v>
      </c>
      <c r="J114" s="38" t="s">
        <v>1320</v>
      </c>
      <c r="K114" s="38" t="str">
        <f>データ!D114</f>
        <v>SSR</v>
      </c>
      <c r="L114" s="38" t="s">
        <v>1024</v>
      </c>
      <c r="M114" s="38" t="s">
        <v>1321</v>
      </c>
      <c r="N114" s="38">
        <f>データ!E114</f>
        <v>12</v>
      </c>
      <c r="O114" s="38" t="s">
        <v>1024</v>
      </c>
      <c r="P114" s="38" t="s">
        <v>1319</v>
      </c>
      <c r="Q114" s="38" t="str">
        <f>データ!F114</f>
        <v>斬</v>
      </c>
      <c r="R114" s="38" t="s">
        <v>1024</v>
      </c>
      <c r="S114" s="38" t="s">
        <v>1319</v>
      </c>
      <c r="T114" s="39">
        <f>データ!G114</f>
        <v>13840</v>
      </c>
      <c r="U114" s="40" t="s">
        <v>1024</v>
      </c>
      <c r="V114" s="40" t="s">
        <v>1319</v>
      </c>
      <c r="W114" s="39">
        <f>データ!H114</f>
        <v>6735</v>
      </c>
      <c r="X114" s="40" t="s">
        <v>1024</v>
      </c>
      <c r="Y114" s="40" t="s">
        <v>1319</v>
      </c>
      <c r="Z114" s="39">
        <f>データ!I114</f>
        <v>4707</v>
      </c>
      <c r="AA114" s="40" t="s">
        <v>1024</v>
      </c>
      <c r="AB114" s="40" t="s">
        <v>1322</v>
      </c>
      <c r="AC114" s="39" t="str">
        <f>データ!J114</f>
        <v>S+</v>
      </c>
      <c r="AD114" s="38" t="s">
        <v>1024</v>
      </c>
      <c r="AE114" s="40" t="s">
        <v>1323</v>
      </c>
      <c r="AF114" s="39">
        <f>データ!K114</f>
        <v>25282</v>
      </c>
      <c r="AG114" s="40" t="s">
        <v>1024</v>
      </c>
      <c r="AH114" s="40" t="s">
        <v>1324</v>
      </c>
      <c r="AI114" s="39" t="str">
        <f>データ!L114</f>
        <v>破岩の縦十字／絶</v>
      </c>
      <c r="AJ114" s="10" t="s">
        <v>1113</v>
      </c>
      <c r="AK114" s="39" t="str">
        <f>データ!M114</f>
        <v>十字型に固定ダメージ[大]</v>
      </c>
      <c r="AL114" s="10" t="s">
        <v>1024</v>
      </c>
      <c r="AM114" s="40" t="s">
        <v>1325</v>
      </c>
      <c r="AN114" s="39" t="str">
        <f>データ!N114</f>
        <v>-</v>
      </c>
      <c r="AO114" s="10" t="s">
        <v>1113</v>
      </c>
      <c r="AP114" s="39" t="str">
        <f>データ!O114</f>
        <v>　</v>
      </c>
      <c r="AQ114" s="41" t="s">
        <v>1024</v>
      </c>
      <c r="AR114" s="40" t="s">
        <v>1324</v>
      </c>
      <c r="AS114" s="39" t="str">
        <f>データ!P114</f>
        <v>エース／真</v>
      </c>
      <c r="AT114" s="10" t="s">
        <v>1113</v>
      </c>
      <c r="AU114" s="39" t="str">
        <f>データ!Q114</f>
        <v>パーティ全体の攻・防が中UP(3分間)</v>
      </c>
      <c r="AV114" s="10" t="s">
        <v>1024</v>
      </c>
      <c r="AW114" s="40" t="s">
        <v>1324</v>
      </c>
      <c r="AX114" s="39" t="str">
        <f>データ!R114</f>
        <v>-</v>
      </c>
      <c r="AY114" s="10" t="s">
        <v>1113</v>
      </c>
      <c r="AZ114" s="39" t="str">
        <f>データ!S114</f>
        <v>　</v>
      </c>
      <c r="BA114" s="41" t="s">
        <v>1024</v>
      </c>
      <c r="BB114" s="40" t="s">
        <v>1319</v>
      </c>
      <c r="BC114" s="39" t="str">
        <f>データ!T114</f>
        <v>-</v>
      </c>
      <c r="BD114" s="41" t="s">
        <v>1024</v>
      </c>
      <c r="BE114" s="40" t="s">
        <v>1320</v>
      </c>
      <c r="BF114" s="39" t="str">
        <f>データ!U114</f>
        <v>-</v>
      </c>
      <c r="BG114" s="41" t="s">
        <v>1024</v>
      </c>
      <c r="BH114" s="40" t="s">
        <v>1319</v>
      </c>
      <c r="BI114" s="39" t="str">
        <f>データ!V114</f>
        <v>魔女の追憶イベ</v>
      </c>
      <c r="BJ114" s="41" t="s">
        <v>1024</v>
      </c>
      <c r="BK114" s="10" t="s">
        <v>1019</v>
      </c>
    </row>
    <row r="115" spans="1:63" x14ac:dyDescent="0.15">
      <c r="A115" s="10" t="s">
        <v>1016</v>
      </c>
      <c r="B115" s="10" t="s">
        <v>1454</v>
      </c>
      <c r="C115" s="38" t="str">
        <f>"./images/thumbnail/"&amp;データ!B115&amp;".jpg"</f>
        <v>./images/thumbnail/1179.jpg</v>
      </c>
      <c r="D115" s="38" t="s">
        <v>1455</v>
      </c>
      <c r="E115" s="38" t="str">
        <f>"./images/thumbnail/"&amp;データ!B115&amp;".jpg"</f>
        <v>./images/thumbnail/1179.jpg</v>
      </c>
      <c r="F115" s="38" t="s">
        <v>1116</v>
      </c>
      <c r="G115" s="38" t="s">
        <v>1319</v>
      </c>
      <c r="H115" s="38" t="str">
        <f>データ!C115</f>
        <v>イザベラ</v>
      </c>
      <c r="I115" s="38" t="s">
        <v>1024</v>
      </c>
      <c r="J115" s="38" t="s">
        <v>1320</v>
      </c>
      <c r="K115" s="38" t="str">
        <f>データ!D115</f>
        <v>SSR</v>
      </c>
      <c r="L115" s="38" t="s">
        <v>1024</v>
      </c>
      <c r="M115" s="38" t="s">
        <v>1321</v>
      </c>
      <c r="N115" s="38">
        <f>データ!E115</f>
        <v>13</v>
      </c>
      <c r="O115" s="38" t="s">
        <v>1024</v>
      </c>
      <c r="P115" s="38" t="s">
        <v>1319</v>
      </c>
      <c r="Q115" s="38" t="str">
        <f>データ!F115</f>
        <v>斬</v>
      </c>
      <c r="R115" s="38" t="s">
        <v>1024</v>
      </c>
      <c r="S115" s="38" t="s">
        <v>1319</v>
      </c>
      <c r="T115" s="39">
        <f>データ!G115</f>
        <v>14324</v>
      </c>
      <c r="U115" s="40" t="s">
        <v>1024</v>
      </c>
      <c r="V115" s="40" t="s">
        <v>1319</v>
      </c>
      <c r="W115" s="39">
        <f>データ!H115</f>
        <v>7766</v>
      </c>
      <c r="X115" s="40" t="s">
        <v>1024</v>
      </c>
      <c r="Y115" s="40" t="s">
        <v>1319</v>
      </c>
      <c r="Z115" s="39">
        <f>データ!I115</f>
        <v>5246</v>
      </c>
      <c r="AA115" s="40" t="s">
        <v>1024</v>
      </c>
      <c r="AB115" s="40" t="s">
        <v>1322</v>
      </c>
      <c r="AC115" s="39" t="str">
        <f>データ!J115</f>
        <v>A+</v>
      </c>
      <c r="AD115" s="38" t="s">
        <v>1024</v>
      </c>
      <c r="AE115" s="40" t="s">
        <v>1323</v>
      </c>
      <c r="AF115" s="39">
        <f>データ!K115</f>
        <v>27336</v>
      </c>
      <c r="AG115" s="40" t="s">
        <v>1024</v>
      </c>
      <c r="AH115" s="40" t="s">
        <v>1324</v>
      </c>
      <c r="AI115" s="39" t="str">
        <f>データ!L115</f>
        <v>斬紅の覇道</v>
      </c>
      <c r="AJ115" s="10" t="s">
        <v>1113</v>
      </c>
      <c r="AK115" s="39" t="str">
        <f>データ!M115</f>
        <v>味方斬属性の攻撃力をUP[大]</v>
      </c>
      <c r="AL115" s="10" t="s">
        <v>1024</v>
      </c>
      <c r="AM115" s="40" t="s">
        <v>1325</v>
      </c>
      <c r="AN115" s="39" t="str">
        <f>データ!N115</f>
        <v>-</v>
      </c>
      <c r="AO115" s="10" t="s">
        <v>1113</v>
      </c>
      <c r="AP115" s="39" t="str">
        <f>データ!O115</f>
        <v>　</v>
      </c>
      <c r="AQ115" s="41" t="s">
        <v>1024</v>
      </c>
      <c r="AR115" s="40" t="s">
        <v>1324</v>
      </c>
      <c r="AS115" s="39" t="str">
        <f>データ!P115</f>
        <v>ヒール／真斬紅</v>
      </c>
      <c r="AT115" s="10" t="s">
        <v>1113</v>
      </c>
      <c r="AU115" s="39" t="str">
        <f>データ!Q115</f>
        <v>斬属性の生存ユニットのHPを高確率で全回復</v>
      </c>
      <c r="AV115" s="10" t="s">
        <v>1024</v>
      </c>
      <c r="AW115" s="40" t="s">
        <v>1324</v>
      </c>
      <c r="AX115" s="39" t="str">
        <f>データ!R115</f>
        <v>-</v>
      </c>
      <c r="AY115" s="10" t="s">
        <v>1113</v>
      </c>
      <c r="AZ115" s="39" t="str">
        <f>データ!S115</f>
        <v>　</v>
      </c>
      <c r="BA115" s="41" t="s">
        <v>1024</v>
      </c>
      <c r="BB115" s="40" t="s">
        <v>1319</v>
      </c>
      <c r="BC115" s="39" t="str">
        <f>データ!T115</f>
        <v>-</v>
      </c>
      <c r="BD115" s="41" t="s">
        <v>1024</v>
      </c>
      <c r="BE115" s="40" t="s">
        <v>1320</v>
      </c>
      <c r="BF115" s="39" t="str">
        <f>データ!U115</f>
        <v>-</v>
      </c>
      <c r="BG115" s="41" t="s">
        <v>1024</v>
      </c>
      <c r="BH115" s="40" t="s">
        <v>1319</v>
      </c>
      <c r="BI115" s="39" t="str">
        <f>データ!V115</f>
        <v>常設</v>
      </c>
      <c r="BJ115" s="41" t="s">
        <v>1024</v>
      </c>
      <c r="BK115" s="10" t="s">
        <v>1019</v>
      </c>
    </row>
    <row r="116" spans="1:63" x14ac:dyDescent="0.15">
      <c r="A116" s="10" t="s">
        <v>1016</v>
      </c>
      <c r="B116" s="10" t="s">
        <v>1454</v>
      </c>
      <c r="C116" s="38" t="str">
        <f>"./images/thumbnail/"&amp;データ!B116&amp;".jpg"</f>
        <v>./images/thumbnail/1181.jpg</v>
      </c>
      <c r="D116" s="38" t="s">
        <v>1455</v>
      </c>
      <c r="E116" s="38" t="str">
        <f>"./images/thumbnail/"&amp;データ!B116&amp;".jpg"</f>
        <v>./images/thumbnail/1181.jpg</v>
      </c>
      <c r="F116" s="38" t="s">
        <v>1116</v>
      </c>
      <c r="G116" s="38" t="s">
        <v>1319</v>
      </c>
      <c r="H116" s="38" t="str">
        <f>データ!C116</f>
        <v>ルーカン</v>
      </c>
      <c r="I116" s="38" t="s">
        <v>1024</v>
      </c>
      <c r="J116" s="38" t="s">
        <v>1320</v>
      </c>
      <c r="K116" s="38" t="str">
        <f>データ!D116</f>
        <v>SSR</v>
      </c>
      <c r="L116" s="38" t="s">
        <v>1024</v>
      </c>
      <c r="M116" s="38" t="s">
        <v>1321</v>
      </c>
      <c r="N116" s="38">
        <f>データ!E116</f>
        <v>13</v>
      </c>
      <c r="O116" s="38" t="s">
        <v>1024</v>
      </c>
      <c r="P116" s="38" t="s">
        <v>1319</v>
      </c>
      <c r="Q116" s="38" t="str">
        <f>データ!F116</f>
        <v>突</v>
      </c>
      <c r="R116" s="38" t="s">
        <v>1024</v>
      </c>
      <c r="S116" s="38" t="s">
        <v>1319</v>
      </c>
      <c r="T116" s="39">
        <f>データ!G116</f>
        <v>16116</v>
      </c>
      <c r="U116" s="40" t="s">
        <v>1024</v>
      </c>
      <c r="V116" s="40" t="s">
        <v>1319</v>
      </c>
      <c r="W116" s="39">
        <f>データ!H116</f>
        <v>5077</v>
      </c>
      <c r="X116" s="40" t="s">
        <v>1024</v>
      </c>
      <c r="Y116" s="40" t="s">
        <v>1319</v>
      </c>
      <c r="Z116" s="39">
        <f>データ!I116</f>
        <v>5947</v>
      </c>
      <c r="AA116" s="40" t="s">
        <v>1024</v>
      </c>
      <c r="AB116" s="40" t="s">
        <v>1322</v>
      </c>
      <c r="AC116" s="39" t="str">
        <f>データ!J116</f>
        <v>SS1</v>
      </c>
      <c r="AD116" s="38" t="s">
        <v>1024</v>
      </c>
      <c r="AE116" s="40" t="s">
        <v>1323</v>
      </c>
      <c r="AF116" s="39">
        <f>データ!K116</f>
        <v>27140</v>
      </c>
      <c r="AG116" s="40" t="s">
        <v>1024</v>
      </c>
      <c r="AH116" s="40" t="s">
        <v>1324</v>
      </c>
      <c r="AI116" s="39" t="str">
        <f>データ!L116</f>
        <v>幻神の五連撃</v>
      </c>
      <c r="AJ116" s="10" t="s">
        <v>1113</v>
      </c>
      <c r="AK116" s="39" t="str">
        <f>データ!M116</f>
        <v>ランダムで5連続攻撃[小]</v>
      </c>
      <c r="AL116" s="10" t="s">
        <v>1024</v>
      </c>
      <c r="AM116" s="40" t="s">
        <v>1325</v>
      </c>
      <c r="AN116" s="39" t="str">
        <f>データ!N116</f>
        <v>-</v>
      </c>
      <c r="AO116" s="10" t="s">
        <v>1113</v>
      </c>
      <c r="AP116" s="39" t="str">
        <f>データ!O116</f>
        <v>　</v>
      </c>
      <c r="AQ116" s="41" t="s">
        <v>1024</v>
      </c>
      <c r="AR116" s="40" t="s">
        <v>1324</v>
      </c>
      <c r="AS116" s="39" t="str">
        <f>データ!P116</f>
        <v>フォートレス／真</v>
      </c>
      <c r="AT116" s="10" t="s">
        <v>1113</v>
      </c>
      <c r="AU116" s="39" t="str">
        <f>データ!Q116</f>
        <v>パーティ全体の防御力が中UP(3分間)</v>
      </c>
      <c r="AV116" s="10" t="s">
        <v>1024</v>
      </c>
      <c r="AW116" s="40" t="s">
        <v>1324</v>
      </c>
      <c r="AX116" s="39" t="str">
        <f>データ!R116</f>
        <v>-</v>
      </c>
      <c r="AY116" s="10" t="s">
        <v>1113</v>
      </c>
      <c r="AZ116" s="39" t="str">
        <f>データ!S116</f>
        <v>　</v>
      </c>
      <c r="BA116" s="41" t="s">
        <v>1024</v>
      </c>
      <c r="BB116" s="40" t="s">
        <v>1319</v>
      </c>
      <c r="BC116" s="39" t="str">
        <f>データ!T116</f>
        <v>-</v>
      </c>
      <c r="BD116" s="41" t="s">
        <v>1024</v>
      </c>
      <c r="BE116" s="40" t="s">
        <v>1320</v>
      </c>
      <c r="BF116" s="39" t="str">
        <f>データ!U116</f>
        <v>-</v>
      </c>
      <c r="BG116" s="41" t="s">
        <v>1024</v>
      </c>
      <c r="BH116" s="40" t="s">
        <v>1319</v>
      </c>
      <c r="BI116" s="39" t="str">
        <f>データ!V116</f>
        <v>常設</v>
      </c>
      <c r="BJ116" s="41" t="s">
        <v>1024</v>
      </c>
      <c r="BK116" s="10" t="s">
        <v>1019</v>
      </c>
    </row>
    <row r="117" spans="1:63" x14ac:dyDescent="0.15">
      <c r="A117" s="10" t="s">
        <v>1016</v>
      </c>
      <c r="B117" s="10" t="s">
        <v>1454</v>
      </c>
      <c r="C117" s="38" t="str">
        <f>"./images/thumbnail/"&amp;データ!B117&amp;".jpg"</f>
        <v>./images/thumbnail/1183.jpg</v>
      </c>
      <c r="D117" s="38" t="s">
        <v>1455</v>
      </c>
      <c r="E117" s="38" t="str">
        <f>"./images/thumbnail/"&amp;データ!B117&amp;".jpg"</f>
        <v>./images/thumbnail/1183.jpg</v>
      </c>
      <c r="F117" s="38" t="s">
        <v>1116</v>
      </c>
      <c r="G117" s="38" t="s">
        <v>1319</v>
      </c>
      <c r="H117" s="38" t="str">
        <f>データ!C117</f>
        <v>カリーネ</v>
      </c>
      <c r="I117" s="38" t="s">
        <v>1024</v>
      </c>
      <c r="J117" s="38" t="s">
        <v>1320</v>
      </c>
      <c r="K117" s="38" t="str">
        <f>データ!D117</f>
        <v>SSR</v>
      </c>
      <c r="L117" s="38" t="s">
        <v>1024</v>
      </c>
      <c r="M117" s="38" t="s">
        <v>1321</v>
      </c>
      <c r="N117" s="38">
        <f>データ!E117</f>
        <v>13</v>
      </c>
      <c r="O117" s="38" t="s">
        <v>1024</v>
      </c>
      <c r="P117" s="38" t="s">
        <v>1319</v>
      </c>
      <c r="Q117" s="38" t="str">
        <f>データ!F117</f>
        <v>打</v>
      </c>
      <c r="R117" s="38" t="s">
        <v>1024</v>
      </c>
      <c r="S117" s="38" t="s">
        <v>1319</v>
      </c>
      <c r="T117" s="39">
        <f>データ!G117</f>
        <v>17905</v>
      </c>
      <c r="U117" s="40" t="s">
        <v>1024</v>
      </c>
      <c r="V117" s="40" t="s">
        <v>1319</v>
      </c>
      <c r="W117" s="39">
        <f>データ!H117</f>
        <v>6595</v>
      </c>
      <c r="X117" s="40" t="s">
        <v>1024</v>
      </c>
      <c r="Y117" s="40" t="s">
        <v>1319</v>
      </c>
      <c r="Z117" s="39">
        <f>データ!I117</f>
        <v>6394</v>
      </c>
      <c r="AA117" s="40" t="s">
        <v>1024</v>
      </c>
      <c r="AB117" s="40" t="s">
        <v>1322</v>
      </c>
      <c r="AC117" s="39" t="str">
        <f>データ!J117</f>
        <v>A-</v>
      </c>
      <c r="AD117" s="38" t="s">
        <v>1024</v>
      </c>
      <c r="AE117" s="40" t="s">
        <v>1323</v>
      </c>
      <c r="AF117" s="39">
        <f>データ!K117</f>
        <v>30894</v>
      </c>
      <c r="AG117" s="40" t="s">
        <v>1024</v>
      </c>
      <c r="AH117" s="40" t="s">
        <v>1324</v>
      </c>
      <c r="AI117" s="39" t="str">
        <f>データ!L117</f>
        <v>癒やしの光／絶</v>
      </c>
      <c r="AJ117" s="10" t="s">
        <v>1113</v>
      </c>
      <c r="AK117" s="39" t="str">
        <f>データ!M117</f>
        <v>最もダメージが多い味方1人のHP回復[大]</v>
      </c>
      <c r="AL117" s="10" t="s">
        <v>1024</v>
      </c>
      <c r="AM117" s="40" t="s">
        <v>1325</v>
      </c>
      <c r="AN117" s="39" t="str">
        <f>データ!N117</f>
        <v>-</v>
      </c>
      <c r="AO117" s="10" t="s">
        <v>1113</v>
      </c>
      <c r="AP117" s="39" t="str">
        <f>データ!O117</f>
        <v>　</v>
      </c>
      <c r="AQ117" s="41" t="s">
        <v>1024</v>
      </c>
      <c r="AR117" s="40" t="s">
        <v>1324</v>
      </c>
      <c r="AS117" s="39" t="str">
        <f>データ!P117</f>
        <v>リヴァイブ／真紫打</v>
      </c>
      <c r="AT117" s="10" t="s">
        <v>1113</v>
      </c>
      <c r="AU117" s="39" t="str">
        <f>データ!Q117</f>
        <v>高確率で打属性のユニットを復帰</v>
      </c>
      <c r="AV117" s="10" t="s">
        <v>1024</v>
      </c>
      <c r="AW117" s="40" t="s">
        <v>1324</v>
      </c>
      <c r="AX117" s="39" t="str">
        <f>データ!R117</f>
        <v>-</v>
      </c>
      <c r="AY117" s="10" t="s">
        <v>1113</v>
      </c>
      <c r="AZ117" s="39" t="str">
        <f>データ!S117</f>
        <v>　</v>
      </c>
      <c r="BA117" s="41" t="s">
        <v>1024</v>
      </c>
      <c r="BB117" s="40" t="s">
        <v>1319</v>
      </c>
      <c r="BC117" s="39" t="str">
        <f>データ!T117</f>
        <v>-</v>
      </c>
      <c r="BD117" s="41" t="s">
        <v>1024</v>
      </c>
      <c r="BE117" s="40" t="s">
        <v>1320</v>
      </c>
      <c r="BF117" s="39" t="str">
        <f>データ!U117</f>
        <v>-</v>
      </c>
      <c r="BG117" s="41" t="s">
        <v>1024</v>
      </c>
      <c r="BH117" s="40" t="s">
        <v>1319</v>
      </c>
      <c r="BI117" s="39" t="str">
        <f>データ!V117</f>
        <v>常設</v>
      </c>
      <c r="BJ117" s="41" t="s">
        <v>1024</v>
      </c>
      <c r="BK117" s="10" t="s">
        <v>1019</v>
      </c>
    </row>
    <row r="118" spans="1:63" x14ac:dyDescent="0.15">
      <c r="A118" s="10" t="s">
        <v>1016</v>
      </c>
      <c r="B118" s="10" t="s">
        <v>1454</v>
      </c>
      <c r="C118" s="38" t="str">
        <f>"./images/thumbnail/"&amp;データ!B118&amp;".jpg"</f>
        <v>./images/thumbnail/1185.jpg</v>
      </c>
      <c r="D118" s="38" t="s">
        <v>1455</v>
      </c>
      <c r="E118" s="38" t="str">
        <f>"./images/thumbnail/"&amp;データ!B118&amp;".jpg"</f>
        <v>./images/thumbnail/1185.jpg</v>
      </c>
      <c r="F118" s="38" t="s">
        <v>1116</v>
      </c>
      <c r="G118" s="38" t="s">
        <v>1319</v>
      </c>
      <c r="H118" s="38" t="str">
        <f>データ!C118</f>
        <v>パスカル</v>
      </c>
      <c r="I118" s="38" t="s">
        <v>1024</v>
      </c>
      <c r="J118" s="38" t="s">
        <v>1320</v>
      </c>
      <c r="K118" s="38" t="str">
        <f>データ!D118</f>
        <v>SSR</v>
      </c>
      <c r="L118" s="38" t="s">
        <v>1024</v>
      </c>
      <c r="M118" s="38" t="s">
        <v>1321</v>
      </c>
      <c r="N118" s="38">
        <f>データ!E118</f>
        <v>13</v>
      </c>
      <c r="O118" s="38" t="s">
        <v>1024</v>
      </c>
      <c r="P118" s="38" t="s">
        <v>1319</v>
      </c>
      <c r="Q118" s="38" t="str">
        <f>データ!F118</f>
        <v>遠</v>
      </c>
      <c r="R118" s="38" t="s">
        <v>1024</v>
      </c>
      <c r="S118" s="38" t="s">
        <v>1319</v>
      </c>
      <c r="T118" s="39">
        <f>データ!G118</f>
        <v>18365</v>
      </c>
      <c r="U118" s="40" t="s">
        <v>1024</v>
      </c>
      <c r="V118" s="40" t="s">
        <v>1319</v>
      </c>
      <c r="W118" s="39">
        <f>データ!H118</f>
        <v>5436</v>
      </c>
      <c r="X118" s="40" t="s">
        <v>1024</v>
      </c>
      <c r="Y118" s="40" t="s">
        <v>1319</v>
      </c>
      <c r="Z118" s="39">
        <f>データ!I118</f>
        <v>4897</v>
      </c>
      <c r="AA118" s="40" t="s">
        <v>1024</v>
      </c>
      <c r="AB118" s="40" t="s">
        <v>1322</v>
      </c>
      <c r="AC118" s="39" t="str">
        <f>データ!J118</f>
        <v>S-</v>
      </c>
      <c r="AD118" s="38" t="s">
        <v>1024</v>
      </c>
      <c r="AE118" s="40" t="s">
        <v>1323</v>
      </c>
      <c r="AF118" s="39">
        <f>データ!K118</f>
        <v>28698</v>
      </c>
      <c r="AG118" s="40" t="s">
        <v>1024</v>
      </c>
      <c r="AH118" s="40" t="s">
        <v>1324</v>
      </c>
      <c r="AI118" s="39" t="str">
        <f>データ!L118</f>
        <v>暗闇の言霊／絶</v>
      </c>
      <c r="AJ118" s="10" t="s">
        <v>1113</v>
      </c>
      <c r="AK118" s="39" t="str">
        <f>データ!M118</f>
        <v>一定確率で敵を暗闇状態にする[高確率]</v>
      </c>
      <c r="AL118" s="10" t="s">
        <v>1024</v>
      </c>
      <c r="AM118" s="40" t="s">
        <v>1325</v>
      </c>
      <c r="AN118" s="39" t="str">
        <f>データ!N118</f>
        <v>-</v>
      </c>
      <c r="AO118" s="10" t="s">
        <v>1113</v>
      </c>
      <c r="AP118" s="39" t="str">
        <f>データ!O118</f>
        <v>　</v>
      </c>
      <c r="AQ118" s="41" t="s">
        <v>1024</v>
      </c>
      <c r="AR118" s="40" t="s">
        <v>1324</v>
      </c>
      <c r="AS118" s="39" t="str">
        <f>データ!P118</f>
        <v>ポイントライズ／真</v>
      </c>
      <c r="AT118" s="10" t="s">
        <v>1113</v>
      </c>
      <c r="AU118" s="39" t="str">
        <f>データ!Q118</f>
        <v>獲得する騎士団戦スコアが中アップ(バトル3回)</v>
      </c>
      <c r="AV118" s="10" t="s">
        <v>1024</v>
      </c>
      <c r="AW118" s="40" t="s">
        <v>1324</v>
      </c>
      <c r="AX118" s="39" t="str">
        <f>データ!R118</f>
        <v>-</v>
      </c>
      <c r="AY118" s="10" t="s">
        <v>1113</v>
      </c>
      <c r="AZ118" s="39" t="str">
        <f>データ!S118</f>
        <v>　</v>
      </c>
      <c r="BA118" s="41" t="s">
        <v>1024</v>
      </c>
      <c r="BB118" s="40" t="s">
        <v>1319</v>
      </c>
      <c r="BC118" s="39" t="str">
        <f>データ!T118</f>
        <v>-</v>
      </c>
      <c r="BD118" s="41" t="s">
        <v>1024</v>
      </c>
      <c r="BE118" s="40" t="s">
        <v>1320</v>
      </c>
      <c r="BF118" s="39" t="str">
        <f>データ!U118</f>
        <v>-</v>
      </c>
      <c r="BG118" s="41" t="s">
        <v>1024</v>
      </c>
      <c r="BH118" s="40" t="s">
        <v>1319</v>
      </c>
      <c r="BI118" s="39" t="str">
        <f>データ!V118</f>
        <v>常設</v>
      </c>
      <c r="BJ118" s="41" t="s">
        <v>1024</v>
      </c>
      <c r="BK118" s="10" t="s">
        <v>1019</v>
      </c>
    </row>
    <row r="119" spans="1:63" x14ac:dyDescent="0.15">
      <c r="A119" s="10" t="s">
        <v>1016</v>
      </c>
      <c r="B119" s="10" t="s">
        <v>1454</v>
      </c>
      <c r="C119" s="38" t="str">
        <f>"./images/thumbnail/"&amp;データ!B119&amp;".jpg"</f>
        <v>./images/thumbnail/1187.jpg</v>
      </c>
      <c r="D119" s="38" t="s">
        <v>1455</v>
      </c>
      <c r="E119" s="38" t="str">
        <f>"./images/thumbnail/"&amp;データ!B119&amp;".jpg"</f>
        <v>./images/thumbnail/1187.jpg</v>
      </c>
      <c r="F119" s="38" t="s">
        <v>1116</v>
      </c>
      <c r="G119" s="38" t="s">
        <v>1319</v>
      </c>
      <c r="H119" s="38" t="str">
        <f>データ!C119</f>
        <v>アルフォンス</v>
      </c>
      <c r="I119" s="38" t="s">
        <v>1024</v>
      </c>
      <c r="J119" s="38" t="s">
        <v>1320</v>
      </c>
      <c r="K119" s="38" t="str">
        <f>データ!D119</f>
        <v>SSR</v>
      </c>
      <c r="L119" s="38" t="s">
        <v>1024</v>
      </c>
      <c r="M119" s="38" t="s">
        <v>1321</v>
      </c>
      <c r="N119" s="38">
        <f>データ!E119</f>
        <v>12</v>
      </c>
      <c r="O119" s="38" t="s">
        <v>1024</v>
      </c>
      <c r="P119" s="38" t="s">
        <v>1319</v>
      </c>
      <c r="Q119" s="38" t="str">
        <f>データ!F119</f>
        <v>斬</v>
      </c>
      <c r="R119" s="38" t="s">
        <v>1024</v>
      </c>
      <c r="S119" s="38" t="s">
        <v>1319</v>
      </c>
      <c r="T119" s="39">
        <f>データ!G119</f>
        <v>14715</v>
      </c>
      <c r="U119" s="40" t="s">
        <v>1024</v>
      </c>
      <c r="V119" s="40" t="s">
        <v>1319</v>
      </c>
      <c r="W119" s="39">
        <f>データ!H119</f>
        <v>6766</v>
      </c>
      <c r="X119" s="40" t="s">
        <v>1024</v>
      </c>
      <c r="Y119" s="40" t="s">
        <v>1319</v>
      </c>
      <c r="Z119" s="39">
        <f>データ!I119</f>
        <v>4952</v>
      </c>
      <c r="AA119" s="40" t="s">
        <v>1024</v>
      </c>
      <c r="AB119" s="40" t="s">
        <v>1322</v>
      </c>
      <c r="AC119" s="39" t="str">
        <f>データ!J119</f>
        <v>A+</v>
      </c>
      <c r="AD119" s="38" t="s">
        <v>1024</v>
      </c>
      <c r="AE119" s="40" t="s">
        <v>1323</v>
      </c>
      <c r="AF119" s="39">
        <f>データ!K119</f>
        <v>26433</v>
      </c>
      <c r="AG119" s="40" t="s">
        <v>1024</v>
      </c>
      <c r="AH119" s="40" t="s">
        <v>1324</v>
      </c>
      <c r="AI119" s="39" t="str">
        <f>データ!L119</f>
        <v>聖護消滅</v>
      </c>
      <c r="AJ119" s="10" t="s">
        <v>1113</v>
      </c>
      <c r="AK119" s="39" t="str">
        <f>データ!M119</f>
        <v>敵単体の防御力をDOWN[大]</v>
      </c>
      <c r="AL119" s="10" t="s">
        <v>1024</v>
      </c>
      <c r="AM119" s="40" t="s">
        <v>1325</v>
      </c>
      <c r="AN119" s="39" t="str">
        <f>データ!N119</f>
        <v>-</v>
      </c>
      <c r="AO119" s="10" t="s">
        <v>1113</v>
      </c>
      <c r="AP119" s="39" t="str">
        <f>データ!O119</f>
        <v>　</v>
      </c>
      <c r="AQ119" s="41" t="s">
        <v>1024</v>
      </c>
      <c r="AR119" s="40" t="s">
        <v>1324</v>
      </c>
      <c r="AS119" s="39" t="str">
        <f>データ!P119</f>
        <v>リヴァイブ／真</v>
      </c>
      <c r="AT119" s="10" t="s">
        <v>1113</v>
      </c>
      <c r="AU119" s="39" t="str">
        <f>データ!Q119</f>
        <v>中確率で戦闘不能ユニットを復帰</v>
      </c>
      <c r="AV119" s="10" t="s">
        <v>1024</v>
      </c>
      <c r="AW119" s="40" t="s">
        <v>1324</v>
      </c>
      <c r="AX119" s="39" t="str">
        <f>データ!R119</f>
        <v>-</v>
      </c>
      <c r="AY119" s="10" t="s">
        <v>1113</v>
      </c>
      <c r="AZ119" s="39" t="str">
        <f>データ!S119</f>
        <v>　</v>
      </c>
      <c r="BA119" s="41" t="s">
        <v>1024</v>
      </c>
      <c r="BB119" s="40" t="s">
        <v>1319</v>
      </c>
      <c r="BC119" s="39" t="str">
        <f>データ!T119</f>
        <v>-</v>
      </c>
      <c r="BD119" s="41" t="s">
        <v>1024</v>
      </c>
      <c r="BE119" s="40" t="s">
        <v>1320</v>
      </c>
      <c r="BF119" s="39" t="str">
        <f>データ!U119</f>
        <v>-</v>
      </c>
      <c r="BG119" s="41" t="s">
        <v>1024</v>
      </c>
      <c r="BH119" s="40" t="s">
        <v>1319</v>
      </c>
      <c r="BI119" s="39" t="str">
        <f>データ!V119</f>
        <v>メダル</v>
      </c>
      <c r="BJ119" s="41" t="s">
        <v>1024</v>
      </c>
      <c r="BK119" s="10" t="s">
        <v>1019</v>
      </c>
    </row>
    <row r="120" spans="1:63" x14ac:dyDescent="0.15">
      <c r="A120" s="10" t="s">
        <v>1016</v>
      </c>
      <c r="B120" s="10" t="s">
        <v>1454</v>
      </c>
      <c r="C120" s="38" t="str">
        <f>"./images/thumbnail/"&amp;データ!B120&amp;".jpg"</f>
        <v>./images/thumbnail/1188.jpg</v>
      </c>
      <c r="D120" s="38" t="s">
        <v>1455</v>
      </c>
      <c r="E120" s="38" t="str">
        <f>"./images/thumbnail/"&amp;データ!B120&amp;".jpg"</f>
        <v>./images/thumbnail/1188.jpg</v>
      </c>
      <c r="F120" s="38" t="s">
        <v>1116</v>
      </c>
      <c r="G120" s="38" t="s">
        <v>1319</v>
      </c>
      <c r="H120" s="38" t="str">
        <f>データ!C120</f>
        <v>デュド</v>
      </c>
      <c r="I120" s="38" t="s">
        <v>1024</v>
      </c>
      <c r="J120" s="38" t="s">
        <v>1320</v>
      </c>
      <c r="K120" s="38" t="str">
        <f>データ!D120</f>
        <v>SSR</v>
      </c>
      <c r="L120" s="38" t="s">
        <v>1024</v>
      </c>
      <c r="M120" s="38" t="s">
        <v>1321</v>
      </c>
      <c r="N120" s="38">
        <f>データ!E120</f>
        <v>12</v>
      </c>
      <c r="O120" s="38" t="s">
        <v>1024</v>
      </c>
      <c r="P120" s="38" t="s">
        <v>1319</v>
      </c>
      <c r="Q120" s="38" t="str">
        <f>データ!F120</f>
        <v>打</v>
      </c>
      <c r="R120" s="38" t="s">
        <v>1024</v>
      </c>
      <c r="S120" s="38" t="s">
        <v>1319</v>
      </c>
      <c r="T120" s="39">
        <f>データ!G120</f>
        <v>20391</v>
      </c>
      <c r="U120" s="40" t="s">
        <v>1024</v>
      </c>
      <c r="V120" s="40" t="s">
        <v>1319</v>
      </c>
      <c r="W120" s="39">
        <f>データ!H120</f>
        <v>5021</v>
      </c>
      <c r="X120" s="40" t="s">
        <v>1024</v>
      </c>
      <c r="Y120" s="40" t="s">
        <v>1319</v>
      </c>
      <c r="Z120" s="39">
        <f>データ!I120</f>
        <v>6180</v>
      </c>
      <c r="AA120" s="40" t="s">
        <v>1024</v>
      </c>
      <c r="AB120" s="40" t="s">
        <v>1322</v>
      </c>
      <c r="AC120" s="39" t="str">
        <f>データ!J120</f>
        <v>A-</v>
      </c>
      <c r="AD120" s="38" t="s">
        <v>1024</v>
      </c>
      <c r="AE120" s="40" t="s">
        <v>1323</v>
      </c>
      <c r="AF120" s="39">
        <f>データ!K120</f>
        <v>31592</v>
      </c>
      <c r="AG120" s="40" t="s">
        <v>1024</v>
      </c>
      <c r="AH120" s="40" t="s">
        <v>1324</v>
      </c>
      <c r="AI120" s="39" t="str">
        <f>データ!L120</f>
        <v>破魔の閃光／絶</v>
      </c>
      <c r="AJ120" s="10" t="s">
        <v>1113</v>
      </c>
      <c r="AK120" s="39" t="str">
        <f>データ!M120</f>
        <v>縦一列に固定ダメージ[大]</v>
      </c>
      <c r="AL120" s="10" t="s">
        <v>1024</v>
      </c>
      <c r="AM120" s="40" t="s">
        <v>1325</v>
      </c>
      <c r="AN120" s="39" t="str">
        <f>データ!N120</f>
        <v>-</v>
      </c>
      <c r="AO120" s="10" t="s">
        <v>1113</v>
      </c>
      <c r="AP120" s="39" t="str">
        <f>データ!O120</f>
        <v>　</v>
      </c>
      <c r="AQ120" s="41" t="s">
        <v>1024</v>
      </c>
      <c r="AR120" s="40" t="s">
        <v>1324</v>
      </c>
      <c r="AS120" s="39" t="str">
        <f>データ!P120</f>
        <v>シャドウ</v>
      </c>
      <c r="AT120" s="10" t="s">
        <v>1113</v>
      </c>
      <c r="AU120" s="39" t="str">
        <f>データ!Q120</f>
        <v>バトル時の強襲CB率が小UP(3分間)</v>
      </c>
      <c r="AV120" s="10" t="s">
        <v>1024</v>
      </c>
      <c r="AW120" s="40" t="s">
        <v>1324</v>
      </c>
      <c r="AX120" s="39" t="str">
        <f>データ!R120</f>
        <v>-</v>
      </c>
      <c r="AY120" s="10" t="s">
        <v>1113</v>
      </c>
      <c r="AZ120" s="39" t="str">
        <f>データ!S120</f>
        <v>　</v>
      </c>
      <c r="BA120" s="41" t="s">
        <v>1024</v>
      </c>
      <c r="BB120" s="40" t="s">
        <v>1319</v>
      </c>
      <c r="BC120" s="39" t="str">
        <f>データ!T120</f>
        <v>-</v>
      </c>
      <c r="BD120" s="41" t="s">
        <v>1024</v>
      </c>
      <c r="BE120" s="40" t="s">
        <v>1320</v>
      </c>
      <c r="BF120" s="39" t="str">
        <f>データ!U120</f>
        <v>-</v>
      </c>
      <c r="BG120" s="41" t="s">
        <v>1024</v>
      </c>
      <c r="BH120" s="40" t="s">
        <v>1319</v>
      </c>
      <c r="BI120" s="39" t="str">
        <f>データ!V120</f>
        <v>誓いイベ</v>
      </c>
      <c r="BJ120" s="41" t="s">
        <v>1024</v>
      </c>
      <c r="BK120" s="10" t="s">
        <v>1019</v>
      </c>
    </row>
    <row r="121" spans="1:63" x14ac:dyDescent="0.15">
      <c r="A121" s="10" t="s">
        <v>1016</v>
      </c>
      <c r="B121" s="10" t="s">
        <v>1454</v>
      </c>
      <c r="C121" s="38" t="str">
        <f>"./images/thumbnail/"&amp;データ!B121&amp;".jpg"</f>
        <v>./images/thumbnail/1191.jpg</v>
      </c>
      <c r="D121" s="38" t="s">
        <v>1455</v>
      </c>
      <c r="E121" s="38" t="str">
        <f>"./images/thumbnail/"&amp;データ!B121&amp;".jpg"</f>
        <v>./images/thumbnail/1191.jpg</v>
      </c>
      <c r="F121" s="38" t="s">
        <v>1116</v>
      </c>
      <c r="G121" s="38" t="s">
        <v>1319</v>
      </c>
      <c r="H121" s="38" t="str">
        <f>データ!C121</f>
        <v>アルノー</v>
      </c>
      <c r="I121" s="38" t="s">
        <v>1024</v>
      </c>
      <c r="J121" s="38" t="s">
        <v>1320</v>
      </c>
      <c r="K121" s="38" t="str">
        <f>データ!D121</f>
        <v>SSR</v>
      </c>
      <c r="L121" s="38" t="s">
        <v>1024</v>
      </c>
      <c r="M121" s="38" t="s">
        <v>1321</v>
      </c>
      <c r="N121" s="38">
        <f>データ!E121</f>
        <v>12</v>
      </c>
      <c r="O121" s="38" t="s">
        <v>1024</v>
      </c>
      <c r="P121" s="38" t="s">
        <v>1319</v>
      </c>
      <c r="Q121" s="38" t="str">
        <f>データ!F121</f>
        <v>突</v>
      </c>
      <c r="R121" s="38" t="s">
        <v>1024</v>
      </c>
      <c r="S121" s="38" t="s">
        <v>1319</v>
      </c>
      <c r="T121" s="39">
        <f>データ!G121</f>
        <v>16467</v>
      </c>
      <c r="U121" s="40" t="s">
        <v>1024</v>
      </c>
      <c r="V121" s="40" t="s">
        <v>1319</v>
      </c>
      <c r="W121" s="39">
        <f>データ!H121</f>
        <v>4902</v>
      </c>
      <c r="X121" s="40" t="s">
        <v>1024</v>
      </c>
      <c r="Y121" s="40" t="s">
        <v>1319</v>
      </c>
      <c r="Z121" s="39">
        <f>データ!I121</f>
        <v>5643</v>
      </c>
      <c r="AA121" s="40" t="s">
        <v>1024</v>
      </c>
      <c r="AB121" s="40" t="s">
        <v>1322</v>
      </c>
      <c r="AC121" s="39" t="str">
        <f>データ!J121</f>
        <v>SS-</v>
      </c>
      <c r="AD121" s="38" t="s">
        <v>1024</v>
      </c>
      <c r="AE121" s="40" t="s">
        <v>1323</v>
      </c>
      <c r="AF121" s="39">
        <f>データ!K121</f>
        <v>27012</v>
      </c>
      <c r="AG121" s="40" t="s">
        <v>1024</v>
      </c>
      <c r="AH121" s="40" t="s">
        <v>1324</v>
      </c>
      <c r="AI121" s="39" t="str">
        <f>データ!L121</f>
        <v>解除の一撃／真</v>
      </c>
      <c r="AJ121" s="10" t="s">
        <v>1113</v>
      </c>
      <c r="AK121" s="39" t="str">
        <f>データ!M121</f>
        <v>単体固定ダメージ[中]+敵ステータスUP解除</v>
      </c>
      <c r="AL121" s="38" t="s">
        <v>1024</v>
      </c>
      <c r="AM121" s="40" t="s">
        <v>1325</v>
      </c>
      <c r="AN121" s="39" t="str">
        <f>データ!N121</f>
        <v>-</v>
      </c>
      <c r="AO121" s="10" t="s">
        <v>1113</v>
      </c>
      <c r="AP121" s="39" t="str">
        <f>データ!O121</f>
        <v>　</v>
      </c>
      <c r="AQ121" s="41" t="s">
        <v>1024</v>
      </c>
      <c r="AR121" s="40" t="s">
        <v>1324</v>
      </c>
      <c r="AS121" s="39" t="str">
        <f>データ!P121</f>
        <v>アサルト／真</v>
      </c>
      <c r="AT121" s="10" t="s">
        <v>1113</v>
      </c>
      <c r="AU121" s="39" t="str">
        <f>データ!Q121</f>
        <v>パーティ全体の攻撃力が中UP(3分間)</v>
      </c>
      <c r="AV121" s="10" t="s">
        <v>1024</v>
      </c>
      <c r="AW121" s="40" t="s">
        <v>1324</v>
      </c>
      <c r="AX121" s="39" t="str">
        <f>データ!R121</f>
        <v>-</v>
      </c>
      <c r="AY121" s="10" t="s">
        <v>1113</v>
      </c>
      <c r="AZ121" s="39" t="str">
        <f>データ!S121</f>
        <v>　</v>
      </c>
      <c r="BA121" s="41" t="s">
        <v>1024</v>
      </c>
      <c r="BB121" s="40" t="s">
        <v>1319</v>
      </c>
      <c r="BC121" s="39" t="str">
        <f>データ!T121</f>
        <v>-</v>
      </c>
      <c r="BD121" s="41" t="s">
        <v>1024</v>
      </c>
      <c r="BE121" s="40" t="s">
        <v>1320</v>
      </c>
      <c r="BF121" s="39" t="str">
        <f>データ!U121</f>
        <v>-</v>
      </c>
      <c r="BG121" s="41" t="s">
        <v>1024</v>
      </c>
      <c r="BH121" s="40" t="s">
        <v>1319</v>
      </c>
      <c r="BI121" s="39" t="str">
        <f>データ!V121</f>
        <v>ポーカー</v>
      </c>
      <c r="BJ121" s="41" t="s">
        <v>1024</v>
      </c>
      <c r="BK121" s="10" t="s">
        <v>1019</v>
      </c>
    </row>
    <row r="122" spans="1:63" x14ac:dyDescent="0.15">
      <c r="A122" s="10" t="s">
        <v>1016</v>
      </c>
      <c r="B122" s="10" t="s">
        <v>1454</v>
      </c>
      <c r="C122" s="38" t="str">
        <f>"./images/thumbnail/"&amp;データ!B122&amp;".jpg"</f>
        <v>./images/thumbnail/1193.jpg</v>
      </c>
      <c r="D122" s="38" t="s">
        <v>1455</v>
      </c>
      <c r="E122" s="38" t="str">
        <f>"./images/thumbnail/"&amp;データ!B122&amp;".jpg"</f>
        <v>./images/thumbnail/1193.jpg</v>
      </c>
      <c r="F122" s="38" t="s">
        <v>1116</v>
      </c>
      <c r="G122" s="38" t="s">
        <v>1319</v>
      </c>
      <c r="H122" s="38" t="str">
        <f>データ!C122</f>
        <v>ジルベール</v>
      </c>
      <c r="I122" s="38" t="s">
        <v>1024</v>
      </c>
      <c r="J122" s="38" t="s">
        <v>1320</v>
      </c>
      <c r="K122" s="38" t="str">
        <f>データ!D122</f>
        <v>SSR</v>
      </c>
      <c r="L122" s="38" t="s">
        <v>1024</v>
      </c>
      <c r="M122" s="38" t="s">
        <v>1321</v>
      </c>
      <c r="N122" s="38">
        <f>データ!E122</f>
        <v>13</v>
      </c>
      <c r="O122" s="38" t="s">
        <v>1024</v>
      </c>
      <c r="P122" s="38" t="s">
        <v>1319</v>
      </c>
      <c r="Q122" s="38" t="str">
        <f>データ!F122</f>
        <v>斬</v>
      </c>
      <c r="R122" s="38" t="s">
        <v>1024</v>
      </c>
      <c r="S122" s="38" t="s">
        <v>1319</v>
      </c>
      <c r="T122" s="39">
        <f>データ!G122</f>
        <v>16112</v>
      </c>
      <c r="U122" s="40" t="s">
        <v>1024</v>
      </c>
      <c r="V122" s="40" t="s">
        <v>1319</v>
      </c>
      <c r="W122" s="39">
        <f>データ!H122</f>
        <v>7410</v>
      </c>
      <c r="X122" s="40" t="s">
        <v>1024</v>
      </c>
      <c r="Y122" s="40" t="s">
        <v>1319</v>
      </c>
      <c r="Z122" s="39">
        <f>データ!I122</f>
        <v>4979</v>
      </c>
      <c r="AA122" s="40" t="s">
        <v>1024</v>
      </c>
      <c r="AB122" s="40" t="s">
        <v>1322</v>
      </c>
      <c r="AC122" s="39" t="str">
        <f>データ!J122</f>
        <v>A+</v>
      </c>
      <c r="AD122" s="38" t="s">
        <v>1024</v>
      </c>
      <c r="AE122" s="40" t="s">
        <v>1323</v>
      </c>
      <c r="AF122" s="39">
        <f>データ!K122</f>
        <v>28501</v>
      </c>
      <c r="AG122" s="40" t="s">
        <v>1024</v>
      </c>
      <c r="AH122" s="40" t="s">
        <v>1324</v>
      </c>
      <c r="AI122" s="39" t="str">
        <f>データ!L122</f>
        <v>破焔の一閃／絶</v>
      </c>
      <c r="AJ122" s="10" t="s">
        <v>1113</v>
      </c>
      <c r="AK122" s="39" t="str">
        <f>データ!M122</f>
        <v>横一列に固定ダメージ[大]</v>
      </c>
      <c r="AL122" s="10" t="s">
        <v>1024</v>
      </c>
      <c r="AM122" s="40" t="s">
        <v>1325</v>
      </c>
      <c r="AN122" s="39" t="str">
        <f>データ!N122</f>
        <v>-</v>
      </c>
      <c r="AO122" s="10" t="s">
        <v>1113</v>
      </c>
      <c r="AP122" s="39" t="str">
        <f>データ!O122</f>
        <v>　</v>
      </c>
      <c r="AQ122" s="41" t="s">
        <v>1024</v>
      </c>
      <c r="AR122" s="40" t="s">
        <v>1324</v>
      </c>
      <c r="AS122" s="39" t="str">
        <f>データ!P122</f>
        <v>エースオーダー</v>
      </c>
      <c r="AT122" s="10" t="s">
        <v>1113</v>
      </c>
      <c r="AU122" s="39" t="str">
        <f>データ!Q122</f>
        <v>騎士団全体の攻・防が小UP(3分間)</v>
      </c>
      <c r="AV122" s="10" t="s">
        <v>1024</v>
      </c>
      <c r="AW122" s="40" t="s">
        <v>1324</v>
      </c>
      <c r="AX122" s="39" t="str">
        <f>データ!R122</f>
        <v>-</v>
      </c>
      <c r="AY122" s="10" t="s">
        <v>1113</v>
      </c>
      <c r="AZ122" s="39" t="str">
        <f>データ!S122</f>
        <v>　</v>
      </c>
      <c r="BA122" s="41" t="s">
        <v>1024</v>
      </c>
      <c r="BB122" s="40" t="s">
        <v>1319</v>
      </c>
      <c r="BC122" s="39" t="str">
        <f>データ!T122</f>
        <v>-</v>
      </c>
      <c r="BD122" s="41" t="s">
        <v>1024</v>
      </c>
      <c r="BE122" s="40" t="s">
        <v>1320</v>
      </c>
      <c r="BF122" s="39" t="str">
        <f>データ!U122</f>
        <v>-</v>
      </c>
      <c r="BG122" s="41" t="s">
        <v>1024</v>
      </c>
      <c r="BH122" s="40" t="s">
        <v>1319</v>
      </c>
      <c r="BI122" s="39" t="str">
        <f>データ!V122</f>
        <v>常設</v>
      </c>
      <c r="BJ122" s="41" t="s">
        <v>1024</v>
      </c>
      <c r="BK122" s="10" t="s">
        <v>1019</v>
      </c>
    </row>
    <row r="123" spans="1:63" x14ac:dyDescent="0.15">
      <c r="A123" s="10" t="s">
        <v>1016</v>
      </c>
      <c r="B123" s="10" t="s">
        <v>1454</v>
      </c>
      <c r="C123" s="38" t="str">
        <f>"./images/thumbnail/"&amp;データ!B123&amp;".jpg"</f>
        <v>./images/thumbnail/1195.jpg</v>
      </c>
      <c r="D123" s="38" t="s">
        <v>1455</v>
      </c>
      <c r="E123" s="38" t="str">
        <f>"./images/thumbnail/"&amp;データ!B123&amp;".jpg"</f>
        <v>./images/thumbnail/1195.jpg</v>
      </c>
      <c r="F123" s="38" t="s">
        <v>1116</v>
      </c>
      <c r="G123" s="38" t="s">
        <v>1319</v>
      </c>
      <c r="H123" s="38" t="str">
        <f>データ!C123</f>
        <v>シルビオ</v>
      </c>
      <c r="I123" s="38" t="s">
        <v>1024</v>
      </c>
      <c r="J123" s="38" t="s">
        <v>1320</v>
      </c>
      <c r="K123" s="38" t="str">
        <f>データ!D123</f>
        <v>SSR</v>
      </c>
      <c r="L123" s="38" t="s">
        <v>1024</v>
      </c>
      <c r="M123" s="38" t="s">
        <v>1321</v>
      </c>
      <c r="N123" s="38">
        <f>データ!E123</f>
        <v>13</v>
      </c>
      <c r="O123" s="38" t="s">
        <v>1024</v>
      </c>
      <c r="P123" s="38" t="s">
        <v>1319</v>
      </c>
      <c r="Q123" s="38" t="str">
        <f>データ!F123</f>
        <v>突</v>
      </c>
      <c r="R123" s="38" t="s">
        <v>1024</v>
      </c>
      <c r="S123" s="38" t="s">
        <v>1319</v>
      </c>
      <c r="T123" s="39">
        <f>データ!G123</f>
        <v>17931</v>
      </c>
      <c r="U123" s="40" t="s">
        <v>1024</v>
      </c>
      <c r="V123" s="40" t="s">
        <v>1319</v>
      </c>
      <c r="W123" s="39">
        <f>データ!H123</f>
        <v>4646</v>
      </c>
      <c r="X123" s="40" t="s">
        <v>1024</v>
      </c>
      <c r="Y123" s="40" t="s">
        <v>1319</v>
      </c>
      <c r="Z123" s="39">
        <f>データ!I123</f>
        <v>6545</v>
      </c>
      <c r="AA123" s="40" t="s">
        <v>1024</v>
      </c>
      <c r="AB123" s="40" t="s">
        <v>1322</v>
      </c>
      <c r="AC123" s="39" t="str">
        <f>データ!J123</f>
        <v>SS-</v>
      </c>
      <c r="AD123" s="38" t="s">
        <v>1024</v>
      </c>
      <c r="AE123" s="40" t="s">
        <v>1323</v>
      </c>
      <c r="AF123" s="39">
        <f>データ!K123</f>
        <v>29122</v>
      </c>
      <c r="AG123" s="40" t="s">
        <v>1024</v>
      </c>
      <c r="AH123" s="40" t="s">
        <v>1324</v>
      </c>
      <c r="AI123" s="39" t="str">
        <f>データ!L123</f>
        <v>破天の五連撃</v>
      </c>
      <c r="AJ123" s="10" t="s">
        <v>1113</v>
      </c>
      <c r="AK123" s="39" t="str">
        <f>データ!M123</f>
        <v>ランダムで5連固定ダメージ[小]</v>
      </c>
      <c r="AL123" s="10" t="s">
        <v>1024</v>
      </c>
      <c r="AM123" s="40" t="s">
        <v>1325</v>
      </c>
      <c r="AN123" s="39" t="str">
        <f>データ!N123</f>
        <v>-</v>
      </c>
      <c r="AO123" s="10" t="s">
        <v>1113</v>
      </c>
      <c r="AP123" s="39" t="str">
        <f>データ!O123</f>
        <v>　</v>
      </c>
      <c r="AQ123" s="41" t="s">
        <v>1024</v>
      </c>
      <c r="AR123" s="40" t="s">
        <v>1324</v>
      </c>
      <c r="AS123" s="39" t="str">
        <f>データ!P123</f>
        <v>フォートレスオーダー</v>
      </c>
      <c r="AT123" s="10" t="s">
        <v>1113</v>
      </c>
      <c r="AU123" s="39" t="str">
        <f>データ!Q123</f>
        <v>騎士団全体の防御力が小UP(3分間)</v>
      </c>
      <c r="AV123" s="10" t="s">
        <v>1024</v>
      </c>
      <c r="AW123" s="40" t="s">
        <v>1324</v>
      </c>
      <c r="AX123" s="39" t="str">
        <f>データ!R123</f>
        <v>-</v>
      </c>
      <c r="AY123" s="10" t="s">
        <v>1113</v>
      </c>
      <c r="AZ123" s="39" t="str">
        <f>データ!S123</f>
        <v>　</v>
      </c>
      <c r="BA123" s="41" t="s">
        <v>1024</v>
      </c>
      <c r="BB123" s="40" t="s">
        <v>1319</v>
      </c>
      <c r="BC123" s="39" t="str">
        <f>データ!T123</f>
        <v>-</v>
      </c>
      <c r="BD123" s="41" t="s">
        <v>1024</v>
      </c>
      <c r="BE123" s="40" t="s">
        <v>1320</v>
      </c>
      <c r="BF123" s="39" t="str">
        <f>データ!U123</f>
        <v>-</v>
      </c>
      <c r="BG123" s="41" t="s">
        <v>1024</v>
      </c>
      <c r="BH123" s="40" t="s">
        <v>1319</v>
      </c>
      <c r="BI123" s="39" t="str">
        <f>データ!V123</f>
        <v>常設</v>
      </c>
      <c r="BJ123" s="41" t="s">
        <v>1024</v>
      </c>
      <c r="BK123" s="10" t="s">
        <v>1019</v>
      </c>
    </row>
    <row r="124" spans="1:63" x14ac:dyDescent="0.15">
      <c r="A124" s="10" t="s">
        <v>1016</v>
      </c>
      <c r="B124" s="10" t="s">
        <v>1454</v>
      </c>
      <c r="C124" s="38" t="str">
        <f>"./images/thumbnail/"&amp;データ!B124&amp;".jpg"</f>
        <v>./images/thumbnail/1197.jpg</v>
      </c>
      <c r="D124" s="38" t="s">
        <v>1455</v>
      </c>
      <c r="E124" s="38" t="str">
        <f>"./images/thumbnail/"&amp;データ!B124&amp;".jpg"</f>
        <v>./images/thumbnail/1197.jpg</v>
      </c>
      <c r="F124" s="38" t="s">
        <v>1116</v>
      </c>
      <c r="G124" s="38" t="s">
        <v>1319</v>
      </c>
      <c r="H124" s="38" t="str">
        <f>データ!C124</f>
        <v>モーニカ</v>
      </c>
      <c r="I124" s="38" t="s">
        <v>1024</v>
      </c>
      <c r="J124" s="38" t="s">
        <v>1320</v>
      </c>
      <c r="K124" s="38" t="str">
        <f>データ!D124</f>
        <v>SSR</v>
      </c>
      <c r="L124" s="38" t="s">
        <v>1024</v>
      </c>
      <c r="M124" s="38" t="s">
        <v>1321</v>
      </c>
      <c r="N124" s="38">
        <f>データ!E124</f>
        <v>13</v>
      </c>
      <c r="O124" s="38" t="s">
        <v>1024</v>
      </c>
      <c r="P124" s="38" t="s">
        <v>1319</v>
      </c>
      <c r="Q124" s="38" t="str">
        <f>データ!F124</f>
        <v>打</v>
      </c>
      <c r="R124" s="38" t="s">
        <v>1024</v>
      </c>
      <c r="S124" s="38" t="s">
        <v>1319</v>
      </c>
      <c r="T124" s="39">
        <f>データ!G124</f>
        <v>19922</v>
      </c>
      <c r="U124" s="40" t="s">
        <v>1024</v>
      </c>
      <c r="V124" s="40" t="s">
        <v>1319</v>
      </c>
      <c r="W124" s="39">
        <f>データ!H124</f>
        <v>5363</v>
      </c>
      <c r="X124" s="40" t="s">
        <v>1024</v>
      </c>
      <c r="Y124" s="40" t="s">
        <v>1319</v>
      </c>
      <c r="Z124" s="39">
        <f>データ!I124</f>
        <v>7117</v>
      </c>
      <c r="AA124" s="40" t="s">
        <v>1024</v>
      </c>
      <c r="AB124" s="40" t="s">
        <v>1322</v>
      </c>
      <c r="AC124" s="39" t="str">
        <f>データ!J124</f>
        <v>A-</v>
      </c>
      <c r="AD124" s="38" t="s">
        <v>1024</v>
      </c>
      <c r="AE124" s="40" t="s">
        <v>1323</v>
      </c>
      <c r="AF124" s="39">
        <f>データ!K124</f>
        <v>32402</v>
      </c>
      <c r="AG124" s="40" t="s">
        <v>1024</v>
      </c>
      <c r="AH124" s="40" t="s">
        <v>1324</v>
      </c>
      <c r="AI124" s="39" t="str">
        <f>データ!L124</f>
        <v>破雫の交叉線／絶</v>
      </c>
      <c r="AJ124" s="10" t="s">
        <v>1113</v>
      </c>
      <c r="AK124" s="39" t="str">
        <f>データ!M124</f>
        <v>X字型に固定ダメージ[大]</v>
      </c>
      <c r="AL124" s="10" t="s">
        <v>1024</v>
      </c>
      <c r="AM124" s="40" t="s">
        <v>1325</v>
      </c>
      <c r="AN124" s="39" t="str">
        <f>データ!N124</f>
        <v>-</v>
      </c>
      <c r="AO124" s="10" t="s">
        <v>1113</v>
      </c>
      <c r="AP124" s="39" t="str">
        <f>データ!O124</f>
        <v>　</v>
      </c>
      <c r="AQ124" s="41" t="s">
        <v>1024</v>
      </c>
      <c r="AR124" s="40" t="s">
        <v>1324</v>
      </c>
      <c r="AS124" s="39" t="str">
        <f>データ!P124</f>
        <v>ジャガーノート／真</v>
      </c>
      <c r="AT124" s="10" t="s">
        <v>1113</v>
      </c>
      <c r="AU124" s="39" t="str">
        <f>データ!Q124</f>
        <v>バトルで敵を全滅するとBPが中回復(バトル3回)</v>
      </c>
      <c r="AV124" s="10" t="s">
        <v>1024</v>
      </c>
      <c r="AW124" s="40" t="s">
        <v>1324</v>
      </c>
      <c r="AX124" s="39" t="str">
        <f>データ!R124</f>
        <v>-</v>
      </c>
      <c r="AY124" s="10" t="s">
        <v>1113</v>
      </c>
      <c r="AZ124" s="39" t="str">
        <f>データ!S124</f>
        <v>　</v>
      </c>
      <c r="BA124" s="41" t="s">
        <v>1024</v>
      </c>
      <c r="BB124" s="40" t="s">
        <v>1319</v>
      </c>
      <c r="BC124" s="39" t="str">
        <f>データ!T124</f>
        <v>-</v>
      </c>
      <c r="BD124" s="41" t="s">
        <v>1024</v>
      </c>
      <c r="BE124" s="40" t="s">
        <v>1320</v>
      </c>
      <c r="BF124" s="39" t="str">
        <f>データ!U124</f>
        <v>-</v>
      </c>
      <c r="BG124" s="41" t="s">
        <v>1024</v>
      </c>
      <c r="BH124" s="40" t="s">
        <v>1319</v>
      </c>
      <c r="BI124" s="39" t="str">
        <f>データ!V124</f>
        <v>常設</v>
      </c>
      <c r="BJ124" s="41" t="s">
        <v>1024</v>
      </c>
      <c r="BK124" s="10" t="s">
        <v>1019</v>
      </c>
    </row>
    <row r="125" spans="1:63" x14ac:dyDescent="0.15">
      <c r="A125" s="10" t="s">
        <v>1016</v>
      </c>
      <c r="B125" s="10" t="s">
        <v>1454</v>
      </c>
      <c r="C125" s="38" t="str">
        <f>"./images/thumbnail/"&amp;データ!B125&amp;".jpg"</f>
        <v>./images/thumbnail/1199.jpg</v>
      </c>
      <c r="D125" s="38" t="s">
        <v>1455</v>
      </c>
      <c r="E125" s="38" t="str">
        <f>"./images/thumbnail/"&amp;データ!B125&amp;".jpg"</f>
        <v>./images/thumbnail/1199.jpg</v>
      </c>
      <c r="F125" s="38" t="s">
        <v>1116</v>
      </c>
      <c r="G125" s="38" t="s">
        <v>1319</v>
      </c>
      <c r="H125" s="38" t="str">
        <f>データ!C125</f>
        <v>ラクロワ</v>
      </c>
      <c r="I125" s="38" t="s">
        <v>1024</v>
      </c>
      <c r="J125" s="38" t="s">
        <v>1320</v>
      </c>
      <c r="K125" s="38" t="str">
        <f>データ!D125</f>
        <v>SSR</v>
      </c>
      <c r="L125" s="38" t="s">
        <v>1024</v>
      </c>
      <c r="M125" s="38" t="s">
        <v>1321</v>
      </c>
      <c r="N125" s="38">
        <f>データ!E125</f>
        <v>13</v>
      </c>
      <c r="O125" s="38" t="s">
        <v>1024</v>
      </c>
      <c r="P125" s="38" t="s">
        <v>1319</v>
      </c>
      <c r="Q125" s="38" t="str">
        <f>データ!F125</f>
        <v>遠</v>
      </c>
      <c r="R125" s="38" t="s">
        <v>1024</v>
      </c>
      <c r="S125" s="38" t="s">
        <v>1319</v>
      </c>
      <c r="T125" s="39">
        <f>データ!G125</f>
        <v>17332</v>
      </c>
      <c r="U125" s="40" t="s">
        <v>1024</v>
      </c>
      <c r="V125" s="40" t="s">
        <v>1319</v>
      </c>
      <c r="W125" s="39">
        <f>データ!H125</f>
        <v>5267</v>
      </c>
      <c r="X125" s="40" t="s">
        <v>1024</v>
      </c>
      <c r="Y125" s="40" t="s">
        <v>1319</v>
      </c>
      <c r="Z125" s="39">
        <f>データ!I125</f>
        <v>5391</v>
      </c>
      <c r="AA125" s="40" t="s">
        <v>1024</v>
      </c>
      <c r="AB125" s="40" t="s">
        <v>1322</v>
      </c>
      <c r="AC125" s="39" t="str">
        <f>データ!J125</f>
        <v>S-</v>
      </c>
      <c r="AD125" s="38" t="s">
        <v>1024</v>
      </c>
      <c r="AE125" s="40" t="s">
        <v>1323</v>
      </c>
      <c r="AF125" s="39">
        <f>データ!K125</f>
        <v>27990</v>
      </c>
      <c r="AG125" s="40" t="s">
        <v>1024</v>
      </c>
      <c r="AH125" s="40" t="s">
        <v>1324</v>
      </c>
      <c r="AI125" s="39" t="str">
        <f>データ!L125</f>
        <v>遠翠の聖天</v>
      </c>
      <c r="AJ125" s="10" t="s">
        <v>1113</v>
      </c>
      <c r="AK125" s="39" t="str">
        <f>データ!M125</f>
        <v>味方遠属性の攻撃力と防御力をUP[大]</v>
      </c>
      <c r="AL125" s="10" t="s">
        <v>1024</v>
      </c>
      <c r="AM125" s="40" t="s">
        <v>1325</v>
      </c>
      <c r="AN125" s="39" t="str">
        <f>データ!N125</f>
        <v>-</v>
      </c>
      <c r="AO125" s="10" t="s">
        <v>1113</v>
      </c>
      <c r="AP125" s="39" t="str">
        <f>データ!O125</f>
        <v>　</v>
      </c>
      <c r="AQ125" s="41" t="s">
        <v>1024</v>
      </c>
      <c r="AR125" s="40" t="s">
        <v>1324</v>
      </c>
      <c r="AS125" s="39" t="str">
        <f>データ!P125</f>
        <v>アサルトオーダー</v>
      </c>
      <c r="AT125" s="10" t="s">
        <v>1113</v>
      </c>
      <c r="AU125" s="39" t="str">
        <f>データ!Q125</f>
        <v>騎士団全体の攻撃力が小UP(3分間)</v>
      </c>
      <c r="AV125" s="10" t="s">
        <v>1024</v>
      </c>
      <c r="AW125" s="40" t="s">
        <v>1324</v>
      </c>
      <c r="AX125" s="39" t="str">
        <f>データ!R125</f>
        <v>-</v>
      </c>
      <c r="AY125" s="10" t="s">
        <v>1113</v>
      </c>
      <c r="AZ125" s="39" t="str">
        <f>データ!S125</f>
        <v>　</v>
      </c>
      <c r="BA125" s="41" t="s">
        <v>1024</v>
      </c>
      <c r="BB125" s="40" t="s">
        <v>1319</v>
      </c>
      <c r="BC125" s="39" t="str">
        <f>データ!T125</f>
        <v>-</v>
      </c>
      <c r="BD125" s="41" t="s">
        <v>1024</v>
      </c>
      <c r="BE125" s="40" t="s">
        <v>1320</v>
      </c>
      <c r="BF125" s="39" t="str">
        <f>データ!U125</f>
        <v>-</v>
      </c>
      <c r="BG125" s="41" t="s">
        <v>1024</v>
      </c>
      <c r="BH125" s="40" t="s">
        <v>1319</v>
      </c>
      <c r="BI125" s="39" t="str">
        <f>データ!V125</f>
        <v>常設</v>
      </c>
      <c r="BJ125" s="41" t="s">
        <v>1024</v>
      </c>
      <c r="BK125" s="10" t="s">
        <v>1019</v>
      </c>
    </row>
    <row r="126" spans="1:63" x14ac:dyDescent="0.15">
      <c r="A126" s="10" t="s">
        <v>1016</v>
      </c>
      <c r="B126" s="10" t="s">
        <v>1454</v>
      </c>
      <c r="C126" s="38" t="str">
        <f>"./images/thumbnail/"&amp;データ!B126&amp;".jpg"</f>
        <v>./images/thumbnail/1202.jpg</v>
      </c>
      <c r="D126" s="38" t="s">
        <v>1455</v>
      </c>
      <c r="E126" s="38" t="str">
        <f>"./images/thumbnail/"&amp;データ!B126&amp;".jpg"</f>
        <v>./images/thumbnail/1202.jpg</v>
      </c>
      <c r="F126" s="38" t="s">
        <v>1116</v>
      </c>
      <c r="G126" s="38" t="s">
        <v>1319</v>
      </c>
      <c r="H126" s="38" t="str">
        <f>データ!C126</f>
        <v>モーリス</v>
      </c>
      <c r="I126" s="38" t="s">
        <v>1024</v>
      </c>
      <c r="J126" s="38" t="s">
        <v>1320</v>
      </c>
      <c r="K126" s="38" t="str">
        <f>データ!D126</f>
        <v>SSR</v>
      </c>
      <c r="L126" s="38" t="s">
        <v>1024</v>
      </c>
      <c r="M126" s="38" t="s">
        <v>1321</v>
      </c>
      <c r="N126" s="38">
        <f>データ!E126</f>
        <v>12</v>
      </c>
      <c r="O126" s="38" t="s">
        <v>1024</v>
      </c>
      <c r="P126" s="38" t="s">
        <v>1319</v>
      </c>
      <c r="Q126" s="38" t="str">
        <f>データ!F126</f>
        <v>打</v>
      </c>
      <c r="R126" s="38" t="s">
        <v>1024</v>
      </c>
      <c r="S126" s="38" t="s">
        <v>1319</v>
      </c>
      <c r="T126" s="39">
        <f>データ!G126</f>
        <v>18393</v>
      </c>
      <c r="U126" s="40" t="s">
        <v>1024</v>
      </c>
      <c r="V126" s="40" t="s">
        <v>1319</v>
      </c>
      <c r="W126" s="39">
        <f>データ!H126</f>
        <v>5284</v>
      </c>
      <c r="X126" s="40" t="s">
        <v>1024</v>
      </c>
      <c r="Y126" s="40" t="s">
        <v>1319</v>
      </c>
      <c r="Z126" s="39">
        <f>データ!I126</f>
        <v>6569</v>
      </c>
      <c r="AA126" s="40" t="s">
        <v>1024</v>
      </c>
      <c r="AB126" s="40" t="s">
        <v>1322</v>
      </c>
      <c r="AC126" s="39" t="str">
        <f>データ!J126</f>
        <v>A-</v>
      </c>
      <c r="AD126" s="38" t="s">
        <v>1024</v>
      </c>
      <c r="AE126" s="40" t="s">
        <v>1323</v>
      </c>
      <c r="AF126" s="39">
        <f>データ!K126</f>
        <v>30246</v>
      </c>
      <c r="AG126" s="40" t="s">
        <v>1024</v>
      </c>
      <c r="AH126" s="40" t="s">
        <v>1324</v>
      </c>
      <c r="AI126" s="39" t="str">
        <f>データ!L126</f>
        <v>紫打の聖天</v>
      </c>
      <c r="AJ126" s="10" t="s">
        <v>1113</v>
      </c>
      <c r="AK126" s="39" t="str">
        <f>データ!M126</f>
        <v>味方打属性の攻撃力と防御力をUP[大]</v>
      </c>
      <c r="AL126" s="10" t="s">
        <v>1024</v>
      </c>
      <c r="AM126" s="40" t="s">
        <v>1325</v>
      </c>
      <c r="AN126" s="39" t="str">
        <f>データ!N126</f>
        <v>-</v>
      </c>
      <c r="AO126" s="10" t="s">
        <v>1113</v>
      </c>
      <c r="AP126" s="39" t="str">
        <f>データ!O126</f>
        <v>　</v>
      </c>
      <c r="AQ126" s="41" t="s">
        <v>1024</v>
      </c>
      <c r="AR126" s="40" t="s">
        <v>1324</v>
      </c>
      <c r="AS126" s="39" t="str">
        <f>データ!P126</f>
        <v>ポイントライズ／真</v>
      </c>
      <c r="AT126" s="10" t="s">
        <v>1113</v>
      </c>
      <c r="AU126" s="39" t="str">
        <f>データ!Q126</f>
        <v>獲得する騎士団戦スコアが中アップ(バトル3回)</v>
      </c>
      <c r="AV126" s="10" t="s">
        <v>1024</v>
      </c>
      <c r="AW126" s="40" t="s">
        <v>1324</v>
      </c>
      <c r="AX126" s="39" t="str">
        <f>データ!R126</f>
        <v>-</v>
      </c>
      <c r="AY126" s="10" t="s">
        <v>1113</v>
      </c>
      <c r="AZ126" s="39" t="str">
        <f>データ!S126</f>
        <v>　</v>
      </c>
      <c r="BA126" s="41" t="s">
        <v>1024</v>
      </c>
      <c r="BB126" s="40" t="s">
        <v>1319</v>
      </c>
      <c r="BC126" s="39" t="str">
        <f>データ!T126</f>
        <v>-</v>
      </c>
      <c r="BD126" s="41" t="s">
        <v>1024</v>
      </c>
      <c r="BE126" s="40" t="s">
        <v>1320</v>
      </c>
      <c r="BF126" s="39" t="str">
        <f>データ!U126</f>
        <v>-</v>
      </c>
      <c r="BG126" s="41" t="s">
        <v>1024</v>
      </c>
      <c r="BH126" s="40" t="s">
        <v>1319</v>
      </c>
      <c r="BI126" s="39" t="str">
        <f>データ!V126</f>
        <v>第2回統一報酬</v>
      </c>
      <c r="BJ126" s="41" t="s">
        <v>1024</v>
      </c>
      <c r="BK126" s="10" t="s">
        <v>1019</v>
      </c>
    </row>
    <row r="127" spans="1:63" x14ac:dyDescent="0.15">
      <c r="A127" s="10" t="s">
        <v>1016</v>
      </c>
      <c r="B127" s="10" t="s">
        <v>1454</v>
      </c>
      <c r="C127" s="38" t="str">
        <f>"./images/thumbnail/"&amp;データ!B127&amp;".jpg"</f>
        <v>./images/thumbnail/1203.jpg</v>
      </c>
      <c r="D127" s="38" t="s">
        <v>1455</v>
      </c>
      <c r="E127" s="38" t="str">
        <f>"./images/thumbnail/"&amp;データ!B127&amp;".jpg"</f>
        <v>./images/thumbnail/1203.jpg</v>
      </c>
      <c r="F127" s="38" t="s">
        <v>1116</v>
      </c>
      <c r="G127" s="38" t="s">
        <v>1319</v>
      </c>
      <c r="H127" s="38" t="str">
        <f>データ!C127</f>
        <v>モーリス</v>
      </c>
      <c r="I127" s="38" t="s">
        <v>1024</v>
      </c>
      <c r="J127" s="38" t="s">
        <v>1320</v>
      </c>
      <c r="K127" s="38" t="str">
        <f>データ!D127</f>
        <v>SSR</v>
      </c>
      <c r="L127" s="38" t="s">
        <v>1024</v>
      </c>
      <c r="M127" s="38" t="s">
        <v>1321</v>
      </c>
      <c r="N127" s="38">
        <f>データ!E127</f>
        <v>13</v>
      </c>
      <c r="O127" s="38" t="s">
        <v>1024</v>
      </c>
      <c r="P127" s="38" t="s">
        <v>1319</v>
      </c>
      <c r="Q127" s="38" t="str">
        <f>データ!F127</f>
        <v>打</v>
      </c>
      <c r="R127" s="38" t="s">
        <v>1024</v>
      </c>
      <c r="S127" s="38" t="s">
        <v>1319</v>
      </c>
      <c r="T127" s="39">
        <f>データ!G127</f>
        <v>19249</v>
      </c>
      <c r="U127" s="40" t="s">
        <v>1024</v>
      </c>
      <c r="V127" s="40" t="s">
        <v>1319</v>
      </c>
      <c r="W127" s="39">
        <f>データ!H127</f>
        <v>5828</v>
      </c>
      <c r="X127" s="40" t="s">
        <v>1024</v>
      </c>
      <c r="Y127" s="40" t="s">
        <v>1319</v>
      </c>
      <c r="Z127" s="39">
        <f>データ!I127</f>
        <v>6875</v>
      </c>
      <c r="AA127" s="40" t="s">
        <v>1024</v>
      </c>
      <c r="AB127" s="40" t="s">
        <v>1322</v>
      </c>
      <c r="AC127" s="39" t="str">
        <f>データ!J127</f>
        <v>A-</v>
      </c>
      <c r="AD127" s="38" t="s">
        <v>1024</v>
      </c>
      <c r="AE127" s="40" t="s">
        <v>1323</v>
      </c>
      <c r="AF127" s="39">
        <f>データ!K127</f>
        <v>31952</v>
      </c>
      <c r="AG127" s="40" t="s">
        <v>1024</v>
      </c>
      <c r="AH127" s="40" t="s">
        <v>1324</v>
      </c>
      <c r="AI127" s="39" t="str">
        <f>データ!L127</f>
        <v>紫打の聖天</v>
      </c>
      <c r="AJ127" s="10" t="s">
        <v>1113</v>
      </c>
      <c r="AK127" s="39" t="str">
        <f>データ!M127</f>
        <v>味方打属性の攻撃力と防御力をUP[大]</v>
      </c>
      <c r="AL127" s="10" t="s">
        <v>1024</v>
      </c>
      <c r="AM127" s="40" t="s">
        <v>1325</v>
      </c>
      <c r="AN127" s="39" t="str">
        <f>データ!N127</f>
        <v>-</v>
      </c>
      <c r="AO127" s="10" t="s">
        <v>1113</v>
      </c>
      <c r="AP127" s="39" t="str">
        <f>データ!O127</f>
        <v>　</v>
      </c>
      <c r="AQ127" s="41" t="s">
        <v>1024</v>
      </c>
      <c r="AR127" s="40" t="s">
        <v>1324</v>
      </c>
      <c r="AS127" s="39" t="str">
        <f>データ!P127</f>
        <v>ポイントライズ／真</v>
      </c>
      <c r="AT127" s="10" t="s">
        <v>1113</v>
      </c>
      <c r="AU127" s="39" t="str">
        <f>データ!Q127</f>
        <v>獲得する騎士団戦スコアが中アップ(バトル3回)</v>
      </c>
      <c r="AV127" s="10" t="s">
        <v>1024</v>
      </c>
      <c r="AW127" s="40" t="s">
        <v>1324</v>
      </c>
      <c r="AX127" s="39" t="str">
        <f>データ!R127</f>
        <v>-</v>
      </c>
      <c r="AY127" s="10" t="s">
        <v>1113</v>
      </c>
      <c r="AZ127" s="39" t="str">
        <f>データ!S127</f>
        <v>　</v>
      </c>
      <c r="BA127" s="41" t="s">
        <v>1024</v>
      </c>
      <c r="BB127" s="40" t="s">
        <v>1319</v>
      </c>
      <c r="BC127" s="39" t="str">
        <f>データ!T127</f>
        <v>-</v>
      </c>
      <c r="BD127" s="41" t="s">
        <v>1024</v>
      </c>
      <c r="BE127" s="40" t="s">
        <v>1320</v>
      </c>
      <c r="BF127" s="39" t="str">
        <f>データ!U127</f>
        <v>-</v>
      </c>
      <c r="BG127" s="41" t="s">
        <v>1024</v>
      </c>
      <c r="BH127" s="40" t="s">
        <v>1319</v>
      </c>
      <c r="BI127" s="39" t="str">
        <f>データ!V127</f>
        <v>第2回統一報酬</v>
      </c>
      <c r="BJ127" s="41" t="s">
        <v>1024</v>
      </c>
      <c r="BK127" s="10" t="s">
        <v>1019</v>
      </c>
    </row>
    <row r="128" spans="1:63" x14ac:dyDescent="0.15">
      <c r="A128" s="10" t="s">
        <v>1016</v>
      </c>
      <c r="B128" s="10" t="s">
        <v>1454</v>
      </c>
      <c r="C128" s="38" t="str">
        <f>"./images/thumbnail/"&amp;データ!B128&amp;".jpg"</f>
        <v>./images/thumbnail/1205.jpg</v>
      </c>
      <c r="D128" s="38" t="s">
        <v>1455</v>
      </c>
      <c r="E128" s="38" t="str">
        <f>"./images/thumbnail/"&amp;データ!B128&amp;".jpg"</f>
        <v>./images/thumbnail/1205.jpg</v>
      </c>
      <c r="F128" s="38" t="s">
        <v>1116</v>
      </c>
      <c r="G128" s="38" t="s">
        <v>1319</v>
      </c>
      <c r="H128" s="38" t="str">
        <f>データ!C128</f>
        <v>サラ</v>
      </c>
      <c r="I128" s="38" t="s">
        <v>1024</v>
      </c>
      <c r="J128" s="38" t="s">
        <v>1320</v>
      </c>
      <c r="K128" s="38" t="str">
        <f>データ!D128</f>
        <v>SSR</v>
      </c>
      <c r="L128" s="38" t="s">
        <v>1024</v>
      </c>
      <c r="M128" s="38" t="s">
        <v>1321</v>
      </c>
      <c r="N128" s="38">
        <f>データ!E128</f>
        <v>12</v>
      </c>
      <c r="O128" s="38" t="s">
        <v>1024</v>
      </c>
      <c r="P128" s="38" t="s">
        <v>1319</v>
      </c>
      <c r="Q128" s="38" t="str">
        <f>データ!F128</f>
        <v>突</v>
      </c>
      <c r="R128" s="38" t="s">
        <v>1024</v>
      </c>
      <c r="S128" s="38" t="s">
        <v>1319</v>
      </c>
      <c r="T128" s="39">
        <f>データ!G128</f>
        <v>15651</v>
      </c>
      <c r="U128" s="40" t="s">
        <v>1024</v>
      </c>
      <c r="V128" s="40" t="s">
        <v>1319</v>
      </c>
      <c r="W128" s="39">
        <f>データ!H128</f>
        <v>5494</v>
      </c>
      <c r="X128" s="40" t="s">
        <v>1024</v>
      </c>
      <c r="Y128" s="40" t="s">
        <v>1319</v>
      </c>
      <c r="Z128" s="39">
        <f>データ!I128</f>
        <v>5308</v>
      </c>
      <c r="AA128" s="40" t="s">
        <v>1024</v>
      </c>
      <c r="AB128" s="40" t="s">
        <v>1322</v>
      </c>
      <c r="AC128" s="39" t="str">
        <f>データ!J128</f>
        <v>SS-</v>
      </c>
      <c r="AD128" s="38" t="s">
        <v>1024</v>
      </c>
      <c r="AE128" s="40" t="s">
        <v>1323</v>
      </c>
      <c r="AF128" s="39">
        <f>データ!K128</f>
        <v>26453</v>
      </c>
      <c r="AG128" s="40" t="s">
        <v>1024</v>
      </c>
      <c r="AH128" s="40" t="s">
        <v>1324</v>
      </c>
      <c r="AI128" s="39" t="str">
        <f>データ!L128</f>
        <v>幻神の四連撃</v>
      </c>
      <c r="AJ128" s="10" t="s">
        <v>1113</v>
      </c>
      <c r="AK128" s="39" t="str">
        <f>データ!M128</f>
        <v>ランダムで4連続攻撃[小]</v>
      </c>
      <c r="AL128" s="10" t="s">
        <v>1024</v>
      </c>
      <c r="AM128" s="40" t="s">
        <v>1325</v>
      </c>
      <c r="AN128" s="39" t="str">
        <f>データ!N128</f>
        <v>-</v>
      </c>
      <c r="AO128" s="10" t="s">
        <v>1113</v>
      </c>
      <c r="AP128" s="39" t="str">
        <f>データ!O128</f>
        <v>　</v>
      </c>
      <c r="AQ128" s="41" t="s">
        <v>1024</v>
      </c>
      <c r="AR128" s="40" t="s">
        <v>1324</v>
      </c>
      <c r="AS128" s="39" t="str">
        <f>データ!P128</f>
        <v>リザレクション／真</v>
      </c>
      <c r="AT128" s="10" t="s">
        <v>1113</v>
      </c>
      <c r="AU128" s="39" t="str">
        <f>データ!Q128</f>
        <v>中確率でパーティ全員を復帰(全滅時のみ使用可)</v>
      </c>
      <c r="AV128" s="10" t="s">
        <v>1024</v>
      </c>
      <c r="AW128" s="40" t="s">
        <v>1324</v>
      </c>
      <c r="AX128" s="39" t="str">
        <f>データ!R128</f>
        <v>-</v>
      </c>
      <c r="AY128" s="10" t="s">
        <v>1113</v>
      </c>
      <c r="AZ128" s="39" t="str">
        <f>データ!S128</f>
        <v>　</v>
      </c>
      <c r="BA128" s="41" t="s">
        <v>1024</v>
      </c>
      <c r="BB128" s="40" t="s">
        <v>1319</v>
      </c>
      <c r="BC128" s="39" t="str">
        <f>データ!T128</f>
        <v>-</v>
      </c>
      <c r="BD128" s="41" t="s">
        <v>1024</v>
      </c>
      <c r="BE128" s="40" t="s">
        <v>1320</v>
      </c>
      <c r="BF128" s="39" t="str">
        <f>データ!U128</f>
        <v>-</v>
      </c>
      <c r="BG128" s="41" t="s">
        <v>1024</v>
      </c>
      <c r="BH128" s="40" t="s">
        <v>1319</v>
      </c>
      <c r="BI128" s="39" t="str">
        <f>データ!V128</f>
        <v>メダル</v>
      </c>
      <c r="BJ128" s="41" t="s">
        <v>1024</v>
      </c>
      <c r="BK128" s="10" t="s">
        <v>1019</v>
      </c>
    </row>
    <row r="129" spans="1:63" x14ac:dyDescent="0.15">
      <c r="A129" s="10" t="s">
        <v>1016</v>
      </c>
      <c r="B129" s="10" t="s">
        <v>1454</v>
      </c>
      <c r="C129" s="38" t="str">
        <f>"./images/thumbnail/"&amp;データ!B129&amp;".jpg"</f>
        <v>./images/thumbnail/1208.jpg</v>
      </c>
      <c r="D129" s="38" t="s">
        <v>1455</v>
      </c>
      <c r="E129" s="38" t="str">
        <f>"./images/thumbnail/"&amp;データ!B129&amp;".jpg"</f>
        <v>./images/thumbnail/1208.jpg</v>
      </c>
      <c r="F129" s="38" t="s">
        <v>1116</v>
      </c>
      <c r="G129" s="38" t="s">
        <v>1319</v>
      </c>
      <c r="H129" s="38" t="str">
        <f>データ!C129</f>
        <v>アドリエンヌ</v>
      </c>
      <c r="I129" s="38" t="s">
        <v>1024</v>
      </c>
      <c r="J129" s="38" t="s">
        <v>1320</v>
      </c>
      <c r="K129" s="38" t="str">
        <f>データ!D129</f>
        <v>SSR</v>
      </c>
      <c r="L129" s="38" t="s">
        <v>1024</v>
      </c>
      <c r="M129" s="38" t="s">
        <v>1321</v>
      </c>
      <c r="N129" s="38">
        <f>データ!E129</f>
        <v>12</v>
      </c>
      <c r="O129" s="38" t="s">
        <v>1024</v>
      </c>
      <c r="P129" s="38" t="s">
        <v>1319</v>
      </c>
      <c r="Q129" s="38" t="str">
        <f>データ!F129</f>
        <v>遠</v>
      </c>
      <c r="R129" s="38" t="s">
        <v>1024</v>
      </c>
      <c r="S129" s="38" t="s">
        <v>1319</v>
      </c>
      <c r="T129" s="39">
        <f>データ!G129</f>
        <v>14577</v>
      </c>
      <c r="U129" s="40" t="s">
        <v>1024</v>
      </c>
      <c r="V129" s="40" t="s">
        <v>1319</v>
      </c>
      <c r="W129" s="39">
        <f>データ!H129</f>
        <v>5842</v>
      </c>
      <c r="X129" s="40" t="s">
        <v>1024</v>
      </c>
      <c r="Y129" s="40" t="s">
        <v>1319</v>
      </c>
      <c r="Z129" s="39">
        <f>データ!I129</f>
        <v>4836</v>
      </c>
      <c r="AA129" s="40" t="s">
        <v>1024</v>
      </c>
      <c r="AB129" s="40" t="s">
        <v>1322</v>
      </c>
      <c r="AC129" s="39" t="str">
        <f>データ!J129</f>
        <v>S-</v>
      </c>
      <c r="AD129" s="38" t="s">
        <v>1024</v>
      </c>
      <c r="AE129" s="40" t="s">
        <v>1323</v>
      </c>
      <c r="AF129" s="39">
        <f>データ!K129</f>
        <v>25255</v>
      </c>
      <c r="AG129" s="40" t="s">
        <v>1024</v>
      </c>
      <c r="AH129" s="40" t="s">
        <v>1324</v>
      </c>
      <c r="AI129" s="39" t="str">
        <f>データ!L129</f>
        <v>治癒の一撃／真</v>
      </c>
      <c r="AJ129" s="10" t="s">
        <v>1113</v>
      </c>
      <c r="AK129" s="39" t="str">
        <f>データ!M129</f>
        <v>単体固定ダメージ[中]+味方状態異常解除</v>
      </c>
      <c r="AL129" s="10" t="s">
        <v>1024</v>
      </c>
      <c r="AM129" s="40" t="s">
        <v>1325</v>
      </c>
      <c r="AN129" s="39" t="str">
        <f>データ!N129</f>
        <v>-</v>
      </c>
      <c r="AO129" s="10" t="s">
        <v>1113</v>
      </c>
      <c r="AP129" s="39" t="str">
        <f>データ!O129</f>
        <v>　</v>
      </c>
      <c r="AQ129" s="41" t="s">
        <v>1024</v>
      </c>
      <c r="AR129" s="40" t="s">
        <v>1324</v>
      </c>
      <c r="AS129" s="39" t="str">
        <f>データ!P129</f>
        <v>リヴァイブ／真遠翠</v>
      </c>
      <c r="AT129" s="10" t="s">
        <v>1113</v>
      </c>
      <c r="AU129" s="39" t="str">
        <f>データ!Q129</f>
        <v>高確率で遠属性のユニットを復帰</v>
      </c>
      <c r="AV129" s="10" t="s">
        <v>1024</v>
      </c>
      <c r="AW129" s="40" t="s">
        <v>1324</v>
      </c>
      <c r="AX129" s="39" t="str">
        <f>データ!R129</f>
        <v>-</v>
      </c>
      <c r="AY129" s="10" t="s">
        <v>1113</v>
      </c>
      <c r="AZ129" s="39" t="str">
        <f>データ!S129</f>
        <v>　</v>
      </c>
      <c r="BA129" s="41" t="s">
        <v>1024</v>
      </c>
      <c r="BB129" s="40" t="s">
        <v>1319</v>
      </c>
      <c r="BC129" s="39" t="str">
        <f>データ!T129</f>
        <v>-</v>
      </c>
      <c r="BD129" s="41" t="s">
        <v>1024</v>
      </c>
      <c r="BE129" s="40" t="s">
        <v>1320</v>
      </c>
      <c r="BF129" s="39" t="str">
        <f>データ!U129</f>
        <v>-</v>
      </c>
      <c r="BG129" s="41" t="s">
        <v>1024</v>
      </c>
      <c r="BH129" s="40" t="s">
        <v>1319</v>
      </c>
      <c r="BI129" s="39" t="str">
        <f>データ!V129</f>
        <v>マゴニア</v>
      </c>
      <c r="BJ129" s="41" t="s">
        <v>1024</v>
      </c>
      <c r="BK129" s="10" t="s">
        <v>1019</v>
      </c>
    </row>
    <row r="130" spans="1:63" x14ac:dyDescent="0.15">
      <c r="A130" s="10" t="s">
        <v>1016</v>
      </c>
      <c r="B130" s="10" t="s">
        <v>1454</v>
      </c>
      <c r="C130" s="38" t="str">
        <f>"./images/thumbnail/"&amp;データ!B130&amp;".jpg"</f>
        <v>./images/thumbnail/1211.jpg</v>
      </c>
      <c r="D130" s="38" t="s">
        <v>1455</v>
      </c>
      <c r="E130" s="38" t="str">
        <f>"./images/thumbnail/"&amp;データ!B130&amp;".jpg"</f>
        <v>./images/thumbnail/1211.jpg</v>
      </c>
      <c r="F130" s="38" t="s">
        <v>1116</v>
      </c>
      <c r="G130" s="38" t="s">
        <v>1319</v>
      </c>
      <c r="H130" s="38" t="str">
        <f>データ!C130</f>
        <v>パメラ</v>
      </c>
      <c r="I130" s="38" t="s">
        <v>1024</v>
      </c>
      <c r="J130" s="38" t="s">
        <v>1320</v>
      </c>
      <c r="K130" s="38" t="str">
        <f>データ!D130</f>
        <v>SSR</v>
      </c>
      <c r="L130" s="38" t="s">
        <v>1024</v>
      </c>
      <c r="M130" s="38" t="s">
        <v>1321</v>
      </c>
      <c r="N130" s="38">
        <f>データ!E130</f>
        <v>13</v>
      </c>
      <c r="O130" s="38" t="s">
        <v>1024</v>
      </c>
      <c r="P130" s="38" t="s">
        <v>1319</v>
      </c>
      <c r="Q130" s="38" t="str">
        <f>データ!F130</f>
        <v>斬</v>
      </c>
      <c r="R130" s="38" t="s">
        <v>1024</v>
      </c>
      <c r="S130" s="38" t="s">
        <v>1319</v>
      </c>
      <c r="T130" s="39">
        <f>データ!G130</f>
        <v>16198</v>
      </c>
      <c r="U130" s="40" t="s">
        <v>1024</v>
      </c>
      <c r="V130" s="40" t="s">
        <v>1319</v>
      </c>
      <c r="W130" s="39">
        <f>データ!H130</f>
        <v>7451</v>
      </c>
      <c r="X130" s="40" t="s">
        <v>1024</v>
      </c>
      <c r="Y130" s="40" t="s">
        <v>1319</v>
      </c>
      <c r="Z130" s="39">
        <f>データ!I130</f>
        <v>4952</v>
      </c>
      <c r="AA130" s="40" t="s">
        <v>1024</v>
      </c>
      <c r="AB130" s="40" t="s">
        <v>1322</v>
      </c>
      <c r="AC130" s="39" t="str">
        <f>データ!J130</f>
        <v>A+</v>
      </c>
      <c r="AD130" s="38" t="s">
        <v>1024</v>
      </c>
      <c r="AE130" s="40" t="s">
        <v>1323</v>
      </c>
      <c r="AF130" s="39">
        <f>データ!K130</f>
        <v>28601</v>
      </c>
      <c r="AG130" s="40" t="s">
        <v>1024</v>
      </c>
      <c r="AH130" s="40" t="s">
        <v>1324</v>
      </c>
      <c r="AI130" s="39" t="str">
        <f>データ!L130</f>
        <v>焔幻の一閃／絶</v>
      </c>
      <c r="AJ130" s="10" t="s">
        <v>1113</v>
      </c>
      <c r="AK130" s="39" t="str">
        <f>データ!M130</f>
        <v>横一列に攻撃[大]</v>
      </c>
      <c r="AL130" s="10" t="s">
        <v>1024</v>
      </c>
      <c r="AM130" s="40" t="s">
        <v>1325</v>
      </c>
      <c r="AN130" s="39" t="str">
        <f>データ!N130</f>
        <v>-</v>
      </c>
      <c r="AO130" s="10" t="s">
        <v>1113</v>
      </c>
      <c r="AP130" s="39" t="str">
        <f>データ!O130</f>
        <v>　</v>
      </c>
      <c r="AQ130" s="41" t="s">
        <v>1024</v>
      </c>
      <c r="AR130" s="40" t="s">
        <v>1324</v>
      </c>
      <c r="AS130" s="39" t="str">
        <f>データ!P130</f>
        <v>エース／真</v>
      </c>
      <c r="AT130" s="10" t="s">
        <v>1113</v>
      </c>
      <c r="AU130" s="39" t="str">
        <f>データ!Q130</f>
        <v>パーティ全体の攻・防が中UP(3分間)</v>
      </c>
      <c r="AV130" s="10" t="s">
        <v>1024</v>
      </c>
      <c r="AW130" s="40" t="s">
        <v>1324</v>
      </c>
      <c r="AX130" s="39" t="str">
        <f>データ!R130</f>
        <v>-</v>
      </c>
      <c r="AY130" s="10" t="s">
        <v>1113</v>
      </c>
      <c r="AZ130" s="39" t="str">
        <f>データ!S130</f>
        <v>　</v>
      </c>
      <c r="BA130" s="41" t="s">
        <v>1024</v>
      </c>
      <c r="BB130" s="40" t="s">
        <v>1319</v>
      </c>
      <c r="BC130" s="39" t="str">
        <f>データ!T130</f>
        <v>-</v>
      </c>
      <c r="BD130" s="41" t="s">
        <v>1024</v>
      </c>
      <c r="BE130" s="40" t="s">
        <v>1320</v>
      </c>
      <c r="BF130" s="39" t="str">
        <f>データ!U130</f>
        <v>-</v>
      </c>
      <c r="BG130" s="41" t="s">
        <v>1024</v>
      </c>
      <c r="BH130" s="40" t="s">
        <v>1319</v>
      </c>
      <c r="BI130" s="39" t="str">
        <f>データ!V130</f>
        <v>ガチャイベ</v>
      </c>
      <c r="BJ130" s="41" t="s">
        <v>1024</v>
      </c>
      <c r="BK130" s="10" t="s">
        <v>1019</v>
      </c>
    </row>
    <row r="131" spans="1:63" x14ac:dyDescent="0.15">
      <c r="A131" s="10" t="s">
        <v>1016</v>
      </c>
      <c r="B131" s="10" t="s">
        <v>1454</v>
      </c>
      <c r="C131" s="38" t="str">
        <f>"./images/thumbnail/"&amp;データ!B131&amp;".jpg"</f>
        <v>./images/thumbnail/1212.jpg</v>
      </c>
      <c r="D131" s="38" t="s">
        <v>1455</v>
      </c>
      <c r="E131" s="38" t="str">
        <f>"./images/thumbnail/"&amp;データ!B131&amp;".jpg"</f>
        <v>./images/thumbnail/1212.jpg</v>
      </c>
      <c r="F131" s="38" t="s">
        <v>1116</v>
      </c>
      <c r="G131" s="38" t="s">
        <v>1319</v>
      </c>
      <c r="H131" s="38" t="str">
        <f>データ!C131</f>
        <v>ジャマル</v>
      </c>
      <c r="I131" s="38" t="s">
        <v>1024</v>
      </c>
      <c r="J131" s="38" t="s">
        <v>1320</v>
      </c>
      <c r="K131" s="38" t="str">
        <f>データ!D131</f>
        <v>SSR</v>
      </c>
      <c r="L131" s="38" t="s">
        <v>1024</v>
      </c>
      <c r="M131" s="38" t="s">
        <v>1321</v>
      </c>
      <c r="N131" s="38">
        <f>データ!E131</f>
        <v>13</v>
      </c>
      <c r="O131" s="38" t="s">
        <v>1024</v>
      </c>
      <c r="P131" s="38" t="s">
        <v>1319</v>
      </c>
      <c r="Q131" s="38" t="str">
        <f>データ!F131</f>
        <v>斬</v>
      </c>
      <c r="R131" s="38" t="s">
        <v>1024</v>
      </c>
      <c r="S131" s="38" t="s">
        <v>1319</v>
      </c>
      <c r="T131" s="39">
        <f>データ!G131</f>
        <v>17818</v>
      </c>
      <c r="U131" s="40" t="s">
        <v>1024</v>
      </c>
      <c r="V131" s="40" t="s">
        <v>1319</v>
      </c>
      <c r="W131" s="39">
        <f>データ!H131</f>
        <v>6949</v>
      </c>
      <c r="X131" s="40" t="s">
        <v>1024</v>
      </c>
      <c r="Y131" s="40" t="s">
        <v>1319</v>
      </c>
      <c r="Z131" s="39">
        <f>データ!I131</f>
        <v>4981</v>
      </c>
      <c r="AA131" s="40" t="s">
        <v>1024</v>
      </c>
      <c r="AB131" s="40" t="s">
        <v>1322</v>
      </c>
      <c r="AC131" s="39" t="str">
        <f>データ!J131</f>
        <v>A+</v>
      </c>
      <c r="AD131" s="38" t="s">
        <v>1024</v>
      </c>
      <c r="AE131" s="40" t="s">
        <v>1323</v>
      </c>
      <c r="AF131" s="39">
        <f>データ!K131</f>
        <v>29748</v>
      </c>
      <c r="AG131" s="40" t="s">
        <v>1024</v>
      </c>
      <c r="AH131" s="40" t="s">
        <v>1324</v>
      </c>
      <c r="AI131" s="39" t="str">
        <f>データ!L131</f>
        <v>挑発の舞踏／真</v>
      </c>
      <c r="AJ131" s="10" t="s">
        <v>1113</v>
      </c>
      <c r="AK131" s="39" t="str">
        <f>データ!M131</f>
        <v>一定確率で敵の攻撃を引き付ける[高確率]</v>
      </c>
      <c r="AL131" s="10" t="s">
        <v>1024</v>
      </c>
      <c r="AM131" s="40" t="s">
        <v>1325</v>
      </c>
      <c r="AN131" s="39" t="str">
        <f>データ!N131</f>
        <v>-</v>
      </c>
      <c r="AO131" s="10" t="s">
        <v>1113</v>
      </c>
      <c r="AP131" s="39" t="str">
        <f>データ!O131</f>
        <v>　</v>
      </c>
      <c r="AQ131" s="41" t="s">
        <v>1024</v>
      </c>
      <c r="AR131" s="40" t="s">
        <v>1324</v>
      </c>
      <c r="AS131" s="39" t="str">
        <f>データ!P131</f>
        <v>ポイントライズ／真</v>
      </c>
      <c r="AT131" s="10" t="s">
        <v>1113</v>
      </c>
      <c r="AU131" s="39" t="str">
        <f>データ!Q131</f>
        <v>獲得する騎士団戦スコアが中アップ(バトル3回)</v>
      </c>
      <c r="AV131" s="10" t="s">
        <v>1024</v>
      </c>
      <c r="AW131" s="40" t="s">
        <v>1324</v>
      </c>
      <c r="AX131" s="39" t="str">
        <f>データ!R131</f>
        <v>-</v>
      </c>
      <c r="AY131" s="10" t="s">
        <v>1113</v>
      </c>
      <c r="AZ131" s="39" t="str">
        <f>データ!S131</f>
        <v>　</v>
      </c>
      <c r="BA131" s="41" t="s">
        <v>1024</v>
      </c>
      <c r="BB131" s="40" t="s">
        <v>1319</v>
      </c>
      <c r="BC131" s="39" t="str">
        <f>データ!T131</f>
        <v>-</v>
      </c>
      <c r="BD131" s="41" t="s">
        <v>1024</v>
      </c>
      <c r="BE131" s="40" t="s">
        <v>1320</v>
      </c>
      <c r="BF131" s="39" t="str">
        <f>データ!U131</f>
        <v>-</v>
      </c>
      <c r="BG131" s="41" t="s">
        <v>1024</v>
      </c>
      <c r="BH131" s="40" t="s">
        <v>1319</v>
      </c>
      <c r="BI131" s="39" t="str">
        <f>データ!V131</f>
        <v>常設</v>
      </c>
      <c r="BJ131" s="41" t="s">
        <v>1024</v>
      </c>
      <c r="BK131" s="10" t="s">
        <v>1019</v>
      </c>
    </row>
    <row r="132" spans="1:63" x14ac:dyDescent="0.15">
      <c r="A132" s="10" t="s">
        <v>1016</v>
      </c>
      <c r="B132" s="10" t="s">
        <v>1454</v>
      </c>
      <c r="C132" s="38" t="str">
        <f>"./images/thumbnail/"&amp;データ!B132&amp;".jpg"</f>
        <v>./images/thumbnail/1214.jpg</v>
      </c>
      <c r="D132" s="38" t="s">
        <v>1455</v>
      </c>
      <c r="E132" s="38" t="str">
        <f>"./images/thumbnail/"&amp;データ!B132&amp;".jpg"</f>
        <v>./images/thumbnail/1214.jpg</v>
      </c>
      <c r="F132" s="38" t="s">
        <v>1116</v>
      </c>
      <c r="G132" s="38" t="s">
        <v>1319</v>
      </c>
      <c r="H132" s="38" t="str">
        <f>データ!C132</f>
        <v>ミミ</v>
      </c>
      <c r="I132" s="38" t="s">
        <v>1024</v>
      </c>
      <c r="J132" s="38" t="s">
        <v>1320</v>
      </c>
      <c r="K132" s="38" t="str">
        <f>データ!D132</f>
        <v>SSR</v>
      </c>
      <c r="L132" s="38" t="s">
        <v>1024</v>
      </c>
      <c r="M132" s="38" t="s">
        <v>1321</v>
      </c>
      <c r="N132" s="38">
        <f>データ!E132</f>
        <v>12</v>
      </c>
      <c r="O132" s="38" t="s">
        <v>1024</v>
      </c>
      <c r="P132" s="38" t="s">
        <v>1319</v>
      </c>
      <c r="Q132" s="38" t="str">
        <f>データ!F132</f>
        <v>遠</v>
      </c>
      <c r="R132" s="38" t="s">
        <v>1024</v>
      </c>
      <c r="S132" s="38" t="s">
        <v>1319</v>
      </c>
      <c r="T132" s="39">
        <f>データ!G132</f>
        <v>17929</v>
      </c>
      <c r="U132" s="40" t="s">
        <v>1024</v>
      </c>
      <c r="V132" s="40" t="s">
        <v>1319</v>
      </c>
      <c r="W132" s="39">
        <f>データ!H132</f>
        <v>5308</v>
      </c>
      <c r="X132" s="40" t="s">
        <v>1024</v>
      </c>
      <c r="Y132" s="40" t="s">
        <v>1319</v>
      </c>
      <c r="Z132" s="39">
        <f>データ!I132</f>
        <v>4349</v>
      </c>
      <c r="AA132" s="40" t="s">
        <v>1024</v>
      </c>
      <c r="AB132" s="40" t="s">
        <v>1322</v>
      </c>
      <c r="AC132" s="39" t="str">
        <f>データ!J132</f>
        <v>S-</v>
      </c>
      <c r="AD132" s="38" t="s">
        <v>1024</v>
      </c>
      <c r="AE132" s="40" t="s">
        <v>1323</v>
      </c>
      <c r="AF132" s="39">
        <f>データ!K132</f>
        <v>27586</v>
      </c>
      <c r="AG132" s="40" t="s">
        <v>1024</v>
      </c>
      <c r="AH132" s="40" t="s">
        <v>1324</v>
      </c>
      <c r="AI132" s="39" t="str">
        <f>データ!L132</f>
        <v>遠翠の聖護</v>
      </c>
      <c r="AJ132" s="10" t="s">
        <v>1113</v>
      </c>
      <c r="AK132" s="39" t="str">
        <f>データ!M132</f>
        <v>味方遠属性の防御力をUP[大]</v>
      </c>
      <c r="AL132" s="10" t="s">
        <v>1024</v>
      </c>
      <c r="AM132" s="40" t="s">
        <v>1325</v>
      </c>
      <c r="AN132" s="39" t="str">
        <f>データ!N132</f>
        <v>-</v>
      </c>
      <c r="AO132" s="10" t="s">
        <v>1113</v>
      </c>
      <c r="AP132" s="39" t="str">
        <f>データ!O132</f>
        <v>　</v>
      </c>
      <c r="AQ132" s="41" t="s">
        <v>1024</v>
      </c>
      <c r="AR132" s="40" t="s">
        <v>1324</v>
      </c>
      <c r="AS132" s="39" t="str">
        <f>データ!P132</f>
        <v>ヒール／真遠翠</v>
      </c>
      <c r="AT132" s="10" t="s">
        <v>1113</v>
      </c>
      <c r="AU132" s="39" t="str">
        <f>データ!Q132</f>
        <v>遠属性の生存ユニットのHPを高確率で全回復</v>
      </c>
      <c r="AV132" s="10" t="s">
        <v>1024</v>
      </c>
      <c r="AW132" s="40" t="s">
        <v>1324</v>
      </c>
      <c r="AX132" s="39" t="str">
        <f>データ!R132</f>
        <v>-</v>
      </c>
      <c r="AY132" s="10" t="s">
        <v>1113</v>
      </c>
      <c r="AZ132" s="39" t="str">
        <f>データ!S132</f>
        <v>　</v>
      </c>
      <c r="BA132" s="41" t="s">
        <v>1024</v>
      </c>
      <c r="BB132" s="40" t="s">
        <v>1319</v>
      </c>
      <c r="BC132" s="39" t="str">
        <f>データ!T132</f>
        <v>-</v>
      </c>
      <c r="BD132" s="41" t="s">
        <v>1024</v>
      </c>
      <c r="BE132" s="40" t="s">
        <v>1320</v>
      </c>
      <c r="BF132" s="39" t="str">
        <f>データ!U132</f>
        <v>-</v>
      </c>
      <c r="BG132" s="41" t="s">
        <v>1024</v>
      </c>
      <c r="BH132" s="40" t="s">
        <v>1319</v>
      </c>
      <c r="BI132" s="39" t="str">
        <f>データ!V132</f>
        <v>メダル</v>
      </c>
      <c r="BJ132" s="41" t="s">
        <v>1024</v>
      </c>
      <c r="BK132" s="10" t="s">
        <v>1019</v>
      </c>
    </row>
    <row r="133" spans="1:63" x14ac:dyDescent="0.15">
      <c r="A133" s="10" t="s">
        <v>1016</v>
      </c>
      <c r="B133" s="10" t="s">
        <v>1454</v>
      </c>
      <c r="C133" s="38" t="str">
        <f>"./images/thumbnail/"&amp;データ!B133&amp;".jpg"</f>
        <v>./images/thumbnail/1216.jpg</v>
      </c>
      <c r="D133" s="38" t="s">
        <v>1455</v>
      </c>
      <c r="E133" s="38" t="str">
        <f>"./images/thumbnail/"&amp;データ!B133&amp;".jpg"</f>
        <v>./images/thumbnail/1216.jpg</v>
      </c>
      <c r="F133" s="38" t="s">
        <v>1116</v>
      </c>
      <c r="G133" s="38" t="s">
        <v>1319</v>
      </c>
      <c r="H133" s="38" t="str">
        <f>データ!C133</f>
        <v>ニルス</v>
      </c>
      <c r="I133" s="38" t="s">
        <v>1024</v>
      </c>
      <c r="J133" s="38" t="s">
        <v>1320</v>
      </c>
      <c r="K133" s="38" t="str">
        <f>データ!D133</f>
        <v>SSR</v>
      </c>
      <c r="L133" s="38" t="s">
        <v>1024</v>
      </c>
      <c r="M133" s="38" t="s">
        <v>1321</v>
      </c>
      <c r="N133" s="38">
        <f>データ!E133</f>
        <v>13</v>
      </c>
      <c r="O133" s="38" t="s">
        <v>1024</v>
      </c>
      <c r="P133" s="38" t="s">
        <v>1319</v>
      </c>
      <c r="Q133" s="38" t="str">
        <f>データ!F133</f>
        <v>斬</v>
      </c>
      <c r="R133" s="38" t="s">
        <v>1024</v>
      </c>
      <c r="S133" s="38" t="s">
        <v>1319</v>
      </c>
      <c r="T133" s="39">
        <f>データ!G133</f>
        <v>14721</v>
      </c>
      <c r="U133" s="40" t="s">
        <v>1024</v>
      </c>
      <c r="V133" s="40" t="s">
        <v>1319</v>
      </c>
      <c r="W133" s="39">
        <f>データ!H133</f>
        <v>7163</v>
      </c>
      <c r="X133" s="40" t="s">
        <v>1024</v>
      </c>
      <c r="Y133" s="40" t="s">
        <v>1319</v>
      </c>
      <c r="Z133" s="39">
        <f>データ!I133</f>
        <v>5115</v>
      </c>
      <c r="AA133" s="40" t="s">
        <v>1024</v>
      </c>
      <c r="AB133" s="40" t="s">
        <v>1322</v>
      </c>
      <c r="AC133" s="39" t="str">
        <f>データ!J133</f>
        <v>S+</v>
      </c>
      <c r="AD133" s="38" t="s">
        <v>1024</v>
      </c>
      <c r="AE133" s="40" t="s">
        <v>1323</v>
      </c>
      <c r="AF133" s="39">
        <f>データ!K133</f>
        <v>26999</v>
      </c>
      <c r="AG133" s="40" t="s">
        <v>1024</v>
      </c>
      <c r="AH133" s="40" t="s">
        <v>1324</v>
      </c>
      <c r="AI133" s="39" t="str">
        <f>データ!L133</f>
        <v>破岩の縦十字／絶</v>
      </c>
      <c r="AJ133" s="10" t="s">
        <v>1113</v>
      </c>
      <c r="AK133" s="39" t="str">
        <f>データ!M133</f>
        <v>十字型に固定ダメージ[大]</v>
      </c>
      <c r="AL133" s="10" t="s">
        <v>1024</v>
      </c>
      <c r="AM133" s="40" t="s">
        <v>1325</v>
      </c>
      <c r="AN133" s="39" t="str">
        <f>データ!N133</f>
        <v>-</v>
      </c>
      <c r="AO133" s="10" t="s">
        <v>1113</v>
      </c>
      <c r="AP133" s="39" t="str">
        <f>データ!O133</f>
        <v>　</v>
      </c>
      <c r="AQ133" s="41" t="s">
        <v>1024</v>
      </c>
      <c r="AR133" s="40" t="s">
        <v>1324</v>
      </c>
      <c r="AS133" s="39" t="str">
        <f>データ!P133</f>
        <v>リヴァイブ／真斬紅</v>
      </c>
      <c r="AT133" s="10" t="s">
        <v>1113</v>
      </c>
      <c r="AU133" s="39" t="str">
        <f>データ!Q133</f>
        <v>高確率で斬属性のユニットを復帰</v>
      </c>
      <c r="AV133" s="10" t="s">
        <v>1024</v>
      </c>
      <c r="AW133" s="40" t="s">
        <v>1324</v>
      </c>
      <c r="AX133" s="39" t="str">
        <f>データ!R133</f>
        <v>-</v>
      </c>
      <c r="AY133" s="10" t="s">
        <v>1113</v>
      </c>
      <c r="AZ133" s="39" t="str">
        <f>データ!S133</f>
        <v>　</v>
      </c>
      <c r="BA133" s="41" t="s">
        <v>1024</v>
      </c>
      <c r="BB133" s="40" t="s">
        <v>1319</v>
      </c>
      <c r="BC133" s="39" t="str">
        <f>データ!T133</f>
        <v>-</v>
      </c>
      <c r="BD133" s="41" t="s">
        <v>1024</v>
      </c>
      <c r="BE133" s="40" t="s">
        <v>1320</v>
      </c>
      <c r="BF133" s="39" t="str">
        <f>データ!U133</f>
        <v>-</v>
      </c>
      <c r="BG133" s="41" t="s">
        <v>1024</v>
      </c>
      <c r="BH133" s="40" t="s">
        <v>1319</v>
      </c>
      <c r="BI133" s="39" t="str">
        <f>データ!V133</f>
        <v>常設</v>
      </c>
      <c r="BJ133" s="41" t="s">
        <v>1024</v>
      </c>
      <c r="BK133" s="10" t="s">
        <v>1019</v>
      </c>
    </row>
    <row r="134" spans="1:63" x14ac:dyDescent="0.15">
      <c r="A134" s="10" t="s">
        <v>1016</v>
      </c>
      <c r="B134" s="10" t="s">
        <v>1454</v>
      </c>
      <c r="C134" s="38" t="str">
        <f>"./images/thumbnail/"&amp;データ!B134&amp;".jpg"</f>
        <v>./images/thumbnail/1218.jpg</v>
      </c>
      <c r="D134" s="38" t="s">
        <v>1455</v>
      </c>
      <c r="E134" s="38" t="str">
        <f>"./images/thumbnail/"&amp;データ!B134&amp;".jpg"</f>
        <v>./images/thumbnail/1218.jpg</v>
      </c>
      <c r="F134" s="38" t="s">
        <v>1116</v>
      </c>
      <c r="G134" s="38" t="s">
        <v>1319</v>
      </c>
      <c r="H134" s="38" t="str">
        <f>データ!C134</f>
        <v>バルトハウザー</v>
      </c>
      <c r="I134" s="38" t="s">
        <v>1024</v>
      </c>
      <c r="J134" s="38" t="s">
        <v>1320</v>
      </c>
      <c r="K134" s="38" t="str">
        <f>データ!D134</f>
        <v>SSR</v>
      </c>
      <c r="L134" s="38" t="s">
        <v>1024</v>
      </c>
      <c r="M134" s="38" t="s">
        <v>1321</v>
      </c>
      <c r="N134" s="38">
        <f>データ!E134</f>
        <v>13</v>
      </c>
      <c r="O134" s="38" t="s">
        <v>1024</v>
      </c>
      <c r="P134" s="38" t="s">
        <v>1319</v>
      </c>
      <c r="Q134" s="38" t="str">
        <f>データ!F134</f>
        <v>突</v>
      </c>
      <c r="R134" s="38" t="s">
        <v>1024</v>
      </c>
      <c r="S134" s="38" t="s">
        <v>1319</v>
      </c>
      <c r="T134" s="39">
        <f>データ!G134</f>
        <v>16382</v>
      </c>
      <c r="U134" s="40" t="s">
        <v>1024</v>
      </c>
      <c r="V134" s="40" t="s">
        <v>1319</v>
      </c>
      <c r="W134" s="39">
        <f>データ!H134</f>
        <v>5747</v>
      </c>
      <c r="X134" s="40" t="s">
        <v>1024</v>
      </c>
      <c r="Y134" s="40" t="s">
        <v>1319</v>
      </c>
      <c r="Z134" s="39">
        <f>データ!I134</f>
        <v>5856</v>
      </c>
      <c r="AA134" s="40" t="s">
        <v>1024</v>
      </c>
      <c r="AB134" s="40" t="s">
        <v>1322</v>
      </c>
      <c r="AC134" s="39" t="str">
        <f>データ!J134</f>
        <v>SS-</v>
      </c>
      <c r="AD134" s="38" t="s">
        <v>1024</v>
      </c>
      <c r="AE134" s="40" t="s">
        <v>1323</v>
      </c>
      <c r="AF134" s="39">
        <f>データ!K134</f>
        <v>27985</v>
      </c>
      <c r="AG134" s="40" t="s">
        <v>1024</v>
      </c>
      <c r="AH134" s="40" t="s">
        <v>1324</v>
      </c>
      <c r="AI134" s="39" t="str">
        <f>データ!L134</f>
        <v>蒼突の聖天</v>
      </c>
      <c r="AJ134" s="10" t="s">
        <v>1113</v>
      </c>
      <c r="AK134" s="39" t="str">
        <f>データ!M134</f>
        <v>味方突属性の攻撃力と防御力をUP[大]</v>
      </c>
      <c r="AL134" s="10" t="s">
        <v>1024</v>
      </c>
      <c r="AM134" s="40" t="s">
        <v>1325</v>
      </c>
      <c r="AN134" s="39" t="str">
        <f>データ!N134</f>
        <v>-</v>
      </c>
      <c r="AO134" s="10" t="s">
        <v>1113</v>
      </c>
      <c r="AP134" s="39" t="str">
        <f>データ!O134</f>
        <v>　</v>
      </c>
      <c r="AQ134" s="41" t="s">
        <v>1024</v>
      </c>
      <c r="AR134" s="40" t="s">
        <v>1324</v>
      </c>
      <c r="AS134" s="39" t="str">
        <f>データ!P134</f>
        <v>シャドウ</v>
      </c>
      <c r="AT134" s="10" t="s">
        <v>1113</v>
      </c>
      <c r="AU134" s="39" t="str">
        <f>データ!Q134</f>
        <v>バトル時の強襲CB率が小UP(3分間)</v>
      </c>
      <c r="AV134" s="10" t="s">
        <v>1024</v>
      </c>
      <c r="AW134" s="40" t="s">
        <v>1324</v>
      </c>
      <c r="AX134" s="39" t="str">
        <f>データ!R134</f>
        <v>-</v>
      </c>
      <c r="AY134" s="10" t="s">
        <v>1113</v>
      </c>
      <c r="AZ134" s="39" t="str">
        <f>データ!S134</f>
        <v>　</v>
      </c>
      <c r="BA134" s="41" t="s">
        <v>1024</v>
      </c>
      <c r="BB134" s="40" t="s">
        <v>1319</v>
      </c>
      <c r="BC134" s="39" t="str">
        <f>データ!T134</f>
        <v>-</v>
      </c>
      <c r="BD134" s="41" t="s">
        <v>1024</v>
      </c>
      <c r="BE134" s="40" t="s">
        <v>1320</v>
      </c>
      <c r="BF134" s="39" t="str">
        <f>データ!U134</f>
        <v>-</v>
      </c>
      <c r="BG134" s="41" t="s">
        <v>1024</v>
      </c>
      <c r="BH134" s="40" t="s">
        <v>1319</v>
      </c>
      <c r="BI134" s="39" t="str">
        <f>データ!V134</f>
        <v>常設</v>
      </c>
      <c r="BJ134" s="41" t="s">
        <v>1024</v>
      </c>
      <c r="BK134" s="10" t="s">
        <v>1019</v>
      </c>
    </row>
    <row r="135" spans="1:63" x14ac:dyDescent="0.15">
      <c r="A135" s="10" t="s">
        <v>1016</v>
      </c>
      <c r="B135" s="10" t="s">
        <v>1454</v>
      </c>
      <c r="C135" s="38" t="str">
        <f>"./images/thumbnail/"&amp;データ!B135&amp;".jpg"</f>
        <v>./images/thumbnail/1220.jpg</v>
      </c>
      <c r="D135" s="38" t="s">
        <v>1455</v>
      </c>
      <c r="E135" s="38" t="str">
        <f>"./images/thumbnail/"&amp;データ!B135&amp;".jpg"</f>
        <v>./images/thumbnail/1220.jpg</v>
      </c>
      <c r="F135" s="38" t="s">
        <v>1116</v>
      </c>
      <c r="G135" s="38" t="s">
        <v>1319</v>
      </c>
      <c r="H135" s="38" t="str">
        <f>データ!C135</f>
        <v>ルイーゼ</v>
      </c>
      <c r="I135" s="38" t="s">
        <v>1024</v>
      </c>
      <c r="J135" s="38" t="s">
        <v>1320</v>
      </c>
      <c r="K135" s="38" t="str">
        <f>データ!D135</f>
        <v>SSR</v>
      </c>
      <c r="L135" s="38" t="s">
        <v>1024</v>
      </c>
      <c r="M135" s="38" t="s">
        <v>1321</v>
      </c>
      <c r="N135" s="38">
        <f>データ!E135</f>
        <v>13</v>
      </c>
      <c r="O135" s="38" t="s">
        <v>1024</v>
      </c>
      <c r="P135" s="38" t="s">
        <v>1319</v>
      </c>
      <c r="Q135" s="38" t="str">
        <f>データ!F135</f>
        <v>打</v>
      </c>
      <c r="R135" s="38" t="s">
        <v>1024</v>
      </c>
      <c r="S135" s="38" t="s">
        <v>1319</v>
      </c>
      <c r="T135" s="39">
        <f>データ!G135</f>
        <v>18302</v>
      </c>
      <c r="U135" s="40" t="s">
        <v>1024</v>
      </c>
      <c r="V135" s="40" t="s">
        <v>1319</v>
      </c>
      <c r="W135" s="39">
        <f>データ!H135</f>
        <v>5802</v>
      </c>
      <c r="X135" s="40" t="s">
        <v>1024</v>
      </c>
      <c r="Y135" s="40" t="s">
        <v>1319</v>
      </c>
      <c r="Z135" s="39">
        <f>データ!I135</f>
        <v>6538</v>
      </c>
      <c r="AA135" s="40" t="s">
        <v>1024</v>
      </c>
      <c r="AB135" s="40" t="s">
        <v>1322</v>
      </c>
      <c r="AC135" s="39" t="str">
        <f>データ!J135</f>
        <v>S-</v>
      </c>
      <c r="AD135" s="38" t="s">
        <v>1024</v>
      </c>
      <c r="AE135" s="40" t="s">
        <v>1323</v>
      </c>
      <c r="AF135" s="39">
        <f>データ!K135</f>
        <v>30642</v>
      </c>
      <c r="AG135" s="40" t="s">
        <v>1024</v>
      </c>
      <c r="AH135" s="40" t="s">
        <v>1324</v>
      </c>
      <c r="AI135" s="39" t="str">
        <f>データ!L135</f>
        <v>幻光の交叉線／絶</v>
      </c>
      <c r="AJ135" s="10" t="s">
        <v>1113</v>
      </c>
      <c r="AK135" s="39" t="str">
        <f>データ!M135</f>
        <v>X字型に攻撃[大]</v>
      </c>
      <c r="AL135" s="10" t="s">
        <v>1024</v>
      </c>
      <c r="AM135" s="40" t="s">
        <v>1325</v>
      </c>
      <c r="AN135" s="39" t="str">
        <f>データ!N135</f>
        <v>-</v>
      </c>
      <c r="AO135" s="10" t="s">
        <v>1113</v>
      </c>
      <c r="AP135" s="39" t="str">
        <f>データ!O135</f>
        <v>　</v>
      </c>
      <c r="AQ135" s="41" t="s">
        <v>1024</v>
      </c>
      <c r="AR135" s="40" t="s">
        <v>1324</v>
      </c>
      <c r="AS135" s="39" t="str">
        <f>データ!P135</f>
        <v>ヒール／真紫打</v>
      </c>
      <c r="AT135" s="10" t="s">
        <v>1113</v>
      </c>
      <c r="AU135" s="39" t="str">
        <f>データ!Q135</f>
        <v>打属性の生存ユニットのHPを高確率で全回復</v>
      </c>
      <c r="AV135" s="10" t="s">
        <v>1024</v>
      </c>
      <c r="AW135" s="40" t="s">
        <v>1324</v>
      </c>
      <c r="AX135" s="39" t="str">
        <f>データ!R135</f>
        <v>-</v>
      </c>
      <c r="AY135" s="10" t="s">
        <v>1113</v>
      </c>
      <c r="AZ135" s="39" t="str">
        <f>データ!S135</f>
        <v>　</v>
      </c>
      <c r="BA135" s="41" t="s">
        <v>1024</v>
      </c>
      <c r="BB135" s="40" t="s">
        <v>1319</v>
      </c>
      <c r="BC135" s="39" t="str">
        <f>データ!T135</f>
        <v>-</v>
      </c>
      <c r="BD135" s="41" t="s">
        <v>1024</v>
      </c>
      <c r="BE135" s="40" t="s">
        <v>1320</v>
      </c>
      <c r="BF135" s="39" t="str">
        <f>データ!U135</f>
        <v>-</v>
      </c>
      <c r="BG135" s="41" t="s">
        <v>1024</v>
      </c>
      <c r="BH135" s="40" t="s">
        <v>1319</v>
      </c>
      <c r="BI135" s="39" t="str">
        <f>データ!V135</f>
        <v>常設</v>
      </c>
      <c r="BJ135" s="41" t="s">
        <v>1024</v>
      </c>
      <c r="BK135" s="10" t="s">
        <v>1019</v>
      </c>
    </row>
    <row r="136" spans="1:63" x14ac:dyDescent="0.15">
      <c r="A136" s="10" t="s">
        <v>1016</v>
      </c>
      <c r="B136" s="10" t="s">
        <v>1454</v>
      </c>
      <c r="C136" s="38" t="str">
        <f>"./images/thumbnail/"&amp;データ!B136&amp;".jpg"</f>
        <v>./images/thumbnail/1222.jpg</v>
      </c>
      <c r="D136" s="38" t="s">
        <v>1455</v>
      </c>
      <c r="E136" s="38" t="str">
        <f>"./images/thumbnail/"&amp;データ!B136&amp;".jpg"</f>
        <v>./images/thumbnail/1222.jpg</v>
      </c>
      <c r="F136" s="38" t="s">
        <v>1116</v>
      </c>
      <c r="G136" s="38" t="s">
        <v>1319</v>
      </c>
      <c r="H136" s="38" t="str">
        <f>データ!C136</f>
        <v>ノンノリア</v>
      </c>
      <c r="I136" s="38" t="s">
        <v>1024</v>
      </c>
      <c r="J136" s="38" t="s">
        <v>1320</v>
      </c>
      <c r="K136" s="38" t="str">
        <f>データ!D136</f>
        <v>SSR</v>
      </c>
      <c r="L136" s="38" t="s">
        <v>1024</v>
      </c>
      <c r="M136" s="38" t="s">
        <v>1321</v>
      </c>
      <c r="N136" s="38">
        <f>データ!E136</f>
        <v>13</v>
      </c>
      <c r="O136" s="38" t="s">
        <v>1024</v>
      </c>
      <c r="P136" s="38" t="s">
        <v>1319</v>
      </c>
      <c r="Q136" s="38" t="str">
        <f>データ!F136</f>
        <v>遠</v>
      </c>
      <c r="R136" s="38" t="s">
        <v>1024</v>
      </c>
      <c r="S136" s="38" t="s">
        <v>1319</v>
      </c>
      <c r="T136" s="39">
        <f>データ!G136</f>
        <v>16747</v>
      </c>
      <c r="U136" s="40" t="s">
        <v>1024</v>
      </c>
      <c r="V136" s="40" t="s">
        <v>1319</v>
      </c>
      <c r="W136" s="39">
        <f>データ!H136</f>
        <v>5844</v>
      </c>
      <c r="X136" s="40" t="s">
        <v>1024</v>
      </c>
      <c r="Y136" s="40" t="s">
        <v>1319</v>
      </c>
      <c r="Z136" s="39">
        <f>データ!I136</f>
        <v>5100</v>
      </c>
      <c r="AA136" s="40" t="s">
        <v>1024</v>
      </c>
      <c r="AB136" s="40" t="s">
        <v>1322</v>
      </c>
      <c r="AC136" s="39" t="str">
        <f>データ!J136</f>
        <v>S-</v>
      </c>
      <c r="AD136" s="38" t="s">
        <v>1024</v>
      </c>
      <c r="AE136" s="40" t="s">
        <v>1323</v>
      </c>
      <c r="AF136" s="39">
        <f>データ!K136</f>
        <v>27691</v>
      </c>
      <c r="AG136" s="40" t="s">
        <v>1024</v>
      </c>
      <c r="AH136" s="40" t="s">
        <v>1324</v>
      </c>
      <c r="AI136" s="39" t="str">
        <f>データ!L136</f>
        <v>幻射の五連撃</v>
      </c>
      <c r="AJ136" s="10" t="s">
        <v>1113</v>
      </c>
      <c r="AK136" s="39" t="str">
        <f>データ!M136</f>
        <v>ランダムで5連続攻撃[小]</v>
      </c>
      <c r="AL136" s="10" t="s">
        <v>1024</v>
      </c>
      <c r="AM136" s="40" t="s">
        <v>1325</v>
      </c>
      <c r="AN136" s="39" t="str">
        <f>データ!N136</f>
        <v>-</v>
      </c>
      <c r="AO136" s="10" t="s">
        <v>1113</v>
      </c>
      <c r="AP136" s="39" t="str">
        <f>データ!O136</f>
        <v>　</v>
      </c>
      <c r="AQ136" s="41" t="s">
        <v>1024</v>
      </c>
      <c r="AR136" s="40" t="s">
        <v>1324</v>
      </c>
      <c r="AS136" s="39" t="str">
        <f>データ!P136</f>
        <v>ジャガーノート／真</v>
      </c>
      <c r="AT136" s="10" t="s">
        <v>1113</v>
      </c>
      <c r="AU136" s="39" t="str">
        <f>データ!Q136</f>
        <v>バトルで敵を全滅するとBPが中回復(バトル3回)</v>
      </c>
      <c r="AV136" s="10" t="s">
        <v>1024</v>
      </c>
      <c r="AW136" s="40" t="s">
        <v>1324</v>
      </c>
      <c r="AX136" s="39" t="str">
        <f>データ!R136</f>
        <v>-</v>
      </c>
      <c r="AY136" s="10" t="s">
        <v>1113</v>
      </c>
      <c r="AZ136" s="39" t="str">
        <f>データ!S136</f>
        <v>　</v>
      </c>
      <c r="BA136" s="41" t="s">
        <v>1024</v>
      </c>
      <c r="BB136" s="40" t="s">
        <v>1319</v>
      </c>
      <c r="BC136" s="39" t="str">
        <f>データ!T136</f>
        <v>-</v>
      </c>
      <c r="BD136" s="41" t="s">
        <v>1024</v>
      </c>
      <c r="BE136" s="40" t="s">
        <v>1320</v>
      </c>
      <c r="BF136" s="39" t="str">
        <f>データ!U136</f>
        <v>-</v>
      </c>
      <c r="BG136" s="41" t="s">
        <v>1024</v>
      </c>
      <c r="BH136" s="40" t="s">
        <v>1319</v>
      </c>
      <c r="BI136" s="39" t="str">
        <f>データ!V136</f>
        <v>常設</v>
      </c>
      <c r="BJ136" s="41" t="s">
        <v>1024</v>
      </c>
      <c r="BK136" s="10" t="s">
        <v>1019</v>
      </c>
    </row>
    <row r="137" spans="1:63" x14ac:dyDescent="0.15">
      <c r="A137" s="10" t="s">
        <v>1016</v>
      </c>
      <c r="B137" s="10" t="s">
        <v>1454</v>
      </c>
      <c r="C137" s="38" t="str">
        <f>"./images/thumbnail/"&amp;データ!B137&amp;".jpg"</f>
        <v>./images/thumbnail/1227.jpg</v>
      </c>
      <c r="D137" s="38" t="s">
        <v>1455</v>
      </c>
      <c r="E137" s="38" t="str">
        <f>"./images/thumbnail/"&amp;データ!B137&amp;".jpg"</f>
        <v>./images/thumbnail/1227.jpg</v>
      </c>
      <c r="F137" s="38" t="s">
        <v>1116</v>
      </c>
      <c r="G137" s="38" t="s">
        <v>1319</v>
      </c>
      <c r="H137" s="38" t="str">
        <f>データ!C137</f>
        <v>ラウジー</v>
      </c>
      <c r="I137" s="38" t="s">
        <v>1024</v>
      </c>
      <c r="J137" s="38" t="s">
        <v>1320</v>
      </c>
      <c r="K137" s="38" t="str">
        <f>データ!D137</f>
        <v>SSR</v>
      </c>
      <c r="L137" s="38" t="s">
        <v>1024</v>
      </c>
      <c r="M137" s="38" t="s">
        <v>1321</v>
      </c>
      <c r="N137" s="38">
        <f>データ!E137</f>
        <v>12</v>
      </c>
      <c r="O137" s="38" t="s">
        <v>1024</v>
      </c>
      <c r="P137" s="38" t="s">
        <v>1319</v>
      </c>
      <c r="Q137" s="38" t="str">
        <f>データ!F137</f>
        <v>打</v>
      </c>
      <c r="R137" s="38" t="s">
        <v>1024</v>
      </c>
      <c r="S137" s="38" t="s">
        <v>1319</v>
      </c>
      <c r="T137" s="39">
        <f>データ!G137</f>
        <v>19343</v>
      </c>
      <c r="U137" s="40" t="s">
        <v>1024</v>
      </c>
      <c r="V137" s="40" t="s">
        <v>1319</v>
      </c>
      <c r="W137" s="39">
        <f>データ!H137</f>
        <v>5498</v>
      </c>
      <c r="X137" s="40" t="s">
        <v>1024</v>
      </c>
      <c r="Y137" s="40" t="s">
        <v>1319</v>
      </c>
      <c r="Z137" s="39">
        <f>データ!I137</f>
        <v>6016</v>
      </c>
      <c r="AA137" s="40" t="s">
        <v>1024</v>
      </c>
      <c r="AB137" s="40" t="s">
        <v>1322</v>
      </c>
      <c r="AC137" s="39" t="str">
        <f>データ!J137</f>
        <v>A-</v>
      </c>
      <c r="AD137" s="38" t="s">
        <v>1024</v>
      </c>
      <c r="AE137" s="40" t="s">
        <v>1323</v>
      </c>
      <c r="AF137" s="39">
        <f>データ!K137</f>
        <v>30857</v>
      </c>
      <c r="AG137" s="40" t="s">
        <v>1024</v>
      </c>
      <c r="AH137" s="40" t="s">
        <v>1324</v>
      </c>
      <c r="AI137" s="39" t="str">
        <f>データ!L137</f>
        <v>魔幻の閃光／絶</v>
      </c>
      <c r="AJ137" s="10" t="s">
        <v>1113</v>
      </c>
      <c r="AK137" s="39" t="str">
        <f>データ!M137</f>
        <v>縦一列に攻撃[大]</v>
      </c>
      <c r="AL137" s="10" t="s">
        <v>1024</v>
      </c>
      <c r="AM137" s="40" t="s">
        <v>1325</v>
      </c>
      <c r="AN137" s="39" t="str">
        <f>データ!N137</f>
        <v>-</v>
      </c>
      <c r="AO137" s="10" t="s">
        <v>1113</v>
      </c>
      <c r="AP137" s="39" t="str">
        <f>データ!O137</f>
        <v>　</v>
      </c>
      <c r="AQ137" s="41" t="s">
        <v>1024</v>
      </c>
      <c r="AR137" s="40" t="s">
        <v>1324</v>
      </c>
      <c r="AS137" s="39" t="str">
        <f>データ!P137</f>
        <v>リヴァイブ／真</v>
      </c>
      <c r="AT137" s="10" t="s">
        <v>1113</v>
      </c>
      <c r="AU137" s="39" t="str">
        <f>データ!Q137</f>
        <v>中確率で戦闘不能ユニットを復帰</v>
      </c>
      <c r="AV137" s="10" t="s">
        <v>1024</v>
      </c>
      <c r="AW137" s="40" t="s">
        <v>1324</v>
      </c>
      <c r="AX137" s="39" t="str">
        <f>データ!R137</f>
        <v>-</v>
      </c>
      <c r="AY137" s="10" t="s">
        <v>1113</v>
      </c>
      <c r="AZ137" s="39" t="str">
        <f>データ!S137</f>
        <v>　</v>
      </c>
      <c r="BA137" s="41" t="s">
        <v>1024</v>
      </c>
      <c r="BB137" s="40" t="s">
        <v>1319</v>
      </c>
      <c r="BC137" s="39" t="str">
        <f>データ!T137</f>
        <v>-</v>
      </c>
      <c r="BD137" s="41" t="s">
        <v>1024</v>
      </c>
      <c r="BE137" s="40" t="s">
        <v>1320</v>
      </c>
      <c r="BF137" s="39" t="str">
        <f>データ!U137</f>
        <v>-</v>
      </c>
      <c r="BG137" s="41" t="s">
        <v>1024</v>
      </c>
      <c r="BH137" s="40" t="s">
        <v>1319</v>
      </c>
      <c r="BI137" s="39" t="str">
        <f>データ!V137</f>
        <v>魔女の追憶イベ</v>
      </c>
      <c r="BJ137" s="41" t="s">
        <v>1024</v>
      </c>
      <c r="BK137" s="10" t="s">
        <v>1019</v>
      </c>
    </row>
    <row r="138" spans="1:63" x14ac:dyDescent="0.15">
      <c r="A138" s="10" t="s">
        <v>1016</v>
      </c>
      <c r="B138" s="10" t="s">
        <v>1454</v>
      </c>
      <c r="C138" s="38" t="str">
        <f>"./images/thumbnail/"&amp;データ!B138&amp;".jpg"</f>
        <v>./images/thumbnail/1228.jpg</v>
      </c>
      <c r="D138" s="38" t="s">
        <v>1455</v>
      </c>
      <c r="E138" s="38" t="str">
        <f>"./images/thumbnail/"&amp;データ!B138&amp;".jpg"</f>
        <v>./images/thumbnail/1228.jpg</v>
      </c>
      <c r="F138" s="38" t="s">
        <v>1116</v>
      </c>
      <c r="G138" s="38" t="s">
        <v>1319</v>
      </c>
      <c r="H138" s="38" t="str">
        <f>データ!C138</f>
        <v>ミリアン</v>
      </c>
      <c r="I138" s="38" t="s">
        <v>1024</v>
      </c>
      <c r="J138" s="38" t="s">
        <v>1320</v>
      </c>
      <c r="K138" s="38" t="str">
        <f>データ!D138</f>
        <v>SSR</v>
      </c>
      <c r="L138" s="38" t="s">
        <v>1024</v>
      </c>
      <c r="M138" s="38" t="s">
        <v>1321</v>
      </c>
      <c r="N138" s="38">
        <f>データ!E138</f>
        <v>12</v>
      </c>
      <c r="O138" s="38" t="s">
        <v>1024</v>
      </c>
      <c r="P138" s="38" t="s">
        <v>1319</v>
      </c>
      <c r="Q138" s="38" t="str">
        <f>データ!F138</f>
        <v>突</v>
      </c>
      <c r="R138" s="38" t="s">
        <v>1024</v>
      </c>
      <c r="S138" s="38" t="s">
        <v>1319</v>
      </c>
      <c r="T138" s="39">
        <f>データ!G138</f>
        <v>18549</v>
      </c>
      <c r="U138" s="40" t="s">
        <v>1024</v>
      </c>
      <c r="V138" s="40" t="s">
        <v>1319</v>
      </c>
      <c r="W138" s="39">
        <f>データ!H138</f>
        <v>4682</v>
      </c>
      <c r="X138" s="40" t="s">
        <v>1024</v>
      </c>
      <c r="Y138" s="40" t="s">
        <v>1319</v>
      </c>
      <c r="Z138" s="39">
        <f>データ!I138</f>
        <v>5280</v>
      </c>
      <c r="AA138" s="40" t="s">
        <v>1024</v>
      </c>
      <c r="AB138" s="40" t="s">
        <v>1322</v>
      </c>
      <c r="AC138" s="39" t="str">
        <f>データ!J138</f>
        <v>SS-</v>
      </c>
      <c r="AD138" s="38" t="s">
        <v>1024</v>
      </c>
      <c r="AE138" s="40" t="s">
        <v>1323</v>
      </c>
      <c r="AF138" s="39">
        <f>データ!K138</f>
        <v>28511</v>
      </c>
      <c r="AG138" s="40" t="s">
        <v>1024</v>
      </c>
      <c r="AH138" s="40" t="s">
        <v>1324</v>
      </c>
      <c r="AI138" s="39" t="str">
        <f>データ!L138</f>
        <v>叡智消滅／光芒</v>
      </c>
      <c r="AJ138" s="10" t="s">
        <v>1113</v>
      </c>
      <c r="AK138" s="39" t="str">
        <f>データ!M138</f>
        <v>敵全体の攻撃力と防御力をDOWN[中]</v>
      </c>
      <c r="AL138" s="10" t="s">
        <v>1024</v>
      </c>
      <c r="AM138" s="40" t="s">
        <v>1325</v>
      </c>
      <c r="AN138" s="39" t="str">
        <f>データ!N138</f>
        <v>-</v>
      </c>
      <c r="AO138" s="10" t="s">
        <v>1113</v>
      </c>
      <c r="AP138" s="39" t="str">
        <f>データ!O138</f>
        <v>　</v>
      </c>
      <c r="AQ138" s="41" t="s">
        <v>1024</v>
      </c>
      <c r="AR138" s="40" t="s">
        <v>1324</v>
      </c>
      <c r="AS138" s="39" t="str">
        <f>データ!P138</f>
        <v>リヴァイブ／真蒼突</v>
      </c>
      <c r="AT138" s="10" t="s">
        <v>1113</v>
      </c>
      <c r="AU138" s="39" t="str">
        <f>データ!Q138</f>
        <v>高確率で突属性のユニットを復帰</v>
      </c>
      <c r="AV138" s="10" t="s">
        <v>1024</v>
      </c>
      <c r="AW138" s="40" t="s">
        <v>1324</v>
      </c>
      <c r="AX138" s="39" t="str">
        <f>データ!R138</f>
        <v>-</v>
      </c>
      <c r="AY138" s="10" t="s">
        <v>1113</v>
      </c>
      <c r="AZ138" s="39" t="str">
        <f>データ!S138</f>
        <v>　</v>
      </c>
      <c r="BA138" s="41" t="s">
        <v>1024</v>
      </c>
      <c r="BB138" s="40" t="s">
        <v>1319</v>
      </c>
      <c r="BC138" s="39" t="str">
        <f>データ!T138</f>
        <v>-</v>
      </c>
      <c r="BD138" s="41" t="s">
        <v>1024</v>
      </c>
      <c r="BE138" s="40" t="s">
        <v>1320</v>
      </c>
      <c r="BF138" s="39" t="str">
        <f>データ!U138</f>
        <v>-</v>
      </c>
      <c r="BG138" s="41" t="s">
        <v>1024</v>
      </c>
      <c r="BH138" s="40" t="s">
        <v>1319</v>
      </c>
      <c r="BI138" s="39" t="str">
        <f>データ!V138</f>
        <v>誓いイベ</v>
      </c>
      <c r="BJ138" s="41" t="s">
        <v>1024</v>
      </c>
      <c r="BK138" s="10" t="s">
        <v>1019</v>
      </c>
    </row>
    <row r="139" spans="1:63" x14ac:dyDescent="0.15">
      <c r="A139" s="10" t="s">
        <v>1016</v>
      </c>
      <c r="B139" s="10" t="s">
        <v>1454</v>
      </c>
      <c r="C139" s="38" t="str">
        <f>"./images/thumbnail/"&amp;データ!B139&amp;".jpg"</f>
        <v>./images/thumbnail/1230.jpg</v>
      </c>
      <c r="D139" s="38" t="s">
        <v>1455</v>
      </c>
      <c r="E139" s="38" t="str">
        <f>"./images/thumbnail/"&amp;データ!B139&amp;".jpg"</f>
        <v>./images/thumbnail/1230.jpg</v>
      </c>
      <c r="F139" s="38" t="s">
        <v>1116</v>
      </c>
      <c r="G139" s="38" t="s">
        <v>1319</v>
      </c>
      <c r="H139" s="38" t="str">
        <f>データ!C139</f>
        <v>キアラ</v>
      </c>
      <c r="I139" s="38" t="s">
        <v>1024</v>
      </c>
      <c r="J139" s="38" t="s">
        <v>1320</v>
      </c>
      <c r="K139" s="38" t="str">
        <f>データ!D139</f>
        <v>SSR</v>
      </c>
      <c r="L139" s="38" t="s">
        <v>1024</v>
      </c>
      <c r="M139" s="38" t="s">
        <v>1321</v>
      </c>
      <c r="N139" s="38">
        <f>データ!E139</f>
        <v>12</v>
      </c>
      <c r="O139" s="38" t="s">
        <v>1024</v>
      </c>
      <c r="P139" s="38" t="s">
        <v>1319</v>
      </c>
      <c r="Q139" s="38" t="str">
        <f>データ!F139</f>
        <v>打</v>
      </c>
      <c r="R139" s="38" t="s">
        <v>1024</v>
      </c>
      <c r="S139" s="38" t="s">
        <v>1319</v>
      </c>
      <c r="T139" s="39">
        <f>データ!G139</f>
        <v>16931</v>
      </c>
      <c r="U139" s="40" t="s">
        <v>1024</v>
      </c>
      <c r="V139" s="40" t="s">
        <v>1319</v>
      </c>
      <c r="W139" s="39">
        <f>データ!H139</f>
        <v>5470</v>
      </c>
      <c r="X139" s="40" t="s">
        <v>1024</v>
      </c>
      <c r="Y139" s="40" t="s">
        <v>1319</v>
      </c>
      <c r="Z139" s="39">
        <f>データ!I139</f>
        <v>6945</v>
      </c>
      <c r="AA139" s="40" t="s">
        <v>1024</v>
      </c>
      <c r="AB139" s="40" t="s">
        <v>1322</v>
      </c>
      <c r="AC139" s="39" t="str">
        <f>データ!J139</f>
        <v>A-</v>
      </c>
      <c r="AD139" s="38" t="s">
        <v>1024</v>
      </c>
      <c r="AE139" s="40" t="s">
        <v>1323</v>
      </c>
      <c r="AF139" s="39">
        <f>データ!K139</f>
        <v>29346</v>
      </c>
      <c r="AG139" s="40" t="s">
        <v>1024</v>
      </c>
      <c r="AH139" s="40" t="s">
        <v>1324</v>
      </c>
      <c r="AI139" s="39" t="str">
        <f>データ!L139</f>
        <v>沈黙の言霊／絶</v>
      </c>
      <c r="AJ139" s="10" t="s">
        <v>1113</v>
      </c>
      <c r="AK139" s="39" t="str">
        <f>データ!M139</f>
        <v>一定確率で敵を沈黙状態にする[高確率]</v>
      </c>
      <c r="AL139" s="10" t="s">
        <v>1024</v>
      </c>
      <c r="AM139" s="40" t="s">
        <v>1325</v>
      </c>
      <c r="AN139" s="39" t="str">
        <f>データ!N139</f>
        <v>-</v>
      </c>
      <c r="AO139" s="10" t="s">
        <v>1113</v>
      </c>
      <c r="AP139" s="39" t="str">
        <f>データ!O139</f>
        <v>　</v>
      </c>
      <c r="AQ139" s="41" t="s">
        <v>1024</v>
      </c>
      <c r="AR139" s="40" t="s">
        <v>1324</v>
      </c>
      <c r="AS139" s="39" t="str">
        <f>データ!P139</f>
        <v>リヴァイブ／真紫打</v>
      </c>
      <c r="AT139" s="10" t="s">
        <v>1113</v>
      </c>
      <c r="AU139" s="39" t="str">
        <f>データ!Q139</f>
        <v>高確率で打属性のユニットを復帰</v>
      </c>
      <c r="AV139" s="10" t="s">
        <v>1024</v>
      </c>
      <c r="AW139" s="40" t="s">
        <v>1324</v>
      </c>
      <c r="AX139" s="39" t="str">
        <f>データ!R139</f>
        <v>-</v>
      </c>
      <c r="AY139" s="10" t="s">
        <v>1113</v>
      </c>
      <c r="AZ139" s="39" t="str">
        <f>データ!S139</f>
        <v>　</v>
      </c>
      <c r="BA139" s="41" t="s">
        <v>1024</v>
      </c>
      <c r="BB139" s="40" t="s">
        <v>1319</v>
      </c>
      <c r="BC139" s="39" t="str">
        <f>データ!T139</f>
        <v>-</v>
      </c>
      <c r="BD139" s="41" t="s">
        <v>1024</v>
      </c>
      <c r="BE139" s="40" t="s">
        <v>1320</v>
      </c>
      <c r="BF139" s="39" t="str">
        <f>データ!U139</f>
        <v>-</v>
      </c>
      <c r="BG139" s="41" t="s">
        <v>1024</v>
      </c>
      <c r="BH139" s="40" t="s">
        <v>1319</v>
      </c>
      <c r="BI139" s="39" t="str">
        <f>データ!V139</f>
        <v>メダル</v>
      </c>
      <c r="BJ139" s="41" t="s">
        <v>1024</v>
      </c>
      <c r="BK139" s="10" t="s">
        <v>1019</v>
      </c>
    </row>
    <row r="140" spans="1:63" x14ac:dyDescent="0.15">
      <c r="A140" s="10" t="s">
        <v>1016</v>
      </c>
      <c r="B140" s="10" t="s">
        <v>1454</v>
      </c>
      <c r="C140" s="38" t="str">
        <f>"./images/thumbnail/"&amp;データ!B140&amp;".jpg"</f>
        <v>./images/thumbnail/1232.jpg</v>
      </c>
      <c r="D140" s="38" t="s">
        <v>1455</v>
      </c>
      <c r="E140" s="38" t="str">
        <f>"./images/thumbnail/"&amp;データ!B140&amp;".jpg"</f>
        <v>./images/thumbnail/1232.jpg</v>
      </c>
      <c r="F140" s="38" t="s">
        <v>1116</v>
      </c>
      <c r="G140" s="38" t="s">
        <v>1319</v>
      </c>
      <c r="H140" s="38" t="str">
        <f>データ!C140</f>
        <v>フェルナンド</v>
      </c>
      <c r="I140" s="38" t="s">
        <v>1024</v>
      </c>
      <c r="J140" s="38" t="s">
        <v>1320</v>
      </c>
      <c r="K140" s="38" t="str">
        <f>データ!D140</f>
        <v>SSR</v>
      </c>
      <c r="L140" s="38" t="s">
        <v>1024</v>
      </c>
      <c r="M140" s="38" t="s">
        <v>1321</v>
      </c>
      <c r="N140" s="38">
        <f>データ!E140</f>
        <v>13</v>
      </c>
      <c r="O140" s="38" t="s">
        <v>1024</v>
      </c>
      <c r="P140" s="38" t="s">
        <v>1319</v>
      </c>
      <c r="Q140" s="38" t="str">
        <f>データ!F140</f>
        <v>斬</v>
      </c>
      <c r="R140" s="38" t="s">
        <v>1024</v>
      </c>
      <c r="S140" s="38" t="s">
        <v>1319</v>
      </c>
      <c r="T140" s="39">
        <f>データ!G140</f>
        <v>15733</v>
      </c>
      <c r="U140" s="40" t="s">
        <v>1024</v>
      </c>
      <c r="V140" s="40" t="s">
        <v>1319</v>
      </c>
      <c r="W140" s="39">
        <f>データ!H140</f>
        <v>7237</v>
      </c>
      <c r="X140" s="40" t="s">
        <v>1024</v>
      </c>
      <c r="Y140" s="40" t="s">
        <v>1319</v>
      </c>
      <c r="Z140" s="39">
        <f>データ!I140</f>
        <v>5354</v>
      </c>
      <c r="AA140" s="40" t="s">
        <v>1024</v>
      </c>
      <c r="AB140" s="40" t="s">
        <v>1322</v>
      </c>
      <c r="AC140" s="39" t="str">
        <f>データ!J140</f>
        <v>A+</v>
      </c>
      <c r="AD140" s="38" t="s">
        <v>1024</v>
      </c>
      <c r="AE140" s="40" t="s">
        <v>1323</v>
      </c>
      <c r="AF140" s="39">
        <f>データ!K140</f>
        <v>28324</v>
      </c>
      <c r="AG140" s="40" t="s">
        <v>1024</v>
      </c>
      <c r="AH140" s="40" t="s">
        <v>1324</v>
      </c>
      <c r="AI140" s="39" t="str">
        <f>データ!L140</f>
        <v>斬紅の覇道</v>
      </c>
      <c r="AJ140" s="10" t="s">
        <v>1113</v>
      </c>
      <c r="AK140" s="39" t="str">
        <f>データ!M140</f>
        <v>味方斬属性の攻撃力をUP[大]</v>
      </c>
      <c r="AL140" s="38" t="s">
        <v>1024</v>
      </c>
      <c r="AM140" s="40" t="s">
        <v>1325</v>
      </c>
      <c r="AN140" s="39" t="str">
        <f>データ!N140</f>
        <v>-</v>
      </c>
      <c r="AO140" s="10" t="s">
        <v>1113</v>
      </c>
      <c r="AP140" s="39" t="str">
        <f>データ!O140</f>
        <v>　</v>
      </c>
      <c r="AQ140" s="41" t="s">
        <v>1024</v>
      </c>
      <c r="AR140" s="40" t="s">
        <v>1324</v>
      </c>
      <c r="AS140" s="39" t="str">
        <f>データ!P140</f>
        <v>フォートレスオーダー</v>
      </c>
      <c r="AT140" s="10" t="s">
        <v>1113</v>
      </c>
      <c r="AU140" s="39" t="str">
        <f>データ!Q140</f>
        <v>騎士団全体の防御力が小UP(3分間)</v>
      </c>
      <c r="AV140" s="10" t="s">
        <v>1024</v>
      </c>
      <c r="AW140" s="40" t="s">
        <v>1324</v>
      </c>
      <c r="AX140" s="39" t="str">
        <f>データ!R140</f>
        <v>-</v>
      </c>
      <c r="AY140" s="10" t="s">
        <v>1113</v>
      </c>
      <c r="AZ140" s="39" t="str">
        <f>データ!S140</f>
        <v>　</v>
      </c>
      <c r="BA140" s="41" t="s">
        <v>1024</v>
      </c>
      <c r="BB140" s="40" t="s">
        <v>1319</v>
      </c>
      <c r="BC140" s="39" t="str">
        <f>データ!T140</f>
        <v>-</v>
      </c>
      <c r="BD140" s="41" t="s">
        <v>1024</v>
      </c>
      <c r="BE140" s="40" t="s">
        <v>1320</v>
      </c>
      <c r="BF140" s="39" t="str">
        <f>データ!U140</f>
        <v>-</v>
      </c>
      <c r="BG140" s="41" t="s">
        <v>1024</v>
      </c>
      <c r="BH140" s="40" t="s">
        <v>1319</v>
      </c>
      <c r="BI140" s="39" t="str">
        <f>データ!V140</f>
        <v>常設</v>
      </c>
      <c r="BJ140" s="41" t="s">
        <v>1024</v>
      </c>
      <c r="BK140" s="10" t="s">
        <v>1019</v>
      </c>
    </row>
    <row r="141" spans="1:63" x14ac:dyDescent="0.15">
      <c r="A141" s="10" t="s">
        <v>1016</v>
      </c>
      <c r="B141" s="10" t="s">
        <v>1454</v>
      </c>
      <c r="C141" s="38" t="str">
        <f>"./images/thumbnail/"&amp;データ!B141&amp;".jpg"</f>
        <v>./images/thumbnail/1234.jpg</v>
      </c>
      <c r="D141" s="38" t="s">
        <v>1455</v>
      </c>
      <c r="E141" s="38" t="str">
        <f>"./images/thumbnail/"&amp;データ!B141&amp;".jpg"</f>
        <v>./images/thumbnail/1234.jpg</v>
      </c>
      <c r="F141" s="38" t="s">
        <v>1116</v>
      </c>
      <c r="G141" s="38" t="s">
        <v>1319</v>
      </c>
      <c r="H141" s="38" t="str">
        <f>データ!C141</f>
        <v>レオン</v>
      </c>
      <c r="I141" s="38" t="s">
        <v>1024</v>
      </c>
      <c r="J141" s="38" t="s">
        <v>1320</v>
      </c>
      <c r="K141" s="38" t="str">
        <f>データ!D141</f>
        <v>SSR</v>
      </c>
      <c r="L141" s="38" t="s">
        <v>1024</v>
      </c>
      <c r="M141" s="38" t="s">
        <v>1321</v>
      </c>
      <c r="N141" s="38">
        <f>データ!E141</f>
        <v>13</v>
      </c>
      <c r="O141" s="38" t="s">
        <v>1024</v>
      </c>
      <c r="P141" s="38" t="s">
        <v>1319</v>
      </c>
      <c r="Q141" s="38" t="str">
        <f>データ!F141</f>
        <v>斬</v>
      </c>
      <c r="R141" s="38" t="s">
        <v>1024</v>
      </c>
      <c r="S141" s="38" t="s">
        <v>1319</v>
      </c>
      <c r="T141" s="39">
        <f>データ!G141</f>
        <v>15818</v>
      </c>
      <c r="U141" s="40" t="s">
        <v>1024</v>
      </c>
      <c r="V141" s="40" t="s">
        <v>1319</v>
      </c>
      <c r="W141" s="39">
        <f>データ!H141</f>
        <v>7273</v>
      </c>
      <c r="X141" s="40" t="s">
        <v>1024</v>
      </c>
      <c r="Y141" s="40" t="s">
        <v>1319</v>
      </c>
      <c r="Z141" s="39">
        <f>データ!I141</f>
        <v>5324</v>
      </c>
      <c r="AA141" s="40" t="s">
        <v>1024</v>
      </c>
      <c r="AB141" s="40" t="s">
        <v>1322</v>
      </c>
      <c r="AC141" s="39" t="str">
        <f>データ!J141</f>
        <v>A+</v>
      </c>
      <c r="AD141" s="38" t="s">
        <v>1024</v>
      </c>
      <c r="AE141" s="40" t="s">
        <v>1323</v>
      </c>
      <c r="AF141" s="39">
        <f>データ!K141</f>
        <v>28415</v>
      </c>
      <c r="AG141" s="40" t="s">
        <v>1024</v>
      </c>
      <c r="AH141" s="40" t="s">
        <v>1324</v>
      </c>
      <c r="AI141" s="39" t="str">
        <f>データ!L141</f>
        <v>魔幻の閃光／絶</v>
      </c>
      <c r="AJ141" s="10" t="s">
        <v>1113</v>
      </c>
      <c r="AK141" s="39" t="str">
        <f>データ!M141</f>
        <v>縦一列に攻撃[大]</v>
      </c>
      <c r="AL141" s="10" t="s">
        <v>1024</v>
      </c>
      <c r="AM141" s="40" t="s">
        <v>1325</v>
      </c>
      <c r="AN141" s="39" t="str">
        <f>データ!N141</f>
        <v>-</v>
      </c>
      <c r="AO141" s="10" t="s">
        <v>1113</v>
      </c>
      <c r="AP141" s="39" t="str">
        <f>データ!O141</f>
        <v>　</v>
      </c>
      <c r="AQ141" s="41" t="s">
        <v>1024</v>
      </c>
      <c r="AR141" s="40" t="s">
        <v>1324</v>
      </c>
      <c r="AS141" s="39" t="str">
        <f>データ!P141</f>
        <v>アサルトオーダー</v>
      </c>
      <c r="AT141" s="10" t="s">
        <v>1113</v>
      </c>
      <c r="AU141" s="39" t="str">
        <f>データ!Q141</f>
        <v>騎士団全体の攻撃力が小UP(3分間)</v>
      </c>
      <c r="AV141" s="10" t="s">
        <v>1024</v>
      </c>
      <c r="AW141" s="40" t="s">
        <v>1324</v>
      </c>
      <c r="AX141" s="39" t="str">
        <f>データ!R141</f>
        <v>-</v>
      </c>
      <c r="AY141" s="10" t="s">
        <v>1113</v>
      </c>
      <c r="AZ141" s="39" t="str">
        <f>データ!S141</f>
        <v>　</v>
      </c>
      <c r="BA141" s="41" t="s">
        <v>1024</v>
      </c>
      <c r="BB141" s="40" t="s">
        <v>1319</v>
      </c>
      <c r="BC141" s="39" t="str">
        <f>データ!T141</f>
        <v>-</v>
      </c>
      <c r="BD141" s="41" t="s">
        <v>1024</v>
      </c>
      <c r="BE141" s="40" t="s">
        <v>1320</v>
      </c>
      <c r="BF141" s="39" t="str">
        <f>データ!U141</f>
        <v>-</v>
      </c>
      <c r="BG141" s="41" t="s">
        <v>1024</v>
      </c>
      <c r="BH141" s="40" t="s">
        <v>1319</v>
      </c>
      <c r="BI141" s="39" t="str">
        <f>データ!V141</f>
        <v>常設</v>
      </c>
      <c r="BJ141" s="41" t="s">
        <v>1024</v>
      </c>
      <c r="BK141" s="10" t="s">
        <v>1019</v>
      </c>
    </row>
    <row r="142" spans="1:63" x14ac:dyDescent="0.15">
      <c r="A142" s="10" t="s">
        <v>1016</v>
      </c>
      <c r="B142" s="10" t="s">
        <v>1454</v>
      </c>
      <c r="C142" s="38" t="str">
        <f>"./images/thumbnail/"&amp;データ!B142&amp;".jpg"</f>
        <v>./images/thumbnail/1236.jpg</v>
      </c>
      <c r="D142" s="38" t="s">
        <v>1455</v>
      </c>
      <c r="E142" s="38" t="str">
        <f>"./images/thumbnail/"&amp;データ!B142&amp;".jpg"</f>
        <v>./images/thumbnail/1236.jpg</v>
      </c>
      <c r="F142" s="38" t="s">
        <v>1116</v>
      </c>
      <c r="G142" s="38" t="s">
        <v>1319</v>
      </c>
      <c r="H142" s="38" t="str">
        <f>データ!C142</f>
        <v>アーデルハイド</v>
      </c>
      <c r="I142" s="38" t="s">
        <v>1024</v>
      </c>
      <c r="J142" s="38" t="s">
        <v>1320</v>
      </c>
      <c r="K142" s="38" t="str">
        <f>データ!D142</f>
        <v>SSR</v>
      </c>
      <c r="L142" s="38" t="s">
        <v>1024</v>
      </c>
      <c r="M142" s="38" t="s">
        <v>1321</v>
      </c>
      <c r="N142" s="38">
        <f>データ!E142</f>
        <v>13</v>
      </c>
      <c r="O142" s="38" t="s">
        <v>1024</v>
      </c>
      <c r="P142" s="38" t="s">
        <v>1319</v>
      </c>
      <c r="Q142" s="38" t="str">
        <f>データ!F142</f>
        <v>突</v>
      </c>
      <c r="R142" s="38" t="s">
        <v>1024</v>
      </c>
      <c r="S142" s="38" t="s">
        <v>1319</v>
      </c>
      <c r="T142" s="39">
        <f>データ!G142</f>
        <v>15867</v>
      </c>
      <c r="U142" s="40" t="s">
        <v>1024</v>
      </c>
      <c r="V142" s="40" t="s">
        <v>1319</v>
      </c>
      <c r="W142" s="39">
        <f>データ!H142</f>
        <v>5425</v>
      </c>
      <c r="X142" s="40" t="s">
        <v>1024</v>
      </c>
      <c r="Y142" s="40" t="s">
        <v>1319</v>
      </c>
      <c r="Z142" s="39">
        <f>データ!I142</f>
        <v>6445</v>
      </c>
      <c r="AA142" s="40" t="s">
        <v>1024</v>
      </c>
      <c r="AB142" s="40" t="s">
        <v>1322</v>
      </c>
      <c r="AC142" s="39" t="str">
        <f>データ!J142</f>
        <v>SS-</v>
      </c>
      <c r="AD142" s="38" t="s">
        <v>1024</v>
      </c>
      <c r="AE142" s="40" t="s">
        <v>1323</v>
      </c>
      <c r="AF142" s="39">
        <f>データ!K142</f>
        <v>27737</v>
      </c>
      <c r="AG142" s="40" t="s">
        <v>1024</v>
      </c>
      <c r="AH142" s="40" t="s">
        <v>1324</v>
      </c>
      <c r="AI142" s="39" t="str">
        <f>データ!L142</f>
        <v>幻神の五連撃／真</v>
      </c>
      <c r="AJ142" s="10" t="s">
        <v>1113</v>
      </c>
      <c r="AK142" s="39" t="str">
        <f>データ!M142</f>
        <v>ランダムで5連続攻撃[中]</v>
      </c>
      <c r="AL142" s="10" t="s">
        <v>1024</v>
      </c>
      <c r="AM142" s="40" t="s">
        <v>1325</v>
      </c>
      <c r="AN142" s="39" t="str">
        <f>データ!N142</f>
        <v>-</v>
      </c>
      <c r="AO142" s="10" t="s">
        <v>1113</v>
      </c>
      <c r="AP142" s="39" t="str">
        <f>データ!O142</f>
        <v>　</v>
      </c>
      <c r="AQ142" s="41" t="s">
        <v>1024</v>
      </c>
      <c r="AR142" s="40" t="s">
        <v>1324</v>
      </c>
      <c r="AS142" s="39" t="str">
        <f>データ!P142</f>
        <v>エース／真</v>
      </c>
      <c r="AT142" s="10" t="s">
        <v>1113</v>
      </c>
      <c r="AU142" s="39" t="str">
        <f>データ!Q142</f>
        <v>パーティ全体の攻・防が中UP(3分間)</v>
      </c>
      <c r="AV142" s="10" t="s">
        <v>1024</v>
      </c>
      <c r="AW142" s="40" t="s">
        <v>1324</v>
      </c>
      <c r="AX142" s="39" t="str">
        <f>データ!R142</f>
        <v>-</v>
      </c>
      <c r="AY142" s="10" t="s">
        <v>1113</v>
      </c>
      <c r="AZ142" s="39" t="str">
        <f>データ!S142</f>
        <v>　</v>
      </c>
      <c r="BA142" s="41" t="s">
        <v>1024</v>
      </c>
      <c r="BB142" s="40" t="s">
        <v>1319</v>
      </c>
      <c r="BC142" s="39" t="str">
        <f>データ!T142</f>
        <v>-</v>
      </c>
      <c r="BD142" s="41" t="s">
        <v>1024</v>
      </c>
      <c r="BE142" s="40" t="s">
        <v>1320</v>
      </c>
      <c r="BF142" s="39" t="str">
        <f>データ!U142</f>
        <v>-</v>
      </c>
      <c r="BG142" s="41" t="s">
        <v>1024</v>
      </c>
      <c r="BH142" s="40" t="s">
        <v>1319</v>
      </c>
      <c r="BI142" s="39" t="str">
        <f>データ!V142</f>
        <v>常設</v>
      </c>
      <c r="BJ142" s="41" t="s">
        <v>1024</v>
      </c>
      <c r="BK142" s="10" t="s">
        <v>1019</v>
      </c>
    </row>
    <row r="143" spans="1:63" x14ac:dyDescent="0.15">
      <c r="A143" s="10" t="s">
        <v>1016</v>
      </c>
      <c r="B143" s="10" t="s">
        <v>1454</v>
      </c>
      <c r="C143" s="38" t="str">
        <f>"./images/thumbnail/"&amp;データ!B143&amp;".jpg"</f>
        <v>./images/thumbnail/1238.jpg</v>
      </c>
      <c r="D143" s="38" t="s">
        <v>1455</v>
      </c>
      <c r="E143" s="38" t="str">
        <f>"./images/thumbnail/"&amp;データ!B143&amp;".jpg"</f>
        <v>./images/thumbnail/1238.jpg</v>
      </c>
      <c r="F143" s="38" t="s">
        <v>1116</v>
      </c>
      <c r="G143" s="38" t="s">
        <v>1319</v>
      </c>
      <c r="H143" s="38" t="str">
        <f>データ!C143</f>
        <v>モーリス</v>
      </c>
      <c r="I143" s="38" t="s">
        <v>1024</v>
      </c>
      <c r="J143" s="38" t="s">
        <v>1320</v>
      </c>
      <c r="K143" s="38" t="str">
        <f>データ!D143</f>
        <v>SSR</v>
      </c>
      <c r="L143" s="38" t="s">
        <v>1024</v>
      </c>
      <c r="M143" s="38" t="s">
        <v>1321</v>
      </c>
      <c r="N143" s="38">
        <f>データ!E143</f>
        <v>13</v>
      </c>
      <c r="O143" s="38" t="s">
        <v>1024</v>
      </c>
      <c r="P143" s="38" t="s">
        <v>1319</v>
      </c>
      <c r="Q143" s="38" t="str">
        <f>データ!F143</f>
        <v>打</v>
      </c>
      <c r="R143" s="38" t="s">
        <v>1024</v>
      </c>
      <c r="S143" s="38" t="s">
        <v>1319</v>
      </c>
      <c r="T143" s="39">
        <f>データ!G143</f>
        <v>19460</v>
      </c>
      <c r="U143" s="40" t="s">
        <v>1024</v>
      </c>
      <c r="V143" s="40" t="s">
        <v>1319</v>
      </c>
      <c r="W143" s="39">
        <f>データ!H143</f>
        <v>5768</v>
      </c>
      <c r="X143" s="40" t="s">
        <v>1024</v>
      </c>
      <c r="Y143" s="40" t="s">
        <v>1319</v>
      </c>
      <c r="Z143" s="39">
        <f>データ!I143</f>
        <v>6951</v>
      </c>
      <c r="AA143" s="40" t="s">
        <v>1024</v>
      </c>
      <c r="AB143" s="40" t="s">
        <v>1322</v>
      </c>
      <c r="AC143" s="39" t="str">
        <f>データ!J143</f>
        <v>A-</v>
      </c>
      <c r="AD143" s="38" t="s">
        <v>1024</v>
      </c>
      <c r="AE143" s="40" t="s">
        <v>1323</v>
      </c>
      <c r="AF143" s="39">
        <f>データ!K143</f>
        <v>32179</v>
      </c>
      <c r="AG143" s="40" t="s">
        <v>1024</v>
      </c>
      <c r="AH143" s="40" t="s">
        <v>1324</v>
      </c>
      <c r="AI143" s="39" t="str">
        <f>データ!L143</f>
        <v>幻光の交叉線／絶</v>
      </c>
      <c r="AJ143" s="10" t="s">
        <v>1113</v>
      </c>
      <c r="AK143" s="39" t="str">
        <f>データ!M143</f>
        <v>X字型に攻撃[大]</v>
      </c>
      <c r="AL143" s="10" t="s">
        <v>1024</v>
      </c>
      <c r="AM143" s="40" t="s">
        <v>1325</v>
      </c>
      <c r="AN143" s="39" t="str">
        <f>データ!N143</f>
        <v>-</v>
      </c>
      <c r="AO143" s="10" t="s">
        <v>1113</v>
      </c>
      <c r="AP143" s="39" t="str">
        <f>データ!O143</f>
        <v>　</v>
      </c>
      <c r="AQ143" s="41" t="s">
        <v>1024</v>
      </c>
      <c r="AR143" s="40" t="s">
        <v>1324</v>
      </c>
      <c r="AS143" s="39" t="str">
        <f>データ!P143</f>
        <v>シャドウ</v>
      </c>
      <c r="AT143" s="10" t="s">
        <v>1113</v>
      </c>
      <c r="AU143" s="39" t="str">
        <f>データ!Q143</f>
        <v>バトル時の強襲CB率が小UP(3分間)</v>
      </c>
      <c r="AV143" s="10" t="s">
        <v>1024</v>
      </c>
      <c r="AW143" s="40" t="s">
        <v>1324</v>
      </c>
      <c r="AX143" s="39" t="str">
        <f>データ!R143</f>
        <v>-</v>
      </c>
      <c r="AY143" s="10" t="s">
        <v>1113</v>
      </c>
      <c r="AZ143" s="39" t="str">
        <f>データ!S143</f>
        <v>　</v>
      </c>
      <c r="BA143" s="41" t="s">
        <v>1024</v>
      </c>
      <c r="BB143" s="40" t="s">
        <v>1319</v>
      </c>
      <c r="BC143" s="39" t="str">
        <f>データ!T143</f>
        <v>-</v>
      </c>
      <c r="BD143" s="41" t="s">
        <v>1024</v>
      </c>
      <c r="BE143" s="40" t="s">
        <v>1320</v>
      </c>
      <c r="BF143" s="39" t="str">
        <f>データ!U143</f>
        <v>-</v>
      </c>
      <c r="BG143" s="41" t="s">
        <v>1024</v>
      </c>
      <c r="BH143" s="40" t="s">
        <v>1319</v>
      </c>
      <c r="BI143" s="39" t="str">
        <f>データ!V143</f>
        <v>常設</v>
      </c>
      <c r="BJ143" s="41" t="s">
        <v>1024</v>
      </c>
      <c r="BK143" s="10" t="s">
        <v>1019</v>
      </c>
    </row>
    <row r="144" spans="1:63" x14ac:dyDescent="0.15">
      <c r="A144" s="10" t="s">
        <v>1016</v>
      </c>
      <c r="B144" s="10" t="s">
        <v>1454</v>
      </c>
      <c r="C144" s="38" t="str">
        <f>"./images/thumbnail/"&amp;データ!B144&amp;".jpg"</f>
        <v>./images/thumbnail/1239.jpg</v>
      </c>
      <c r="D144" s="38" t="s">
        <v>1455</v>
      </c>
      <c r="E144" s="38" t="str">
        <f>"./images/thumbnail/"&amp;データ!B144&amp;".jpg"</f>
        <v>./images/thumbnail/1239.jpg</v>
      </c>
      <c r="F144" s="38" t="s">
        <v>1116</v>
      </c>
      <c r="G144" s="38" t="s">
        <v>1319</v>
      </c>
      <c r="H144" s="38" t="str">
        <f>データ!C144</f>
        <v>ベルトラン</v>
      </c>
      <c r="I144" s="38" t="s">
        <v>1024</v>
      </c>
      <c r="J144" s="38" t="s">
        <v>1320</v>
      </c>
      <c r="K144" s="38" t="str">
        <f>データ!D144</f>
        <v>SSR</v>
      </c>
      <c r="L144" s="38" t="s">
        <v>1024</v>
      </c>
      <c r="M144" s="38" t="s">
        <v>1321</v>
      </c>
      <c r="N144" s="38">
        <f>データ!E144</f>
        <v>12</v>
      </c>
      <c r="O144" s="38" t="s">
        <v>1024</v>
      </c>
      <c r="P144" s="38" t="s">
        <v>1319</v>
      </c>
      <c r="Q144" s="38" t="str">
        <f>データ!F144</f>
        <v>打</v>
      </c>
      <c r="R144" s="38" t="s">
        <v>1024</v>
      </c>
      <c r="S144" s="38" t="s">
        <v>1319</v>
      </c>
      <c r="T144" s="39">
        <f>データ!G144</f>
        <v>17665</v>
      </c>
      <c r="U144" s="40" t="s">
        <v>1024</v>
      </c>
      <c r="V144" s="40" t="s">
        <v>1319</v>
      </c>
      <c r="W144" s="39">
        <f>データ!H144</f>
        <v>4916</v>
      </c>
      <c r="X144" s="40" t="s">
        <v>1024</v>
      </c>
      <c r="Y144" s="40" t="s">
        <v>1319</v>
      </c>
      <c r="Z144" s="39">
        <f>データ!I144</f>
        <v>7439</v>
      </c>
      <c r="AA144" s="40" t="s">
        <v>1024</v>
      </c>
      <c r="AB144" s="40" t="s">
        <v>1322</v>
      </c>
      <c r="AC144" s="39" t="str">
        <f>データ!J144</f>
        <v>A-</v>
      </c>
      <c r="AD144" s="38" t="s">
        <v>1024</v>
      </c>
      <c r="AE144" s="40" t="s">
        <v>1323</v>
      </c>
      <c r="AF144" s="39">
        <f>データ!K144</f>
        <v>30020</v>
      </c>
      <c r="AG144" s="40" t="s">
        <v>1024</v>
      </c>
      <c r="AH144" s="40" t="s">
        <v>1324</v>
      </c>
      <c r="AI144" s="39" t="str">
        <f>データ!L144</f>
        <v>紫打の聖護</v>
      </c>
      <c r="AJ144" s="10" t="s">
        <v>1113</v>
      </c>
      <c r="AK144" s="39" t="str">
        <f>データ!M144</f>
        <v>味方打属性の防御力をUP[大]</v>
      </c>
      <c r="AL144" s="10" t="s">
        <v>1024</v>
      </c>
      <c r="AM144" s="40" t="s">
        <v>1325</v>
      </c>
      <c r="AN144" s="39" t="str">
        <f>データ!N144</f>
        <v>-</v>
      </c>
      <c r="AO144" s="10" t="s">
        <v>1113</v>
      </c>
      <c r="AP144" s="39" t="str">
        <f>データ!O144</f>
        <v>　</v>
      </c>
      <c r="AQ144" s="41" t="s">
        <v>1024</v>
      </c>
      <c r="AR144" s="40" t="s">
        <v>1324</v>
      </c>
      <c r="AS144" s="39" t="str">
        <f>データ!P144</f>
        <v>リヴァイブ／真紫打</v>
      </c>
      <c r="AT144" s="10" t="s">
        <v>1113</v>
      </c>
      <c r="AU144" s="39" t="str">
        <f>データ!Q144</f>
        <v>高確率で打属性のユニットを復帰</v>
      </c>
      <c r="AV144" s="10" t="s">
        <v>1024</v>
      </c>
      <c r="AW144" s="40" t="s">
        <v>1324</v>
      </c>
      <c r="AX144" s="39" t="str">
        <f>データ!R144</f>
        <v>-</v>
      </c>
      <c r="AY144" s="10" t="s">
        <v>1113</v>
      </c>
      <c r="AZ144" s="39" t="str">
        <f>データ!S144</f>
        <v>　</v>
      </c>
      <c r="BA144" s="41" t="s">
        <v>1024</v>
      </c>
      <c r="BB144" s="40" t="s">
        <v>1319</v>
      </c>
      <c r="BC144" s="39" t="str">
        <f>データ!T144</f>
        <v>-</v>
      </c>
      <c r="BD144" s="41" t="s">
        <v>1024</v>
      </c>
      <c r="BE144" s="40" t="s">
        <v>1320</v>
      </c>
      <c r="BF144" s="39" t="str">
        <f>データ!U144</f>
        <v>-</v>
      </c>
      <c r="BG144" s="41" t="s">
        <v>1024</v>
      </c>
      <c r="BH144" s="40" t="s">
        <v>1319</v>
      </c>
      <c r="BI144" s="39" t="str">
        <f>データ!V144</f>
        <v>ファン感謝祭イベ</v>
      </c>
      <c r="BJ144" s="41" t="s">
        <v>1024</v>
      </c>
      <c r="BK144" s="10" t="s">
        <v>1019</v>
      </c>
    </row>
    <row r="145" spans="1:63" x14ac:dyDescent="0.15">
      <c r="A145" s="10" t="s">
        <v>1016</v>
      </c>
      <c r="B145" s="10" t="s">
        <v>1454</v>
      </c>
      <c r="C145" s="38" t="str">
        <f>"./images/thumbnail/"&amp;データ!B145&amp;".jpg"</f>
        <v>./images/thumbnail/1241.jpg</v>
      </c>
      <c r="D145" s="38" t="s">
        <v>1455</v>
      </c>
      <c r="E145" s="38" t="str">
        <f>"./images/thumbnail/"&amp;データ!B145&amp;".jpg"</f>
        <v>./images/thumbnail/1241.jpg</v>
      </c>
      <c r="F145" s="38" t="s">
        <v>1116</v>
      </c>
      <c r="G145" s="38" t="s">
        <v>1319</v>
      </c>
      <c r="H145" s="38" t="str">
        <f>データ!C145</f>
        <v>アリア</v>
      </c>
      <c r="I145" s="38" t="s">
        <v>1024</v>
      </c>
      <c r="J145" s="38" t="s">
        <v>1320</v>
      </c>
      <c r="K145" s="38" t="str">
        <f>データ!D145</f>
        <v>SSR</v>
      </c>
      <c r="L145" s="38" t="s">
        <v>1024</v>
      </c>
      <c r="M145" s="38" t="s">
        <v>1321</v>
      </c>
      <c r="N145" s="38">
        <f>データ!E145</f>
        <v>13</v>
      </c>
      <c r="O145" s="38" t="s">
        <v>1024</v>
      </c>
      <c r="P145" s="38" t="s">
        <v>1319</v>
      </c>
      <c r="Q145" s="38" t="str">
        <f>データ!F145</f>
        <v>斬</v>
      </c>
      <c r="R145" s="38" t="s">
        <v>1024</v>
      </c>
      <c r="S145" s="38" t="s">
        <v>1319</v>
      </c>
      <c r="T145" s="39">
        <f>データ!G145</f>
        <v>14484</v>
      </c>
      <c r="U145" s="40" t="s">
        <v>1024</v>
      </c>
      <c r="V145" s="40" t="s">
        <v>1319</v>
      </c>
      <c r="W145" s="39">
        <f>データ!H145</f>
        <v>7651</v>
      </c>
      <c r="X145" s="40" t="s">
        <v>1024</v>
      </c>
      <c r="Y145" s="40" t="s">
        <v>1319</v>
      </c>
      <c r="Z145" s="39">
        <f>データ!I145</f>
        <v>5543</v>
      </c>
      <c r="AA145" s="40" t="s">
        <v>1024</v>
      </c>
      <c r="AB145" s="40" t="s">
        <v>1322</v>
      </c>
      <c r="AC145" s="39" t="str">
        <f>データ!J145</f>
        <v>A+</v>
      </c>
      <c r="AD145" s="38" t="s">
        <v>1024</v>
      </c>
      <c r="AE145" s="40" t="s">
        <v>1323</v>
      </c>
      <c r="AF145" s="39">
        <f>データ!K145</f>
        <v>27678</v>
      </c>
      <c r="AG145" s="40" t="s">
        <v>1024</v>
      </c>
      <c r="AH145" s="40" t="s">
        <v>1324</v>
      </c>
      <c r="AI145" s="39" t="str">
        <f>データ!L145</f>
        <v>斬紅の聖天</v>
      </c>
      <c r="AJ145" s="10" t="s">
        <v>1113</v>
      </c>
      <c r="AK145" s="39" t="str">
        <f>データ!M145</f>
        <v>味方斬属性の攻撃力と防御力をUP[大]</v>
      </c>
      <c r="AL145" s="10" t="s">
        <v>1024</v>
      </c>
      <c r="AM145" s="40" t="s">
        <v>1325</v>
      </c>
      <c r="AN145" s="39" t="str">
        <f>データ!N145</f>
        <v>-</v>
      </c>
      <c r="AO145" s="10" t="s">
        <v>1113</v>
      </c>
      <c r="AP145" s="39" t="str">
        <f>データ!O145</f>
        <v>　</v>
      </c>
      <c r="AQ145" s="41" t="s">
        <v>1024</v>
      </c>
      <c r="AR145" s="40" t="s">
        <v>1324</v>
      </c>
      <c r="AS145" s="39" t="str">
        <f>データ!P145</f>
        <v>キャッスルヴェール</v>
      </c>
      <c r="AT145" s="10" t="s">
        <v>1113</v>
      </c>
      <c r="AU145" s="39" t="str">
        <f>データ!Q145</f>
        <v>城の強度Lvが小UP(3分間)</v>
      </c>
      <c r="AV145" s="10" t="s">
        <v>1024</v>
      </c>
      <c r="AW145" s="40" t="s">
        <v>1324</v>
      </c>
      <c r="AX145" s="39" t="str">
        <f>データ!R145</f>
        <v>-</v>
      </c>
      <c r="AY145" s="10" t="s">
        <v>1113</v>
      </c>
      <c r="AZ145" s="39" t="str">
        <f>データ!S145</f>
        <v>　</v>
      </c>
      <c r="BA145" s="41" t="s">
        <v>1024</v>
      </c>
      <c r="BB145" s="40" t="s">
        <v>1319</v>
      </c>
      <c r="BC145" s="39" t="str">
        <f>データ!T145</f>
        <v>-</v>
      </c>
      <c r="BD145" s="41" t="s">
        <v>1024</v>
      </c>
      <c r="BE145" s="40" t="s">
        <v>1320</v>
      </c>
      <c r="BF145" s="39" t="str">
        <f>データ!U145</f>
        <v>-</v>
      </c>
      <c r="BG145" s="41" t="s">
        <v>1024</v>
      </c>
      <c r="BH145" s="40" t="s">
        <v>1319</v>
      </c>
      <c r="BI145" s="39" t="str">
        <f>データ!V145</f>
        <v>ガチャイベ</v>
      </c>
      <c r="BJ145" s="41" t="s">
        <v>1024</v>
      </c>
      <c r="BK145" s="10" t="s">
        <v>1019</v>
      </c>
    </row>
    <row r="146" spans="1:63" x14ac:dyDescent="0.15">
      <c r="A146" s="10" t="s">
        <v>1016</v>
      </c>
      <c r="B146" s="10" t="s">
        <v>1454</v>
      </c>
      <c r="C146" s="38" t="str">
        <f>"./images/thumbnail/"&amp;データ!B146&amp;".jpg"</f>
        <v>./images/thumbnail/1243.jpg</v>
      </c>
      <c r="D146" s="38" t="s">
        <v>1455</v>
      </c>
      <c r="E146" s="38" t="str">
        <f>"./images/thumbnail/"&amp;データ!B146&amp;".jpg"</f>
        <v>./images/thumbnail/1243.jpg</v>
      </c>
      <c r="F146" s="38" t="s">
        <v>1116</v>
      </c>
      <c r="G146" s="38" t="s">
        <v>1319</v>
      </c>
      <c r="H146" s="38" t="str">
        <f>データ!C146</f>
        <v>デフロット</v>
      </c>
      <c r="I146" s="38" t="s">
        <v>1024</v>
      </c>
      <c r="J146" s="38" t="s">
        <v>1320</v>
      </c>
      <c r="K146" s="38" t="str">
        <f>データ!D146</f>
        <v>SSR</v>
      </c>
      <c r="L146" s="38" t="s">
        <v>1024</v>
      </c>
      <c r="M146" s="38" t="s">
        <v>1321</v>
      </c>
      <c r="N146" s="38">
        <f>データ!E146</f>
        <v>13</v>
      </c>
      <c r="O146" s="38" t="s">
        <v>1024</v>
      </c>
      <c r="P146" s="38" t="s">
        <v>1319</v>
      </c>
      <c r="Q146" s="38" t="str">
        <f>データ!F146</f>
        <v>突</v>
      </c>
      <c r="R146" s="38" t="s">
        <v>1024</v>
      </c>
      <c r="S146" s="38" t="s">
        <v>1319</v>
      </c>
      <c r="T146" s="39">
        <f>データ!G146</f>
        <v>15954</v>
      </c>
      <c r="U146" s="40" t="s">
        <v>1024</v>
      </c>
      <c r="V146" s="40" t="s">
        <v>1319</v>
      </c>
      <c r="W146" s="39">
        <f>データ!H146</f>
        <v>5453</v>
      </c>
      <c r="X146" s="40" t="s">
        <v>1024</v>
      </c>
      <c r="Y146" s="40" t="s">
        <v>1319</v>
      </c>
      <c r="Z146" s="39">
        <f>データ!I146</f>
        <v>6414</v>
      </c>
      <c r="AA146" s="40" t="s">
        <v>1024</v>
      </c>
      <c r="AB146" s="40" t="s">
        <v>1322</v>
      </c>
      <c r="AC146" s="39" t="str">
        <f>データ!J146</f>
        <v>SS-</v>
      </c>
      <c r="AD146" s="38" t="s">
        <v>1024</v>
      </c>
      <c r="AE146" s="40" t="s">
        <v>1323</v>
      </c>
      <c r="AF146" s="39">
        <f>データ!K146</f>
        <v>27821</v>
      </c>
      <c r="AG146" s="40" t="s">
        <v>1024</v>
      </c>
      <c r="AH146" s="40" t="s">
        <v>1324</v>
      </c>
      <c r="AI146" s="39" t="str">
        <f>データ!L146</f>
        <v>覇道消滅／光芒</v>
      </c>
      <c r="AJ146" s="10" t="s">
        <v>1113</v>
      </c>
      <c r="AK146" s="39" t="str">
        <f>データ!M146</f>
        <v>敵全体の攻撃力をDOWN[大]</v>
      </c>
      <c r="AL146" s="10" t="s">
        <v>1024</v>
      </c>
      <c r="AM146" s="40" t="s">
        <v>1325</v>
      </c>
      <c r="AN146" s="39" t="str">
        <f>データ!N146</f>
        <v>-</v>
      </c>
      <c r="AO146" s="10" t="s">
        <v>1113</v>
      </c>
      <c r="AP146" s="39" t="str">
        <f>データ!O146</f>
        <v>　</v>
      </c>
      <c r="AQ146" s="41" t="s">
        <v>1024</v>
      </c>
      <c r="AR146" s="40" t="s">
        <v>1324</v>
      </c>
      <c r="AS146" s="39" t="str">
        <f>データ!P146</f>
        <v>フォートレス／真</v>
      </c>
      <c r="AT146" s="10" t="s">
        <v>1113</v>
      </c>
      <c r="AU146" s="39" t="str">
        <f>データ!Q146</f>
        <v>パーティ全体の防御力が中UP(3分間)</v>
      </c>
      <c r="AV146" s="10" t="s">
        <v>1024</v>
      </c>
      <c r="AW146" s="40" t="s">
        <v>1324</v>
      </c>
      <c r="AX146" s="39" t="str">
        <f>データ!R146</f>
        <v>-</v>
      </c>
      <c r="AY146" s="10" t="s">
        <v>1113</v>
      </c>
      <c r="AZ146" s="39" t="str">
        <f>データ!S146</f>
        <v>　</v>
      </c>
      <c r="BA146" s="41" t="s">
        <v>1024</v>
      </c>
      <c r="BB146" s="40" t="s">
        <v>1319</v>
      </c>
      <c r="BC146" s="39" t="str">
        <f>データ!T146</f>
        <v>-</v>
      </c>
      <c r="BD146" s="41" t="s">
        <v>1024</v>
      </c>
      <c r="BE146" s="40" t="s">
        <v>1320</v>
      </c>
      <c r="BF146" s="39" t="str">
        <f>データ!U146</f>
        <v>-</v>
      </c>
      <c r="BG146" s="41" t="s">
        <v>1024</v>
      </c>
      <c r="BH146" s="40" t="s">
        <v>1319</v>
      </c>
      <c r="BI146" s="39" t="str">
        <f>データ!V146</f>
        <v>ガチャイベ</v>
      </c>
      <c r="BJ146" s="41" t="s">
        <v>1024</v>
      </c>
      <c r="BK146" s="10" t="s">
        <v>1019</v>
      </c>
    </row>
    <row r="147" spans="1:63" x14ac:dyDescent="0.15">
      <c r="A147" s="10" t="s">
        <v>1016</v>
      </c>
      <c r="B147" s="10" t="s">
        <v>1454</v>
      </c>
      <c r="C147" s="38" t="str">
        <f>"./images/thumbnail/"&amp;データ!B147&amp;".jpg"</f>
        <v>./images/thumbnail/1245.jpg</v>
      </c>
      <c r="D147" s="38" t="s">
        <v>1455</v>
      </c>
      <c r="E147" s="38" t="str">
        <f>"./images/thumbnail/"&amp;データ!B147&amp;".jpg"</f>
        <v>./images/thumbnail/1245.jpg</v>
      </c>
      <c r="F147" s="38" t="s">
        <v>1116</v>
      </c>
      <c r="G147" s="38" t="s">
        <v>1319</v>
      </c>
      <c r="H147" s="38" t="str">
        <f>データ!C147</f>
        <v>マリー</v>
      </c>
      <c r="I147" s="38" t="s">
        <v>1024</v>
      </c>
      <c r="J147" s="38" t="s">
        <v>1320</v>
      </c>
      <c r="K147" s="38" t="str">
        <f>データ!D147</f>
        <v>SSR</v>
      </c>
      <c r="L147" s="38" t="s">
        <v>1024</v>
      </c>
      <c r="M147" s="38" t="s">
        <v>1321</v>
      </c>
      <c r="N147" s="38">
        <f>データ!E147</f>
        <v>13</v>
      </c>
      <c r="O147" s="38" t="s">
        <v>1024</v>
      </c>
      <c r="P147" s="38" t="s">
        <v>1319</v>
      </c>
      <c r="Q147" s="38" t="str">
        <f>データ!F147</f>
        <v>打</v>
      </c>
      <c r="R147" s="38" t="s">
        <v>1024</v>
      </c>
      <c r="S147" s="38" t="s">
        <v>1319</v>
      </c>
      <c r="T147" s="39">
        <f>データ!G147</f>
        <v>17819</v>
      </c>
      <c r="U147" s="40" t="s">
        <v>1024</v>
      </c>
      <c r="V147" s="40" t="s">
        <v>1319</v>
      </c>
      <c r="W147" s="39">
        <f>データ!H147</f>
        <v>6004</v>
      </c>
      <c r="X147" s="40" t="s">
        <v>1024</v>
      </c>
      <c r="Y147" s="40" t="s">
        <v>1319</v>
      </c>
      <c r="Z147" s="39">
        <f>データ!I147</f>
        <v>7310</v>
      </c>
      <c r="AA147" s="40" t="s">
        <v>1024</v>
      </c>
      <c r="AB147" s="40" t="s">
        <v>1322</v>
      </c>
      <c r="AC147" s="39" t="str">
        <f>データ!J147</f>
        <v>A-</v>
      </c>
      <c r="AD147" s="38" t="s">
        <v>1024</v>
      </c>
      <c r="AE147" s="40" t="s">
        <v>1323</v>
      </c>
      <c r="AF147" s="39">
        <f>データ!K147</f>
        <v>31133</v>
      </c>
      <c r="AG147" s="40" t="s">
        <v>1024</v>
      </c>
      <c r="AH147" s="40" t="s">
        <v>1324</v>
      </c>
      <c r="AI147" s="39" t="str">
        <f>データ!L147</f>
        <v>対紅の薙風／絶</v>
      </c>
      <c r="AJ147" s="10" t="s">
        <v>1113</v>
      </c>
      <c r="AK147" s="39" t="str">
        <f>データ!M147</f>
        <v>斬に強く突に弱い横一列攻撃[大]</v>
      </c>
      <c r="AL147" s="10" t="s">
        <v>1024</v>
      </c>
      <c r="AM147" s="40" t="s">
        <v>1325</v>
      </c>
      <c r="AN147" s="39" t="str">
        <f>データ!N147</f>
        <v>-</v>
      </c>
      <c r="AO147" s="10" t="s">
        <v>1113</v>
      </c>
      <c r="AP147" s="39" t="str">
        <f>データ!O147</f>
        <v>　</v>
      </c>
      <c r="AQ147" s="41" t="s">
        <v>1024</v>
      </c>
      <c r="AR147" s="40" t="s">
        <v>1324</v>
      </c>
      <c r="AS147" s="39" t="str">
        <f>データ!P147</f>
        <v>アサルト／真</v>
      </c>
      <c r="AT147" s="10" t="s">
        <v>1113</v>
      </c>
      <c r="AU147" s="39" t="str">
        <f>データ!Q147</f>
        <v>パーティ全体の攻撃力が中UP(3分間)</v>
      </c>
      <c r="AV147" s="10" t="s">
        <v>1024</v>
      </c>
      <c r="AW147" s="40" t="s">
        <v>1324</v>
      </c>
      <c r="AX147" s="39" t="str">
        <f>データ!R147</f>
        <v>-</v>
      </c>
      <c r="AY147" s="10" t="s">
        <v>1113</v>
      </c>
      <c r="AZ147" s="39" t="str">
        <f>データ!S147</f>
        <v>　</v>
      </c>
      <c r="BA147" s="41" t="s">
        <v>1024</v>
      </c>
      <c r="BB147" s="40" t="s">
        <v>1319</v>
      </c>
      <c r="BC147" s="39" t="str">
        <f>データ!T147</f>
        <v>-</v>
      </c>
      <c r="BD147" s="41" t="s">
        <v>1024</v>
      </c>
      <c r="BE147" s="40" t="s">
        <v>1320</v>
      </c>
      <c r="BF147" s="39" t="str">
        <f>データ!U147</f>
        <v>-</v>
      </c>
      <c r="BG147" s="41" t="s">
        <v>1024</v>
      </c>
      <c r="BH147" s="40" t="s">
        <v>1319</v>
      </c>
      <c r="BI147" s="39" t="str">
        <f>データ!V147</f>
        <v>ガチャイベ</v>
      </c>
      <c r="BJ147" s="41" t="s">
        <v>1024</v>
      </c>
      <c r="BK147" s="10" t="s">
        <v>1019</v>
      </c>
    </row>
    <row r="148" spans="1:63" x14ac:dyDescent="0.15">
      <c r="A148" s="10" t="s">
        <v>1016</v>
      </c>
      <c r="B148" s="10" t="s">
        <v>1454</v>
      </c>
      <c r="C148" s="38" t="str">
        <f>"./images/thumbnail/"&amp;データ!B148&amp;".jpg"</f>
        <v>./images/thumbnail/1247.jpg</v>
      </c>
      <c r="D148" s="38" t="s">
        <v>1455</v>
      </c>
      <c r="E148" s="38" t="str">
        <f>"./images/thumbnail/"&amp;データ!B148&amp;".jpg"</f>
        <v>./images/thumbnail/1247.jpg</v>
      </c>
      <c r="F148" s="38" t="s">
        <v>1116</v>
      </c>
      <c r="G148" s="38" t="s">
        <v>1319</v>
      </c>
      <c r="H148" s="38" t="str">
        <f>データ!C148</f>
        <v>マーヴェル</v>
      </c>
      <c r="I148" s="38" t="s">
        <v>1024</v>
      </c>
      <c r="J148" s="38" t="s">
        <v>1320</v>
      </c>
      <c r="K148" s="38" t="str">
        <f>データ!D148</f>
        <v>SSR</v>
      </c>
      <c r="L148" s="38" t="s">
        <v>1024</v>
      </c>
      <c r="M148" s="38" t="s">
        <v>1321</v>
      </c>
      <c r="N148" s="38">
        <f>データ!E148</f>
        <v>13</v>
      </c>
      <c r="O148" s="38" t="s">
        <v>1024</v>
      </c>
      <c r="P148" s="38" t="s">
        <v>1319</v>
      </c>
      <c r="Q148" s="38" t="str">
        <f>データ!F148</f>
        <v>遠</v>
      </c>
      <c r="R148" s="38" t="s">
        <v>1024</v>
      </c>
      <c r="S148" s="38" t="s">
        <v>1319</v>
      </c>
      <c r="T148" s="39">
        <f>データ!G148</f>
        <v>15922</v>
      </c>
      <c r="U148" s="40" t="s">
        <v>1024</v>
      </c>
      <c r="V148" s="40" t="s">
        <v>1319</v>
      </c>
      <c r="W148" s="39">
        <f>データ!H148</f>
        <v>6551</v>
      </c>
      <c r="X148" s="40" t="s">
        <v>1024</v>
      </c>
      <c r="Y148" s="40" t="s">
        <v>1319</v>
      </c>
      <c r="Z148" s="39">
        <f>データ!I148</f>
        <v>4797</v>
      </c>
      <c r="AA148" s="40" t="s">
        <v>1024</v>
      </c>
      <c r="AB148" s="40" t="s">
        <v>1322</v>
      </c>
      <c r="AC148" s="39" t="str">
        <f>データ!J148</f>
        <v>S-</v>
      </c>
      <c r="AD148" s="38" t="s">
        <v>1024</v>
      </c>
      <c r="AE148" s="40" t="s">
        <v>1323</v>
      </c>
      <c r="AF148" s="39">
        <f>データ!K148</f>
        <v>27270</v>
      </c>
      <c r="AG148" s="40" t="s">
        <v>1024</v>
      </c>
      <c r="AH148" s="40" t="s">
        <v>1324</v>
      </c>
      <c r="AI148" s="39" t="str">
        <f>データ!L148</f>
        <v>遠翠の略奪／絶</v>
      </c>
      <c r="AJ148" s="10" t="s">
        <v>1113</v>
      </c>
      <c r="AK148" s="39" t="str">
        <f>データ!M148</f>
        <v>敵単体に攻撃しつつHP回復[大]</v>
      </c>
      <c r="AL148" s="10" t="s">
        <v>1024</v>
      </c>
      <c r="AM148" s="40" t="s">
        <v>1325</v>
      </c>
      <c r="AN148" s="39" t="str">
        <f>データ!N148</f>
        <v>-</v>
      </c>
      <c r="AO148" s="10" t="s">
        <v>1113</v>
      </c>
      <c r="AP148" s="39" t="str">
        <f>データ!O148</f>
        <v>　</v>
      </c>
      <c r="AQ148" s="41" t="s">
        <v>1024</v>
      </c>
      <c r="AR148" s="40" t="s">
        <v>1324</v>
      </c>
      <c r="AS148" s="39" t="str">
        <f>データ!P148</f>
        <v>エースオーダー</v>
      </c>
      <c r="AT148" s="10" t="s">
        <v>1113</v>
      </c>
      <c r="AU148" s="39" t="str">
        <f>データ!Q148</f>
        <v>騎士団全体の攻・防が小UP(3分間)</v>
      </c>
      <c r="AV148" s="10" t="s">
        <v>1024</v>
      </c>
      <c r="AW148" s="40" t="s">
        <v>1324</v>
      </c>
      <c r="AX148" s="39" t="str">
        <f>データ!R148</f>
        <v>-</v>
      </c>
      <c r="AY148" s="10" t="s">
        <v>1113</v>
      </c>
      <c r="AZ148" s="39" t="str">
        <f>データ!S148</f>
        <v>　</v>
      </c>
      <c r="BA148" s="41" t="s">
        <v>1024</v>
      </c>
      <c r="BB148" s="40" t="s">
        <v>1319</v>
      </c>
      <c r="BC148" s="39" t="str">
        <f>データ!T148</f>
        <v>-</v>
      </c>
      <c r="BD148" s="41" t="s">
        <v>1024</v>
      </c>
      <c r="BE148" s="40" t="s">
        <v>1320</v>
      </c>
      <c r="BF148" s="39" t="str">
        <f>データ!U148</f>
        <v>-</v>
      </c>
      <c r="BG148" s="41" t="s">
        <v>1024</v>
      </c>
      <c r="BH148" s="40" t="s">
        <v>1319</v>
      </c>
      <c r="BI148" s="39" t="str">
        <f>データ!V148</f>
        <v>ガチャイベ</v>
      </c>
      <c r="BJ148" s="41" t="s">
        <v>1024</v>
      </c>
      <c r="BK148" s="10" t="s">
        <v>1019</v>
      </c>
    </row>
    <row r="149" spans="1:63" x14ac:dyDescent="0.15">
      <c r="A149" s="10" t="s">
        <v>1016</v>
      </c>
      <c r="B149" s="10" t="s">
        <v>1454</v>
      </c>
      <c r="C149" s="38" t="str">
        <f>"./images/thumbnail/"&amp;データ!B149&amp;".jpg"</f>
        <v>./images/thumbnail/1250.jpg</v>
      </c>
      <c r="D149" s="38" t="s">
        <v>1455</v>
      </c>
      <c r="E149" s="38" t="str">
        <f>"./images/thumbnail/"&amp;データ!B149&amp;".jpg"</f>
        <v>./images/thumbnail/1250.jpg</v>
      </c>
      <c r="F149" s="38" t="s">
        <v>1116</v>
      </c>
      <c r="G149" s="38" t="s">
        <v>1319</v>
      </c>
      <c r="H149" s="38" t="str">
        <f>データ!C149</f>
        <v>エメーリエ</v>
      </c>
      <c r="I149" s="38" t="s">
        <v>1024</v>
      </c>
      <c r="J149" s="38" t="s">
        <v>1320</v>
      </c>
      <c r="K149" s="38" t="str">
        <f>データ!D149</f>
        <v>SSR</v>
      </c>
      <c r="L149" s="38" t="s">
        <v>1024</v>
      </c>
      <c r="M149" s="38" t="s">
        <v>1321</v>
      </c>
      <c r="N149" s="38">
        <f>データ!E149</f>
        <v>12</v>
      </c>
      <c r="O149" s="38" t="s">
        <v>1024</v>
      </c>
      <c r="P149" s="38" t="s">
        <v>1319</v>
      </c>
      <c r="Q149" s="38" t="str">
        <f>データ!F149</f>
        <v>斬</v>
      </c>
      <c r="R149" s="38" t="s">
        <v>1024</v>
      </c>
      <c r="S149" s="38" t="s">
        <v>1319</v>
      </c>
      <c r="T149" s="39">
        <f>データ!G149</f>
        <v>13985</v>
      </c>
      <c r="U149" s="40" t="s">
        <v>1024</v>
      </c>
      <c r="V149" s="40" t="s">
        <v>1319</v>
      </c>
      <c r="W149" s="39">
        <f>データ!H149</f>
        <v>6432</v>
      </c>
      <c r="X149" s="40" t="s">
        <v>1024</v>
      </c>
      <c r="Y149" s="40" t="s">
        <v>1319</v>
      </c>
      <c r="Z149" s="39">
        <f>データ!I149</f>
        <v>5494</v>
      </c>
      <c r="AA149" s="40" t="s">
        <v>1024</v>
      </c>
      <c r="AB149" s="40" t="s">
        <v>1322</v>
      </c>
      <c r="AC149" s="39" t="str">
        <f>データ!J149</f>
        <v>A+</v>
      </c>
      <c r="AD149" s="38" t="s">
        <v>1024</v>
      </c>
      <c r="AE149" s="40" t="s">
        <v>1323</v>
      </c>
      <c r="AF149" s="39">
        <f>データ!K149</f>
        <v>25911</v>
      </c>
      <c r="AG149" s="40" t="s">
        <v>1024</v>
      </c>
      <c r="AH149" s="40" t="s">
        <v>1324</v>
      </c>
      <c r="AI149" s="39" t="str">
        <f>データ!L149</f>
        <v>斬紅の業火／真</v>
      </c>
      <c r="AJ149" s="10" t="s">
        <v>1113</v>
      </c>
      <c r="AK149" s="39" t="str">
        <f>データ!M149</f>
        <v>次の攻撃でダメージが上昇する[中]</v>
      </c>
      <c r="AL149" s="10" t="s">
        <v>1024</v>
      </c>
      <c r="AM149" s="40" t="s">
        <v>1325</v>
      </c>
      <c r="AN149" s="39" t="str">
        <f>データ!N149</f>
        <v>-</v>
      </c>
      <c r="AO149" s="10" t="s">
        <v>1113</v>
      </c>
      <c r="AP149" s="39" t="str">
        <f>データ!O149</f>
        <v>　</v>
      </c>
      <c r="AQ149" s="41" t="s">
        <v>1024</v>
      </c>
      <c r="AR149" s="40" t="s">
        <v>1324</v>
      </c>
      <c r="AS149" s="39" t="str">
        <f>データ!P149</f>
        <v>ヒール／真</v>
      </c>
      <c r="AT149" s="10" t="s">
        <v>1113</v>
      </c>
      <c r="AU149" s="39" t="str">
        <f>データ!Q149</f>
        <v>生存ユニットのHPを中回復</v>
      </c>
      <c r="AV149" s="10" t="s">
        <v>1024</v>
      </c>
      <c r="AW149" s="40" t="s">
        <v>1324</v>
      </c>
      <c r="AX149" s="39" t="str">
        <f>データ!R149</f>
        <v>-</v>
      </c>
      <c r="AY149" s="10" t="s">
        <v>1113</v>
      </c>
      <c r="AZ149" s="39" t="str">
        <f>データ!S149</f>
        <v>　</v>
      </c>
      <c r="BA149" s="41" t="s">
        <v>1024</v>
      </c>
      <c r="BB149" s="40" t="s">
        <v>1319</v>
      </c>
      <c r="BC149" s="39" t="str">
        <f>データ!T149</f>
        <v>-</v>
      </c>
      <c r="BD149" s="41" t="s">
        <v>1024</v>
      </c>
      <c r="BE149" s="40" t="s">
        <v>1320</v>
      </c>
      <c r="BF149" s="39" t="str">
        <f>データ!U149</f>
        <v>-</v>
      </c>
      <c r="BG149" s="41" t="s">
        <v>1024</v>
      </c>
      <c r="BH149" s="40" t="s">
        <v>1319</v>
      </c>
      <c r="BI149" s="39" t="str">
        <f>データ!V149</f>
        <v>マゴニア</v>
      </c>
      <c r="BJ149" s="41" t="s">
        <v>1024</v>
      </c>
      <c r="BK149" s="10" t="s">
        <v>1019</v>
      </c>
    </row>
    <row r="150" spans="1:63" x14ac:dyDescent="0.15">
      <c r="A150" s="10" t="s">
        <v>1016</v>
      </c>
      <c r="B150" s="10" t="s">
        <v>1454</v>
      </c>
      <c r="C150" s="38" t="str">
        <f>"./images/thumbnail/"&amp;データ!B150&amp;".jpg"</f>
        <v>./images/thumbnail/1251.jpg</v>
      </c>
      <c r="D150" s="38" t="s">
        <v>1455</v>
      </c>
      <c r="E150" s="38" t="str">
        <f>"./images/thumbnail/"&amp;データ!B150&amp;".jpg"</f>
        <v>./images/thumbnail/1251.jpg</v>
      </c>
      <c r="F150" s="38" t="s">
        <v>1116</v>
      </c>
      <c r="G150" s="38" t="s">
        <v>1319</v>
      </c>
      <c r="H150" s="38" t="str">
        <f>データ!C150</f>
        <v>ソフィ</v>
      </c>
      <c r="I150" s="38" t="s">
        <v>1024</v>
      </c>
      <c r="J150" s="38" t="s">
        <v>1320</v>
      </c>
      <c r="K150" s="38" t="str">
        <f>データ!D150</f>
        <v>SSR</v>
      </c>
      <c r="L150" s="38" t="s">
        <v>1024</v>
      </c>
      <c r="M150" s="38" t="s">
        <v>1321</v>
      </c>
      <c r="N150" s="38">
        <f>データ!E150</f>
        <v>13</v>
      </c>
      <c r="O150" s="38" t="s">
        <v>1024</v>
      </c>
      <c r="P150" s="38" t="s">
        <v>1319</v>
      </c>
      <c r="Q150" s="38" t="str">
        <f>データ!F150</f>
        <v>突</v>
      </c>
      <c r="R150" s="38" t="s">
        <v>1024</v>
      </c>
      <c r="S150" s="38" t="s">
        <v>1319</v>
      </c>
      <c r="T150" s="39">
        <f>データ!G150</f>
        <v>18420</v>
      </c>
      <c r="U150" s="40" t="s">
        <v>1024</v>
      </c>
      <c r="V150" s="40" t="s">
        <v>1319</v>
      </c>
      <c r="W150" s="39">
        <f>データ!H150</f>
        <v>4775</v>
      </c>
      <c r="X150" s="40" t="s">
        <v>1024</v>
      </c>
      <c r="Y150" s="40" t="s">
        <v>1319</v>
      </c>
      <c r="Z150" s="39">
        <f>データ!I150</f>
        <v>6380</v>
      </c>
      <c r="AA150" s="40" t="s">
        <v>1024</v>
      </c>
      <c r="AB150" s="40" t="s">
        <v>1322</v>
      </c>
      <c r="AC150" s="39" t="str">
        <f>データ!J150</f>
        <v>SS-</v>
      </c>
      <c r="AD150" s="38" t="s">
        <v>1024</v>
      </c>
      <c r="AE150" s="40" t="s">
        <v>1323</v>
      </c>
      <c r="AF150" s="39">
        <f>データ!K150</f>
        <v>29575</v>
      </c>
      <c r="AG150" s="40" t="s">
        <v>1024</v>
      </c>
      <c r="AH150" s="40" t="s">
        <v>1324</v>
      </c>
      <c r="AI150" s="39" t="str">
        <f>データ!L150</f>
        <v>幻神の四連撃／真</v>
      </c>
      <c r="AJ150" s="10" t="s">
        <v>1113</v>
      </c>
      <c r="AK150" s="39" t="str">
        <f>データ!M150</f>
        <v>ランダムで4連続攻撃[中]</v>
      </c>
      <c r="AL150" s="10" t="s">
        <v>1024</v>
      </c>
      <c r="AM150" s="40" t="s">
        <v>1325</v>
      </c>
      <c r="AN150" s="39" t="str">
        <f>データ!N150</f>
        <v>-</v>
      </c>
      <c r="AO150" s="10" t="s">
        <v>1113</v>
      </c>
      <c r="AP150" s="39" t="str">
        <f>データ!O150</f>
        <v>　</v>
      </c>
      <c r="AQ150" s="41" t="s">
        <v>1024</v>
      </c>
      <c r="AR150" s="40" t="s">
        <v>1324</v>
      </c>
      <c r="AS150" s="39" t="str">
        <f>データ!P150</f>
        <v>ジャガーノート／真</v>
      </c>
      <c r="AT150" s="10" t="s">
        <v>1113</v>
      </c>
      <c r="AU150" s="39" t="str">
        <f>データ!Q150</f>
        <v>バトルで敵を全滅するとBPが中回復(バトル3回)</v>
      </c>
      <c r="AV150" s="10" t="s">
        <v>1024</v>
      </c>
      <c r="AW150" s="40" t="s">
        <v>1324</v>
      </c>
      <c r="AX150" s="39" t="str">
        <f>データ!R150</f>
        <v>-</v>
      </c>
      <c r="AY150" s="10" t="s">
        <v>1113</v>
      </c>
      <c r="AZ150" s="39" t="str">
        <f>データ!S150</f>
        <v>　</v>
      </c>
      <c r="BA150" s="41" t="s">
        <v>1024</v>
      </c>
      <c r="BB150" s="40" t="s">
        <v>1319</v>
      </c>
      <c r="BC150" s="39" t="str">
        <f>データ!T150</f>
        <v>-</v>
      </c>
      <c r="BD150" s="41" t="s">
        <v>1024</v>
      </c>
      <c r="BE150" s="40" t="s">
        <v>1320</v>
      </c>
      <c r="BF150" s="39" t="str">
        <f>データ!U150</f>
        <v>-</v>
      </c>
      <c r="BG150" s="41" t="s">
        <v>1024</v>
      </c>
      <c r="BH150" s="40" t="s">
        <v>1319</v>
      </c>
      <c r="BI150" s="39" t="str">
        <f>データ!V150</f>
        <v>ガチャイベ</v>
      </c>
      <c r="BJ150" s="41" t="s">
        <v>1024</v>
      </c>
      <c r="BK150" s="10" t="s">
        <v>1019</v>
      </c>
    </row>
    <row r="151" spans="1:63" x14ac:dyDescent="0.15">
      <c r="A151" s="10" t="s">
        <v>1016</v>
      </c>
      <c r="B151" s="10" t="s">
        <v>1454</v>
      </c>
      <c r="C151" s="38" t="str">
        <f>"./images/thumbnail/"&amp;データ!B151&amp;".jpg"</f>
        <v>./images/thumbnail/1252.jpg</v>
      </c>
      <c r="D151" s="38" t="s">
        <v>1455</v>
      </c>
      <c r="E151" s="38" t="str">
        <f>"./images/thumbnail/"&amp;データ!B151&amp;".jpg"</f>
        <v>./images/thumbnail/1252.jpg</v>
      </c>
      <c r="F151" s="38" t="s">
        <v>1116</v>
      </c>
      <c r="G151" s="38" t="s">
        <v>1319</v>
      </c>
      <c r="H151" s="38" t="str">
        <f>データ!C151</f>
        <v>デジレ</v>
      </c>
      <c r="I151" s="38" t="s">
        <v>1024</v>
      </c>
      <c r="J151" s="38" t="s">
        <v>1320</v>
      </c>
      <c r="K151" s="38" t="str">
        <f>データ!D151</f>
        <v>SSR</v>
      </c>
      <c r="L151" s="38" t="s">
        <v>1024</v>
      </c>
      <c r="M151" s="38" t="s">
        <v>1321</v>
      </c>
      <c r="N151" s="38">
        <f>データ!E151</f>
        <v>13</v>
      </c>
      <c r="O151" s="38" t="s">
        <v>1024</v>
      </c>
      <c r="P151" s="38" t="s">
        <v>1319</v>
      </c>
      <c r="Q151" s="38" t="str">
        <f>データ!F151</f>
        <v>遠</v>
      </c>
      <c r="R151" s="38" t="s">
        <v>1024</v>
      </c>
      <c r="S151" s="38" t="s">
        <v>1319</v>
      </c>
      <c r="T151" s="39">
        <f>データ!G151</f>
        <v>16006</v>
      </c>
      <c r="U151" s="40" t="s">
        <v>1024</v>
      </c>
      <c r="V151" s="40" t="s">
        <v>1319</v>
      </c>
      <c r="W151" s="39">
        <f>データ!H151</f>
        <v>6584</v>
      </c>
      <c r="X151" s="40" t="s">
        <v>1024</v>
      </c>
      <c r="Y151" s="40" t="s">
        <v>1319</v>
      </c>
      <c r="Z151" s="39">
        <f>データ!I151</f>
        <v>4772</v>
      </c>
      <c r="AA151" s="40" t="s">
        <v>1024</v>
      </c>
      <c r="AB151" s="40" t="s">
        <v>1322</v>
      </c>
      <c r="AC151" s="39" t="str">
        <f>データ!J151</f>
        <v>S-</v>
      </c>
      <c r="AD151" s="38" t="s">
        <v>1024</v>
      </c>
      <c r="AE151" s="40" t="s">
        <v>1323</v>
      </c>
      <c r="AF151" s="39">
        <f>データ!K151</f>
        <v>27362</v>
      </c>
      <c r="AG151" s="40" t="s">
        <v>1024</v>
      </c>
      <c r="AH151" s="40" t="s">
        <v>1324</v>
      </c>
      <c r="AI151" s="39" t="str">
        <f>データ!L151</f>
        <v>対蒼の突風／絶</v>
      </c>
      <c r="AJ151" s="10" t="s">
        <v>1113</v>
      </c>
      <c r="AK151" s="39" t="str">
        <f>データ!M151</f>
        <v>突に強く斬に弱い縦一列攻撃[大]</v>
      </c>
      <c r="AL151" s="10" t="s">
        <v>1024</v>
      </c>
      <c r="AM151" s="40" t="s">
        <v>1325</v>
      </c>
      <c r="AN151" s="39" t="str">
        <f>データ!N151</f>
        <v>-</v>
      </c>
      <c r="AO151" s="10" t="s">
        <v>1113</v>
      </c>
      <c r="AP151" s="39" t="str">
        <f>データ!O151</f>
        <v>　</v>
      </c>
      <c r="AQ151" s="41" t="s">
        <v>1024</v>
      </c>
      <c r="AR151" s="40" t="s">
        <v>1324</v>
      </c>
      <c r="AS151" s="39" t="str">
        <f>データ!P151</f>
        <v>ヒール／真遠翠</v>
      </c>
      <c r="AT151" s="10" t="s">
        <v>1113</v>
      </c>
      <c r="AU151" s="39" t="str">
        <f>データ!Q151</f>
        <v>遠属性の生存ユニットのHPを高確率で全回復</v>
      </c>
      <c r="AV151" s="10" t="s">
        <v>1024</v>
      </c>
      <c r="AW151" s="40" t="s">
        <v>1324</v>
      </c>
      <c r="AX151" s="39" t="str">
        <f>データ!R151</f>
        <v>-</v>
      </c>
      <c r="AY151" s="10" t="s">
        <v>1113</v>
      </c>
      <c r="AZ151" s="39" t="str">
        <f>データ!S151</f>
        <v>　</v>
      </c>
      <c r="BA151" s="41" t="s">
        <v>1024</v>
      </c>
      <c r="BB151" s="40" t="s">
        <v>1319</v>
      </c>
      <c r="BC151" s="39" t="str">
        <f>データ!T151</f>
        <v>-</v>
      </c>
      <c r="BD151" s="41" t="s">
        <v>1024</v>
      </c>
      <c r="BE151" s="40" t="s">
        <v>1320</v>
      </c>
      <c r="BF151" s="39" t="str">
        <f>データ!U151</f>
        <v>-</v>
      </c>
      <c r="BG151" s="41" t="s">
        <v>1024</v>
      </c>
      <c r="BH151" s="40" t="s">
        <v>1319</v>
      </c>
      <c r="BI151" s="39" t="str">
        <f>データ!V151</f>
        <v>ガチャイベ</v>
      </c>
      <c r="BJ151" s="41" t="s">
        <v>1024</v>
      </c>
      <c r="BK151" s="10" t="s">
        <v>1019</v>
      </c>
    </row>
    <row r="152" spans="1:63" x14ac:dyDescent="0.15">
      <c r="A152" s="10" t="s">
        <v>1016</v>
      </c>
      <c r="B152" s="10" t="s">
        <v>1454</v>
      </c>
      <c r="C152" s="38" t="str">
        <f>"./images/thumbnail/"&amp;データ!B152&amp;".jpg"</f>
        <v>./images/thumbnail/1254.jpg</v>
      </c>
      <c r="D152" s="38" t="s">
        <v>1455</v>
      </c>
      <c r="E152" s="38" t="str">
        <f>"./images/thumbnail/"&amp;データ!B152&amp;".jpg"</f>
        <v>./images/thumbnail/1254.jpg</v>
      </c>
      <c r="F152" s="38" t="s">
        <v>1116</v>
      </c>
      <c r="G152" s="38" t="s">
        <v>1319</v>
      </c>
      <c r="H152" s="38" t="str">
        <f>データ!C152</f>
        <v>コレット</v>
      </c>
      <c r="I152" s="38" t="s">
        <v>1024</v>
      </c>
      <c r="J152" s="38" t="s">
        <v>1320</v>
      </c>
      <c r="K152" s="38" t="str">
        <f>データ!D152</f>
        <v>SSR</v>
      </c>
      <c r="L152" s="38" t="s">
        <v>1024</v>
      </c>
      <c r="M152" s="38" t="s">
        <v>1321</v>
      </c>
      <c r="N152" s="38">
        <f>データ!E152</f>
        <v>12</v>
      </c>
      <c r="O152" s="38" t="s">
        <v>1024</v>
      </c>
      <c r="P152" s="38" t="s">
        <v>1319</v>
      </c>
      <c r="Q152" s="38" t="str">
        <f>データ!F152</f>
        <v>突</v>
      </c>
      <c r="R152" s="38" t="s">
        <v>1024</v>
      </c>
      <c r="S152" s="38" t="s">
        <v>1319</v>
      </c>
      <c r="T152" s="39">
        <f>データ!G152</f>
        <v>17683</v>
      </c>
      <c r="U152" s="40" t="s">
        <v>1024</v>
      </c>
      <c r="V152" s="40" t="s">
        <v>1319</v>
      </c>
      <c r="W152" s="39">
        <f>データ!H152</f>
        <v>5264</v>
      </c>
      <c r="X152" s="40" t="s">
        <v>1024</v>
      </c>
      <c r="Y152" s="40" t="s">
        <v>1319</v>
      </c>
      <c r="Z152" s="39">
        <f>データ!I152</f>
        <v>5006</v>
      </c>
      <c r="AA152" s="40" t="s">
        <v>1024</v>
      </c>
      <c r="AB152" s="40" t="s">
        <v>1322</v>
      </c>
      <c r="AC152" s="39" t="str">
        <f>データ!J152</f>
        <v>SS-</v>
      </c>
      <c r="AD152" s="38" t="s">
        <v>1024</v>
      </c>
      <c r="AE152" s="40" t="s">
        <v>1323</v>
      </c>
      <c r="AF152" s="39">
        <f>データ!K152</f>
        <v>27953</v>
      </c>
      <c r="AG152" s="40" t="s">
        <v>1024</v>
      </c>
      <c r="AH152" s="40" t="s">
        <v>1324</v>
      </c>
      <c r="AI152" s="39" t="str">
        <f>データ!L152</f>
        <v xml:space="preserve">蒼突の叡智 </v>
      </c>
      <c r="AJ152" s="10" t="s">
        <v>1113</v>
      </c>
      <c r="AK152" s="39" t="str">
        <f>データ!M152</f>
        <v>味方突属性の攻撃力と防御力をUP[中]</v>
      </c>
      <c r="AL152" s="10" t="s">
        <v>1024</v>
      </c>
      <c r="AM152" s="40" t="s">
        <v>1325</v>
      </c>
      <c r="AN152" s="39" t="str">
        <f>データ!N152</f>
        <v>-</v>
      </c>
      <c r="AO152" s="10" t="s">
        <v>1113</v>
      </c>
      <c r="AP152" s="39" t="str">
        <f>データ!O152</f>
        <v>　</v>
      </c>
      <c r="AQ152" s="41" t="s">
        <v>1024</v>
      </c>
      <c r="AR152" s="40" t="s">
        <v>1324</v>
      </c>
      <c r="AS152" s="39" t="str">
        <f>データ!P152</f>
        <v>リヴァイブ／真蒼突</v>
      </c>
      <c r="AT152" s="10" t="s">
        <v>1113</v>
      </c>
      <c r="AU152" s="39" t="str">
        <f>データ!Q152</f>
        <v>高確率で突属性のユニットを復帰</v>
      </c>
      <c r="AV152" s="10" t="s">
        <v>1024</v>
      </c>
      <c r="AW152" s="40" t="s">
        <v>1324</v>
      </c>
      <c r="AX152" s="39" t="str">
        <f>データ!R152</f>
        <v>-</v>
      </c>
      <c r="AY152" s="10" t="s">
        <v>1113</v>
      </c>
      <c r="AZ152" s="39" t="str">
        <f>データ!S152</f>
        <v>　</v>
      </c>
      <c r="BA152" s="41" t="s">
        <v>1024</v>
      </c>
      <c r="BB152" s="40" t="s">
        <v>1319</v>
      </c>
      <c r="BC152" s="39" t="str">
        <f>データ!T152</f>
        <v>-</v>
      </c>
      <c r="BD152" s="41" t="s">
        <v>1024</v>
      </c>
      <c r="BE152" s="40" t="s">
        <v>1320</v>
      </c>
      <c r="BF152" s="39" t="str">
        <f>データ!U152</f>
        <v>-</v>
      </c>
      <c r="BG152" s="41" t="s">
        <v>1024</v>
      </c>
      <c r="BH152" s="40" t="s">
        <v>1319</v>
      </c>
      <c r="BI152" s="39" t="str">
        <f>データ!V152</f>
        <v>メダル</v>
      </c>
      <c r="BJ152" s="41" t="s">
        <v>1024</v>
      </c>
      <c r="BK152" s="10" t="s">
        <v>1019</v>
      </c>
    </row>
    <row r="153" spans="1:63" x14ac:dyDescent="0.15">
      <c r="A153" s="10" t="s">
        <v>1016</v>
      </c>
      <c r="B153" s="10" t="s">
        <v>1454</v>
      </c>
      <c r="C153" s="38" t="str">
        <f>"./images/thumbnail/"&amp;データ!B153&amp;".jpg"</f>
        <v>./images/thumbnail/1257.jpg</v>
      </c>
      <c r="D153" s="38" t="s">
        <v>1455</v>
      </c>
      <c r="E153" s="38" t="str">
        <f>"./images/thumbnail/"&amp;データ!B153&amp;".jpg"</f>
        <v>./images/thumbnail/1257.jpg</v>
      </c>
      <c r="F153" s="38" t="s">
        <v>1116</v>
      </c>
      <c r="G153" s="38" t="s">
        <v>1319</v>
      </c>
      <c r="H153" s="38" t="str">
        <f>データ!C153</f>
        <v>ノエル</v>
      </c>
      <c r="I153" s="38" t="s">
        <v>1024</v>
      </c>
      <c r="J153" s="38" t="s">
        <v>1320</v>
      </c>
      <c r="K153" s="38" t="str">
        <f>データ!D153</f>
        <v>SSR</v>
      </c>
      <c r="L153" s="38" t="s">
        <v>1024</v>
      </c>
      <c r="M153" s="38" t="s">
        <v>1321</v>
      </c>
      <c r="N153" s="38">
        <f>データ!E153</f>
        <v>12</v>
      </c>
      <c r="O153" s="38" t="s">
        <v>1024</v>
      </c>
      <c r="P153" s="38" t="s">
        <v>1319</v>
      </c>
      <c r="Q153" s="38" t="str">
        <f>データ!F153</f>
        <v>斬</v>
      </c>
      <c r="R153" s="38" t="s">
        <v>1024</v>
      </c>
      <c r="S153" s="38" t="s">
        <v>1319</v>
      </c>
      <c r="T153" s="39">
        <f>データ!G153</f>
        <v>15557</v>
      </c>
      <c r="U153" s="40" t="s">
        <v>1024</v>
      </c>
      <c r="V153" s="40" t="s">
        <v>1319</v>
      </c>
      <c r="W153" s="39">
        <f>データ!H153</f>
        <v>6229</v>
      </c>
      <c r="X153" s="40" t="s">
        <v>1024</v>
      </c>
      <c r="Y153" s="40" t="s">
        <v>1319</v>
      </c>
      <c r="Z153" s="39">
        <f>データ!I153</f>
        <v>5129</v>
      </c>
      <c r="AA153" s="40" t="s">
        <v>1024</v>
      </c>
      <c r="AB153" s="40" t="s">
        <v>1322</v>
      </c>
      <c r="AC153" s="39" t="str">
        <f>データ!J153</f>
        <v>A+</v>
      </c>
      <c r="AD153" s="38" t="s">
        <v>1024</v>
      </c>
      <c r="AE153" s="40" t="s">
        <v>1323</v>
      </c>
      <c r="AF153" s="39">
        <f>データ!K153</f>
        <v>26915</v>
      </c>
      <c r="AG153" s="40" t="s">
        <v>1024</v>
      </c>
      <c r="AH153" s="40" t="s">
        <v>1324</v>
      </c>
      <c r="AI153" s="39" t="str">
        <f>データ!L153</f>
        <v>幻氷の縦十字／絶</v>
      </c>
      <c r="AJ153" s="10" t="s">
        <v>1113</v>
      </c>
      <c r="AK153" s="39" t="str">
        <f>データ!M153</f>
        <v>十字型に攻撃[大]</v>
      </c>
      <c r="AL153" s="10" t="s">
        <v>1024</v>
      </c>
      <c r="AM153" s="40" t="s">
        <v>1325</v>
      </c>
      <c r="AN153" s="39" t="str">
        <f>データ!N153</f>
        <v>-</v>
      </c>
      <c r="AO153" s="10" t="s">
        <v>1113</v>
      </c>
      <c r="AP153" s="39" t="str">
        <f>データ!O153</f>
        <v>　</v>
      </c>
      <c r="AQ153" s="41" t="s">
        <v>1024</v>
      </c>
      <c r="AR153" s="40" t="s">
        <v>1324</v>
      </c>
      <c r="AS153" s="39" t="str">
        <f>データ!P153</f>
        <v>シャドウ</v>
      </c>
      <c r="AT153" s="10" t="s">
        <v>1113</v>
      </c>
      <c r="AU153" s="39" t="str">
        <f>データ!Q153</f>
        <v>バトル時の強襲CB率が小UP(3分間)</v>
      </c>
      <c r="AV153" s="10" t="s">
        <v>1024</v>
      </c>
      <c r="AW153" s="40" t="s">
        <v>1324</v>
      </c>
      <c r="AX153" s="39" t="str">
        <f>データ!R153</f>
        <v>-</v>
      </c>
      <c r="AY153" s="10" t="s">
        <v>1113</v>
      </c>
      <c r="AZ153" s="39" t="str">
        <f>データ!S153</f>
        <v>　</v>
      </c>
      <c r="BA153" s="41" t="s">
        <v>1024</v>
      </c>
      <c r="BB153" s="40" t="s">
        <v>1319</v>
      </c>
      <c r="BC153" s="39" t="str">
        <f>データ!T153</f>
        <v>-</v>
      </c>
      <c r="BD153" s="41" t="s">
        <v>1024</v>
      </c>
      <c r="BE153" s="40" t="s">
        <v>1320</v>
      </c>
      <c r="BF153" s="39" t="str">
        <f>データ!U153</f>
        <v>-</v>
      </c>
      <c r="BG153" s="41" t="s">
        <v>1024</v>
      </c>
      <c r="BH153" s="40" t="s">
        <v>1319</v>
      </c>
      <c r="BI153" s="39" t="str">
        <f>データ!V153</f>
        <v>ポーカー</v>
      </c>
      <c r="BJ153" s="41" t="s">
        <v>1024</v>
      </c>
      <c r="BK153" s="10" t="s">
        <v>1019</v>
      </c>
    </row>
    <row r="154" spans="1:63" x14ac:dyDescent="0.15">
      <c r="A154" s="10" t="s">
        <v>1016</v>
      </c>
      <c r="B154" s="10" t="s">
        <v>1454</v>
      </c>
      <c r="C154" s="38" t="str">
        <f>"./images/thumbnail/"&amp;データ!B154&amp;".jpg"</f>
        <v>./images/thumbnail/1260.jpg</v>
      </c>
      <c r="D154" s="38" t="s">
        <v>1455</v>
      </c>
      <c r="E154" s="38" t="str">
        <f>"./images/thumbnail/"&amp;データ!B154&amp;".jpg"</f>
        <v>./images/thumbnail/1260.jpg</v>
      </c>
      <c r="F154" s="38" t="s">
        <v>1116</v>
      </c>
      <c r="G154" s="38" t="s">
        <v>1319</v>
      </c>
      <c r="H154" s="38" t="str">
        <f>データ!C154</f>
        <v>ノンノリア</v>
      </c>
      <c r="I154" s="38" t="s">
        <v>1024</v>
      </c>
      <c r="J154" s="38" t="s">
        <v>1320</v>
      </c>
      <c r="K154" s="38" t="str">
        <f>データ!D154</f>
        <v>SSR</v>
      </c>
      <c r="L154" s="38" t="s">
        <v>1024</v>
      </c>
      <c r="M154" s="38" t="s">
        <v>1321</v>
      </c>
      <c r="N154" s="38">
        <f>データ!E154</f>
        <v>12</v>
      </c>
      <c r="O154" s="38" t="s">
        <v>1024</v>
      </c>
      <c r="P154" s="38" t="s">
        <v>1319</v>
      </c>
      <c r="Q154" s="38" t="str">
        <f>データ!F154</f>
        <v>遠</v>
      </c>
      <c r="R154" s="38" t="s">
        <v>1024</v>
      </c>
      <c r="S154" s="38" t="s">
        <v>1319</v>
      </c>
      <c r="T154" s="39">
        <f>データ!G154</f>
        <v>16170</v>
      </c>
      <c r="U154" s="40" t="s">
        <v>1024</v>
      </c>
      <c r="V154" s="40" t="s">
        <v>1319</v>
      </c>
      <c r="W154" s="39">
        <f>データ!H154</f>
        <v>5644</v>
      </c>
      <c r="X154" s="40" t="s">
        <v>1024</v>
      </c>
      <c r="Y154" s="40" t="s">
        <v>1319</v>
      </c>
      <c r="Z154" s="39">
        <f>データ!I154</f>
        <v>4572</v>
      </c>
      <c r="AA154" s="40" t="s">
        <v>1024</v>
      </c>
      <c r="AB154" s="40" t="s">
        <v>1322</v>
      </c>
      <c r="AC154" s="39" t="str">
        <f>データ!J154</f>
        <v>S-</v>
      </c>
      <c r="AD154" s="38" t="s">
        <v>1024</v>
      </c>
      <c r="AE154" s="40" t="s">
        <v>1323</v>
      </c>
      <c r="AF154" s="39">
        <f>データ!K154</f>
        <v>26386</v>
      </c>
      <c r="AG154" s="40" t="s">
        <v>1024</v>
      </c>
      <c r="AH154" s="40" t="s">
        <v>1324</v>
      </c>
      <c r="AI154" s="39" t="str">
        <f>データ!L154</f>
        <v>遠翠の覇道</v>
      </c>
      <c r="AJ154" s="10" t="s">
        <v>1113</v>
      </c>
      <c r="AK154" s="39" t="str">
        <f>データ!M154</f>
        <v>味方遠属性の攻撃力をUP[大]</v>
      </c>
      <c r="AL154" s="10" t="s">
        <v>1024</v>
      </c>
      <c r="AM154" s="40" t="s">
        <v>1325</v>
      </c>
      <c r="AN154" s="39" t="str">
        <f>データ!N154</f>
        <v>-</v>
      </c>
      <c r="AO154" s="10" t="s">
        <v>1113</v>
      </c>
      <c r="AP154" s="39" t="str">
        <f>データ!O154</f>
        <v>　</v>
      </c>
      <c r="AQ154" s="41" t="s">
        <v>1024</v>
      </c>
      <c r="AR154" s="40" t="s">
        <v>1324</v>
      </c>
      <c r="AS154" s="39" t="str">
        <f>データ!P154</f>
        <v>キャッスルヴェール</v>
      </c>
      <c r="AT154" s="10" t="s">
        <v>1113</v>
      </c>
      <c r="AU154" s="39" t="str">
        <f>データ!Q154</f>
        <v>城の強度Lvが小UP(3分間)</v>
      </c>
      <c r="AV154" s="10" t="s">
        <v>1024</v>
      </c>
      <c r="AW154" s="40" t="s">
        <v>1324</v>
      </c>
      <c r="AX154" s="39" t="str">
        <f>データ!R154</f>
        <v>-</v>
      </c>
      <c r="AY154" s="10" t="s">
        <v>1113</v>
      </c>
      <c r="AZ154" s="39" t="str">
        <f>データ!S154</f>
        <v>　</v>
      </c>
      <c r="BA154" s="41" t="s">
        <v>1024</v>
      </c>
      <c r="BB154" s="40" t="s">
        <v>1319</v>
      </c>
      <c r="BC154" s="39" t="str">
        <f>データ!T154</f>
        <v>-</v>
      </c>
      <c r="BD154" s="41" t="s">
        <v>1024</v>
      </c>
      <c r="BE154" s="40" t="s">
        <v>1320</v>
      </c>
      <c r="BF154" s="39" t="str">
        <f>データ!U154</f>
        <v>-</v>
      </c>
      <c r="BG154" s="41" t="s">
        <v>1024</v>
      </c>
      <c r="BH154" s="40" t="s">
        <v>1319</v>
      </c>
      <c r="BI154" s="39" t="str">
        <f>データ!V154</f>
        <v>第3回統一報酬</v>
      </c>
      <c r="BJ154" s="41" t="s">
        <v>1024</v>
      </c>
      <c r="BK154" s="10" t="s">
        <v>1019</v>
      </c>
    </row>
    <row r="155" spans="1:63" x14ac:dyDescent="0.15">
      <c r="A155" s="10" t="s">
        <v>1016</v>
      </c>
      <c r="B155" s="10" t="s">
        <v>1454</v>
      </c>
      <c r="C155" s="38" t="str">
        <f>"./images/thumbnail/"&amp;データ!B155&amp;".jpg"</f>
        <v>./images/thumbnail/1261.jpg</v>
      </c>
      <c r="D155" s="38" t="s">
        <v>1455</v>
      </c>
      <c r="E155" s="38" t="str">
        <f>"./images/thumbnail/"&amp;データ!B155&amp;".jpg"</f>
        <v>./images/thumbnail/1261.jpg</v>
      </c>
      <c r="F155" s="38" t="s">
        <v>1116</v>
      </c>
      <c r="G155" s="38" t="s">
        <v>1319</v>
      </c>
      <c r="H155" s="38" t="str">
        <f>データ!C155</f>
        <v>ノンノリア</v>
      </c>
      <c r="I155" s="38" t="s">
        <v>1024</v>
      </c>
      <c r="J155" s="38" t="s">
        <v>1320</v>
      </c>
      <c r="K155" s="38" t="str">
        <f>データ!D155</f>
        <v>SSR</v>
      </c>
      <c r="L155" s="38" t="s">
        <v>1024</v>
      </c>
      <c r="M155" s="38" t="s">
        <v>1321</v>
      </c>
      <c r="N155" s="38">
        <f>データ!E155</f>
        <v>13</v>
      </c>
      <c r="O155" s="38" t="s">
        <v>1024</v>
      </c>
      <c r="P155" s="38" t="s">
        <v>1319</v>
      </c>
      <c r="Q155" s="38" t="str">
        <f>データ!F155</f>
        <v>遠</v>
      </c>
      <c r="R155" s="38" t="s">
        <v>1024</v>
      </c>
      <c r="S155" s="38" t="s">
        <v>1319</v>
      </c>
      <c r="T155" s="39">
        <f>データ!G155</f>
        <v>17020</v>
      </c>
      <c r="U155" s="40" t="s">
        <v>1024</v>
      </c>
      <c r="V155" s="40" t="s">
        <v>1319</v>
      </c>
      <c r="W155" s="39">
        <f>データ!H155</f>
        <v>5940</v>
      </c>
      <c r="X155" s="40" t="s">
        <v>1024</v>
      </c>
      <c r="Y155" s="40" t="s">
        <v>1319</v>
      </c>
      <c r="Z155" s="39">
        <f>データ!I155</f>
        <v>5021</v>
      </c>
      <c r="AA155" s="40" t="s">
        <v>1024</v>
      </c>
      <c r="AB155" s="40" t="s">
        <v>1322</v>
      </c>
      <c r="AC155" s="39" t="str">
        <f>データ!J155</f>
        <v>S-</v>
      </c>
      <c r="AD155" s="38" t="s">
        <v>1024</v>
      </c>
      <c r="AE155" s="40" t="s">
        <v>1323</v>
      </c>
      <c r="AF155" s="39">
        <f>データ!K155</f>
        <v>27981</v>
      </c>
      <c r="AG155" s="40" t="s">
        <v>1024</v>
      </c>
      <c r="AH155" s="40" t="s">
        <v>1324</v>
      </c>
      <c r="AI155" s="39" t="str">
        <f>データ!L155</f>
        <v>遠翠の覇道</v>
      </c>
      <c r="AJ155" s="10" t="s">
        <v>1113</v>
      </c>
      <c r="AK155" s="39" t="str">
        <f>データ!M155</f>
        <v>味方遠属性の攻撃力をUP[大]</v>
      </c>
      <c r="AL155" s="10" t="s">
        <v>1024</v>
      </c>
      <c r="AM155" s="40" t="s">
        <v>1325</v>
      </c>
      <c r="AN155" s="39" t="str">
        <f>データ!N155</f>
        <v>-</v>
      </c>
      <c r="AO155" s="10" t="s">
        <v>1113</v>
      </c>
      <c r="AP155" s="39" t="str">
        <f>データ!O155</f>
        <v>　</v>
      </c>
      <c r="AQ155" s="41" t="s">
        <v>1024</v>
      </c>
      <c r="AR155" s="40" t="s">
        <v>1324</v>
      </c>
      <c r="AS155" s="39" t="str">
        <f>データ!P155</f>
        <v>キャッスルヴェール</v>
      </c>
      <c r="AT155" s="10" t="s">
        <v>1113</v>
      </c>
      <c r="AU155" s="39" t="str">
        <f>データ!Q155</f>
        <v>城の強度Lvが小UP(3分間)</v>
      </c>
      <c r="AV155" s="10" t="s">
        <v>1024</v>
      </c>
      <c r="AW155" s="40" t="s">
        <v>1324</v>
      </c>
      <c r="AX155" s="39" t="str">
        <f>データ!R155</f>
        <v>-</v>
      </c>
      <c r="AY155" s="10" t="s">
        <v>1113</v>
      </c>
      <c r="AZ155" s="39" t="str">
        <f>データ!S155</f>
        <v>　</v>
      </c>
      <c r="BA155" s="41" t="s">
        <v>1024</v>
      </c>
      <c r="BB155" s="40" t="s">
        <v>1319</v>
      </c>
      <c r="BC155" s="39" t="str">
        <f>データ!T155</f>
        <v>-</v>
      </c>
      <c r="BD155" s="41" t="s">
        <v>1024</v>
      </c>
      <c r="BE155" s="40" t="s">
        <v>1320</v>
      </c>
      <c r="BF155" s="39" t="str">
        <f>データ!U155</f>
        <v>-</v>
      </c>
      <c r="BG155" s="41" t="s">
        <v>1024</v>
      </c>
      <c r="BH155" s="40" t="s">
        <v>1319</v>
      </c>
      <c r="BI155" s="39" t="str">
        <f>データ!V155</f>
        <v>第3回統一報酬</v>
      </c>
      <c r="BJ155" s="41" t="s">
        <v>1024</v>
      </c>
      <c r="BK155" s="10" t="s">
        <v>1019</v>
      </c>
    </row>
    <row r="156" spans="1:63" x14ac:dyDescent="0.15">
      <c r="A156" s="10" t="s">
        <v>1016</v>
      </c>
      <c r="B156" s="10" t="s">
        <v>1454</v>
      </c>
      <c r="C156" s="38" t="str">
        <f>"./images/thumbnail/"&amp;データ!B156&amp;".jpg"</f>
        <v>./images/thumbnail/1265.jpg</v>
      </c>
      <c r="D156" s="38" t="s">
        <v>1455</v>
      </c>
      <c r="E156" s="38" t="str">
        <f>"./images/thumbnail/"&amp;データ!B156&amp;".jpg"</f>
        <v>./images/thumbnail/1265.jpg</v>
      </c>
      <c r="F156" s="38" t="s">
        <v>1116</v>
      </c>
      <c r="G156" s="38" t="s">
        <v>1319</v>
      </c>
      <c r="H156" s="38" t="str">
        <f>データ!C156</f>
        <v>エミリア</v>
      </c>
      <c r="I156" s="38" t="s">
        <v>1024</v>
      </c>
      <c r="J156" s="38" t="s">
        <v>1320</v>
      </c>
      <c r="K156" s="38" t="str">
        <f>データ!D156</f>
        <v>SSR</v>
      </c>
      <c r="L156" s="38" t="s">
        <v>1024</v>
      </c>
      <c r="M156" s="38" t="s">
        <v>1321</v>
      </c>
      <c r="N156" s="38">
        <f>データ!E156</f>
        <v>13</v>
      </c>
      <c r="O156" s="38" t="s">
        <v>1024</v>
      </c>
      <c r="P156" s="38" t="s">
        <v>1319</v>
      </c>
      <c r="Q156" s="38" t="str">
        <f>データ!F156</f>
        <v>斬</v>
      </c>
      <c r="R156" s="38" t="s">
        <v>1024</v>
      </c>
      <c r="S156" s="38" t="s">
        <v>1319</v>
      </c>
      <c r="T156" s="39">
        <f>データ!G156</f>
        <v>15272</v>
      </c>
      <c r="U156" s="40" t="s">
        <v>1024</v>
      </c>
      <c r="V156" s="40" t="s">
        <v>1319</v>
      </c>
      <c r="W156" s="39">
        <f>データ!H156</f>
        <v>7433</v>
      </c>
      <c r="X156" s="40" t="s">
        <v>1024</v>
      </c>
      <c r="Y156" s="40" t="s">
        <v>1319</v>
      </c>
      <c r="Z156" s="39">
        <f>データ!I156</f>
        <v>4928</v>
      </c>
      <c r="AA156" s="40" t="s">
        <v>1024</v>
      </c>
      <c r="AB156" s="40" t="s">
        <v>1322</v>
      </c>
      <c r="AC156" s="39" t="str">
        <f>データ!J156</f>
        <v>S+</v>
      </c>
      <c r="AD156" s="38" t="s">
        <v>1024</v>
      </c>
      <c r="AE156" s="40" t="s">
        <v>1323</v>
      </c>
      <c r="AF156" s="39">
        <f>データ!K156</f>
        <v>27633</v>
      </c>
      <c r="AG156" s="40" t="s">
        <v>1024</v>
      </c>
      <c r="AH156" s="40" t="s">
        <v>1324</v>
      </c>
      <c r="AI156" s="39" t="str">
        <f>データ!L156</f>
        <v>癒やしの光／絶</v>
      </c>
      <c r="AJ156" s="10" t="s">
        <v>1113</v>
      </c>
      <c r="AK156" s="39" t="str">
        <f>データ!M156</f>
        <v>最もダメージが多い味方1人のHP回復[大]</v>
      </c>
      <c r="AL156" s="10" t="s">
        <v>1024</v>
      </c>
      <c r="AM156" s="40" t="s">
        <v>1325</v>
      </c>
      <c r="AN156" s="39" t="str">
        <f>データ!N156</f>
        <v>-</v>
      </c>
      <c r="AO156" s="10" t="s">
        <v>1113</v>
      </c>
      <c r="AP156" s="39" t="str">
        <f>データ!O156</f>
        <v>　</v>
      </c>
      <c r="AQ156" s="41" t="s">
        <v>1024</v>
      </c>
      <c r="AR156" s="40" t="s">
        <v>1324</v>
      </c>
      <c r="AS156" s="39" t="str">
        <f>データ!P156</f>
        <v>ハイド／真</v>
      </c>
      <c r="AT156" s="10" t="s">
        <v>1113</v>
      </c>
      <c r="AU156" s="39" t="str">
        <f>データ!Q156</f>
        <v>攻撃される確率が中DOWN(3分間)</v>
      </c>
      <c r="AV156" s="10" t="s">
        <v>1024</v>
      </c>
      <c r="AW156" s="40" t="s">
        <v>1324</v>
      </c>
      <c r="AX156" s="39" t="str">
        <f>データ!R156</f>
        <v>-</v>
      </c>
      <c r="AY156" s="10" t="s">
        <v>1113</v>
      </c>
      <c r="AZ156" s="39" t="str">
        <f>データ!S156</f>
        <v>　</v>
      </c>
      <c r="BA156" s="41" t="s">
        <v>1024</v>
      </c>
      <c r="BB156" s="40" t="s">
        <v>1319</v>
      </c>
      <c r="BC156" s="39" t="str">
        <f>データ!T156</f>
        <v>-</v>
      </c>
      <c r="BD156" s="41" t="s">
        <v>1024</v>
      </c>
      <c r="BE156" s="40" t="s">
        <v>1320</v>
      </c>
      <c r="BF156" s="39" t="str">
        <f>データ!U156</f>
        <v>-</v>
      </c>
      <c r="BG156" s="41" t="s">
        <v>1024</v>
      </c>
      <c r="BH156" s="40" t="s">
        <v>1319</v>
      </c>
      <c r="BI156" s="39" t="str">
        <f>データ!V156</f>
        <v>常設</v>
      </c>
      <c r="BJ156" s="41" t="s">
        <v>1024</v>
      </c>
      <c r="BK156" s="10" t="s">
        <v>1019</v>
      </c>
    </row>
    <row r="157" spans="1:63" x14ac:dyDescent="0.15">
      <c r="A157" s="10" t="s">
        <v>1016</v>
      </c>
      <c r="B157" s="10" t="s">
        <v>1454</v>
      </c>
      <c r="C157" s="38" t="str">
        <f>"./images/thumbnail/"&amp;データ!B157&amp;".jpg"</f>
        <v>./images/thumbnail/1267.jpg</v>
      </c>
      <c r="D157" s="38" t="s">
        <v>1455</v>
      </c>
      <c r="E157" s="38" t="str">
        <f>"./images/thumbnail/"&amp;データ!B157&amp;".jpg"</f>
        <v>./images/thumbnail/1267.jpg</v>
      </c>
      <c r="F157" s="38" t="s">
        <v>1116</v>
      </c>
      <c r="G157" s="38" t="s">
        <v>1319</v>
      </c>
      <c r="H157" s="38" t="str">
        <f>データ!C157</f>
        <v>オフェリー</v>
      </c>
      <c r="I157" s="38" t="s">
        <v>1024</v>
      </c>
      <c r="J157" s="38" t="s">
        <v>1320</v>
      </c>
      <c r="K157" s="38" t="str">
        <f>データ!D157</f>
        <v>SSR</v>
      </c>
      <c r="L157" s="38" t="s">
        <v>1024</v>
      </c>
      <c r="M157" s="38" t="s">
        <v>1321</v>
      </c>
      <c r="N157" s="38">
        <f>データ!E157</f>
        <v>13</v>
      </c>
      <c r="O157" s="38" t="s">
        <v>1024</v>
      </c>
      <c r="P157" s="38" t="s">
        <v>1319</v>
      </c>
      <c r="Q157" s="38" t="str">
        <f>データ!F157</f>
        <v>突</v>
      </c>
      <c r="R157" s="38" t="s">
        <v>1024</v>
      </c>
      <c r="S157" s="38" t="s">
        <v>1319</v>
      </c>
      <c r="T157" s="39">
        <f>データ!G157</f>
        <v>16739</v>
      </c>
      <c r="U157" s="40" t="s">
        <v>1024</v>
      </c>
      <c r="V157" s="40" t="s">
        <v>1319</v>
      </c>
      <c r="W157" s="39">
        <f>データ!H157</f>
        <v>5272</v>
      </c>
      <c r="X157" s="40" t="s">
        <v>1024</v>
      </c>
      <c r="Y157" s="40" t="s">
        <v>1319</v>
      </c>
      <c r="Z157" s="39">
        <f>データ!I157</f>
        <v>5735</v>
      </c>
      <c r="AA157" s="40" t="s">
        <v>1024</v>
      </c>
      <c r="AB157" s="40" t="s">
        <v>1322</v>
      </c>
      <c r="AC157" s="39" t="str">
        <f>データ!J157</f>
        <v>SS1</v>
      </c>
      <c r="AD157" s="38" t="s">
        <v>1024</v>
      </c>
      <c r="AE157" s="40" t="s">
        <v>1323</v>
      </c>
      <c r="AF157" s="39">
        <f>データ!K157</f>
        <v>27746</v>
      </c>
      <c r="AG157" s="40" t="s">
        <v>1024</v>
      </c>
      <c r="AH157" s="40" t="s">
        <v>1324</v>
      </c>
      <c r="AI157" s="39" t="str">
        <f>データ!L157</f>
        <v>強奪者の雷／絶</v>
      </c>
      <c r="AJ157" s="10" t="s">
        <v>1113</v>
      </c>
      <c r="AK157" s="39" t="str">
        <f>データ!M157</f>
        <v>単体攻撃（宝箱優先／追加ダメージ）[大]</v>
      </c>
      <c r="AL157" s="10" t="s">
        <v>1024</v>
      </c>
      <c r="AM157" s="40" t="s">
        <v>1325</v>
      </c>
      <c r="AN157" s="39" t="str">
        <f>データ!N157</f>
        <v>-</v>
      </c>
      <c r="AO157" s="10" t="s">
        <v>1113</v>
      </c>
      <c r="AP157" s="39" t="str">
        <f>データ!O157</f>
        <v>　</v>
      </c>
      <c r="AQ157" s="41" t="s">
        <v>1024</v>
      </c>
      <c r="AR157" s="40" t="s">
        <v>1324</v>
      </c>
      <c r="AS157" s="39" t="str">
        <f>データ!P157</f>
        <v>ヒール／真蒼突</v>
      </c>
      <c r="AT157" s="10" t="s">
        <v>1113</v>
      </c>
      <c r="AU157" s="39" t="str">
        <f>データ!Q157</f>
        <v>突属性の生存ユニットのHPを高確率で全回復</v>
      </c>
      <c r="AV157" s="10" t="s">
        <v>1024</v>
      </c>
      <c r="AW157" s="40" t="s">
        <v>1324</v>
      </c>
      <c r="AX157" s="39" t="str">
        <f>データ!R157</f>
        <v>-</v>
      </c>
      <c r="AY157" s="10" t="s">
        <v>1113</v>
      </c>
      <c r="AZ157" s="39" t="str">
        <f>データ!S157</f>
        <v>　</v>
      </c>
      <c r="BA157" s="41" t="s">
        <v>1024</v>
      </c>
      <c r="BB157" s="40" t="s">
        <v>1319</v>
      </c>
      <c r="BC157" s="39" t="str">
        <f>データ!T157</f>
        <v>-</v>
      </c>
      <c r="BD157" s="41" t="s">
        <v>1024</v>
      </c>
      <c r="BE157" s="40" t="s">
        <v>1320</v>
      </c>
      <c r="BF157" s="39" t="str">
        <f>データ!U157</f>
        <v>-</v>
      </c>
      <c r="BG157" s="41" t="s">
        <v>1024</v>
      </c>
      <c r="BH157" s="40" t="s">
        <v>1319</v>
      </c>
      <c r="BI157" s="39" t="str">
        <f>データ!V157</f>
        <v>常設</v>
      </c>
      <c r="BJ157" s="41" t="s">
        <v>1024</v>
      </c>
      <c r="BK157" s="10" t="s">
        <v>1019</v>
      </c>
    </row>
    <row r="158" spans="1:63" x14ac:dyDescent="0.15">
      <c r="A158" s="10" t="s">
        <v>1016</v>
      </c>
      <c r="B158" s="10" t="s">
        <v>1454</v>
      </c>
      <c r="C158" s="38" t="str">
        <f>"./images/thumbnail/"&amp;データ!B158&amp;".jpg"</f>
        <v>./images/thumbnail/1269.jpg</v>
      </c>
      <c r="D158" s="38" t="s">
        <v>1455</v>
      </c>
      <c r="E158" s="38" t="str">
        <f>"./images/thumbnail/"&amp;データ!B158&amp;".jpg"</f>
        <v>./images/thumbnail/1269.jpg</v>
      </c>
      <c r="F158" s="38" t="s">
        <v>1116</v>
      </c>
      <c r="G158" s="38" t="s">
        <v>1319</v>
      </c>
      <c r="H158" s="38" t="str">
        <f>データ!C158</f>
        <v>アネッタ</v>
      </c>
      <c r="I158" s="38" t="s">
        <v>1024</v>
      </c>
      <c r="J158" s="38" t="s">
        <v>1320</v>
      </c>
      <c r="K158" s="38" t="str">
        <f>データ!D158</f>
        <v>SSR</v>
      </c>
      <c r="L158" s="38" t="s">
        <v>1024</v>
      </c>
      <c r="M158" s="38" t="s">
        <v>1321</v>
      </c>
      <c r="N158" s="38">
        <f>データ!E158</f>
        <v>13</v>
      </c>
      <c r="O158" s="38" t="s">
        <v>1024</v>
      </c>
      <c r="P158" s="38" t="s">
        <v>1319</v>
      </c>
      <c r="Q158" s="38" t="str">
        <f>データ!F158</f>
        <v>打</v>
      </c>
      <c r="R158" s="38" t="s">
        <v>1024</v>
      </c>
      <c r="S158" s="38" t="s">
        <v>1319</v>
      </c>
      <c r="T158" s="39">
        <f>データ!G158</f>
        <v>18696</v>
      </c>
      <c r="U158" s="40" t="s">
        <v>1024</v>
      </c>
      <c r="V158" s="40" t="s">
        <v>1319</v>
      </c>
      <c r="W158" s="39">
        <f>データ!H158</f>
        <v>6331</v>
      </c>
      <c r="X158" s="40" t="s">
        <v>1024</v>
      </c>
      <c r="Y158" s="40" t="s">
        <v>1319</v>
      </c>
      <c r="Z158" s="39">
        <f>データ!I158</f>
        <v>6678</v>
      </c>
      <c r="AA158" s="40" t="s">
        <v>1024</v>
      </c>
      <c r="AB158" s="40" t="s">
        <v>1322</v>
      </c>
      <c r="AC158" s="39" t="str">
        <f>データ!J158</f>
        <v>A-</v>
      </c>
      <c r="AD158" s="38" t="s">
        <v>1024</v>
      </c>
      <c r="AE158" s="40" t="s">
        <v>1323</v>
      </c>
      <c r="AF158" s="39">
        <f>データ!K158</f>
        <v>31705</v>
      </c>
      <c r="AG158" s="40" t="s">
        <v>1024</v>
      </c>
      <c r="AH158" s="40" t="s">
        <v>1324</v>
      </c>
      <c r="AI158" s="39" t="str">
        <f>データ!L158</f>
        <v>焔幻の一閃／絶</v>
      </c>
      <c r="AJ158" s="10" t="s">
        <v>1113</v>
      </c>
      <c r="AK158" s="39" t="str">
        <f>データ!M158</f>
        <v>横一列に攻撃[大]</v>
      </c>
      <c r="AL158" s="10" t="s">
        <v>1024</v>
      </c>
      <c r="AM158" s="40" t="s">
        <v>1325</v>
      </c>
      <c r="AN158" s="39" t="str">
        <f>データ!N158</f>
        <v>-</v>
      </c>
      <c r="AO158" s="10" t="s">
        <v>1113</v>
      </c>
      <c r="AP158" s="39" t="str">
        <f>データ!O158</f>
        <v>　</v>
      </c>
      <c r="AQ158" s="41" t="s">
        <v>1024</v>
      </c>
      <c r="AR158" s="40" t="s">
        <v>1324</v>
      </c>
      <c r="AS158" s="39" t="str">
        <f>データ!P158</f>
        <v>プロヴォーク／真</v>
      </c>
      <c r="AT158" s="10" t="s">
        <v>1113</v>
      </c>
      <c r="AU158" s="39" t="str">
        <f>データ!Q158</f>
        <v>攻撃される確率が中UP(3分間)</v>
      </c>
      <c r="AV158" s="10" t="s">
        <v>1024</v>
      </c>
      <c r="AW158" s="40" t="s">
        <v>1324</v>
      </c>
      <c r="AX158" s="39" t="str">
        <f>データ!R158</f>
        <v>-</v>
      </c>
      <c r="AY158" s="10" t="s">
        <v>1113</v>
      </c>
      <c r="AZ158" s="39" t="str">
        <f>データ!S158</f>
        <v>　</v>
      </c>
      <c r="BA158" s="41" t="s">
        <v>1024</v>
      </c>
      <c r="BB158" s="40" t="s">
        <v>1319</v>
      </c>
      <c r="BC158" s="39" t="str">
        <f>データ!T158</f>
        <v>-</v>
      </c>
      <c r="BD158" s="41" t="s">
        <v>1024</v>
      </c>
      <c r="BE158" s="40" t="s">
        <v>1320</v>
      </c>
      <c r="BF158" s="39" t="str">
        <f>データ!U158</f>
        <v>-</v>
      </c>
      <c r="BG158" s="41" t="s">
        <v>1024</v>
      </c>
      <c r="BH158" s="40" t="s">
        <v>1319</v>
      </c>
      <c r="BI158" s="39" t="str">
        <f>データ!V158</f>
        <v>常設</v>
      </c>
      <c r="BJ158" s="41" t="s">
        <v>1024</v>
      </c>
      <c r="BK158" s="10" t="s">
        <v>1019</v>
      </c>
    </row>
    <row r="159" spans="1:63" x14ac:dyDescent="0.15">
      <c r="A159" s="10" t="s">
        <v>1016</v>
      </c>
      <c r="B159" s="10" t="s">
        <v>1454</v>
      </c>
      <c r="C159" s="38" t="str">
        <f>"./images/thumbnail/"&amp;データ!B159&amp;".jpg"</f>
        <v>./images/thumbnail/1271.jpg</v>
      </c>
      <c r="D159" s="38" t="s">
        <v>1455</v>
      </c>
      <c r="E159" s="38" t="str">
        <f>"./images/thumbnail/"&amp;データ!B159&amp;".jpg"</f>
        <v>./images/thumbnail/1271.jpg</v>
      </c>
      <c r="F159" s="38" t="s">
        <v>1116</v>
      </c>
      <c r="G159" s="38" t="s">
        <v>1319</v>
      </c>
      <c r="H159" s="38" t="str">
        <f>データ!C159</f>
        <v>リシャール</v>
      </c>
      <c r="I159" s="38" t="s">
        <v>1024</v>
      </c>
      <c r="J159" s="38" t="s">
        <v>1320</v>
      </c>
      <c r="K159" s="38" t="str">
        <f>データ!D159</f>
        <v>SSR</v>
      </c>
      <c r="L159" s="38" t="s">
        <v>1024</v>
      </c>
      <c r="M159" s="38" t="s">
        <v>1321</v>
      </c>
      <c r="N159" s="38">
        <f>データ!E159</f>
        <v>13</v>
      </c>
      <c r="O159" s="38" t="s">
        <v>1024</v>
      </c>
      <c r="P159" s="38" t="s">
        <v>1319</v>
      </c>
      <c r="Q159" s="38" t="str">
        <f>データ!F159</f>
        <v>遠</v>
      </c>
      <c r="R159" s="38" t="s">
        <v>1024</v>
      </c>
      <c r="S159" s="38" t="s">
        <v>1319</v>
      </c>
      <c r="T159" s="39">
        <f>データ!G159</f>
        <v>17903</v>
      </c>
      <c r="U159" s="40" t="s">
        <v>1024</v>
      </c>
      <c r="V159" s="40" t="s">
        <v>1319</v>
      </c>
      <c r="W159" s="39">
        <f>データ!H159</f>
        <v>6249</v>
      </c>
      <c r="X159" s="40" t="s">
        <v>1024</v>
      </c>
      <c r="Y159" s="40" t="s">
        <v>1319</v>
      </c>
      <c r="Z159" s="39">
        <f>データ!I159</f>
        <v>4550</v>
      </c>
      <c r="AA159" s="40" t="s">
        <v>1024</v>
      </c>
      <c r="AB159" s="40" t="s">
        <v>1322</v>
      </c>
      <c r="AC159" s="39" t="str">
        <f>データ!J159</f>
        <v>S-</v>
      </c>
      <c r="AD159" s="38" t="s">
        <v>1024</v>
      </c>
      <c r="AE159" s="40" t="s">
        <v>1323</v>
      </c>
      <c r="AF159" s="39">
        <f>データ!K159</f>
        <v>28702</v>
      </c>
      <c r="AG159" s="40" t="s">
        <v>1024</v>
      </c>
      <c r="AH159" s="40" t="s">
        <v>1324</v>
      </c>
      <c r="AI159" s="39" t="str">
        <f>データ!L159</f>
        <v>対紫の突風／絶</v>
      </c>
      <c r="AJ159" s="10" t="s">
        <v>1113</v>
      </c>
      <c r="AK159" s="39" t="str">
        <f>データ!M159</f>
        <v>打に強く遠に弱い縦一列攻撃[大]</v>
      </c>
      <c r="AL159" s="10" t="s">
        <v>1024</v>
      </c>
      <c r="AM159" s="40" t="s">
        <v>1325</v>
      </c>
      <c r="AN159" s="39" t="str">
        <f>データ!N159</f>
        <v>-</v>
      </c>
      <c r="AO159" s="10" t="s">
        <v>1113</v>
      </c>
      <c r="AP159" s="39" t="str">
        <f>データ!O159</f>
        <v>　</v>
      </c>
      <c r="AQ159" s="41" t="s">
        <v>1024</v>
      </c>
      <c r="AR159" s="40" t="s">
        <v>1324</v>
      </c>
      <c r="AS159" s="39" t="str">
        <f>データ!P159</f>
        <v>ヒール／絶</v>
      </c>
      <c r="AT159" s="10" t="s">
        <v>1113</v>
      </c>
      <c r="AU159" s="39" t="str">
        <f>データ!Q159</f>
        <v>生存ユニットのHPを大回復</v>
      </c>
      <c r="AV159" s="10" t="s">
        <v>1024</v>
      </c>
      <c r="AW159" s="40" t="s">
        <v>1324</v>
      </c>
      <c r="AX159" s="39" t="str">
        <f>データ!R159</f>
        <v>-</v>
      </c>
      <c r="AY159" s="10" t="s">
        <v>1113</v>
      </c>
      <c r="AZ159" s="39" t="str">
        <f>データ!S159</f>
        <v>　</v>
      </c>
      <c r="BA159" s="41" t="s">
        <v>1024</v>
      </c>
      <c r="BB159" s="40" t="s">
        <v>1319</v>
      </c>
      <c r="BC159" s="39" t="str">
        <f>データ!T159</f>
        <v>-</v>
      </c>
      <c r="BD159" s="41" t="s">
        <v>1024</v>
      </c>
      <c r="BE159" s="40" t="s">
        <v>1320</v>
      </c>
      <c r="BF159" s="39" t="str">
        <f>データ!U159</f>
        <v>-</v>
      </c>
      <c r="BG159" s="41" t="s">
        <v>1024</v>
      </c>
      <c r="BH159" s="40" t="s">
        <v>1319</v>
      </c>
      <c r="BI159" s="39" t="str">
        <f>データ!V159</f>
        <v>常設</v>
      </c>
      <c r="BJ159" s="41" t="s">
        <v>1024</v>
      </c>
      <c r="BK159" s="10" t="s">
        <v>1019</v>
      </c>
    </row>
    <row r="160" spans="1:63" x14ac:dyDescent="0.15">
      <c r="A160" s="10" t="s">
        <v>1016</v>
      </c>
      <c r="B160" s="10" t="s">
        <v>1454</v>
      </c>
      <c r="C160" s="38" t="str">
        <f>"./images/thumbnail/"&amp;データ!B160&amp;".jpg"</f>
        <v>./images/thumbnail/1272.jpg</v>
      </c>
      <c r="D160" s="38" t="s">
        <v>1455</v>
      </c>
      <c r="E160" s="38" t="str">
        <f>"./images/thumbnail/"&amp;データ!B160&amp;".jpg"</f>
        <v>./images/thumbnail/1272.jpg</v>
      </c>
      <c r="F160" s="38" t="s">
        <v>1116</v>
      </c>
      <c r="G160" s="38" t="s">
        <v>1319</v>
      </c>
      <c r="H160" s="38" t="str">
        <f>データ!C160</f>
        <v>フレイ</v>
      </c>
      <c r="I160" s="38" t="s">
        <v>1024</v>
      </c>
      <c r="J160" s="38" t="s">
        <v>1320</v>
      </c>
      <c r="K160" s="38" t="str">
        <f>データ!D160</f>
        <v>SSR</v>
      </c>
      <c r="L160" s="38" t="s">
        <v>1024</v>
      </c>
      <c r="M160" s="38" t="s">
        <v>1321</v>
      </c>
      <c r="N160" s="38">
        <f>データ!E160</f>
        <v>13</v>
      </c>
      <c r="O160" s="38" t="s">
        <v>1024</v>
      </c>
      <c r="P160" s="38" t="s">
        <v>1319</v>
      </c>
      <c r="Q160" s="38" t="str">
        <f>データ!F160</f>
        <v>突</v>
      </c>
      <c r="R160" s="38" t="s">
        <v>1024</v>
      </c>
      <c r="S160" s="38" t="s">
        <v>1319</v>
      </c>
      <c r="T160" s="39">
        <f>データ!G160</f>
        <v>18617</v>
      </c>
      <c r="U160" s="40" t="s">
        <v>1024</v>
      </c>
      <c r="V160" s="40" t="s">
        <v>1319</v>
      </c>
      <c r="W160" s="39">
        <f>データ!H160</f>
        <v>5543</v>
      </c>
      <c r="X160" s="40" t="s">
        <v>1024</v>
      </c>
      <c r="Y160" s="40" t="s">
        <v>1319</v>
      </c>
      <c r="Z160" s="39">
        <f>データ!I160</f>
        <v>5497</v>
      </c>
      <c r="AA160" s="40" t="s">
        <v>1024</v>
      </c>
      <c r="AB160" s="40" t="s">
        <v>1322</v>
      </c>
      <c r="AC160" s="39" t="str">
        <f>データ!J160</f>
        <v>SS-</v>
      </c>
      <c r="AD160" s="38" t="s">
        <v>1024</v>
      </c>
      <c r="AE160" s="40" t="s">
        <v>1323</v>
      </c>
      <c r="AF160" s="39">
        <f>データ!K160</f>
        <v>29657</v>
      </c>
      <c r="AG160" s="40" t="s">
        <v>1024</v>
      </c>
      <c r="AH160" s="40" t="s">
        <v>1324</v>
      </c>
      <c r="AI160" s="39" t="str">
        <f>データ!L160</f>
        <v>幻神の六連撃</v>
      </c>
      <c r="AJ160" s="10" t="s">
        <v>1113</v>
      </c>
      <c r="AK160" s="39" t="str">
        <f>データ!M160</f>
        <v>ランダムで6連続攻撃[小]</v>
      </c>
      <c r="AL160" s="10" t="s">
        <v>1024</v>
      </c>
      <c r="AM160" s="40" t="s">
        <v>1325</v>
      </c>
      <c r="AN160" s="39" t="str">
        <f>データ!N160</f>
        <v>-</v>
      </c>
      <c r="AO160" s="10" t="s">
        <v>1113</v>
      </c>
      <c r="AP160" s="39" t="str">
        <f>データ!O160</f>
        <v>　</v>
      </c>
      <c r="AQ160" s="41" t="s">
        <v>1024</v>
      </c>
      <c r="AR160" s="40" t="s">
        <v>1324</v>
      </c>
      <c r="AS160" s="39" t="str">
        <f>データ!P160</f>
        <v>ポイントライズ</v>
      </c>
      <c r="AT160" s="10" t="s">
        <v>1113</v>
      </c>
      <c r="AU160" s="39" t="str">
        <f>データ!Q160</f>
        <v>獲得する騎士団戦スコアが小アップ(バトル3回)</v>
      </c>
      <c r="AV160" s="10" t="s">
        <v>1024</v>
      </c>
      <c r="AW160" s="40" t="s">
        <v>1324</v>
      </c>
      <c r="AX160" s="39" t="str">
        <f>データ!R160</f>
        <v>-</v>
      </c>
      <c r="AY160" s="10" t="s">
        <v>1113</v>
      </c>
      <c r="AZ160" s="39" t="str">
        <f>データ!S160</f>
        <v>　</v>
      </c>
      <c r="BA160" s="41" t="s">
        <v>1024</v>
      </c>
      <c r="BB160" s="40" t="s">
        <v>1319</v>
      </c>
      <c r="BC160" s="39" t="str">
        <f>データ!T160</f>
        <v>-</v>
      </c>
      <c r="BD160" s="41" t="s">
        <v>1024</v>
      </c>
      <c r="BE160" s="40" t="s">
        <v>1320</v>
      </c>
      <c r="BF160" s="39" t="str">
        <f>データ!U160</f>
        <v>-</v>
      </c>
      <c r="BG160" s="41" t="s">
        <v>1024</v>
      </c>
      <c r="BH160" s="40" t="s">
        <v>1319</v>
      </c>
      <c r="BI160" s="39" t="str">
        <f>データ!V160</f>
        <v>グラン</v>
      </c>
      <c r="BJ160" s="41" t="s">
        <v>1024</v>
      </c>
      <c r="BK160" s="10" t="s">
        <v>1019</v>
      </c>
    </row>
    <row r="161" spans="1:63" x14ac:dyDescent="0.15">
      <c r="A161" s="10" t="s">
        <v>1016</v>
      </c>
      <c r="B161" s="10" t="s">
        <v>1454</v>
      </c>
      <c r="C161" s="38" t="str">
        <f>"./images/thumbnail/"&amp;データ!B161&amp;".jpg"</f>
        <v>./images/thumbnail/1273.jpg</v>
      </c>
      <c r="D161" s="38" t="s">
        <v>1455</v>
      </c>
      <c r="E161" s="38" t="str">
        <f>"./images/thumbnail/"&amp;データ!B161&amp;".jpg"</f>
        <v>./images/thumbnail/1273.jpg</v>
      </c>
      <c r="F161" s="38" t="s">
        <v>1116</v>
      </c>
      <c r="G161" s="38" t="s">
        <v>1319</v>
      </c>
      <c r="H161" s="38" t="str">
        <f>データ!C161</f>
        <v>ヴィヴィアン</v>
      </c>
      <c r="I161" s="38" t="s">
        <v>1024</v>
      </c>
      <c r="J161" s="38" t="s">
        <v>1320</v>
      </c>
      <c r="K161" s="38" t="str">
        <f>データ!D161</f>
        <v>SSR</v>
      </c>
      <c r="L161" s="38" t="s">
        <v>1024</v>
      </c>
      <c r="M161" s="38" t="s">
        <v>1321</v>
      </c>
      <c r="N161" s="38">
        <f>データ!E161</f>
        <v>12</v>
      </c>
      <c r="O161" s="38" t="s">
        <v>1024</v>
      </c>
      <c r="P161" s="38" t="s">
        <v>1319</v>
      </c>
      <c r="Q161" s="38" t="str">
        <f>データ!F161</f>
        <v>斬</v>
      </c>
      <c r="R161" s="38" t="s">
        <v>1024</v>
      </c>
      <c r="S161" s="38" t="s">
        <v>1319</v>
      </c>
      <c r="T161" s="39">
        <f>データ!G161</f>
        <v>14133</v>
      </c>
      <c r="U161" s="40" t="s">
        <v>1024</v>
      </c>
      <c r="V161" s="40" t="s">
        <v>1319</v>
      </c>
      <c r="W161" s="39">
        <f>データ!H161</f>
        <v>6880</v>
      </c>
      <c r="X161" s="40" t="s">
        <v>1024</v>
      </c>
      <c r="Y161" s="40" t="s">
        <v>1319</v>
      </c>
      <c r="Z161" s="39">
        <f>データ!I161</f>
        <v>4611</v>
      </c>
      <c r="AA161" s="40" t="s">
        <v>1024</v>
      </c>
      <c r="AB161" s="40" t="s">
        <v>1322</v>
      </c>
      <c r="AC161" s="39" t="str">
        <f>データ!J161</f>
        <v>S+</v>
      </c>
      <c r="AD161" s="38" t="s">
        <v>1024</v>
      </c>
      <c r="AE161" s="40" t="s">
        <v>1323</v>
      </c>
      <c r="AF161" s="39">
        <f>データ!K161</f>
        <v>25624</v>
      </c>
      <c r="AG161" s="40" t="s">
        <v>1024</v>
      </c>
      <c r="AH161" s="40" t="s">
        <v>1324</v>
      </c>
      <c r="AI161" s="39" t="str">
        <f>データ!L161</f>
        <v>破岩の縦十字／絶</v>
      </c>
      <c r="AJ161" s="10" t="s">
        <v>1113</v>
      </c>
      <c r="AK161" s="39" t="str">
        <f>データ!M161</f>
        <v>十字型に固定ダメージ[大]</v>
      </c>
      <c r="AL161" s="10" t="s">
        <v>1024</v>
      </c>
      <c r="AM161" s="40" t="s">
        <v>1325</v>
      </c>
      <c r="AN161" s="39" t="str">
        <f>データ!N161</f>
        <v>-</v>
      </c>
      <c r="AO161" s="10" t="s">
        <v>1113</v>
      </c>
      <c r="AP161" s="39" t="str">
        <f>データ!O161</f>
        <v>　</v>
      </c>
      <c r="AQ161" s="41" t="s">
        <v>1024</v>
      </c>
      <c r="AR161" s="40" t="s">
        <v>1324</v>
      </c>
      <c r="AS161" s="39" t="str">
        <f>データ!P161</f>
        <v>リヴァイブ／真斬紅</v>
      </c>
      <c r="AT161" s="10" t="s">
        <v>1113</v>
      </c>
      <c r="AU161" s="39" t="str">
        <f>データ!Q161</f>
        <v>高確率で斬属性のユニットを復帰</v>
      </c>
      <c r="AV161" s="10" t="s">
        <v>1024</v>
      </c>
      <c r="AW161" s="40" t="s">
        <v>1324</v>
      </c>
      <c r="AX161" s="39" t="str">
        <f>データ!R161</f>
        <v>-</v>
      </c>
      <c r="AY161" s="10" t="s">
        <v>1113</v>
      </c>
      <c r="AZ161" s="39" t="str">
        <f>データ!S161</f>
        <v>　</v>
      </c>
      <c r="BA161" s="41" t="s">
        <v>1024</v>
      </c>
      <c r="BB161" s="40" t="s">
        <v>1319</v>
      </c>
      <c r="BC161" s="39" t="str">
        <f>データ!T161</f>
        <v>-</v>
      </c>
      <c r="BD161" s="41" t="s">
        <v>1024</v>
      </c>
      <c r="BE161" s="40" t="s">
        <v>1320</v>
      </c>
      <c r="BF161" s="39" t="str">
        <f>データ!U161</f>
        <v>-</v>
      </c>
      <c r="BG161" s="41" t="s">
        <v>1024</v>
      </c>
      <c r="BH161" s="40" t="s">
        <v>1319</v>
      </c>
      <c r="BI161" s="39" t="str">
        <f>データ!V161</f>
        <v>誓いイベ</v>
      </c>
      <c r="BJ161" s="41" t="s">
        <v>1024</v>
      </c>
      <c r="BK161" s="10" t="s">
        <v>1019</v>
      </c>
    </row>
    <row r="162" spans="1:63" x14ac:dyDescent="0.15">
      <c r="A162" s="10" t="s">
        <v>1016</v>
      </c>
      <c r="B162" s="10" t="s">
        <v>1454</v>
      </c>
      <c r="C162" s="38" t="str">
        <f>"./images/thumbnail/"&amp;データ!B162&amp;".jpg"</f>
        <v>./images/thumbnail/1274.jpg</v>
      </c>
      <c r="D162" s="38" t="s">
        <v>1455</v>
      </c>
      <c r="E162" s="38" t="str">
        <f>"./images/thumbnail/"&amp;データ!B162&amp;".jpg"</f>
        <v>./images/thumbnail/1274.jpg</v>
      </c>
      <c r="F162" s="38" t="s">
        <v>1116</v>
      </c>
      <c r="G162" s="38" t="s">
        <v>1319</v>
      </c>
      <c r="H162" s="38" t="str">
        <f>データ!C162</f>
        <v>ウィル</v>
      </c>
      <c r="I162" s="38" t="s">
        <v>1024</v>
      </c>
      <c r="J162" s="38" t="s">
        <v>1320</v>
      </c>
      <c r="K162" s="38" t="str">
        <f>データ!D162</f>
        <v>SSR</v>
      </c>
      <c r="L162" s="38" t="s">
        <v>1024</v>
      </c>
      <c r="M162" s="38" t="s">
        <v>1321</v>
      </c>
      <c r="N162" s="38">
        <f>データ!E162</f>
        <v>13</v>
      </c>
      <c r="O162" s="38" t="s">
        <v>1024</v>
      </c>
      <c r="P162" s="38" t="s">
        <v>1319</v>
      </c>
      <c r="Q162" s="38" t="str">
        <f>データ!F162</f>
        <v>遠</v>
      </c>
      <c r="R162" s="38" t="s">
        <v>1024</v>
      </c>
      <c r="S162" s="38" t="s">
        <v>1319</v>
      </c>
      <c r="T162" s="39">
        <f>データ!G162</f>
        <v>17996</v>
      </c>
      <c r="U162" s="40" t="s">
        <v>1024</v>
      </c>
      <c r="V162" s="40" t="s">
        <v>1319</v>
      </c>
      <c r="W162" s="39">
        <f>データ!H162</f>
        <v>6280</v>
      </c>
      <c r="X162" s="40" t="s">
        <v>1024</v>
      </c>
      <c r="Y162" s="40" t="s">
        <v>1319</v>
      </c>
      <c r="Z162" s="39">
        <f>データ!I162</f>
        <v>4526</v>
      </c>
      <c r="AA162" s="40" t="s">
        <v>1024</v>
      </c>
      <c r="AB162" s="40" t="s">
        <v>1322</v>
      </c>
      <c r="AC162" s="39" t="str">
        <f>データ!J162</f>
        <v>S-</v>
      </c>
      <c r="AD162" s="38" t="s">
        <v>1024</v>
      </c>
      <c r="AE162" s="40" t="s">
        <v>1323</v>
      </c>
      <c r="AF162" s="39">
        <f>データ!K162</f>
        <v>28802</v>
      </c>
      <c r="AG162" s="40" t="s">
        <v>1024</v>
      </c>
      <c r="AH162" s="40" t="s">
        <v>1324</v>
      </c>
      <c r="AI162" s="39" t="str">
        <f>データ!L162</f>
        <v>治癒の一撃／真</v>
      </c>
      <c r="AJ162" s="10" t="s">
        <v>1113</v>
      </c>
      <c r="AK162" s="39" t="str">
        <f>データ!M162</f>
        <v>単体固定ダメージ[中]+味方状態異常解除</v>
      </c>
      <c r="AL162" s="10" t="s">
        <v>1024</v>
      </c>
      <c r="AM162" s="40" t="s">
        <v>1325</v>
      </c>
      <c r="AN162" s="39" t="str">
        <f>データ!N162</f>
        <v>-</v>
      </c>
      <c r="AO162" s="10" t="s">
        <v>1113</v>
      </c>
      <c r="AP162" s="39" t="str">
        <f>データ!O162</f>
        <v>　</v>
      </c>
      <c r="AQ162" s="41" t="s">
        <v>1024</v>
      </c>
      <c r="AR162" s="40" t="s">
        <v>1324</v>
      </c>
      <c r="AS162" s="39" t="str">
        <f>データ!P162</f>
        <v>リザレクション／真</v>
      </c>
      <c r="AT162" s="10" t="s">
        <v>1113</v>
      </c>
      <c r="AU162" s="39" t="str">
        <f>データ!Q162</f>
        <v>中確率でパーティ全員を復帰(全滅時のみ使用可)</v>
      </c>
      <c r="AV162" s="10" t="s">
        <v>1024</v>
      </c>
      <c r="AW162" s="40" t="s">
        <v>1324</v>
      </c>
      <c r="AX162" s="39" t="str">
        <f>データ!R162</f>
        <v>-</v>
      </c>
      <c r="AY162" s="10" t="s">
        <v>1113</v>
      </c>
      <c r="AZ162" s="39" t="str">
        <f>データ!S162</f>
        <v>　</v>
      </c>
      <c r="BA162" s="41" t="s">
        <v>1024</v>
      </c>
      <c r="BB162" s="40" t="s">
        <v>1319</v>
      </c>
      <c r="BC162" s="39" t="str">
        <f>データ!T162</f>
        <v>-</v>
      </c>
      <c r="BD162" s="41" t="s">
        <v>1024</v>
      </c>
      <c r="BE162" s="40" t="s">
        <v>1320</v>
      </c>
      <c r="BF162" s="39" t="str">
        <f>データ!U162</f>
        <v>-</v>
      </c>
      <c r="BG162" s="41" t="s">
        <v>1024</v>
      </c>
      <c r="BH162" s="40" t="s">
        <v>1319</v>
      </c>
      <c r="BI162" s="39" t="str">
        <f>データ!V162</f>
        <v>メダル</v>
      </c>
      <c r="BJ162" s="41" t="s">
        <v>1024</v>
      </c>
      <c r="BK162" s="10" t="s">
        <v>1019</v>
      </c>
    </row>
    <row r="163" spans="1:63" x14ac:dyDescent="0.15">
      <c r="A163" s="10" t="s">
        <v>1016</v>
      </c>
      <c r="B163" s="10" t="s">
        <v>1454</v>
      </c>
      <c r="C163" s="38" t="str">
        <f>"./images/thumbnail/"&amp;データ!B163&amp;".jpg"</f>
        <v>./images/thumbnail/1276.jpg</v>
      </c>
      <c r="D163" s="38" t="s">
        <v>1455</v>
      </c>
      <c r="E163" s="38" t="str">
        <f>"./images/thumbnail/"&amp;データ!B163&amp;".jpg"</f>
        <v>./images/thumbnail/1276.jpg</v>
      </c>
      <c r="F163" s="38" t="s">
        <v>1116</v>
      </c>
      <c r="G163" s="38" t="s">
        <v>1319</v>
      </c>
      <c r="H163" s="38" t="str">
        <f>データ!C163</f>
        <v>ギーヴ</v>
      </c>
      <c r="I163" s="38" t="s">
        <v>1024</v>
      </c>
      <c r="J163" s="38" t="s">
        <v>1320</v>
      </c>
      <c r="K163" s="38" t="str">
        <f>データ!D163</f>
        <v>SSR</v>
      </c>
      <c r="L163" s="38" t="s">
        <v>1024</v>
      </c>
      <c r="M163" s="38" t="s">
        <v>1321</v>
      </c>
      <c r="N163" s="38">
        <f>データ!E163</f>
        <v>12</v>
      </c>
      <c r="O163" s="38" t="s">
        <v>1024</v>
      </c>
      <c r="P163" s="38" t="s">
        <v>1319</v>
      </c>
      <c r="Q163" s="38" t="str">
        <f>データ!F163</f>
        <v>遠</v>
      </c>
      <c r="R163" s="38" t="s">
        <v>1024</v>
      </c>
      <c r="S163" s="38" t="s">
        <v>1319</v>
      </c>
      <c r="T163" s="39">
        <f>データ!G163</f>
        <v>18119</v>
      </c>
      <c r="U163" s="40" t="s">
        <v>1024</v>
      </c>
      <c r="V163" s="40" t="s">
        <v>1319</v>
      </c>
      <c r="W163" s="39">
        <f>データ!H163</f>
        <v>5364</v>
      </c>
      <c r="X163" s="40" t="s">
        <v>1024</v>
      </c>
      <c r="Y163" s="40" t="s">
        <v>1319</v>
      </c>
      <c r="Z163" s="39">
        <f>データ!I163</f>
        <v>4302</v>
      </c>
      <c r="AA163" s="40" t="s">
        <v>1024</v>
      </c>
      <c r="AB163" s="40" t="s">
        <v>1322</v>
      </c>
      <c r="AC163" s="39" t="str">
        <f>データ!J163</f>
        <v>S-</v>
      </c>
      <c r="AD163" s="38" t="s">
        <v>1024</v>
      </c>
      <c r="AE163" s="40" t="s">
        <v>1323</v>
      </c>
      <c r="AF163" s="39">
        <f>データ!K163</f>
        <v>27785</v>
      </c>
      <c r="AG163" s="40" t="s">
        <v>1024</v>
      </c>
      <c r="AH163" s="40" t="s">
        <v>1324</v>
      </c>
      <c r="AI163" s="39" t="str">
        <f>データ!L163</f>
        <v>光芒の叡智</v>
      </c>
      <c r="AJ163" s="10" t="s">
        <v>1113</v>
      </c>
      <c r="AK163" s="39" t="str">
        <f>データ!M163</f>
        <v>味方全体の攻撃力と防御力をUP[中]</v>
      </c>
      <c r="AL163" s="10" t="s">
        <v>1024</v>
      </c>
      <c r="AM163" s="40" t="s">
        <v>1325</v>
      </c>
      <c r="AN163" s="39" t="str">
        <f>データ!N163</f>
        <v>-</v>
      </c>
      <c r="AO163" s="10" t="s">
        <v>1113</v>
      </c>
      <c r="AP163" s="39" t="str">
        <f>データ!O163</f>
        <v>　</v>
      </c>
      <c r="AQ163" s="41" t="s">
        <v>1024</v>
      </c>
      <c r="AR163" s="40" t="s">
        <v>1324</v>
      </c>
      <c r="AS163" s="39" t="str">
        <f>データ!P163</f>
        <v>フォートレス／真</v>
      </c>
      <c r="AT163" s="10" t="s">
        <v>1113</v>
      </c>
      <c r="AU163" s="39" t="str">
        <f>データ!Q163</f>
        <v>パーティ全体の防御力が中UP(3分間)</v>
      </c>
      <c r="AV163" s="10" t="s">
        <v>1024</v>
      </c>
      <c r="AW163" s="40" t="s">
        <v>1324</v>
      </c>
      <c r="AX163" s="39" t="str">
        <f>データ!R163</f>
        <v>-</v>
      </c>
      <c r="AY163" s="10" t="s">
        <v>1113</v>
      </c>
      <c r="AZ163" s="39" t="str">
        <f>データ!S163</f>
        <v>　</v>
      </c>
      <c r="BA163" s="41" t="s">
        <v>1024</v>
      </c>
      <c r="BB163" s="40" t="s">
        <v>1319</v>
      </c>
      <c r="BC163" s="39" t="str">
        <f>データ!T163</f>
        <v>-</v>
      </c>
      <c r="BD163" s="41" t="s">
        <v>1024</v>
      </c>
      <c r="BE163" s="40" t="s">
        <v>1320</v>
      </c>
      <c r="BF163" s="39" t="str">
        <f>データ!U163</f>
        <v>-</v>
      </c>
      <c r="BG163" s="41" t="s">
        <v>1024</v>
      </c>
      <c r="BH163" s="40" t="s">
        <v>1319</v>
      </c>
      <c r="BI163" s="39" t="str">
        <f>データ!V163</f>
        <v>アルスラーン戦記コラボ</v>
      </c>
      <c r="BJ163" s="41" t="s">
        <v>1024</v>
      </c>
      <c r="BK163" s="10" t="s">
        <v>1019</v>
      </c>
    </row>
    <row r="164" spans="1:63" x14ac:dyDescent="0.15">
      <c r="A164" s="10" t="s">
        <v>1016</v>
      </c>
      <c r="B164" s="10" t="s">
        <v>1454</v>
      </c>
      <c r="C164" s="38" t="str">
        <f>"./images/thumbnail/"&amp;データ!B164&amp;".jpg"</f>
        <v>./images/thumbnail/1278.jpg</v>
      </c>
      <c r="D164" s="38" t="s">
        <v>1455</v>
      </c>
      <c r="E164" s="38" t="str">
        <f>"./images/thumbnail/"&amp;データ!B164&amp;".jpg"</f>
        <v>./images/thumbnail/1278.jpg</v>
      </c>
      <c r="F164" s="38" t="s">
        <v>1116</v>
      </c>
      <c r="G164" s="38" t="s">
        <v>1319</v>
      </c>
      <c r="H164" s="38" t="str">
        <f>データ!C164</f>
        <v>ダリューン</v>
      </c>
      <c r="I164" s="38" t="s">
        <v>1024</v>
      </c>
      <c r="J164" s="38" t="s">
        <v>1320</v>
      </c>
      <c r="K164" s="38" t="str">
        <f>データ!D164</f>
        <v>SSR</v>
      </c>
      <c r="L164" s="38" t="s">
        <v>1024</v>
      </c>
      <c r="M164" s="38" t="s">
        <v>1321</v>
      </c>
      <c r="N164" s="38">
        <f>データ!E164</f>
        <v>13</v>
      </c>
      <c r="O164" s="38" t="s">
        <v>1024</v>
      </c>
      <c r="P164" s="38" t="s">
        <v>1319</v>
      </c>
      <c r="Q164" s="38" t="str">
        <f>データ!F164</f>
        <v>突</v>
      </c>
      <c r="R164" s="38" t="s">
        <v>1024</v>
      </c>
      <c r="S164" s="38" t="s">
        <v>1319</v>
      </c>
      <c r="T164" s="39">
        <f>データ!G164</f>
        <v>16915</v>
      </c>
      <c r="U164" s="40" t="s">
        <v>1024</v>
      </c>
      <c r="V164" s="40" t="s">
        <v>1319</v>
      </c>
      <c r="W164" s="39">
        <f>データ!H164</f>
        <v>5934</v>
      </c>
      <c r="X164" s="40" t="s">
        <v>1024</v>
      </c>
      <c r="Y164" s="40" t="s">
        <v>1319</v>
      </c>
      <c r="Z164" s="39">
        <f>データ!I164</f>
        <v>5675</v>
      </c>
      <c r="AA164" s="40" t="s">
        <v>1024</v>
      </c>
      <c r="AB164" s="40" t="s">
        <v>1322</v>
      </c>
      <c r="AC164" s="39" t="str">
        <f>データ!J164</f>
        <v>SS-</v>
      </c>
      <c r="AD164" s="38" t="s">
        <v>1024</v>
      </c>
      <c r="AE164" s="40" t="s">
        <v>1323</v>
      </c>
      <c r="AF164" s="39">
        <f>データ!K164</f>
        <v>28524</v>
      </c>
      <c r="AG164" s="40" t="s">
        <v>1024</v>
      </c>
      <c r="AH164" s="40" t="s">
        <v>1324</v>
      </c>
      <c r="AI164" s="39" t="str">
        <f>データ!L164</f>
        <v>地幻神の四連撃／真</v>
      </c>
      <c r="AJ164" s="10" t="s">
        <v>1113</v>
      </c>
      <c r="AK164" s="39" t="str">
        <f>データ!M164</f>
        <v>ランダム4連続攻撃[中]自分の防御力UP[中]</v>
      </c>
      <c r="AL164" s="10" t="s">
        <v>1024</v>
      </c>
      <c r="AM164" s="40" t="s">
        <v>1325</v>
      </c>
      <c r="AN164" s="39" t="str">
        <f>データ!N164</f>
        <v>-</v>
      </c>
      <c r="AO164" s="10" t="s">
        <v>1113</v>
      </c>
      <c r="AP164" s="39" t="str">
        <f>データ!O164</f>
        <v>　</v>
      </c>
      <c r="AQ164" s="41" t="s">
        <v>1024</v>
      </c>
      <c r="AR164" s="40" t="s">
        <v>1324</v>
      </c>
      <c r="AS164" s="39" t="str">
        <f>データ!P164</f>
        <v>アサルト／真</v>
      </c>
      <c r="AT164" s="10" t="s">
        <v>1113</v>
      </c>
      <c r="AU164" s="39" t="str">
        <f>データ!Q164</f>
        <v>パーティ全体の攻撃力が中UP(3分間)</v>
      </c>
      <c r="AV164" s="10" t="s">
        <v>1024</v>
      </c>
      <c r="AW164" s="40" t="s">
        <v>1324</v>
      </c>
      <c r="AX164" s="39" t="str">
        <f>データ!R164</f>
        <v>-</v>
      </c>
      <c r="AY164" s="10" t="s">
        <v>1113</v>
      </c>
      <c r="AZ164" s="39" t="str">
        <f>データ!S164</f>
        <v>　</v>
      </c>
      <c r="BA164" s="41" t="s">
        <v>1024</v>
      </c>
      <c r="BB164" s="40" t="s">
        <v>1319</v>
      </c>
      <c r="BC164" s="39" t="str">
        <f>データ!T164</f>
        <v>-</v>
      </c>
      <c r="BD164" s="41" t="s">
        <v>1024</v>
      </c>
      <c r="BE164" s="40" t="s">
        <v>1320</v>
      </c>
      <c r="BF164" s="39" t="str">
        <f>データ!U164</f>
        <v>-</v>
      </c>
      <c r="BG164" s="41" t="s">
        <v>1024</v>
      </c>
      <c r="BH164" s="40" t="s">
        <v>1319</v>
      </c>
      <c r="BI164" s="39" t="str">
        <f>データ!V164</f>
        <v>アルスラーン戦記コラボ</v>
      </c>
      <c r="BJ164" s="41" t="s">
        <v>1024</v>
      </c>
      <c r="BK164" s="10" t="s">
        <v>1019</v>
      </c>
    </row>
    <row r="165" spans="1:63" x14ac:dyDescent="0.15">
      <c r="A165" s="10" t="s">
        <v>1016</v>
      </c>
      <c r="B165" s="10" t="s">
        <v>1454</v>
      </c>
      <c r="C165" s="38" t="str">
        <f>"./images/thumbnail/"&amp;データ!B165&amp;".jpg"</f>
        <v>./images/thumbnail/1279.jpg</v>
      </c>
      <c r="D165" s="38" t="s">
        <v>1455</v>
      </c>
      <c r="E165" s="38" t="str">
        <f>"./images/thumbnail/"&amp;データ!B165&amp;".jpg"</f>
        <v>./images/thumbnail/1279.jpg</v>
      </c>
      <c r="F165" s="38" t="s">
        <v>1116</v>
      </c>
      <c r="G165" s="38" t="s">
        <v>1319</v>
      </c>
      <c r="H165" s="38" t="str">
        <f>データ!C165</f>
        <v>ナルサス</v>
      </c>
      <c r="I165" s="38" t="s">
        <v>1024</v>
      </c>
      <c r="J165" s="38" t="s">
        <v>1320</v>
      </c>
      <c r="K165" s="38" t="str">
        <f>データ!D165</f>
        <v>SSR</v>
      </c>
      <c r="L165" s="38" t="s">
        <v>1024</v>
      </c>
      <c r="M165" s="38" t="s">
        <v>1321</v>
      </c>
      <c r="N165" s="38">
        <f>データ!E165</f>
        <v>13</v>
      </c>
      <c r="O165" s="38" t="s">
        <v>1024</v>
      </c>
      <c r="P165" s="38" t="s">
        <v>1319</v>
      </c>
      <c r="Q165" s="38" t="str">
        <f>データ!F165</f>
        <v>斬</v>
      </c>
      <c r="R165" s="38" t="s">
        <v>1024</v>
      </c>
      <c r="S165" s="38" t="s">
        <v>1319</v>
      </c>
      <c r="T165" s="39">
        <f>データ!G165</f>
        <v>16987</v>
      </c>
      <c r="U165" s="40" t="s">
        <v>1024</v>
      </c>
      <c r="V165" s="40" t="s">
        <v>1319</v>
      </c>
      <c r="W165" s="39">
        <f>データ!H165</f>
        <v>6799</v>
      </c>
      <c r="X165" s="40" t="s">
        <v>1024</v>
      </c>
      <c r="Y165" s="40" t="s">
        <v>1319</v>
      </c>
      <c r="Z165" s="39">
        <f>データ!I165</f>
        <v>5425</v>
      </c>
      <c r="AA165" s="40" t="s">
        <v>1024</v>
      </c>
      <c r="AB165" s="40" t="s">
        <v>1322</v>
      </c>
      <c r="AC165" s="39" t="str">
        <f>データ!J165</f>
        <v>A+</v>
      </c>
      <c r="AD165" s="38" t="s">
        <v>1024</v>
      </c>
      <c r="AE165" s="40" t="s">
        <v>1323</v>
      </c>
      <c r="AF165" s="39">
        <f>データ!K165</f>
        <v>29211</v>
      </c>
      <c r="AG165" s="40" t="s">
        <v>1024</v>
      </c>
      <c r="AH165" s="40" t="s">
        <v>1324</v>
      </c>
      <c r="AI165" s="39" t="str">
        <f>データ!L165</f>
        <v>天魔幻の閃光／絶</v>
      </c>
      <c r="AJ165" s="10" t="s">
        <v>1113</v>
      </c>
      <c r="AK165" s="39" t="str">
        <f>データ!M165</f>
        <v>縦一列攻撃[大]自分の攻撃力UP[大]</v>
      </c>
      <c r="AL165" s="10" t="s">
        <v>1024</v>
      </c>
      <c r="AM165" s="40" t="s">
        <v>1325</v>
      </c>
      <c r="AN165" s="39" t="str">
        <f>データ!N165</f>
        <v>-</v>
      </c>
      <c r="AO165" s="10" t="s">
        <v>1113</v>
      </c>
      <c r="AP165" s="39" t="str">
        <f>データ!O165</f>
        <v>　</v>
      </c>
      <c r="AQ165" s="41" t="s">
        <v>1024</v>
      </c>
      <c r="AR165" s="40" t="s">
        <v>1324</v>
      </c>
      <c r="AS165" s="39" t="str">
        <f>データ!P165</f>
        <v>エースオーダー</v>
      </c>
      <c r="AT165" s="10" t="s">
        <v>1113</v>
      </c>
      <c r="AU165" s="39" t="str">
        <f>データ!Q165</f>
        <v>騎士団全体の攻・防が小UP(3分間)</v>
      </c>
      <c r="AV165" s="10" t="s">
        <v>1024</v>
      </c>
      <c r="AW165" s="40" t="s">
        <v>1324</v>
      </c>
      <c r="AX165" s="39" t="str">
        <f>データ!R165</f>
        <v>-</v>
      </c>
      <c r="AY165" s="10" t="s">
        <v>1113</v>
      </c>
      <c r="AZ165" s="39" t="str">
        <f>データ!S165</f>
        <v>　</v>
      </c>
      <c r="BA165" s="41" t="s">
        <v>1024</v>
      </c>
      <c r="BB165" s="40" t="s">
        <v>1319</v>
      </c>
      <c r="BC165" s="39" t="str">
        <f>データ!T165</f>
        <v>-</v>
      </c>
      <c r="BD165" s="41" t="s">
        <v>1024</v>
      </c>
      <c r="BE165" s="40" t="s">
        <v>1320</v>
      </c>
      <c r="BF165" s="39" t="str">
        <f>データ!U165</f>
        <v>-</v>
      </c>
      <c r="BG165" s="41" t="s">
        <v>1024</v>
      </c>
      <c r="BH165" s="40" t="s">
        <v>1319</v>
      </c>
      <c r="BI165" s="39" t="str">
        <f>データ!V165</f>
        <v>アルスラーン戦記コラボ</v>
      </c>
      <c r="BJ165" s="41" t="s">
        <v>1024</v>
      </c>
      <c r="BK165" s="10" t="s">
        <v>1019</v>
      </c>
    </row>
    <row r="166" spans="1:63" x14ac:dyDescent="0.15">
      <c r="A166" s="10" t="s">
        <v>1016</v>
      </c>
      <c r="B166" s="10" t="s">
        <v>1454</v>
      </c>
      <c r="C166" s="38" t="str">
        <f>"./images/thumbnail/"&amp;データ!B166&amp;".jpg"</f>
        <v>./images/thumbnail/1280.jpg</v>
      </c>
      <c r="D166" s="38" t="s">
        <v>1455</v>
      </c>
      <c r="E166" s="38" t="str">
        <f>"./images/thumbnail/"&amp;データ!B166&amp;".jpg"</f>
        <v>./images/thumbnail/1280.jpg</v>
      </c>
      <c r="F166" s="38" t="s">
        <v>1116</v>
      </c>
      <c r="G166" s="38" t="s">
        <v>1319</v>
      </c>
      <c r="H166" s="38" t="str">
        <f>データ!C166</f>
        <v>ファランギース</v>
      </c>
      <c r="I166" s="38" t="s">
        <v>1024</v>
      </c>
      <c r="J166" s="38" t="s">
        <v>1320</v>
      </c>
      <c r="K166" s="38" t="str">
        <f>データ!D166</f>
        <v>SSR</v>
      </c>
      <c r="L166" s="38" t="s">
        <v>1024</v>
      </c>
      <c r="M166" s="38" t="s">
        <v>1321</v>
      </c>
      <c r="N166" s="38">
        <f>データ!E166</f>
        <v>13</v>
      </c>
      <c r="O166" s="38" t="s">
        <v>1024</v>
      </c>
      <c r="P166" s="38" t="s">
        <v>1319</v>
      </c>
      <c r="Q166" s="38" t="str">
        <f>データ!F166</f>
        <v>遠</v>
      </c>
      <c r="R166" s="38" t="s">
        <v>1024</v>
      </c>
      <c r="S166" s="38" t="s">
        <v>1319</v>
      </c>
      <c r="T166" s="39">
        <f>データ!G166</f>
        <v>18093</v>
      </c>
      <c r="U166" s="40" t="s">
        <v>1024</v>
      </c>
      <c r="V166" s="40" t="s">
        <v>1319</v>
      </c>
      <c r="W166" s="39">
        <f>データ!H166</f>
        <v>5497</v>
      </c>
      <c r="X166" s="40" t="s">
        <v>1024</v>
      </c>
      <c r="Y166" s="40" t="s">
        <v>1319</v>
      </c>
      <c r="Z166" s="39">
        <f>データ!I166</f>
        <v>5174</v>
      </c>
      <c r="AA166" s="40" t="s">
        <v>1024</v>
      </c>
      <c r="AB166" s="40" t="s">
        <v>1322</v>
      </c>
      <c r="AC166" s="39" t="str">
        <f>データ!J166</f>
        <v>S-</v>
      </c>
      <c r="AD166" s="38" t="s">
        <v>1024</v>
      </c>
      <c r="AE166" s="40" t="s">
        <v>1323</v>
      </c>
      <c r="AF166" s="39">
        <f>データ!K166</f>
        <v>28764</v>
      </c>
      <c r="AG166" s="40" t="s">
        <v>1024</v>
      </c>
      <c r="AH166" s="40" t="s">
        <v>1324</v>
      </c>
      <c r="AI166" s="39" t="str">
        <f>データ!L166</f>
        <v>幻射の五連撃／真</v>
      </c>
      <c r="AJ166" s="10" t="s">
        <v>1113</v>
      </c>
      <c r="AK166" s="39" t="str">
        <f>データ!M166</f>
        <v>ランダムで5連続攻撃[中]</v>
      </c>
      <c r="AL166" s="10" t="s">
        <v>1024</v>
      </c>
      <c r="AM166" s="40" t="s">
        <v>1325</v>
      </c>
      <c r="AN166" s="39" t="str">
        <f>データ!N166</f>
        <v>-</v>
      </c>
      <c r="AO166" s="10" t="s">
        <v>1113</v>
      </c>
      <c r="AP166" s="39" t="str">
        <f>データ!O166</f>
        <v>　</v>
      </c>
      <c r="AQ166" s="41" t="s">
        <v>1024</v>
      </c>
      <c r="AR166" s="40" t="s">
        <v>1324</v>
      </c>
      <c r="AS166" s="39" t="str">
        <f>データ!P166</f>
        <v>リヴァイブ／絶</v>
      </c>
      <c r="AT166" s="10" t="s">
        <v>1113</v>
      </c>
      <c r="AU166" s="39" t="str">
        <f>データ!Q166</f>
        <v>高確率で戦闘不能ユニットを復帰</v>
      </c>
      <c r="AV166" s="10" t="s">
        <v>1024</v>
      </c>
      <c r="AW166" s="40" t="s">
        <v>1324</v>
      </c>
      <c r="AX166" s="39" t="str">
        <f>データ!R166</f>
        <v>-</v>
      </c>
      <c r="AY166" s="10" t="s">
        <v>1113</v>
      </c>
      <c r="AZ166" s="39" t="str">
        <f>データ!S166</f>
        <v>　</v>
      </c>
      <c r="BA166" s="41" t="s">
        <v>1024</v>
      </c>
      <c r="BB166" s="40" t="s">
        <v>1319</v>
      </c>
      <c r="BC166" s="39" t="str">
        <f>データ!T166</f>
        <v>-</v>
      </c>
      <c r="BD166" s="41" t="s">
        <v>1024</v>
      </c>
      <c r="BE166" s="40" t="s">
        <v>1320</v>
      </c>
      <c r="BF166" s="39" t="str">
        <f>データ!U166</f>
        <v>-</v>
      </c>
      <c r="BG166" s="41" t="s">
        <v>1024</v>
      </c>
      <c r="BH166" s="40" t="s">
        <v>1319</v>
      </c>
      <c r="BI166" s="39" t="str">
        <f>データ!V166</f>
        <v>アルスラーン戦記コラボ</v>
      </c>
      <c r="BJ166" s="41" t="s">
        <v>1024</v>
      </c>
      <c r="BK166" s="10" t="s">
        <v>1019</v>
      </c>
    </row>
    <row r="167" spans="1:63" x14ac:dyDescent="0.15">
      <c r="A167" s="10" t="s">
        <v>1016</v>
      </c>
      <c r="B167" s="10" t="s">
        <v>1454</v>
      </c>
      <c r="C167" s="38" t="str">
        <f>"./images/thumbnail/"&amp;データ!B167&amp;".jpg"</f>
        <v>./images/thumbnail/1286.jpg</v>
      </c>
      <c r="D167" s="38" t="s">
        <v>1455</v>
      </c>
      <c r="E167" s="38" t="str">
        <f>"./images/thumbnail/"&amp;データ!B167&amp;".jpg"</f>
        <v>./images/thumbnail/1286.jpg</v>
      </c>
      <c r="F167" s="38" t="s">
        <v>1116</v>
      </c>
      <c r="G167" s="38" t="s">
        <v>1319</v>
      </c>
      <c r="H167" s="38" t="str">
        <f>データ!C167</f>
        <v>ショコラ</v>
      </c>
      <c r="I167" s="38" t="s">
        <v>1024</v>
      </c>
      <c r="J167" s="38" t="s">
        <v>1320</v>
      </c>
      <c r="K167" s="38" t="str">
        <f>データ!D167</f>
        <v>SSR</v>
      </c>
      <c r="L167" s="38" t="s">
        <v>1024</v>
      </c>
      <c r="M167" s="38" t="s">
        <v>1321</v>
      </c>
      <c r="N167" s="38">
        <f>データ!E167</f>
        <v>12</v>
      </c>
      <c r="O167" s="38" t="s">
        <v>1024</v>
      </c>
      <c r="P167" s="38" t="s">
        <v>1319</v>
      </c>
      <c r="Q167" s="38" t="str">
        <f>データ!F167</f>
        <v>遠</v>
      </c>
      <c r="R167" s="38" t="s">
        <v>1024</v>
      </c>
      <c r="S167" s="38" t="s">
        <v>1319</v>
      </c>
      <c r="T167" s="39">
        <f>データ!G167</f>
        <v>16338</v>
      </c>
      <c r="U167" s="40" t="s">
        <v>1024</v>
      </c>
      <c r="V167" s="40" t="s">
        <v>1319</v>
      </c>
      <c r="W167" s="39">
        <f>データ!H167</f>
        <v>5703</v>
      </c>
      <c r="X167" s="40" t="s">
        <v>1024</v>
      </c>
      <c r="Y167" s="40" t="s">
        <v>1319</v>
      </c>
      <c r="Z167" s="39">
        <f>データ!I167</f>
        <v>4527</v>
      </c>
      <c r="AA167" s="40" t="s">
        <v>1024</v>
      </c>
      <c r="AB167" s="40" t="s">
        <v>1322</v>
      </c>
      <c r="AC167" s="39" t="str">
        <f>データ!J167</f>
        <v>S-</v>
      </c>
      <c r="AD167" s="38" t="s">
        <v>1024</v>
      </c>
      <c r="AE167" s="40" t="s">
        <v>1323</v>
      </c>
      <c r="AF167" s="39">
        <f>データ!K167</f>
        <v>26568</v>
      </c>
      <c r="AG167" s="40" t="s">
        <v>1024</v>
      </c>
      <c r="AH167" s="40" t="s">
        <v>1324</v>
      </c>
      <c r="AI167" s="39" t="str">
        <f>データ!L167</f>
        <v>天使の微笑／真</v>
      </c>
      <c r="AJ167" s="10" t="s">
        <v>1113</v>
      </c>
      <c r="AK167" s="39" t="str">
        <f>データ!M167</f>
        <v>味方全員のHPを回復[中]</v>
      </c>
      <c r="AL167" s="10" t="s">
        <v>1024</v>
      </c>
      <c r="AM167" s="40" t="s">
        <v>1325</v>
      </c>
      <c r="AN167" s="39" t="str">
        <f>データ!N167</f>
        <v>-</v>
      </c>
      <c r="AO167" s="10" t="s">
        <v>1113</v>
      </c>
      <c r="AP167" s="39" t="str">
        <f>データ!O167</f>
        <v>　</v>
      </c>
      <c r="AQ167" s="41" t="s">
        <v>1024</v>
      </c>
      <c r="AR167" s="40" t="s">
        <v>1324</v>
      </c>
      <c r="AS167" s="39" t="str">
        <f>データ!P167</f>
        <v>フォートレス／真</v>
      </c>
      <c r="AT167" s="10" t="s">
        <v>1113</v>
      </c>
      <c r="AU167" s="39" t="str">
        <f>データ!Q167</f>
        <v>パーティ全体の防御力が中UP(3分間)</v>
      </c>
      <c r="AV167" s="10" t="s">
        <v>1024</v>
      </c>
      <c r="AW167" s="40" t="s">
        <v>1324</v>
      </c>
      <c r="AX167" s="39" t="str">
        <f>データ!R167</f>
        <v>-</v>
      </c>
      <c r="AY167" s="10" t="s">
        <v>1113</v>
      </c>
      <c r="AZ167" s="39" t="str">
        <f>データ!S167</f>
        <v>　</v>
      </c>
      <c r="BA167" s="41" t="s">
        <v>1024</v>
      </c>
      <c r="BB167" s="40" t="s">
        <v>1319</v>
      </c>
      <c r="BC167" s="39" t="str">
        <f>データ!T167</f>
        <v>-</v>
      </c>
      <c r="BD167" s="41" t="s">
        <v>1024</v>
      </c>
      <c r="BE167" s="40" t="s">
        <v>1320</v>
      </c>
      <c r="BF167" s="39" t="str">
        <f>データ!U167</f>
        <v>-</v>
      </c>
      <c r="BG167" s="41" t="s">
        <v>1024</v>
      </c>
      <c r="BH167" s="40" t="s">
        <v>1319</v>
      </c>
      <c r="BI167" s="39" t="str">
        <f>データ!V167</f>
        <v>魔女の追憶イベ</v>
      </c>
      <c r="BJ167" s="41" t="s">
        <v>1024</v>
      </c>
      <c r="BK167" s="10" t="s">
        <v>1019</v>
      </c>
    </row>
    <row r="168" spans="1:63" x14ac:dyDescent="0.15">
      <c r="A168" s="10" t="s">
        <v>1016</v>
      </c>
      <c r="B168" s="10" t="s">
        <v>1454</v>
      </c>
      <c r="C168" s="38" t="str">
        <f>"./images/thumbnail/"&amp;データ!B168&amp;".jpg"</f>
        <v>./images/thumbnail/1288.jpg</v>
      </c>
      <c r="D168" s="38" t="s">
        <v>1455</v>
      </c>
      <c r="E168" s="38" t="str">
        <f>"./images/thumbnail/"&amp;データ!B168&amp;".jpg"</f>
        <v>./images/thumbnail/1288.jpg</v>
      </c>
      <c r="F168" s="38" t="s">
        <v>1116</v>
      </c>
      <c r="G168" s="38" t="s">
        <v>1319</v>
      </c>
      <c r="H168" s="38" t="str">
        <f>データ!C168</f>
        <v>ジェロム</v>
      </c>
      <c r="I168" s="38" t="s">
        <v>1024</v>
      </c>
      <c r="J168" s="38" t="s">
        <v>1320</v>
      </c>
      <c r="K168" s="38" t="str">
        <f>データ!D168</f>
        <v>SSR</v>
      </c>
      <c r="L168" s="38" t="s">
        <v>1024</v>
      </c>
      <c r="M168" s="38" t="s">
        <v>1321</v>
      </c>
      <c r="N168" s="38">
        <f>データ!E168</f>
        <v>13</v>
      </c>
      <c r="O168" s="38" t="s">
        <v>1024</v>
      </c>
      <c r="P168" s="38" t="s">
        <v>1319</v>
      </c>
      <c r="Q168" s="38" t="str">
        <f>データ!F168</f>
        <v>斬</v>
      </c>
      <c r="R168" s="38" t="s">
        <v>1024</v>
      </c>
      <c r="S168" s="38" t="s">
        <v>1319</v>
      </c>
      <c r="T168" s="39">
        <f>データ!G168</f>
        <v>15430</v>
      </c>
      <c r="U168" s="40" t="s">
        <v>1024</v>
      </c>
      <c r="V168" s="40" t="s">
        <v>1319</v>
      </c>
      <c r="W168" s="39">
        <f>データ!H168</f>
        <v>7095</v>
      </c>
      <c r="X168" s="40" t="s">
        <v>1024</v>
      </c>
      <c r="Y168" s="40" t="s">
        <v>1319</v>
      </c>
      <c r="Z168" s="39">
        <f>データ!I168</f>
        <v>5747</v>
      </c>
      <c r="AA168" s="40" t="s">
        <v>1024</v>
      </c>
      <c r="AB168" s="40" t="s">
        <v>1322</v>
      </c>
      <c r="AC168" s="39" t="str">
        <f>データ!J168</f>
        <v>A+</v>
      </c>
      <c r="AD168" s="38" t="s">
        <v>1024</v>
      </c>
      <c r="AE168" s="40" t="s">
        <v>1323</v>
      </c>
      <c r="AF168" s="39">
        <f>データ!K168</f>
        <v>28272</v>
      </c>
      <c r="AG168" s="40" t="s">
        <v>1024</v>
      </c>
      <c r="AH168" s="40" t="s">
        <v>1324</v>
      </c>
      <c r="AI168" s="39" t="str">
        <f>データ!L168</f>
        <v>焔幻の一閃／絶</v>
      </c>
      <c r="AJ168" s="10" t="s">
        <v>1113</v>
      </c>
      <c r="AK168" s="39" t="str">
        <f>データ!M168</f>
        <v>横一列に攻撃[大]</v>
      </c>
      <c r="AL168" s="10" t="s">
        <v>1024</v>
      </c>
      <c r="AM168" s="40" t="s">
        <v>1325</v>
      </c>
      <c r="AN168" s="39" t="str">
        <f>データ!N168</f>
        <v>-</v>
      </c>
      <c r="AO168" s="10" t="s">
        <v>1113</v>
      </c>
      <c r="AP168" s="39" t="str">
        <f>データ!O168</f>
        <v>　</v>
      </c>
      <c r="AQ168" s="41" t="s">
        <v>1024</v>
      </c>
      <c r="AR168" s="40" t="s">
        <v>1324</v>
      </c>
      <c r="AS168" s="39" t="str">
        <f>データ!P168</f>
        <v>ヒール／真斬紅</v>
      </c>
      <c r="AT168" s="10" t="s">
        <v>1113</v>
      </c>
      <c r="AU168" s="39" t="str">
        <f>データ!Q168</f>
        <v>斬属性の生存ユニットのHPを高確率で全回復</v>
      </c>
      <c r="AV168" s="10" t="s">
        <v>1024</v>
      </c>
      <c r="AW168" s="40" t="s">
        <v>1324</v>
      </c>
      <c r="AX168" s="39" t="str">
        <f>データ!R168</f>
        <v>-</v>
      </c>
      <c r="AY168" s="10" t="s">
        <v>1113</v>
      </c>
      <c r="AZ168" s="39" t="str">
        <f>データ!S168</f>
        <v>　</v>
      </c>
      <c r="BA168" s="41" t="s">
        <v>1024</v>
      </c>
      <c r="BB168" s="40" t="s">
        <v>1319</v>
      </c>
      <c r="BC168" s="39" t="str">
        <f>データ!T168</f>
        <v>-</v>
      </c>
      <c r="BD168" s="41" t="s">
        <v>1024</v>
      </c>
      <c r="BE168" s="40" t="s">
        <v>1320</v>
      </c>
      <c r="BF168" s="39" t="str">
        <f>データ!U168</f>
        <v>-</v>
      </c>
      <c r="BG168" s="41" t="s">
        <v>1024</v>
      </c>
      <c r="BH168" s="40" t="s">
        <v>1319</v>
      </c>
      <c r="BI168" s="39" t="str">
        <f>データ!V168</f>
        <v>常設</v>
      </c>
      <c r="BJ168" s="41" t="s">
        <v>1024</v>
      </c>
      <c r="BK168" s="10" t="s">
        <v>1019</v>
      </c>
    </row>
    <row r="169" spans="1:63" x14ac:dyDescent="0.15">
      <c r="A169" s="10" t="s">
        <v>1016</v>
      </c>
      <c r="B169" s="10" t="s">
        <v>1454</v>
      </c>
      <c r="C169" s="38" t="str">
        <f>"./images/thumbnail/"&amp;データ!B169&amp;".jpg"</f>
        <v>./images/thumbnail/1290.jpg</v>
      </c>
      <c r="D169" s="38" t="s">
        <v>1455</v>
      </c>
      <c r="E169" s="38" t="str">
        <f>"./images/thumbnail/"&amp;データ!B169&amp;".jpg"</f>
        <v>./images/thumbnail/1290.jpg</v>
      </c>
      <c r="F169" s="38" t="s">
        <v>1116</v>
      </c>
      <c r="G169" s="38" t="s">
        <v>1319</v>
      </c>
      <c r="H169" s="38" t="str">
        <f>データ!C169</f>
        <v>ユージーン</v>
      </c>
      <c r="I169" s="38" t="s">
        <v>1024</v>
      </c>
      <c r="J169" s="38" t="s">
        <v>1320</v>
      </c>
      <c r="K169" s="38" t="str">
        <f>データ!D169</f>
        <v>SSR</v>
      </c>
      <c r="L169" s="38" t="s">
        <v>1024</v>
      </c>
      <c r="M169" s="38" t="s">
        <v>1321</v>
      </c>
      <c r="N169" s="38">
        <f>データ!E169</f>
        <v>13</v>
      </c>
      <c r="O169" s="38" t="s">
        <v>1024</v>
      </c>
      <c r="P169" s="38" t="s">
        <v>1319</v>
      </c>
      <c r="Q169" s="38" t="str">
        <f>データ!F169</f>
        <v>突</v>
      </c>
      <c r="R169" s="38" t="s">
        <v>1024</v>
      </c>
      <c r="S169" s="38" t="s">
        <v>1319</v>
      </c>
      <c r="T169" s="39">
        <f>データ!G169</f>
        <v>18813</v>
      </c>
      <c r="U169" s="40" t="s">
        <v>1024</v>
      </c>
      <c r="V169" s="40" t="s">
        <v>1319</v>
      </c>
      <c r="W169" s="39">
        <f>データ!H169</f>
        <v>5601</v>
      </c>
      <c r="X169" s="40" t="s">
        <v>1024</v>
      </c>
      <c r="Y169" s="40" t="s">
        <v>1319</v>
      </c>
      <c r="Z169" s="39">
        <f>データ!I169</f>
        <v>5440</v>
      </c>
      <c r="AA169" s="40" t="s">
        <v>1024</v>
      </c>
      <c r="AB169" s="40" t="s">
        <v>1322</v>
      </c>
      <c r="AC169" s="39" t="str">
        <f>データ!J169</f>
        <v>SS-</v>
      </c>
      <c r="AD169" s="38" t="s">
        <v>1024</v>
      </c>
      <c r="AE169" s="40" t="s">
        <v>1323</v>
      </c>
      <c r="AF169" s="39">
        <f>データ!K169</f>
        <v>29854</v>
      </c>
      <c r="AG169" s="40" t="s">
        <v>1024</v>
      </c>
      <c r="AH169" s="40" t="s">
        <v>1324</v>
      </c>
      <c r="AI169" s="39" t="str">
        <f>データ!L169</f>
        <v>地焔幻の一閃／絶</v>
      </c>
      <c r="AJ169" s="10" t="s">
        <v>1113</v>
      </c>
      <c r="AK169" s="39" t="str">
        <f>データ!M169</f>
        <v>横一列攻撃[大]自分の防御力UP[大]</v>
      </c>
      <c r="AL169" s="10" t="s">
        <v>1024</v>
      </c>
      <c r="AM169" s="40" t="s">
        <v>1325</v>
      </c>
      <c r="AN169" s="39" t="str">
        <f>データ!N169</f>
        <v>-</v>
      </c>
      <c r="AO169" s="10" t="s">
        <v>1113</v>
      </c>
      <c r="AP169" s="39" t="str">
        <f>データ!O169</f>
        <v>　</v>
      </c>
      <c r="AQ169" s="41" t="s">
        <v>1024</v>
      </c>
      <c r="AR169" s="40" t="s">
        <v>1324</v>
      </c>
      <c r="AS169" s="39" t="str">
        <f>データ!P169</f>
        <v>ジャガーノート／真</v>
      </c>
      <c r="AT169" s="10" t="s">
        <v>1113</v>
      </c>
      <c r="AU169" s="39" t="str">
        <f>データ!Q169</f>
        <v>バトルで敵を全滅するとBPが中回復(バトル3回)</v>
      </c>
      <c r="AV169" s="10" t="s">
        <v>1024</v>
      </c>
      <c r="AW169" s="40" t="s">
        <v>1324</v>
      </c>
      <c r="AX169" s="39" t="str">
        <f>データ!R169</f>
        <v>-</v>
      </c>
      <c r="AY169" s="10" t="s">
        <v>1113</v>
      </c>
      <c r="AZ169" s="39" t="str">
        <f>データ!S169</f>
        <v>　</v>
      </c>
      <c r="BA169" s="41" t="s">
        <v>1024</v>
      </c>
      <c r="BB169" s="40" t="s">
        <v>1319</v>
      </c>
      <c r="BC169" s="39" t="str">
        <f>データ!T169</f>
        <v>-</v>
      </c>
      <c r="BD169" s="41" t="s">
        <v>1024</v>
      </c>
      <c r="BE169" s="40" t="s">
        <v>1320</v>
      </c>
      <c r="BF169" s="39" t="str">
        <f>データ!U169</f>
        <v>-</v>
      </c>
      <c r="BG169" s="41" t="s">
        <v>1024</v>
      </c>
      <c r="BH169" s="40" t="s">
        <v>1319</v>
      </c>
      <c r="BI169" s="39" t="str">
        <f>データ!V169</f>
        <v>常設</v>
      </c>
      <c r="BJ169" s="41" t="s">
        <v>1024</v>
      </c>
      <c r="BK169" s="10" t="s">
        <v>1019</v>
      </c>
    </row>
    <row r="170" spans="1:63" x14ac:dyDescent="0.15">
      <c r="A170" s="10" t="s">
        <v>1016</v>
      </c>
      <c r="B170" s="10" t="s">
        <v>1454</v>
      </c>
      <c r="C170" s="38" t="str">
        <f>"./images/thumbnail/"&amp;データ!B170&amp;".jpg"</f>
        <v>./images/thumbnail/1292.jpg</v>
      </c>
      <c r="D170" s="38" t="s">
        <v>1455</v>
      </c>
      <c r="E170" s="38" t="str">
        <f>"./images/thumbnail/"&amp;データ!B170&amp;".jpg"</f>
        <v>./images/thumbnail/1292.jpg</v>
      </c>
      <c r="F170" s="38" t="s">
        <v>1116</v>
      </c>
      <c r="G170" s="38" t="s">
        <v>1319</v>
      </c>
      <c r="H170" s="38" t="str">
        <f>データ!C170</f>
        <v>ルフェーヴル</v>
      </c>
      <c r="I170" s="38" t="s">
        <v>1024</v>
      </c>
      <c r="J170" s="38" t="s">
        <v>1320</v>
      </c>
      <c r="K170" s="38" t="str">
        <f>データ!D170</f>
        <v>SSR</v>
      </c>
      <c r="L170" s="38" t="s">
        <v>1024</v>
      </c>
      <c r="M170" s="38" t="s">
        <v>1321</v>
      </c>
      <c r="N170" s="38">
        <f>データ!E170</f>
        <v>13</v>
      </c>
      <c r="O170" s="38" t="s">
        <v>1024</v>
      </c>
      <c r="P170" s="38" t="s">
        <v>1319</v>
      </c>
      <c r="Q170" s="38" t="str">
        <f>データ!F170</f>
        <v>打</v>
      </c>
      <c r="R170" s="38" t="s">
        <v>1024</v>
      </c>
      <c r="S170" s="38" t="s">
        <v>1319</v>
      </c>
      <c r="T170" s="39">
        <f>データ!G170</f>
        <v>18598</v>
      </c>
      <c r="U170" s="40" t="s">
        <v>1024</v>
      </c>
      <c r="V170" s="40" t="s">
        <v>1319</v>
      </c>
      <c r="W170" s="39">
        <f>データ!H170</f>
        <v>5713</v>
      </c>
      <c r="X170" s="40" t="s">
        <v>1024</v>
      </c>
      <c r="Y170" s="40" t="s">
        <v>1319</v>
      </c>
      <c r="Z170" s="39">
        <f>データ!I170</f>
        <v>6644</v>
      </c>
      <c r="AA170" s="40" t="s">
        <v>1024</v>
      </c>
      <c r="AB170" s="40" t="s">
        <v>1322</v>
      </c>
      <c r="AC170" s="39" t="str">
        <f>データ!J170</f>
        <v>S-</v>
      </c>
      <c r="AD170" s="38" t="s">
        <v>1024</v>
      </c>
      <c r="AE170" s="40" t="s">
        <v>1323</v>
      </c>
      <c r="AF170" s="39">
        <f>データ!K170</f>
        <v>30955</v>
      </c>
      <c r="AG170" s="40" t="s">
        <v>1024</v>
      </c>
      <c r="AH170" s="40" t="s">
        <v>1324</v>
      </c>
      <c r="AI170" s="39" t="str">
        <f>データ!L170</f>
        <v>紫打の覇道</v>
      </c>
      <c r="AJ170" s="10" t="s">
        <v>1113</v>
      </c>
      <c r="AK170" s="39" t="str">
        <f>データ!M170</f>
        <v>味方打属性の攻撃力をUP[大]</v>
      </c>
      <c r="AL170" s="10" t="s">
        <v>1024</v>
      </c>
      <c r="AM170" s="40" t="s">
        <v>1325</v>
      </c>
      <c r="AN170" s="39" t="str">
        <f>データ!N170</f>
        <v>-</v>
      </c>
      <c r="AO170" s="10" t="s">
        <v>1113</v>
      </c>
      <c r="AP170" s="39" t="str">
        <f>データ!O170</f>
        <v>　</v>
      </c>
      <c r="AQ170" s="41" t="s">
        <v>1024</v>
      </c>
      <c r="AR170" s="40" t="s">
        <v>1324</v>
      </c>
      <c r="AS170" s="39" t="str">
        <f>データ!P170</f>
        <v>エース／真</v>
      </c>
      <c r="AT170" s="10" t="s">
        <v>1113</v>
      </c>
      <c r="AU170" s="39" t="str">
        <f>データ!Q170</f>
        <v>パーティ全体の攻・防が中UP(3分間)</v>
      </c>
      <c r="AV170" s="10" t="s">
        <v>1024</v>
      </c>
      <c r="AW170" s="40" t="s">
        <v>1324</v>
      </c>
      <c r="AX170" s="39" t="str">
        <f>データ!R170</f>
        <v>-</v>
      </c>
      <c r="AY170" s="10" t="s">
        <v>1113</v>
      </c>
      <c r="AZ170" s="39" t="str">
        <f>データ!S170</f>
        <v>　</v>
      </c>
      <c r="BA170" s="41" t="s">
        <v>1024</v>
      </c>
      <c r="BB170" s="40" t="s">
        <v>1319</v>
      </c>
      <c r="BC170" s="39" t="str">
        <f>データ!T170</f>
        <v>-</v>
      </c>
      <c r="BD170" s="41" t="s">
        <v>1024</v>
      </c>
      <c r="BE170" s="40" t="s">
        <v>1320</v>
      </c>
      <c r="BF170" s="39" t="str">
        <f>データ!U170</f>
        <v>-</v>
      </c>
      <c r="BG170" s="41" t="s">
        <v>1024</v>
      </c>
      <c r="BH170" s="40" t="s">
        <v>1319</v>
      </c>
      <c r="BI170" s="39" t="str">
        <f>データ!V170</f>
        <v>常設</v>
      </c>
      <c r="BJ170" s="41" t="s">
        <v>1024</v>
      </c>
      <c r="BK170" s="10" t="s">
        <v>1019</v>
      </c>
    </row>
    <row r="171" spans="1:63" x14ac:dyDescent="0.15">
      <c r="A171" s="10" t="s">
        <v>1016</v>
      </c>
      <c r="B171" s="10" t="s">
        <v>1454</v>
      </c>
      <c r="C171" s="38" t="str">
        <f>"./images/thumbnail/"&amp;データ!B171&amp;".jpg"</f>
        <v>./images/thumbnail/1294.jpg</v>
      </c>
      <c r="D171" s="38" t="s">
        <v>1455</v>
      </c>
      <c r="E171" s="38" t="str">
        <f>"./images/thumbnail/"&amp;データ!B171&amp;".jpg"</f>
        <v>./images/thumbnail/1294.jpg</v>
      </c>
      <c r="F171" s="38" t="s">
        <v>1116</v>
      </c>
      <c r="G171" s="38" t="s">
        <v>1319</v>
      </c>
      <c r="H171" s="38" t="str">
        <f>データ!C171</f>
        <v>デュポワ</v>
      </c>
      <c r="I171" s="38" t="s">
        <v>1024</v>
      </c>
      <c r="J171" s="38" t="s">
        <v>1320</v>
      </c>
      <c r="K171" s="38" t="str">
        <f>データ!D171</f>
        <v>SSR</v>
      </c>
      <c r="L171" s="38" t="s">
        <v>1024</v>
      </c>
      <c r="M171" s="38" t="s">
        <v>1321</v>
      </c>
      <c r="N171" s="38">
        <f>データ!E171</f>
        <v>13</v>
      </c>
      <c r="O171" s="38" t="s">
        <v>1024</v>
      </c>
      <c r="P171" s="38" t="s">
        <v>1319</v>
      </c>
      <c r="Q171" s="38" t="str">
        <f>データ!F171</f>
        <v>遠</v>
      </c>
      <c r="R171" s="38" t="s">
        <v>1024</v>
      </c>
      <c r="S171" s="38" t="s">
        <v>1319</v>
      </c>
      <c r="T171" s="39">
        <f>データ!G171</f>
        <v>15834</v>
      </c>
      <c r="U171" s="40" t="s">
        <v>1024</v>
      </c>
      <c r="V171" s="40" t="s">
        <v>1319</v>
      </c>
      <c r="W171" s="39">
        <f>データ!H171</f>
        <v>6345</v>
      </c>
      <c r="X171" s="40" t="s">
        <v>1024</v>
      </c>
      <c r="Y171" s="40" t="s">
        <v>1319</v>
      </c>
      <c r="Z171" s="39">
        <f>データ!I171</f>
        <v>5146</v>
      </c>
      <c r="AA171" s="40" t="s">
        <v>1024</v>
      </c>
      <c r="AB171" s="40" t="s">
        <v>1322</v>
      </c>
      <c r="AC171" s="39" t="str">
        <f>データ!J171</f>
        <v>S-</v>
      </c>
      <c r="AD171" s="38" t="s">
        <v>1024</v>
      </c>
      <c r="AE171" s="40" t="s">
        <v>1323</v>
      </c>
      <c r="AF171" s="39">
        <f>データ!K171</f>
        <v>27325</v>
      </c>
      <c r="AG171" s="40" t="s">
        <v>1024</v>
      </c>
      <c r="AH171" s="40" t="s">
        <v>1324</v>
      </c>
      <c r="AI171" s="39" t="str">
        <f>データ!L171</f>
        <v>強奪者の雷／絶</v>
      </c>
      <c r="AJ171" s="10" t="s">
        <v>1113</v>
      </c>
      <c r="AK171" s="39" t="str">
        <f>データ!M171</f>
        <v>単体攻撃（宝箱優先／追加ダメージ）[大]</v>
      </c>
      <c r="AL171" s="10" t="s">
        <v>1024</v>
      </c>
      <c r="AM171" s="40" t="s">
        <v>1325</v>
      </c>
      <c r="AN171" s="39" t="str">
        <f>データ!N171</f>
        <v>-</v>
      </c>
      <c r="AO171" s="10" t="s">
        <v>1113</v>
      </c>
      <c r="AP171" s="39" t="str">
        <f>データ!O171</f>
        <v>　</v>
      </c>
      <c r="AQ171" s="41" t="s">
        <v>1024</v>
      </c>
      <c r="AR171" s="40" t="s">
        <v>1324</v>
      </c>
      <c r="AS171" s="39" t="str">
        <f>データ!P171</f>
        <v>シャドウ</v>
      </c>
      <c r="AT171" s="10" t="s">
        <v>1113</v>
      </c>
      <c r="AU171" s="39" t="str">
        <f>データ!Q171</f>
        <v>バトル時の強襲CB率が小UP(3分間)</v>
      </c>
      <c r="AV171" s="10" t="s">
        <v>1024</v>
      </c>
      <c r="AW171" s="40" t="s">
        <v>1324</v>
      </c>
      <c r="AX171" s="39" t="str">
        <f>データ!R171</f>
        <v>-</v>
      </c>
      <c r="AY171" s="10" t="s">
        <v>1113</v>
      </c>
      <c r="AZ171" s="39" t="str">
        <f>データ!S171</f>
        <v>　</v>
      </c>
      <c r="BA171" s="41" t="s">
        <v>1024</v>
      </c>
      <c r="BB171" s="40" t="s">
        <v>1319</v>
      </c>
      <c r="BC171" s="39" t="str">
        <f>データ!T171</f>
        <v>-</v>
      </c>
      <c r="BD171" s="41" t="s">
        <v>1024</v>
      </c>
      <c r="BE171" s="40" t="s">
        <v>1320</v>
      </c>
      <c r="BF171" s="39" t="str">
        <f>データ!U171</f>
        <v>-</v>
      </c>
      <c r="BG171" s="41" t="s">
        <v>1024</v>
      </c>
      <c r="BH171" s="40" t="s">
        <v>1319</v>
      </c>
      <c r="BI171" s="39" t="str">
        <f>データ!V171</f>
        <v>常設</v>
      </c>
      <c r="BJ171" s="41" t="s">
        <v>1024</v>
      </c>
      <c r="BK171" s="10" t="s">
        <v>1019</v>
      </c>
    </row>
    <row r="172" spans="1:63" x14ac:dyDescent="0.15">
      <c r="A172" s="10" t="s">
        <v>1016</v>
      </c>
      <c r="B172" s="10" t="s">
        <v>1454</v>
      </c>
      <c r="C172" s="38" t="str">
        <f>"./images/thumbnail/"&amp;データ!B172&amp;".jpg"</f>
        <v>./images/thumbnail/1295.jpg</v>
      </c>
      <c r="D172" s="38" t="s">
        <v>1455</v>
      </c>
      <c r="E172" s="38" t="str">
        <f>"./images/thumbnail/"&amp;データ!B172&amp;".jpg"</f>
        <v>./images/thumbnail/1295.jpg</v>
      </c>
      <c r="F172" s="38" t="s">
        <v>1116</v>
      </c>
      <c r="G172" s="38" t="s">
        <v>1319</v>
      </c>
      <c r="H172" s="38" t="str">
        <f>データ!C172</f>
        <v>マリユス</v>
      </c>
      <c r="I172" s="38" t="s">
        <v>1024</v>
      </c>
      <c r="J172" s="38" t="s">
        <v>1320</v>
      </c>
      <c r="K172" s="38" t="str">
        <f>データ!D172</f>
        <v>SSR</v>
      </c>
      <c r="L172" s="38" t="s">
        <v>1024</v>
      </c>
      <c r="M172" s="38" t="s">
        <v>1321</v>
      </c>
      <c r="N172" s="38">
        <f>データ!E172</f>
        <v>13</v>
      </c>
      <c r="O172" s="38" t="s">
        <v>1024</v>
      </c>
      <c r="P172" s="38" t="s">
        <v>1319</v>
      </c>
      <c r="Q172" s="38" t="str">
        <f>データ!F172</f>
        <v>斬</v>
      </c>
      <c r="R172" s="38" t="s">
        <v>1024</v>
      </c>
      <c r="S172" s="38" t="s">
        <v>1319</v>
      </c>
      <c r="T172" s="39">
        <f>データ!G172</f>
        <v>14940</v>
      </c>
      <c r="U172" s="40" t="s">
        <v>1024</v>
      </c>
      <c r="V172" s="40" t="s">
        <v>1319</v>
      </c>
      <c r="W172" s="39">
        <f>データ!H172</f>
        <v>7892</v>
      </c>
      <c r="X172" s="40" t="s">
        <v>1024</v>
      </c>
      <c r="Y172" s="40" t="s">
        <v>1319</v>
      </c>
      <c r="Z172" s="39">
        <f>データ!I172</f>
        <v>5367</v>
      </c>
      <c r="AA172" s="40" t="s">
        <v>1024</v>
      </c>
      <c r="AB172" s="40" t="s">
        <v>1322</v>
      </c>
      <c r="AC172" s="39" t="str">
        <f>データ!J172</f>
        <v>A+</v>
      </c>
      <c r="AD172" s="38" t="s">
        <v>1024</v>
      </c>
      <c r="AE172" s="40" t="s">
        <v>1323</v>
      </c>
      <c r="AF172" s="39">
        <f>データ!K172</f>
        <v>28199</v>
      </c>
      <c r="AG172" s="40" t="s">
        <v>1024</v>
      </c>
      <c r="AH172" s="40" t="s">
        <v>1324</v>
      </c>
      <c r="AI172" s="39" t="str">
        <f>データ!L172</f>
        <v>天幻氷の縦十字／絶</v>
      </c>
      <c r="AJ172" s="10" t="s">
        <v>1113</v>
      </c>
      <c r="AK172" s="39" t="str">
        <f>データ!M172</f>
        <v>十字型攻撃[大]自分の攻撃力UP[大]</v>
      </c>
      <c r="AL172" s="10" t="s">
        <v>1024</v>
      </c>
      <c r="AM172" s="40" t="s">
        <v>1325</v>
      </c>
      <c r="AN172" s="39" t="str">
        <f>データ!N172</f>
        <v>-</v>
      </c>
      <c r="AO172" s="10" t="s">
        <v>1113</v>
      </c>
      <c r="AP172" s="39" t="str">
        <f>データ!O172</f>
        <v>　</v>
      </c>
      <c r="AQ172" s="41" t="s">
        <v>1024</v>
      </c>
      <c r="AR172" s="40" t="s">
        <v>1324</v>
      </c>
      <c r="AS172" s="39" t="str">
        <f>データ!P172</f>
        <v>アサルト／真</v>
      </c>
      <c r="AT172" s="10" t="s">
        <v>1113</v>
      </c>
      <c r="AU172" s="39" t="str">
        <f>データ!Q172</f>
        <v>パーティ全体の攻撃力が中UP(3分間)</v>
      </c>
      <c r="AV172" s="10" t="s">
        <v>1024</v>
      </c>
      <c r="AW172" s="40" t="s">
        <v>1324</v>
      </c>
      <c r="AX172" s="39" t="str">
        <f>データ!R172</f>
        <v>-</v>
      </c>
      <c r="AY172" s="10" t="s">
        <v>1113</v>
      </c>
      <c r="AZ172" s="39" t="str">
        <f>データ!S172</f>
        <v>　</v>
      </c>
      <c r="BA172" s="41" t="s">
        <v>1024</v>
      </c>
      <c r="BB172" s="40" t="s">
        <v>1319</v>
      </c>
      <c r="BC172" s="39" t="str">
        <f>データ!T172</f>
        <v>-</v>
      </c>
      <c r="BD172" s="41" t="s">
        <v>1024</v>
      </c>
      <c r="BE172" s="40" t="s">
        <v>1320</v>
      </c>
      <c r="BF172" s="39" t="str">
        <f>データ!U172</f>
        <v>-</v>
      </c>
      <c r="BG172" s="41" t="s">
        <v>1024</v>
      </c>
      <c r="BH172" s="40" t="s">
        <v>1319</v>
      </c>
      <c r="BI172" s="39" t="str">
        <f>データ!V172</f>
        <v>400万DL記念ミリオンガチャ</v>
      </c>
      <c r="BJ172" s="41" t="s">
        <v>1024</v>
      </c>
      <c r="BK172" s="10" t="s">
        <v>1019</v>
      </c>
    </row>
    <row r="173" spans="1:63" x14ac:dyDescent="0.15">
      <c r="A173" s="10" t="s">
        <v>1016</v>
      </c>
      <c r="B173" s="10" t="s">
        <v>1454</v>
      </c>
      <c r="C173" s="38" t="str">
        <f>"./images/thumbnail/"&amp;データ!B173&amp;".jpg"</f>
        <v>./images/thumbnail/1298.jpg</v>
      </c>
      <c r="D173" s="38" t="s">
        <v>1455</v>
      </c>
      <c r="E173" s="38" t="str">
        <f>"./images/thumbnail/"&amp;データ!B173&amp;".jpg"</f>
        <v>./images/thumbnail/1298.jpg</v>
      </c>
      <c r="F173" s="38" t="s">
        <v>1116</v>
      </c>
      <c r="G173" s="38" t="s">
        <v>1319</v>
      </c>
      <c r="H173" s="38" t="str">
        <f>データ!C173</f>
        <v>カオル</v>
      </c>
      <c r="I173" s="38" t="s">
        <v>1024</v>
      </c>
      <c r="J173" s="38" t="s">
        <v>1320</v>
      </c>
      <c r="K173" s="38" t="str">
        <f>データ!D173</f>
        <v>SSR</v>
      </c>
      <c r="L173" s="38" t="s">
        <v>1024</v>
      </c>
      <c r="M173" s="38" t="s">
        <v>1321</v>
      </c>
      <c r="N173" s="38">
        <f>データ!E173</f>
        <v>13</v>
      </c>
      <c r="O173" s="38" t="s">
        <v>1024</v>
      </c>
      <c r="P173" s="38" t="s">
        <v>1319</v>
      </c>
      <c r="Q173" s="38" t="str">
        <f>データ!F173</f>
        <v>遠</v>
      </c>
      <c r="R173" s="38" t="s">
        <v>1024</v>
      </c>
      <c r="S173" s="38" t="s">
        <v>1319</v>
      </c>
      <c r="T173" s="39">
        <f>データ!G173</f>
        <v>16522</v>
      </c>
      <c r="U173" s="40" t="s">
        <v>1024</v>
      </c>
      <c r="V173" s="40" t="s">
        <v>1319</v>
      </c>
      <c r="W173" s="39">
        <f>データ!H173</f>
        <v>6797</v>
      </c>
      <c r="X173" s="40" t="s">
        <v>1024</v>
      </c>
      <c r="Y173" s="40" t="s">
        <v>1319</v>
      </c>
      <c r="Z173" s="39">
        <f>データ!I173</f>
        <v>4626</v>
      </c>
      <c r="AA173" s="40" t="s">
        <v>1024</v>
      </c>
      <c r="AB173" s="40" t="s">
        <v>1322</v>
      </c>
      <c r="AC173" s="39" t="str">
        <f>データ!J173</f>
        <v>S-</v>
      </c>
      <c r="AD173" s="38" t="s">
        <v>1024</v>
      </c>
      <c r="AE173" s="40" t="s">
        <v>1323</v>
      </c>
      <c r="AF173" s="39">
        <f>データ!K173</f>
        <v>27945</v>
      </c>
      <c r="AG173" s="40" t="s">
        <v>1024</v>
      </c>
      <c r="AH173" s="40" t="s">
        <v>1324</v>
      </c>
      <c r="AI173" s="39" t="str">
        <f>データ!L173</f>
        <v>天幻射の四連撃／真</v>
      </c>
      <c r="AJ173" s="10" t="s">
        <v>1113</v>
      </c>
      <c r="AK173" s="39" t="str">
        <f>データ!M173</f>
        <v>ランダム4連続攻撃[中]自分の攻撃力UP[中]</v>
      </c>
      <c r="AL173" s="10" t="s">
        <v>1024</v>
      </c>
      <c r="AM173" s="40" t="s">
        <v>1325</v>
      </c>
      <c r="AN173" s="39" t="str">
        <f>データ!N173</f>
        <v>-</v>
      </c>
      <c r="AO173" s="10" t="s">
        <v>1113</v>
      </c>
      <c r="AP173" s="39" t="str">
        <f>データ!O173</f>
        <v>　</v>
      </c>
      <c r="AQ173" s="41" t="s">
        <v>1024</v>
      </c>
      <c r="AR173" s="40" t="s">
        <v>1324</v>
      </c>
      <c r="AS173" s="39" t="str">
        <f>データ!P173</f>
        <v>ポイントライズ／真</v>
      </c>
      <c r="AT173" s="10" t="s">
        <v>1113</v>
      </c>
      <c r="AU173" s="39" t="str">
        <f>データ!Q173</f>
        <v>獲得する騎士団戦スコアが中アップ(バトル3回)</v>
      </c>
      <c r="AV173" s="10" t="s">
        <v>1024</v>
      </c>
      <c r="AW173" s="40" t="s">
        <v>1324</v>
      </c>
      <c r="AX173" s="39" t="str">
        <f>データ!R173</f>
        <v>-</v>
      </c>
      <c r="AY173" s="10" t="s">
        <v>1113</v>
      </c>
      <c r="AZ173" s="39" t="str">
        <f>データ!S173</f>
        <v>　</v>
      </c>
      <c r="BA173" s="41" t="s">
        <v>1024</v>
      </c>
      <c r="BB173" s="40" t="s">
        <v>1319</v>
      </c>
      <c r="BC173" s="39" t="str">
        <f>データ!T173</f>
        <v>-</v>
      </c>
      <c r="BD173" s="41" t="s">
        <v>1024</v>
      </c>
      <c r="BE173" s="40" t="s">
        <v>1320</v>
      </c>
      <c r="BF173" s="39" t="str">
        <f>データ!U173</f>
        <v>-</v>
      </c>
      <c r="BG173" s="41" t="s">
        <v>1024</v>
      </c>
      <c r="BH173" s="40" t="s">
        <v>1319</v>
      </c>
      <c r="BI173" s="39" t="str">
        <f>データ!V173</f>
        <v>ガチャイベ</v>
      </c>
      <c r="BJ173" s="41" t="s">
        <v>1024</v>
      </c>
      <c r="BK173" s="10" t="s">
        <v>1019</v>
      </c>
    </row>
    <row r="174" spans="1:63" x14ac:dyDescent="0.15">
      <c r="A174" s="10" t="s">
        <v>1016</v>
      </c>
      <c r="B174" s="10" t="s">
        <v>1454</v>
      </c>
      <c r="C174" s="38" t="str">
        <f>"./images/thumbnail/"&amp;データ!B174&amp;".jpg"</f>
        <v>./images/thumbnail/1299.jpg</v>
      </c>
      <c r="D174" s="38" t="s">
        <v>1455</v>
      </c>
      <c r="E174" s="38" t="str">
        <f>"./images/thumbnail/"&amp;データ!B174&amp;".jpg"</f>
        <v>./images/thumbnail/1299.jpg</v>
      </c>
      <c r="F174" s="38" t="s">
        <v>1116</v>
      </c>
      <c r="G174" s="38" t="s">
        <v>1319</v>
      </c>
      <c r="H174" s="38" t="str">
        <f>データ!C174</f>
        <v>チヨ</v>
      </c>
      <c r="I174" s="38" t="s">
        <v>1024</v>
      </c>
      <c r="J174" s="38" t="s">
        <v>1320</v>
      </c>
      <c r="K174" s="38" t="str">
        <f>データ!D174</f>
        <v>SSR</v>
      </c>
      <c r="L174" s="38" t="s">
        <v>1024</v>
      </c>
      <c r="M174" s="38" t="s">
        <v>1321</v>
      </c>
      <c r="N174" s="38">
        <f>データ!E174</f>
        <v>13</v>
      </c>
      <c r="O174" s="38" t="s">
        <v>1024</v>
      </c>
      <c r="P174" s="38" t="s">
        <v>1319</v>
      </c>
      <c r="Q174" s="38" t="str">
        <f>データ!F174</f>
        <v>斬</v>
      </c>
      <c r="R174" s="38" t="s">
        <v>1024</v>
      </c>
      <c r="S174" s="38" t="s">
        <v>1319</v>
      </c>
      <c r="T174" s="39">
        <f>データ!G174</f>
        <v>14799</v>
      </c>
      <c r="U174" s="40" t="s">
        <v>1024</v>
      </c>
      <c r="V174" s="40" t="s">
        <v>1319</v>
      </c>
      <c r="W174" s="39">
        <f>データ!H174</f>
        <v>7203</v>
      </c>
      <c r="X174" s="40" t="s">
        <v>1024</v>
      </c>
      <c r="Y174" s="40" t="s">
        <v>1319</v>
      </c>
      <c r="Z174" s="39">
        <f>データ!I174</f>
        <v>5087</v>
      </c>
      <c r="AA174" s="40" t="s">
        <v>1024</v>
      </c>
      <c r="AB174" s="40" t="s">
        <v>1322</v>
      </c>
      <c r="AC174" s="39" t="str">
        <f>データ!J174</f>
        <v>S+</v>
      </c>
      <c r="AD174" s="38" t="s">
        <v>1024</v>
      </c>
      <c r="AE174" s="40" t="s">
        <v>1323</v>
      </c>
      <c r="AF174" s="39">
        <f>データ!K174</f>
        <v>27089</v>
      </c>
      <c r="AG174" s="40" t="s">
        <v>1024</v>
      </c>
      <c r="AH174" s="40" t="s">
        <v>1324</v>
      </c>
      <c r="AI174" s="39" t="str">
        <f>データ!L174</f>
        <v>対紅の突風／絶</v>
      </c>
      <c r="AJ174" s="10" t="s">
        <v>1113</v>
      </c>
      <c r="AK174" s="39" t="str">
        <f>データ!M174</f>
        <v>斬に強く突に弱い縦一列攻撃[大]</v>
      </c>
      <c r="AL174" s="10" t="s">
        <v>1024</v>
      </c>
      <c r="AM174" s="40" t="s">
        <v>1325</v>
      </c>
      <c r="AN174" s="39" t="str">
        <f>データ!N174</f>
        <v>-</v>
      </c>
      <c r="AO174" s="10" t="s">
        <v>1113</v>
      </c>
      <c r="AP174" s="39" t="str">
        <f>データ!O174</f>
        <v>　</v>
      </c>
      <c r="AQ174" s="41" t="s">
        <v>1024</v>
      </c>
      <c r="AR174" s="40" t="s">
        <v>1324</v>
      </c>
      <c r="AS174" s="39" t="str">
        <f>データ!P174</f>
        <v>シャドウ</v>
      </c>
      <c r="AT174" s="10" t="s">
        <v>1113</v>
      </c>
      <c r="AU174" s="39" t="str">
        <f>データ!Q174</f>
        <v>バトル時の強襲CB率が小UP(3分間)</v>
      </c>
      <c r="AV174" s="10" t="s">
        <v>1024</v>
      </c>
      <c r="AW174" s="40" t="s">
        <v>1324</v>
      </c>
      <c r="AX174" s="39" t="str">
        <f>データ!R174</f>
        <v>-</v>
      </c>
      <c r="AY174" s="10" t="s">
        <v>1113</v>
      </c>
      <c r="AZ174" s="39" t="str">
        <f>データ!S174</f>
        <v>　</v>
      </c>
      <c r="BA174" s="41" t="s">
        <v>1024</v>
      </c>
      <c r="BB174" s="40" t="s">
        <v>1319</v>
      </c>
      <c r="BC174" s="39" t="str">
        <f>データ!T174</f>
        <v>-</v>
      </c>
      <c r="BD174" s="41" t="s">
        <v>1024</v>
      </c>
      <c r="BE174" s="40" t="s">
        <v>1320</v>
      </c>
      <c r="BF174" s="39" t="str">
        <f>データ!U174</f>
        <v>-</v>
      </c>
      <c r="BG174" s="41" t="s">
        <v>1024</v>
      </c>
      <c r="BH174" s="40" t="s">
        <v>1319</v>
      </c>
      <c r="BI174" s="39" t="str">
        <f>データ!V174</f>
        <v>ガチャイベ</v>
      </c>
      <c r="BJ174" s="41" t="s">
        <v>1024</v>
      </c>
      <c r="BK174" s="10" t="s">
        <v>1019</v>
      </c>
    </row>
    <row r="175" spans="1:63" x14ac:dyDescent="0.15">
      <c r="A175" s="10" t="s">
        <v>1016</v>
      </c>
      <c r="B175" s="10" t="s">
        <v>1454</v>
      </c>
      <c r="C175" s="38" t="str">
        <f>"./images/thumbnail/"&amp;データ!B175&amp;".jpg"</f>
        <v>./images/thumbnail/1301.jpg</v>
      </c>
      <c r="D175" s="38" t="s">
        <v>1455</v>
      </c>
      <c r="E175" s="38" t="str">
        <f>"./images/thumbnail/"&amp;データ!B175&amp;".jpg"</f>
        <v>./images/thumbnail/1301.jpg</v>
      </c>
      <c r="F175" s="38" t="s">
        <v>1116</v>
      </c>
      <c r="G175" s="38" t="s">
        <v>1319</v>
      </c>
      <c r="H175" s="38" t="str">
        <f>データ!C175</f>
        <v>ヴァルナル</v>
      </c>
      <c r="I175" s="38" t="s">
        <v>1024</v>
      </c>
      <c r="J175" s="38" t="s">
        <v>1320</v>
      </c>
      <c r="K175" s="38" t="str">
        <f>データ!D175</f>
        <v>SSR</v>
      </c>
      <c r="L175" s="38" t="s">
        <v>1024</v>
      </c>
      <c r="M175" s="38" t="s">
        <v>1321</v>
      </c>
      <c r="N175" s="38">
        <f>データ!E175</f>
        <v>13</v>
      </c>
      <c r="O175" s="38" t="s">
        <v>1024</v>
      </c>
      <c r="P175" s="38" t="s">
        <v>1319</v>
      </c>
      <c r="Q175" s="38" t="str">
        <f>データ!F175</f>
        <v>斬</v>
      </c>
      <c r="R175" s="38" t="s">
        <v>1024</v>
      </c>
      <c r="S175" s="38" t="s">
        <v>1319</v>
      </c>
      <c r="T175" s="39">
        <f>データ!G175</f>
        <v>15668</v>
      </c>
      <c r="U175" s="40" t="s">
        <v>1024</v>
      </c>
      <c r="V175" s="40" t="s">
        <v>1319</v>
      </c>
      <c r="W175" s="39">
        <f>データ!H175</f>
        <v>7624</v>
      </c>
      <c r="X175" s="40" t="s">
        <v>1024</v>
      </c>
      <c r="Y175" s="40" t="s">
        <v>1319</v>
      </c>
      <c r="Z175" s="39">
        <f>データ!I175</f>
        <v>4798</v>
      </c>
      <c r="AA175" s="40" t="s">
        <v>1024</v>
      </c>
      <c r="AB175" s="40" t="s">
        <v>1322</v>
      </c>
      <c r="AC175" s="39" t="str">
        <f>データ!J175</f>
        <v>S+</v>
      </c>
      <c r="AD175" s="38" t="s">
        <v>1024</v>
      </c>
      <c r="AE175" s="40" t="s">
        <v>1323</v>
      </c>
      <c r="AF175" s="39">
        <f>データ!K175</f>
        <v>28090</v>
      </c>
      <c r="AG175" s="40" t="s">
        <v>1024</v>
      </c>
      <c r="AH175" s="40" t="s">
        <v>1324</v>
      </c>
      <c r="AI175" s="39" t="str">
        <f>データ!L175</f>
        <v>地幻氷の縦十字／絶</v>
      </c>
      <c r="AJ175" s="10" t="s">
        <v>1113</v>
      </c>
      <c r="AK175" s="39" t="str">
        <f>データ!M175</f>
        <v>十字型攻撃[大]自分の防御力UP[大]</v>
      </c>
      <c r="AL175" s="10" t="s">
        <v>1024</v>
      </c>
      <c r="AM175" s="40" t="s">
        <v>1325</v>
      </c>
      <c r="AN175" s="39" t="str">
        <f>データ!N175</f>
        <v>-</v>
      </c>
      <c r="AO175" s="10" t="s">
        <v>1113</v>
      </c>
      <c r="AP175" s="39" t="str">
        <f>データ!O175</f>
        <v>　</v>
      </c>
      <c r="AQ175" s="41" t="s">
        <v>1024</v>
      </c>
      <c r="AR175" s="40" t="s">
        <v>1324</v>
      </c>
      <c r="AS175" s="39" t="str">
        <f>データ!P175</f>
        <v>プロヴォーク／真</v>
      </c>
      <c r="AT175" s="10" t="s">
        <v>1113</v>
      </c>
      <c r="AU175" s="39" t="str">
        <f>データ!Q175</f>
        <v>攻撃される確率が中UP(3分間)</v>
      </c>
      <c r="AV175" s="10" t="s">
        <v>1024</v>
      </c>
      <c r="AW175" s="40" t="s">
        <v>1324</v>
      </c>
      <c r="AX175" s="39" t="str">
        <f>データ!R175</f>
        <v>-</v>
      </c>
      <c r="AY175" s="10" t="s">
        <v>1113</v>
      </c>
      <c r="AZ175" s="39" t="str">
        <f>データ!S175</f>
        <v>　</v>
      </c>
      <c r="BA175" s="41" t="s">
        <v>1024</v>
      </c>
      <c r="BB175" s="40" t="s">
        <v>1319</v>
      </c>
      <c r="BC175" s="39" t="str">
        <f>データ!T175</f>
        <v>-</v>
      </c>
      <c r="BD175" s="41" t="s">
        <v>1024</v>
      </c>
      <c r="BE175" s="40" t="s">
        <v>1320</v>
      </c>
      <c r="BF175" s="39" t="str">
        <f>データ!U175</f>
        <v>-</v>
      </c>
      <c r="BG175" s="41" t="s">
        <v>1024</v>
      </c>
      <c r="BH175" s="40" t="s">
        <v>1319</v>
      </c>
      <c r="BI175" s="39" t="str">
        <f>データ!V175</f>
        <v>常設</v>
      </c>
      <c r="BJ175" s="41" t="s">
        <v>1024</v>
      </c>
      <c r="BK175" s="10" t="s">
        <v>1019</v>
      </c>
    </row>
    <row r="176" spans="1:63" x14ac:dyDescent="0.15">
      <c r="A176" s="10" t="s">
        <v>1016</v>
      </c>
      <c r="B176" s="10" t="s">
        <v>1454</v>
      </c>
      <c r="C176" s="38" t="str">
        <f>"./images/thumbnail/"&amp;データ!B176&amp;".jpg"</f>
        <v>./images/thumbnail/1303.jpg</v>
      </c>
      <c r="D176" s="38" t="s">
        <v>1455</v>
      </c>
      <c r="E176" s="38" t="str">
        <f>"./images/thumbnail/"&amp;データ!B176&amp;".jpg"</f>
        <v>./images/thumbnail/1303.jpg</v>
      </c>
      <c r="F176" s="38" t="s">
        <v>1116</v>
      </c>
      <c r="G176" s="38" t="s">
        <v>1319</v>
      </c>
      <c r="H176" s="38" t="str">
        <f>データ!C176</f>
        <v>レティシア</v>
      </c>
      <c r="I176" s="38" t="s">
        <v>1024</v>
      </c>
      <c r="J176" s="38" t="s">
        <v>1320</v>
      </c>
      <c r="K176" s="38" t="str">
        <f>データ!D176</f>
        <v>SSR</v>
      </c>
      <c r="L176" s="38" t="s">
        <v>1024</v>
      </c>
      <c r="M176" s="38" t="s">
        <v>1321</v>
      </c>
      <c r="N176" s="38">
        <f>データ!E176</f>
        <v>13</v>
      </c>
      <c r="O176" s="38" t="s">
        <v>1024</v>
      </c>
      <c r="P176" s="38" t="s">
        <v>1319</v>
      </c>
      <c r="Q176" s="38" t="str">
        <f>データ!F176</f>
        <v>突</v>
      </c>
      <c r="R176" s="38" t="s">
        <v>1024</v>
      </c>
      <c r="S176" s="38" t="s">
        <v>1319</v>
      </c>
      <c r="T176" s="39">
        <f>データ!G176</f>
        <v>18913</v>
      </c>
      <c r="U176" s="40" t="s">
        <v>1024</v>
      </c>
      <c r="V176" s="40" t="s">
        <v>1319</v>
      </c>
      <c r="W176" s="39">
        <f>データ!H176</f>
        <v>5629</v>
      </c>
      <c r="X176" s="40" t="s">
        <v>1024</v>
      </c>
      <c r="Y176" s="40" t="s">
        <v>1319</v>
      </c>
      <c r="Z176" s="39">
        <f>データ!I176</f>
        <v>5410</v>
      </c>
      <c r="AA176" s="40" t="s">
        <v>1024</v>
      </c>
      <c r="AB176" s="40" t="s">
        <v>1322</v>
      </c>
      <c r="AC176" s="39" t="str">
        <f>データ!J176</f>
        <v>SS-</v>
      </c>
      <c r="AD176" s="38" t="s">
        <v>1024</v>
      </c>
      <c r="AE176" s="40" t="s">
        <v>1323</v>
      </c>
      <c r="AF176" s="39">
        <f>データ!K176</f>
        <v>29952</v>
      </c>
      <c r="AG176" s="40" t="s">
        <v>1024</v>
      </c>
      <c r="AH176" s="40" t="s">
        <v>1324</v>
      </c>
      <c r="AI176" s="39" t="str">
        <f>データ!L176</f>
        <v>聖護消滅／光芒</v>
      </c>
      <c r="AJ176" s="10" t="s">
        <v>1113</v>
      </c>
      <c r="AK176" s="39" t="str">
        <f>データ!M176</f>
        <v>敵全体の防御力をDOWN[大]</v>
      </c>
      <c r="AL176" s="10" t="s">
        <v>1024</v>
      </c>
      <c r="AM176" s="40" t="s">
        <v>1325</v>
      </c>
      <c r="AN176" s="39" t="str">
        <f>データ!N176</f>
        <v>-</v>
      </c>
      <c r="AO176" s="10" t="s">
        <v>1113</v>
      </c>
      <c r="AP176" s="39" t="str">
        <f>データ!O176</f>
        <v>　</v>
      </c>
      <c r="AQ176" s="41" t="s">
        <v>1024</v>
      </c>
      <c r="AR176" s="40" t="s">
        <v>1324</v>
      </c>
      <c r="AS176" s="39" t="str">
        <f>データ!P176</f>
        <v>エースオーダー</v>
      </c>
      <c r="AT176" s="10" t="s">
        <v>1113</v>
      </c>
      <c r="AU176" s="39" t="str">
        <f>データ!Q176</f>
        <v>騎士団全体の攻・防が小UP(3分間)</v>
      </c>
      <c r="AV176" s="10" t="s">
        <v>1024</v>
      </c>
      <c r="AW176" s="40" t="s">
        <v>1324</v>
      </c>
      <c r="AX176" s="39" t="str">
        <f>データ!R176</f>
        <v>-</v>
      </c>
      <c r="AY176" s="10" t="s">
        <v>1113</v>
      </c>
      <c r="AZ176" s="39" t="str">
        <f>データ!S176</f>
        <v>　</v>
      </c>
      <c r="BA176" s="41" t="s">
        <v>1024</v>
      </c>
      <c r="BB176" s="40" t="s">
        <v>1319</v>
      </c>
      <c r="BC176" s="39" t="str">
        <f>データ!T176</f>
        <v>-</v>
      </c>
      <c r="BD176" s="41" t="s">
        <v>1024</v>
      </c>
      <c r="BE176" s="40" t="s">
        <v>1320</v>
      </c>
      <c r="BF176" s="39" t="str">
        <f>データ!U176</f>
        <v>-</v>
      </c>
      <c r="BG176" s="41" t="s">
        <v>1024</v>
      </c>
      <c r="BH176" s="40" t="s">
        <v>1319</v>
      </c>
      <c r="BI176" s="39" t="str">
        <f>データ!V176</f>
        <v>常設</v>
      </c>
      <c r="BJ176" s="41" t="s">
        <v>1024</v>
      </c>
      <c r="BK176" s="10" t="s">
        <v>1019</v>
      </c>
    </row>
    <row r="177" spans="1:63" x14ac:dyDescent="0.15">
      <c r="A177" s="10" t="s">
        <v>1016</v>
      </c>
      <c r="B177" s="10" t="s">
        <v>1454</v>
      </c>
      <c r="C177" s="38" t="str">
        <f>"./images/thumbnail/"&amp;データ!B177&amp;".jpg"</f>
        <v>./images/thumbnail/1305.jpg</v>
      </c>
      <c r="D177" s="38" t="s">
        <v>1455</v>
      </c>
      <c r="E177" s="38" t="str">
        <f>"./images/thumbnail/"&amp;データ!B177&amp;".jpg"</f>
        <v>./images/thumbnail/1305.jpg</v>
      </c>
      <c r="F177" s="38" t="s">
        <v>1116</v>
      </c>
      <c r="G177" s="38" t="s">
        <v>1319</v>
      </c>
      <c r="H177" s="38" t="str">
        <f>データ!C177</f>
        <v>アーロン</v>
      </c>
      <c r="I177" s="38" t="s">
        <v>1024</v>
      </c>
      <c r="J177" s="38" t="s">
        <v>1320</v>
      </c>
      <c r="K177" s="38" t="str">
        <f>データ!D177</f>
        <v>SSR</v>
      </c>
      <c r="L177" s="38" t="s">
        <v>1024</v>
      </c>
      <c r="M177" s="38" t="s">
        <v>1321</v>
      </c>
      <c r="N177" s="38">
        <f>データ!E177</f>
        <v>13</v>
      </c>
      <c r="O177" s="38" t="s">
        <v>1024</v>
      </c>
      <c r="P177" s="38" t="s">
        <v>1319</v>
      </c>
      <c r="Q177" s="38" t="str">
        <f>データ!F177</f>
        <v>打</v>
      </c>
      <c r="R177" s="38" t="s">
        <v>1024</v>
      </c>
      <c r="S177" s="38" t="s">
        <v>1319</v>
      </c>
      <c r="T177" s="39">
        <f>データ!G177</f>
        <v>20794</v>
      </c>
      <c r="U177" s="40" t="s">
        <v>1024</v>
      </c>
      <c r="V177" s="40" t="s">
        <v>1319</v>
      </c>
      <c r="W177" s="39">
        <f>データ!H177</f>
        <v>5147</v>
      </c>
      <c r="X177" s="40" t="s">
        <v>1024</v>
      </c>
      <c r="Y177" s="40" t="s">
        <v>1319</v>
      </c>
      <c r="Z177" s="39">
        <f>データ!I177</f>
        <v>7427</v>
      </c>
      <c r="AA177" s="40" t="s">
        <v>1024</v>
      </c>
      <c r="AB177" s="40" t="s">
        <v>1322</v>
      </c>
      <c r="AC177" s="39" t="str">
        <f>データ!J177</f>
        <v>A-</v>
      </c>
      <c r="AD177" s="38" t="s">
        <v>1024</v>
      </c>
      <c r="AE177" s="40" t="s">
        <v>1323</v>
      </c>
      <c r="AF177" s="39">
        <f>データ!K177</f>
        <v>33368</v>
      </c>
      <c r="AG177" s="40" t="s">
        <v>1024</v>
      </c>
      <c r="AH177" s="40" t="s">
        <v>1324</v>
      </c>
      <c r="AI177" s="39" t="str">
        <f>データ!L177</f>
        <v>破雫の交叉線／絶</v>
      </c>
      <c r="AJ177" s="10" t="s">
        <v>1113</v>
      </c>
      <c r="AK177" s="39" t="str">
        <f>データ!M177</f>
        <v>X字型に固定ダメージ[大]</v>
      </c>
      <c r="AL177" s="10" t="s">
        <v>1024</v>
      </c>
      <c r="AM177" s="40" t="s">
        <v>1325</v>
      </c>
      <c r="AN177" s="39" t="str">
        <f>データ!N177</f>
        <v>-</v>
      </c>
      <c r="AO177" s="10" t="s">
        <v>1113</v>
      </c>
      <c r="AP177" s="39" t="str">
        <f>データ!O177</f>
        <v>　</v>
      </c>
      <c r="AQ177" s="41" t="s">
        <v>1024</v>
      </c>
      <c r="AR177" s="40" t="s">
        <v>1324</v>
      </c>
      <c r="AS177" s="39" t="str">
        <f>データ!P177</f>
        <v>アサルトオーダー</v>
      </c>
      <c r="AT177" s="10" t="s">
        <v>1113</v>
      </c>
      <c r="AU177" s="39" t="str">
        <f>データ!Q177</f>
        <v>騎士団全体の攻撃力が小UP(3分間)</v>
      </c>
      <c r="AV177" s="10" t="s">
        <v>1024</v>
      </c>
      <c r="AW177" s="40" t="s">
        <v>1324</v>
      </c>
      <c r="AX177" s="39" t="str">
        <f>データ!R177</f>
        <v>-</v>
      </c>
      <c r="AY177" s="10" t="s">
        <v>1113</v>
      </c>
      <c r="AZ177" s="39" t="str">
        <f>データ!S177</f>
        <v>　</v>
      </c>
      <c r="BA177" s="41" t="s">
        <v>1024</v>
      </c>
      <c r="BB177" s="40" t="s">
        <v>1319</v>
      </c>
      <c r="BC177" s="39" t="str">
        <f>データ!T177</f>
        <v>-</v>
      </c>
      <c r="BD177" s="41" t="s">
        <v>1024</v>
      </c>
      <c r="BE177" s="40" t="s">
        <v>1320</v>
      </c>
      <c r="BF177" s="39" t="str">
        <f>データ!U177</f>
        <v>-</v>
      </c>
      <c r="BG177" s="41" t="s">
        <v>1024</v>
      </c>
      <c r="BH177" s="40" t="s">
        <v>1319</v>
      </c>
      <c r="BI177" s="39" t="str">
        <f>データ!V177</f>
        <v>常設</v>
      </c>
      <c r="BJ177" s="41" t="s">
        <v>1024</v>
      </c>
      <c r="BK177" s="10" t="s">
        <v>1019</v>
      </c>
    </row>
    <row r="178" spans="1:63" x14ac:dyDescent="0.15">
      <c r="A178" s="10" t="s">
        <v>1016</v>
      </c>
      <c r="B178" s="10" t="s">
        <v>1454</v>
      </c>
      <c r="C178" s="38" t="str">
        <f>"./images/thumbnail/"&amp;データ!B178&amp;".jpg"</f>
        <v>./images/thumbnail/1307.jpg</v>
      </c>
      <c r="D178" s="38" t="s">
        <v>1455</v>
      </c>
      <c r="E178" s="38" t="str">
        <f>"./images/thumbnail/"&amp;データ!B178&amp;".jpg"</f>
        <v>./images/thumbnail/1307.jpg</v>
      </c>
      <c r="F178" s="38" t="s">
        <v>1116</v>
      </c>
      <c r="G178" s="38" t="s">
        <v>1319</v>
      </c>
      <c r="H178" s="38" t="str">
        <f>データ!C178</f>
        <v>コルン</v>
      </c>
      <c r="I178" s="38" t="s">
        <v>1024</v>
      </c>
      <c r="J178" s="38" t="s">
        <v>1320</v>
      </c>
      <c r="K178" s="38" t="str">
        <f>データ!D178</f>
        <v>SSR</v>
      </c>
      <c r="L178" s="38" t="s">
        <v>1024</v>
      </c>
      <c r="M178" s="38" t="s">
        <v>1321</v>
      </c>
      <c r="N178" s="38">
        <f>データ!E178</f>
        <v>13</v>
      </c>
      <c r="O178" s="38" t="s">
        <v>1024</v>
      </c>
      <c r="P178" s="38" t="s">
        <v>1319</v>
      </c>
      <c r="Q178" s="38" t="str">
        <f>データ!F178</f>
        <v>遠</v>
      </c>
      <c r="R178" s="38" t="s">
        <v>1024</v>
      </c>
      <c r="S178" s="38" t="s">
        <v>1319</v>
      </c>
      <c r="T178" s="39">
        <f>データ!G178</f>
        <v>16607</v>
      </c>
      <c r="U178" s="40" t="s">
        <v>1024</v>
      </c>
      <c r="V178" s="40" t="s">
        <v>1319</v>
      </c>
      <c r="W178" s="39">
        <f>データ!H178</f>
        <v>5797</v>
      </c>
      <c r="X178" s="40" t="s">
        <v>1024</v>
      </c>
      <c r="Y178" s="40" t="s">
        <v>1319</v>
      </c>
      <c r="Z178" s="39">
        <f>データ!I178</f>
        <v>5424</v>
      </c>
      <c r="AA178" s="40" t="s">
        <v>1024</v>
      </c>
      <c r="AB178" s="40" t="s">
        <v>1322</v>
      </c>
      <c r="AC178" s="39" t="str">
        <f>データ!J178</f>
        <v>S-</v>
      </c>
      <c r="AD178" s="38" t="s">
        <v>1024</v>
      </c>
      <c r="AE178" s="40" t="s">
        <v>1323</v>
      </c>
      <c r="AF178" s="39">
        <f>データ!K178</f>
        <v>27828</v>
      </c>
      <c r="AG178" s="40" t="s">
        <v>1024</v>
      </c>
      <c r="AH178" s="40" t="s">
        <v>1324</v>
      </c>
      <c r="AI178" s="39" t="str">
        <f>データ!L178</f>
        <v>幻射の四連撃／真</v>
      </c>
      <c r="AJ178" s="10" t="s">
        <v>1113</v>
      </c>
      <c r="AK178" s="39" t="str">
        <f>データ!M178</f>
        <v>ランダムで4連続攻撃[中]</v>
      </c>
      <c r="AL178" s="10" t="s">
        <v>1024</v>
      </c>
      <c r="AM178" s="40" t="s">
        <v>1325</v>
      </c>
      <c r="AN178" s="39" t="str">
        <f>データ!N178</f>
        <v>-</v>
      </c>
      <c r="AO178" s="10" t="s">
        <v>1113</v>
      </c>
      <c r="AP178" s="39" t="str">
        <f>データ!O178</f>
        <v>　</v>
      </c>
      <c r="AQ178" s="41" t="s">
        <v>1024</v>
      </c>
      <c r="AR178" s="40" t="s">
        <v>1324</v>
      </c>
      <c r="AS178" s="39" t="str">
        <f>データ!P178</f>
        <v>ハイド／真</v>
      </c>
      <c r="AT178" s="10" t="s">
        <v>1113</v>
      </c>
      <c r="AU178" s="39" t="str">
        <f>データ!Q178</f>
        <v>攻撃される確率が中DOWN(3分間)</v>
      </c>
      <c r="AV178" s="10" t="s">
        <v>1024</v>
      </c>
      <c r="AW178" s="40" t="s">
        <v>1324</v>
      </c>
      <c r="AX178" s="39" t="str">
        <f>データ!R178</f>
        <v>-</v>
      </c>
      <c r="AY178" s="10" t="s">
        <v>1113</v>
      </c>
      <c r="AZ178" s="39" t="str">
        <f>データ!S178</f>
        <v>　</v>
      </c>
      <c r="BA178" s="41" t="s">
        <v>1024</v>
      </c>
      <c r="BB178" s="40" t="s">
        <v>1319</v>
      </c>
      <c r="BC178" s="39" t="str">
        <f>データ!T178</f>
        <v>-</v>
      </c>
      <c r="BD178" s="41" t="s">
        <v>1024</v>
      </c>
      <c r="BE178" s="40" t="s">
        <v>1320</v>
      </c>
      <c r="BF178" s="39" t="str">
        <f>データ!U178</f>
        <v>-</v>
      </c>
      <c r="BG178" s="41" t="s">
        <v>1024</v>
      </c>
      <c r="BH178" s="40" t="s">
        <v>1319</v>
      </c>
      <c r="BI178" s="39" t="str">
        <f>データ!V178</f>
        <v>常設</v>
      </c>
      <c r="BJ178" s="41" t="s">
        <v>1024</v>
      </c>
      <c r="BK178" s="10" t="s">
        <v>1019</v>
      </c>
    </row>
    <row r="179" spans="1:63" x14ac:dyDescent="0.15">
      <c r="A179" s="10" t="s">
        <v>1016</v>
      </c>
      <c r="B179" s="10" t="s">
        <v>1454</v>
      </c>
      <c r="C179" s="38" t="str">
        <f>"./images/thumbnail/"&amp;データ!B179&amp;".jpg"</f>
        <v>./images/thumbnail/1311.jpg</v>
      </c>
      <c r="D179" s="38" t="s">
        <v>1455</v>
      </c>
      <c r="E179" s="38" t="str">
        <f>"./images/thumbnail/"&amp;データ!B179&amp;".jpg"</f>
        <v>./images/thumbnail/1311.jpg</v>
      </c>
      <c r="F179" s="38" t="s">
        <v>1116</v>
      </c>
      <c r="G179" s="38" t="s">
        <v>1319</v>
      </c>
      <c r="H179" s="38" t="str">
        <f>データ!C179</f>
        <v>デュプリ</v>
      </c>
      <c r="I179" s="38" t="s">
        <v>1024</v>
      </c>
      <c r="J179" s="38" t="s">
        <v>1320</v>
      </c>
      <c r="K179" s="38" t="str">
        <f>データ!D179</f>
        <v>SSR</v>
      </c>
      <c r="L179" s="38" t="s">
        <v>1024</v>
      </c>
      <c r="M179" s="38" t="s">
        <v>1321</v>
      </c>
      <c r="N179" s="38">
        <f>データ!E179</f>
        <v>12</v>
      </c>
      <c r="O179" s="38" t="s">
        <v>1024</v>
      </c>
      <c r="P179" s="38" t="s">
        <v>1319</v>
      </c>
      <c r="Q179" s="38" t="str">
        <f>データ!F179</f>
        <v>突</v>
      </c>
      <c r="R179" s="38" t="s">
        <v>1024</v>
      </c>
      <c r="S179" s="38" t="s">
        <v>1319</v>
      </c>
      <c r="T179" s="39">
        <f>データ!G179</f>
        <v>16727</v>
      </c>
      <c r="U179" s="40" t="s">
        <v>1024</v>
      </c>
      <c r="V179" s="40" t="s">
        <v>1319</v>
      </c>
      <c r="W179" s="39">
        <f>データ!H179</f>
        <v>4978</v>
      </c>
      <c r="X179" s="40" t="s">
        <v>1024</v>
      </c>
      <c r="Y179" s="40" t="s">
        <v>1319</v>
      </c>
      <c r="Z179" s="39">
        <f>データ!I179</f>
        <v>5554</v>
      </c>
      <c r="AA179" s="40" t="s">
        <v>1024</v>
      </c>
      <c r="AB179" s="40" t="s">
        <v>1322</v>
      </c>
      <c r="AC179" s="39" t="str">
        <f>データ!J179</f>
        <v>SS-</v>
      </c>
      <c r="AD179" s="38" t="s">
        <v>1024</v>
      </c>
      <c r="AE179" s="40" t="s">
        <v>1323</v>
      </c>
      <c r="AF179" s="39">
        <f>データ!K179</f>
        <v>27259</v>
      </c>
      <c r="AG179" s="40" t="s">
        <v>1024</v>
      </c>
      <c r="AH179" s="40" t="s">
        <v>1324</v>
      </c>
      <c r="AI179" s="39" t="str">
        <f>データ!L179</f>
        <v>孤撃の言霊／絶</v>
      </c>
      <c r="AJ179" s="10" t="s">
        <v>1113</v>
      </c>
      <c r="AK179" s="39" t="str">
        <f>データ!M179</f>
        <v>一定確率で敵を範囲不可にする[高確率]</v>
      </c>
      <c r="AL179" s="10" t="s">
        <v>1024</v>
      </c>
      <c r="AM179" s="40" t="s">
        <v>1325</v>
      </c>
      <c r="AN179" s="39" t="str">
        <f>データ!N179</f>
        <v>-</v>
      </c>
      <c r="AO179" s="10" t="s">
        <v>1113</v>
      </c>
      <c r="AP179" s="39" t="str">
        <f>データ!O179</f>
        <v>　</v>
      </c>
      <c r="AQ179" s="41" t="s">
        <v>1024</v>
      </c>
      <c r="AR179" s="40" t="s">
        <v>1324</v>
      </c>
      <c r="AS179" s="39" t="str">
        <f>データ!P179</f>
        <v>ヒール／真蒼突</v>
      </c>
      <c r="AT179" s="10" t="s">
        <v>1113</v>
      </c>
      <c r="AU179" s="39" t="str">
        <f>データ!Q179</f>
        <v>突属性の生存ユニットのHPを高確率で全回復</v>
      </c>
      <c r="AV179" s="10" t="s">
        <v>1024</v>
      </c>
      <c r="AW179" s="40" t="s">
        <v>1324</v>
      </c>
      <c r="AX179" s="39" t="str">
        <f>データ!R179</f>
        <v>-</v>
      </c>
      <c r="AY179" s="10" t="s">
        <v>1113</v>
      </c>
      <c r="AZ179" s="39" t="str">
        <f>データ!S179</f>
        <v>　</v>
      </c>
      <c r="BA179" s="41" t="s">
        <v>1024</v>
      </c>
      <c r="BB179" s="40" t="s">
        <v>1319</v>
      </c>
      <c r="BC179" s="39" t="str">
        <f>データ!T179</f>
        <v>-</v>
      </c>
      <c r="BD179" s="41" t="s">
        <v>1024</v>
      </c>
      <c r="BE179" s="40" t="s">
        <v>1320</v>
      </c>
      <c r="BF179" s="39" t="str">
        <f>データ!U179</f>
        <v>-</v>
      </c>
      <c r="BG179" s="41" t="s">
        <v>1024</v>
      </c>
      <c r="BH179" s="40" t="s">
        <v>1319</v>
      </c>
      <c r="BI179" s="39" t="str">
        <f>データ!V179</f>
        <v>マゴニア</v>
      </c>
      <c r="BJ179" s="41" t="s">
        <v>1024</v>
      </c>
      <c r="BK179" s="10" t="s">
        <v>1019</v>
      </c>
    </row>
    <row r="180" spans="1:63" x14ac:dyDescent="0.15">
      <c r="A180" s="10" t="s">
        <v>1016</v>
      </c>
      <c r="B180" s="10" t="s">
        <v>1454</v>
      </c>
      <c r="C180" s="38" t="str">
        <f>"./images/thumbnail/"&amp;データ!B180&amp;".jpg"</f>
        <v>./images/thumbnail/1312.jpg</v>
      </c>
      <c r="D180" s="38" t="s">
        <v>1455</v>
      </c>
      <c r="E180" s="38" t="str">
        <f>"./images/thumbnail/"&amp;データ!B180&amp;".jpg"</f>
        <v>./images/thumbnail/1312.jpg</v>
      </c>
      <c r="F180" s="38" t="s">
        <v>1116</v>
      </c>
      <c r="G180" s="38" t="s">
        <v>1319</v>
      </c>
      <c r="H180" s="38" t="str">
        <f>データ!C180</f>
        <v>ジャンヌ</v>
      </c>
      <c r="I180" s="38" t="s">
        <v>1024</v>
      </c>
      <c r="J180" s="38" t="s">
        <v>1320</v>
      </c>
      <c r="K180" s="38" t="str">
        <f>データ!D180</f>
        <v>SSR</v>
      </c>
      <c r="L180" s="38" t="s">
        <v>1024</v>
      </c>
      <c r="M180" s="38" t="s">
        <v>1321</v>
      </c>
      <c r="N180" s="38">
        <f>データ!E180</f>
        <v>13</v>
      </c>
      <c r="O180" s="38" t="s">
        <v>1024</v>
      </c>
      <c r="P180" s="38" t="s">
        <v>1319</v>
      </c>
      <c r="Q180" s="38" t="str">
        <f>データ!F180</f>
        <v>突</v>
      </c>
      <c r="R180" s="38" t="s">
        <v>1024</v>
      </c>
      <c r="S180" s="38" t="s">
        <v>1319</v>
      </c>
      <c r="T180" s="39">
        <f>データ!G180</f>
        <v>19009</v>
      </c>
      <c r="U180" s="40" t="s">
        <v>1024</v>
      </c>
      <c r="V180" s="40" t="s">
        <v>1319</v>
      </c>
      <c r="W180" s="39">
        <f>データ!H180</f>
        <v>5660</v>
      </c>
      <c r="X180" s="40" t="s">
        <v>1024</v>
      </c>
      <c r="Y180" s="40" t="s">
        <v>1319</v>
      </c>
      <c r="Z180" s="39">
        <f>データ!I180</f>
        <v>5380</v>
      </c>
      <c r="AA180" s="40" t="s">
        <v>1024</v>
      </c>
      <c r="AB180" s="40" t="s">
        <v>1322</v>
      </c>
      <c r="AC180" s="39" t="str">
        <f>データ!J180</f>
        <v>SS-</v>
      </c>
      <c r="AD180" s="38" t="s">
        <v>1024</v>
      </c>
      <c r="AE180" s="40" t="s">
        <v>1323</v>
      </c>
      <c r="AF180" s="39">
        <f>データ!K180</f>
        <v>30049</v>
      </c>
      <c r="AG180" s="40" t="s">
        <v>1024</v>
      </c>
      <c r="AH180" s="40" t="s">
        <v>1324</v>
      </c>
      <c r="AI180" s="39" t="str">
        <f>データ!L180</f>
        <v>破天の四連撃／真</v>
      </c>
      <c r="AJ180" s="10" t="s">
        <v>1113</v>
      </c>
      <c r="AK180" s="39" t="str">
        <f>データ!M180</f>
        <v>ランダムで4連固定ダメージ[中]</v>
      </c>
      <c r="AL180" s="10" t="s">
        <v>1024</v>
      </c>
      <c r="AM180" s="40" t="s">
        <v>1325</v>
      </c>
      <c r="AN180" s="39" t="str">
        <f>データ!N180</f>
        <v>-</v>
      </c>
      <c r="AO180" s="10" t="s">
        <v>1113</v>
      </c>
      <c r="AP180" s="39" t="str">
        <f>データ!O180</f>
        <v>　</v>
      </c>
      <c r="AQ180" s="41" t="s">
        <v>1024</v>
      </c>
      <c r="AR180" s="40" t="s">
        <v>1324</v>
      </c>
      <c r="AS180" s="39" t="str">
        <f>データ!P180</f>
        <v>アサルト</v>
      </c>
      <c r="AT180" s="10" t="s">
        <v>1113</v>
      </c>
      <c r="AU180" s="39" t="str">
        <f>データ!Q180</f>
        <v>パーティ全体の攻撃力が小UP(3分間)</v>
      </c>
      <c r="AV180" s="10" t="s">
        <v>1024</v>
      </c>
      <c r="AW180" s="40" t="s">
        <v>1324</v>
      </c>
      <c r="AX180" s="39" t="str">
        <f>データ!R180</f>
        <v>-</v>
      </c>
      <c r="AY180" s="10" t="s">
        <v>1113</v>
      </c>
      <c r="AZ180" s="39" t="str">
        <f>データ!S180</f>
        <v>　</v>
      </c>
      <c r="BA180" s="41" t="s">
        <v>1024</v>
      </c>
      <c r="BB180" s="40" t="s">
        <v>1319</v>
      </c>
      <c r="BC180" s="39" t="str">
        <f>データ!T180</f>
        <v>-</v>
      </c>
      <c r="BD180" s="41" t="s">
        <v>1024</v>
      </c>
      <c r="BE180" s="40" t="s">
        <v>1320</v>
      </c>
      <c r="BF180" s="39" t="str">
        <f>データ!U180</f>
        <v>-</v>
      </c>
      <c r="BG180" s="41" t="s">
        <v>1024</v>
      </c>
      <c r="BH180" s="40" t="s">
        <v>1319</v>
      </c>
      <c r="BI180" s="39" t="str">
        <f>データ!V180</f>
        <v>メダル</v>
      </c>
      <c r="BJ180" s="41" t="s">
        <v>1024</v>
      </c>
      <c r="BK180" s="10" t="s">
        <v>1019</v>
      </c>
    </row>
    <row r="181" spans="1:63" x14ac:dyDescent="0.15">
      <c r="A181" s="10" t="s">
        <v>1016</v>
      </c>
      <c r="B181" s="10" t="s">
        <v>1454</v>
      </c>
      <c r="C181" s="38" t="str">
        <f>"./images/thumbnail/"&amp;データ!B181&amp;".jpg"</f>
        <v>./images/thumbnail/1314.jpg</v>
      </c>
      <c r="D181" s="38" t="s">
        <v>1455</v>
      </c>
      <c r="E181" s="38" t="str">
        <f>"./images/thumbnail/"&amp;データ!B181&amp;".jpg"</f>
        <v>./images/thumbnail/1314.jpg</v>
      </c>
      <c r="F181" s="38" t="s">
        <v>1116</v>
      </c>
      <c r="G181" s="38" t="s">
        <v>1319</v>
      </c>
      <c r="H181" s="38" t="str">
        <f>データ!C181</f>
        <v>カノン</v>
      </c>
      <c r="I181" s="38" t="s">
        <v>1024</v>
      </c>
      <c r="J181" s="38" t="s">
        <v>1320</v>
      </c>
      <c r="K181" s="38" t="str">
        <f>データ!D181</f>
        <v>SSR</v>
      </c>
      <c r="L181" s="38" t="s">
        <v>1024</v>
      </c>
      <c r="M181" s="38" t="s">
        <v>1321</v>
      </c>
      <c r="N181" s="38">
        <f>データ!E181</f>
        <v>13</v>
      </c>
      <c r="O181" s="38" t="s">
        <v>1024</v>
      </c>
      <c r="P181" s="38" t="s">
        <v>1319</v>
      </c>
      <c r="Q181" s="38" t="str">
        <f>データ!F181</f>
        <v>打</v>
      </c>
      <c r="R181" s="38" t="s">
        <v>1024</v>
      </c>
      <c r="S181" s="38" t="s">
        <v>1319</v>
      </c>
      <c r="T181" s="39">
        <f>データ!G181</f>
        <v>22270</v>
      </c>
      <c r="U181" s="40" t="s">
        <v>1024</v>
      </c>
      <c r="V181" s="40" t="s">
        <v>1319</v>
      </c>
      <c r="W181" s="39">
        <f>データ!H181</f>
        <v>5314</v>
      </c>
      <c r="X181" s="40" t="s">
        <v>1024</v>
      </c>
      <c r="Y181" s="40" t="s">
        <v>1319</v>
      </c>
      <c r="Z181" s="39">
        <f>データ!I181</f>
        <v>6746</v>
      </c>
      <c r="AA181" s="40" t="s">
        <v>1024</v>
      </c>
      <c r="AB181" s="40" t="s">
        <v>1322</v>
      </c>
      <c r="AC181" s="39" t="str">
        <f>データ!J181</f>
        <v>A-</v>
      </c>
      <c r="AD181" s="38" t="s">
        <v>1024</v>
      </c>
      <c r="AE181" s="40" t="s">
        <v>1323</v>
      </c>
      <c r="AF181" s="39">
        <f>データ!K181</f>
        <v>34330</v>
      </c>
      <c r="AG181" s="40" t="s">
        <v>1024</v>
      </c>
      <c r="AH181" s="40" t="s">
        <v>1324</v>
      </c>
      <c r="AI181" s="39" t="str">
        <f>データ!L181</f>
        <v>対翠の薙風／絶</v>
      </c>
      <c r="AJ181" s="10" t="s">
        <v>1113</v>
      </c>
      <c r="AK181" s="39" t="str">
        <f>データ!M181</f>
        <v>遠に強く打に弱い横一列攻撃[大]</v>
      </c>
      <c r="AL181" s="10" t="s">
        <v>1024</v>
      </c>
      <c r="AM181" s="40" t="s">
        <v>1325</v>
      </c>
      <c r="AN181" s="39" t="str">
        <f>データ!N181</f>
        <v>-</v>
      </c>
      <c r="AO181" s="10" t="s">
        <v>1113</v>
      </c>
      <c r="AP181" s="39" t="str">
        <f>データ!O181</f>
        <v>　</v>
      </c>
      <c r="AQ181" s="41" t="s">
        <v>1024</v>
      </c>
      <c r="AR181" s="40" t="s">
        <v>1324</v>
      </c>
      <c r="AS181" s="39" t="str">
        <f>データ!P181</f>
        <v>エース／真</v>
      </c>
      <c r="AT181" s="10" t="s">
        <v>1113</v>
      </c>
      <c r="AU181" s="39" t="str">
        <f>データ!Q181</f>
        <v>パーティ全体の攻・防が中UP(3分間)</v>
      </c>
      <c r="AV181" s="10" t="s">
        <v>1024</v>
      </c>
      <c r="AW181" s="40" t="s">
        <v>1324</v>
      </c>
      <c r="AX181" s="39" t="str">
        <f>データ!R181</f>
        <v>-</v>
      </c>
      <c r="AY181" s="10" t="s">
        <v>1113</v>
      </c>
      <c r="AZ181" s="39" t="str">
        <f>データ!S181</f>
        <v>　</v>
      </c>
      <c r="BA181" s="41" t="s">
        <v>1024</v>
      </c>
      <c r="BB181" s="40" t="s">
        <v>1319</v>
      </c>
      <c r="BC181" s="39" t="str">
        <f>データ!T181</f>
        <v>-</v>
      </c>
      <c r="BD181" s="41" t="s">
        <v>1024</v>
      </c>
      <c r="BE181" s="40" t="s">
        <v>1320</v>
      </c>
      <c r="BF181" s="39" t="str">
        <f>データ!U181</f>
        <v>-</v>
      </c>
      <c r="BG181" s="41" t="s">
        <v>1024</v>
      </c>
      <c r="BH181" s="40" t="s">
        <v>1319</v>
      </c>
      <c r="BI181" s="39" t="str">
        <f>データ!V181</f>
        <v>ポーカー</v>
      </c>
      <c r="BJ181" s="41" t="s">
        <v>1024</v>
      </c>
      <c r="BK181" s="10" t="s">
        <v>1019</v>
      </c>
    </row>
    <row r="182" spans="1:63" x14ac:dyDescent="0.15">
      <c r="A182" s="10" t="s">
        <v>1016</v>
      </c>
      <c r="B182" s="10" t="s">
        <v>1454</v>
      </c>
      <c r="C182" s="38" t="str">
        <f>"./images/thumbnail/"&amp;データ!B182&amp;".jpg"</f>
        <v>./images/thumbnail/1315.jpg</v>
      </c>
      <c r="D182" s="38" t="s">
        <v>1455</v>
      </c>
      <c r="E182" s="38" t="str">
        <f>"./images/thumbnail/"&amp;データ!B182&amp;".jpg"</f>
        <v>./images/thumbnail/1315.jpg</v>
      </c>
      <c r="F182" s="38" t="s">
        <v>1116</v>
      </c>
      <c r="G182" s="38" t="s">
        <v>1319</v>
      </c>
      <c r="H182" s="38" t="str">
        <f>データ!C182</f>
        <v>デフロット</v>
      </c>
      <c r="I182" s="38" t="s">
        <v>1024</v>
      </c>
      <c r="J182" s="38" t="s">
        <v>1320</v>
      </c>
      <c r="K182" s="38" t="str">
        <f>データ!D182</f>
        <v>SSR</v>
      </c>
      <c r="L182" s="38" t="s">
        <v>1024</v>
      </c>
      <c r="M182" s="38" t="s">
        <v>1321</v>
      </c>
      <c r="N182" s="38">
        <f>データ!E182</f>
        <v>12</v>
      </c>
      <c r="O182" s="38" t="s">
        <v>1024</v>
      </c>
      <c r="P182" s="38" t="s">
        <v>1319</v>
      </c>
      <c r="Q182" s="38" t="str">
        <f>データ!F182</f>
        <v>突</v>
      </c>
      <c r="R182" s="38" t="s">
        <v>1024</v>
      </c>
      <c r="S182" s="38" t="s">
        <v>1319</v>
      </c>
      <c r="T182" s="39">
        <f>データ!G182</f>
        <v>16066</v>
      </c>
      <c r="U182" s="40" t="s">
        <v>1024</v>
      </c>
      <c r="V182" s="40" t="s">
        <v>1319</v>
      </c>
      <c r="W182" s="39">
        <f>データ!H182</f>
        <v>5061</v>
      </c>
      <c r="X182" s="40" t="s">
        <v>1024</v>
      </c>
      <c r="Y182" s="40" t="s">
        <v>1319</v>
      </c>
      <c r="Z182" s="39">
        <f>データ!I182</f>
        <v>5168</v>
      </c>
      <c r="AA182" s="40" t="s">
        <v>1024</v>
      </c>
      <c r="AB182" s="40" t="s">
        <v>1322</v>
      </c>
      <c r="AC182" s="39" t="str">
        <f>データ!J182</f>
        <v>SS1</v>
      </c>
      <c r="AD182" s="38" t="s">
        <v>1024</v>
      </c>
      <c r="AE182" s="40" t="s">
        <v>1323</v>
      </c>
      <c r="AF182" s="39">
        <f>データ!K182</f>
        <v>26295</v>
      </c>
      <c r="AG182" s="40" t="s">
        <v>1024</v>
      </c>
      <c r="AH182" s="40" t="s">
        <v>1324</v>
      </c>
      <c r="AI182" s="39" t="str">
        <f>データ!L182</f>
        <v>蒼突の追撃／真</v>
      </c>
      <c r="AJ182" s="10" t="s">
        <v>1113</v>
      </c>
      <c r="AK182" s="39" t="str">
        <f>データ!M182</f>
        <v>味方の攻撃に一定確率で追撃[高確率]</v>
      </c>
      <c r="AL182" s="10" t="s">
        <v>1024</v>
      </c>
      <c r="AM182" s="40" t="s">
        <v>1325</v>
      </c>
      <c r="AN182" s="39" t="str">
        <f>データ!N182</f>
        <v>-</v>
      </c>
      <c r="AO182" s="10" t="s">
        <v>1113</v>
      </c>
      <c r="AP182" s="39" t="str">
        <f>データ!O182</f>
        <v>　</v>
      </c>
      <c r="AQ182" s="41" t="s">
        <v>1024</v>
      </c>
      <c r="AR182" s="40" t="s">
        <v>1324</v>
      </c>
      <c r="AS182" s="39" t="str">
        <f>データ!P182</f>
        <v>リヴァイブ／真蒼突</v>
      </c>
      <c r="AT182" s="10" t="s">
        <v>1113</v>
      </c>
      <c r="AU182" s="39" t="str">
        <f>データ!Q182</f>
        <v>高確率で突属性のユニットを復帰</v>
      </c>
      <c r="AV182" s="10" t="s">
        <v>1024</v>
      </c>
      <c r="AW182" s="40" t="s">
        <v>1324</v>
      </c>
      <c r="AX182" s="39" t="str">
        <f>データ!R182</f>
        <v>-</v>
      </c>
      <c r="AY182" s="10" t="s">
        <v>1113</v>
      </c>
      <c r="AZ182" s="39" t="str">
        <f>データ!S182</f>
        <v>　</v>
      </c>
      <c r="BA182" s="41" t="s">
        <v>1024</v>
      </c>
      <c r="BB182" s="40" t="s">
        <v>1319</v>
      </c>
      <c r="BC182" s="39" t="str">
        <f>データ!T182</f>
        <v>-</v>
      </c>
      <c r="BD182" s="41" t="s">
        <v>1024</v>
      </c>
      <c r="BE182" s="40" t="s">
        <v>1320</v>
      </c>
      <c r="BF182" s="39" t="str">
        <f>データ!U182</f>
        <v>-</v>
      </c>
      <c r="BG182" s="41" t="s">
        <v>1024</v>
      </c>
      <c r="BH182" s="40" t="s">
        <v>1319</v>
      </c>
      <c r="BI182" s="39" t="str">
        <f>データ!V182</f>
        <v>1周年記念イベ</v>
      </c>
      <c r="BJ182" s="41" t="s">
        <v>1024</v>
      </c>
      <c r="BK182" s="10" t="s">
        <v>1019</v>
      </c>
    </row>
    <row r="183" spans="1:63" x14ac:dyDescent="0.15">
      <c r="A183" s="10" t="s">
        <v>1016</v>
      </c>
      <c r="B183" s="10" t="s">
        <v>1454</v>
      </c>
      <c r="C183" s="38" t="str">
        <f>"./images/thumbnail/"&amp;データ!B183&amp;".jpg"</f>
        <v>./images/thumbnail/1318.jpg</v>
      </c>
      <c r="D183" s="38" t="s">
        <v>1455</v>
      </c>
      <c r="E183" s="38" t="str">
        <f>"./images/thumbnail/"&amp;データ!B183&amp;".jpg"</f>
        <v>./images/thumbnail/1318.jpg</v>
      </c>
      <c r="F183" s="38" t="s">
        <v>1116</v>
      </c>
      <c r="G183" s="38" t="s">
        <v>1319</v>
      </c>
      <c r="H183" s="38" t="str">
        <f>データ!C183</f>
        <v>マリエル</v>
      </c>
      <c r="I183" s="38" t="s">
        <v>1024</v>
      </c>
      <c r="J183" s="38" t="s">
        <v>1320</v>
      </c>
      <c r="K183" s="38" t="str">
        <f>データ!D183</f>
        <v>SSR</v>
      </c>
      <c r="L183" s="38" t="s">
        <v>1024</v>
      </c>
      <c r="M183" s="38" t="s">
        <v>1321</v>
      </c>
      <c r="N183" s="38">
        <f>データ!E183</f>
        <v>12</v>
      </c>
      <c r="O183" s="38" t="s">
        <v>1024</v>
      </c>
      <c r="P183" s="38" t="s">
        <v>1319</v>
      </c>
      <c r="Q183" s="38" t="str">
        <f>データ!F183</f>
        <v>斬</v>
      </c>
      <c r="R183" s="38" t="s">
        <v>1024</v>
      </c>
      <c r="S183" s="38" t="s">
        <v>1319</v>
      </c>
      <c r="T183" s="39">
        <f>データ!G183</f>
        <v>15025</v>
      </c>
      <c r="U183" s="40" t="s">
        <v>1024</v>
      </c>
      <c r="V183" s="40" t="s">
        <v>1319</v>
      </c>
      <c r="W183" s="39">
        <f>データ!H183</f>
        <v>6908</v>
      </c>
      <c r="X183" s="40" t="s">
        <v>1024</v>
      </c>
      <c r="Y183" s="40" t="s">
        <v>1319</v>
      </c>
      <c r="Z183" s="39">
        <f>データ!I183</f>
        <v>4850</v>
      </c>
      <c r="AA183" s="40" t="s">
        <v>1024</v>
      </c>
      <c r="AB183" s="40" t="s">
        <v>1322</v>
      </c>
      <c r="AC183" s="39" t="str">
        <f>データ!J183</f>
        <v>A+</v>
      </c>
      <c r="AD183" s="38" t="s">
        <v>1024</v>
      </c>
      <c r="AE183" s="40" t="s">
        <v>1323</v>
      </c>
      <c r="AF183" s="39">
        <f>データ!K183</f>
        <v>26783</v>
      </c>
      <c r="AG183" s="40" t="s">
        <v>1024</v>
      </c>
      <c r="AH183" s="40" t="s">
        <v>1324</v>
      </c>
      <c r="AI183" s="39" t="str">
        <f>データ!L183</f>
        <v>魔幻の閃光／絶</v>
      </c>
      <c r="AJ183" s="10" t="s">
        <v>1113</v>
      </c>
      <c r="AK183" s="39" t="str">
        <f>データ!M183</f>
        <v>縦一列に攻撃[大]</v>
      </c>
      <c r="AL183" s="10" t="s">
        <v>1024</v>
      </c>
      <c r="AM183" s="40" t="s">
        <v>1325</v>
      </c>
      <c r="AN183" s="39" t="str">
        <f>データ!N183</f>
        <v>-</v>
      </c>
      <c r="AO183" s="10" t="s">
        <v>1113</v>
      </c>
      <c r="AP183" s="39" t="str">
        <f>データ!O183</f>
        <v>　</v>
      </c>
      <c r="AQ183" s="41" t="s">
        <v>1024</v>
      </c>
      <c r="AR183" s="40" t="s">
        <v>1324</v>
      </c>
      <c r="AS183" s="39" t="str">
        <f>データ!P183</f>
        <v>エース／真</v>
      </c>
      <c r="AT183" s="10" t="s">
        <v>1113</v>
      </c>
      <c r="AU183" s="39" t="str">
        <f>データ!Q183</f>
        <v>パーティ全体の攻・防が中UP(3分間)</v>
      </c>
      <c r="AV183" s="10" t="s">
        <v>1024</v>
      </c>
      <c r="AW183" s="40" t="s">
        <v>1324</v>
      </c>
      <c r="AX183" s="39" t="str">
        <f>データ!R183</f>
        <v>-</v>
      </c>
      <c r="AY183" s="10" t="s">
        <v>1113</v>
      </c>
      <c r="AZ183" s="39" t="str">
        <f>データ!S183</f>
        <v>　</v>
      </c>
      <c r="BA183" s="41" t="s">
        <v>1024</v>
      </c>
      <c r="BB183" s="40" t="s">
        <v>1319</v>
      </c>
      <c r="BC183" s="39" t="str">
        <f>データ!T183</f>
        <v>-</v>
      </c>
      <c r="BD183" s="41" t="s">
        <v>1024</v>
      </c>
      <c r="BE183" s="40" t="s">
        <v>1320</v>
      </c>
      <c r="BF183" s="39" t="str">
        <f>データ!U183</f>
        <v>-</v>
      </c>
      <c r="BG183" s="41" t="s">
        <v>1024</v>
      </c>
      <c r="BH183" s="40" t="s">
        <v>1319</v>
      </c>
      <c r="BI183" s="39" t="str">
        <f>データ!V183</f>
        <v>第4回統一報酬</v>
      </c>
      <c r="BJ183" s="41" t="s">
        <v>1024</v>
      </c>
      <c r="BK183" s="10" t="s">
        <v>1019</v>
      </c>
    </row>
    <row r="184" spans="1:63" x14ac:dyDescent="0.15">
      <c r="A184" s="10" t="s">
        <v>1016</v>
      </c>
      <c r="B184" s="10" t="s">
        <v>1454</v>
      </c>
      <c r="C184" s="38" t="str">
        <f>"./images/thumbnail/"&amp;データ!B184&amp;".jpg"</f>
        <v>./images/thumbnail/1319.jpg</v>
      </c>
      <c r="D184" s="38" t="s">
        <v>1455</v>
      </c>
      <c r="E184" s="38" t="str">
        <f>"./images/thumbnail/"&amp;データ!B184&amp;".jpg"</f>
        <v>./images/thumbnail/1319.jpg</v>
      </c>
      <c r="F184" s="38" t="s">
        <v>1116</v>
      </c>
      <c r="G184" s="38" t="s">
        <v>1319</v>
      </c>
      <c r="H184" s="38" t="str">
        <f>データ!C184</f>
        <v>マリエル</v>
      </c>
      <c r="I184" s="38" t="s">
        <v>1024</v>
      </c>
      <c r="J184" s="38" t="s">
        <v>1320</v>
      </c>
      <c r="K184" s="38" t="str">
        <f>データ!D184</f>
        <v>SSR</v>
      </c>
      <c r="L184" s="38" t="s">
        <v>1024</v>
      </c>
      <c r="M184" s="38" t="s">
        <v>1321</v>
      </c>
      <c r="N184" s="38">
        <f>データ!E184</f>
        <v>13</v>
      </c>
      <c r="O184" s="38" t="s">
        <v>1024</v>
      </c>
      <c r="P184" s="38" t="s">
        <v>1319</v>
      </c>
      <c r="Q184" s="38" t="str">
        <f>データ!F184</f>
        <v>斬</v>
      </c>
      <c r="R184" s="38" t="s">
        <v>1024</v>
      </c>
      <c r="S184" s="38" t="s">
        <v>1319</v>
      </c>
      <c r="T184" s="39">
        <f>データ!G184</f>
        <v>16068</v>
      </c>
      <c r="U184" s="40" t="s">
        <v>1024</v>
      </c>
      <c r="V184" s="40" t="s">
        <v>1319</v>
      </c>
      <c r="W184" s="39">
        <f>データ!H184</f>
        <v>7389</v>
      </c>
      <c r="X184" s="40" t="s">
        <v>1024</v>
      </c>
      <c r="Y184" s="40" t="s">
        <v>1319</v>
      </c>
      <c r="Z184" s="39">
        <f>データ!I184</f>
        <v>5242</v>
      </c>
      <c r="AA184" s="40" t="s">
        <v>1024</v>
      </c>
      <c r="AB184" s="40" t="s">
        <v>1322</v>
      </c>
      <c r="AC184" s="39" t="str">
        <f>データ!J184</f>
        <v>A+</v>
      </c>
      <c r="AD184" s="38" t="s">
        <v>1024</v>
      </c>
      <c r="AE184" s="40" t="s">
        <v>1323</v>
      </c>
      <c r="AF184" s="39">
        <f>データ!K184</f>
        <v>28699</v>
      </c>
      <c r="AG184" s="40" t="s">
        <v>1024</v>
      </c>
      <c r="AH184" s="40" t="s">
        <v>1324</v>
      </c>
      <c r="AI184" s="39" t="str">
        <f>データ!L184</f>
        <v>魔幻の閃光／絶</v>
      </c>
      <c r="AJ184" s="10" t="s">
        <v>1113</v>
      </c>
      <c r="AK184" s="39" t="str">
        <f>データ!M184</f>
        <v>縦一列に攻撃[大]</v>
      </c>
      <c r="AL184" s="10" t="s">
        <v>1024</v>
      </c>
      <c r="AM184" s="40" t="s">
        <v>1325</v>
      </c>
      <c r="AN184" s="39" t="str">
        <f>データ!N184</f>
        <v>-</v>
      </c>
      <c r="AO184" s="10" t="s">
        <v>1113</v>
      </c>
      <c r="AP184" s="39" t="str">
        <f>データ!O184</f>
        <v>　</v>
      </c>
      <c r="AQ184" s="41" t="s">
        <v>1024</v>
      </c>
      <c r="AR184" s="40" t="s">
        <v>1324</v>
      </c>
      <c r="AS184" s="39" t="str">
        <f>データ!P184</f>
        <v>エース／真</v>
      </c>
      <c r="AT184" s="10" t="s">
        <v>1113</v>
      </c>
      <c r="AU184" s="39" t="str">
        <f>データ!Q184</f>
        <v>パーティ全体の攻・防が中UP(3分間)</v>
      </c>
      <c r="AV184" s="10" t="s">
        <v>1024</v>
      </c>
      <c r="AW184" s="40" t="s">
        <v>1324</v>
      </c>
      <c r="AX184" s="39" t="str">
        <f>データ!R184</f>
        <v>-</v>
      </c>
      <c r="AY184" s="10" t="s">
        <v>1113</v>
      </c>
      <c r="AZ184" s="39" t="str">
        <f>データ!S184</f>
        <v>　</v>
      </c>
      <c r="BA184" s="41" t="s">
        <v>1024</v>
      </c>
      <c r="BB184" s="40" t="s">
        <v>1319</v>
      </c>
      <c r="BC184" s="39" t="str">
        <f>データ!T184</f>
        <v>-</v>
      </c>
      <c r="BD184" s="41" t="s">
        <v>1024</v>
      </c>
      <c r="BE184" s="40" t="s">
        <v>1320</v>
      </c>
      <c r="BF184" s="39" t="str">
        <f>データ!U184</f>
        <v>-</v>
      </c>
      <c r="BG184" s="41" t="s">
        <v>1024</v>
      </c>
      <c r="BH184" s="40" t="s">
        <v>1319</v>
      </c>
      <c r="BI184" s="39" t="str">
        <f>データ!V184</f>
        <v>第4回統一報酬</v>
      </c>
      <c r="BJ184" s="41" t="s">
        <v>1024</v>
      </c>
      <c r="BK184" s="10" t="s">
        <v>1019</v>
      </c>
    </row>
    <row r="185" spans="1:63" x14ac:dyDescent="0.15">
      <c r="A185" s="10" t="s">
        <v>1016</v>
      </c>
      <c r="B185" s="10" t="s">
        <v>1454</v>
      </c>
      <c r="C185" s="38" t="str">
        <f>"./images/thumbnail/"&amp;データ!B185&amp;".jpg"</f>
        <v>./images/thumbnail/1320.jpg</v>
      </c>
      <c r="D185" s="38" t="s">
        <v>1455</v>
      </c>
      <c r="E185" s="38" t="str">
        <f>"./images/thumbnail/"&amp;データ!B185&amp;".jpg"</f>
        <v>./images/thumbnail/1320.jpg</v>
      </c>
      <c r="F185" s="38" t="s">
        <v>1116</v>
      </c>
      <c r="G185" s="38" t="s">
        <v>1319</v>
      </c>
      <c r="H185" s="38" t="str">
        <f>データ!C185</f>
        <v>マリエル</v>
      </c>
      <c r="I185" s="38" t="s">
        <v>1024</v>
      </c>
      <c r="J185" s="38" t="s">
        <v>1320</v>
      </c>
      <c r="K185" s="38" t="str">
        <f>データ!D185</f>
        <v>UR</v>
      </c>
      <c r="L185" s="38" t="s">
        <v>1024</v>
      </c>
      <c r="M185" s="38" t="s">
        <v>1321</v>
      </c>
      <c r="N185" s="38">
        <f>データ!E185</f>
        <v>14</v>
      </c>
      <c r="O185" s="38" t="s">
        <v>1024</v>
      </c>
      <c r="P185" s="38" t="s">
        <v>1319</v>
      </c>
      <c r="Q185" s="38" t="str">
        <f>データ!F185</f>
        <v>斬</v>
      </c>
      <c r="R185" s="38" t="s">
        <v>1024</v>
      </c>
      <c r="S185" s="38" t="s">
        <v>1319</v>
      </c>
      <c r="T185" s="39">
        <f>データ!G185</f>
        <v>17550</v>
      </c>
      <c r="U185" s="40" t="s">
        <v>1024</v>
      </c>
      <c r="V185" s="40" t="s">
        <v>1319</v>
      </c>
      <c r="W185" s="39">
        <f>データ!H185</f>
        <v>8070</v>
      </c>
      <c r="X185" s="40" t="s">
        <v>1024</v>
      </c>
      <c r="Y185" s="40" t="s">
        <v>1319</v>
      </c>
      <c r="Z185" s="39">
        <f>データ!I185</f>
        <v>6226</v>
      </c>
      <c r="AA185" s="40" t="s">
        <v>1024</v>
      </c>
      <c r="AB185" s="40" t="s">
        <v>1322</v>
      </c>
      <c r="AC185" s="39" t="str">
        <f>データ!J185</f>
        <v>S</v>
      </c>
      <c r="AD185" s="38" t="s">
        <v>1024</v>
      </c>
      <c r="AE185" s="40" t="s">
        <v>1323</v>
      </c>
      <c r="AF185" s="39">
        <f>データ!K185</f>
        <v>31846</v>
      </c>
      <c r="AG185" s="40" t="s">
        <v>1024</v>
      </c>
      <c r="AH185" s="40" t="s">
        <v>1324</v>
      </c>
      <c r="AI185" s="39" t="str">
        <f>データ!L185</f>
        <v>魔幻の閃光／煌</v>
      </c>
      <c r="AJ185" s="10" t="s">
        <v>1113</v>
      </c>
      <c r="AK185" s="39" t="str">
        <f>データ!M185</f>
        <v>縦一列に攻撃[特大]</v>
      </c>
      <c r="AL185" s="10" t="s">
        <v>1024</v>
      </c>
      <c r="AM185" s="40" t="s">
        <v>1325</v>
      </c>
      <c r="AN185" s="39" t="str">
        <f>データ!N185</f>
        <v>-</v>
      </c>
      <c r="AO185" s="10" t="s">
        <v>1113</v>
      </c>
      <c r="AP185" s="39" t="str">
        <f>データ!O185</f>
        <v>　</v>
      </c>
      <c r="AQ185" s="41" t="s">
        <v>1024</v>
      </c>
      <c r="AR185" s="40" t="s">
        <v>1324</v>
      </c>
      <c r="AS185" s="39" t="str">
        <f>データ!P185</f>
        <v>エース／絶</v>
      </c>
      <c r="AT185" s="10" t="s">
        <v>1113</v>
      </c>
      <c r="AU185" s="39" t="str">
        <f>データ!Q185</f>
        <v>パーティ全体の攻・防が大UP(3分間)</v>
      </c>
      <c r="AV185" s="10" t="s">
        <v>1024</v>
      </c>
      <c r="AW185" s="40" t="s">
        <v>1324</v>
      </c>
      <c r="AX185" s="39" t="str">
        <f>データ!R185</f>
        <v>-</v>
      </c>
      <c r="AY185" s="10" t="s">
        <v>1113</v>
      </c>
      <c r="AZ185" s="39" t="str">
        <f>データ!S185</f>
        <v>　</v>
      </c>
      <c r="BA185" s="41" t="s">
        <v>1024</v>
      </c>
      <c r="BB185" s="40" t="s">
        <v>1319</v>
      </c>
      <c r="BC185" s="39" t="str">
        <f>データ!T185</f>
        <v>-</v>
      </c>
      <c r="BD185" s="41" t="s">
        <v>1024</v>
      </c>
      <c r="BE185" s="40" t="s">
        <v>1320</v>
      </c>
      <c r="BF185" s="39" t="str">
        <f>データ!U185</f>
        <v>-</v>
      </c>
      <c r="BG185" s="41" t="s">
        <v>1024</v>
      </c>
      <c r="BH185" s="40" t="s">
        <v>1319</v>
      </c>
      <c r="BI185" s="39" t="str">
        <f>データ!V185</f>
        <v>第4回統一報酬</v>
      </c>
      <c r="BJ185" s="41" t="s">
        <v>1024</v>
      </c>
      <c r="BK185" s="10" t="s">
        <v>1019</v>
      </c>
    </row>
    <row r="186" spans="1:63" x14ac:dyDescent="0.15">
      <c r="A186" s="10" t="s">
        <v>1016</v>
      </c>
      <c r="B186" s="10" t="s">
        <v>1454</v>
      </c>
      <c r="C186" s="38" t="str">
        <f>"./images/thumbnail/"&amp;データ!B186&amp;".jpg"</f>
        <v>./images/thumbnail/1321.jpg</v>
      </c>
      <c r="D186" s="38" t="s">
        <v>1455</v>
      </c>
      <c r="E186" s="38" t="str">
        <f>"./images/thumbnail/"&amp;データ!B186&amp;".jpg"</f>
        <v>./images/thumbnail/1321.jpg</v>
      </c>
      <c r="F186" s="38" t="s">
        <v>1116</v>
      </c>
      <c r="G186" s="38" t="s">
        <v>1319</v>
      </c>
      <c r="H186" s="38" t="str">
        <f>データ!C186</f>
        <v>アデリーナ</v>
      </c>
      <c r="I186" s="38" t="s">
        <v>1024</v>
      </c>
      <c r="J186" s="38" t="s">
        <v>1320</v>
      </c>
      <c r="K186" s="38" t="str">
        <f>データ!D186</f>
        <v>SSR</v>
      </c>
      <c r="L186" s="38" t="s">
        <v>1024</v>
      </c>
      <c r="M186" s="38" t="s">
        <v>1321</v>
      </c>
      <c r="N186" s="38">
        <f>データ!E186</f>
        <v>13</v>
      </c>
      <c r="O186" s="38" t="s">
        <v>1024</v>
      </c>
      <c r="P186" s="38" t="s">
        <v>1319</v>
      </c>
      <c r="Q186" s="38" t="str">
        <f>データ!F186</f>
        <v>遠</v>
      </c>
      <c r="R186" s="38" t="s">
        <v>1024</v>
      </c>
      <c r="S186" s="38" t="s">
        <v>1319</v>
      </c>
      <c r="T186" s="39">
        <f>データ!G186</f>
        <v>16695</v>
      </c>
      <c r="U186" s="40" t="s">
        <v>1024</v>
      </c>
      <c r="V186" s="40" t="s">
        <v>1319</v>
      </c>
      <c r="W186" s="39">
        <f>データ!H186</f>
        <v>6165</v>
      </c>
      <c r="X186" s="40" t="s">
        <v>1024</v>
      </c>
      <c r="Y186" s="40" t="s">
        <v>1319</v>
      </c>
      <c r="Z186" s="39">
        <f>データ!I186</f>
        <v>4577</v>
      </c>
      <c r="AA186" s="40" t="s">
        <v>1024</v>
      </c>
      <c r="AB186" s="40" t="s">
        <v>1322</v>
      </c>
      <c r="AC186" s="39" t="str">
        <f>データ!J186</f>
        <v>SS-</v>
      </c>
      <c r="AD186" s="38" t="s">
        <v>1024</v>
      </c>
      <c r="AE186" s="40" t="s">
        <v>1323</v>
      </c>
      <c r="AF186" s="39">
        <f>データ!K186</f>
        <v>27437</v>
      </c>
      <c r="AG186" s="40" t="s">
        <v>1024</v>
      </c>
      <c r="AH186" s="40" t="s">
        <v>1324</v>
      </c>
      <c r="AI186" s="39" t="str">
        <f>データ!L186</f>
        <v>天幻射の五連撃</v>
      </c>
      <c r="AJ186" s="10" t="s">
        <v>1113</v>
      </c>
      <c r="AK186" s="39" t="str">
        <f>データ!M186</f>
        <v>ランダム5連続攻撃[小]自分の攻撃力UP[小]</v>
      </c>
      <c r="AL186" s="10" t="s">
        <v>1024</v>
      </c>
      <c r="AM186" s="40" t="s">
        <v>1325</v>
      </c>
      <c r="AN186" s="39" t="str">
        <f>データ!N186</f>
        <v>-</v>
      </c>
      <c r="AO186" s="10" t="s">
        <v>1113</v>
      </c>
      <c r="AP186" s="39" t="str">
        <f>データ!O186</f>
        <v>　</v>
      </c>
      <c r="AQ186" s="41" t="s">
        <v>1024</v>
      </c>
      <c r="AR186" s="40" t="s">
        <v>1324</v>
      </c>
      <c r="AS186" s="39" t="str">
        <f>データ!P186</f>
        <v>アサルト</v>
      </c>
      <c r="AT186" s="10" t="s">
        <v>1113</v>
      </c>
      <c r="AU186" s="39" t="str">
        <f>データ!Q186</f>
        <v>パーティ全体の攻撃力が小UP(3分間)</v>
      </c>
      <c r="AV186" s="10" t="s">
        <v>1024</v>
      </c>
      <c r="AW186" s="40" t="s">
        <v>1324</v>
      </c>
      <c r="AX186" s="39" t="str">
        <f>データ!R186</f>
        <v>-</v>
      </c>
      <c r="AY186" s="10" t="s">
        <v>1113</v>
      </c>
      <c r="AZ186" s="39" t="str">
        <f>データ!S186</f>
        <v>　</v>
      </c>
      <c r="BA186" s="41" t="s">
        <v>1024</v>
      </c>
      <c r="BB186" s="40" t="s">
        <v>1319</v>
      </c>
      <c r="BC186" s="39" t="str">
        <f>データ!T186</f>
        <v>-</v>
      </c>
      <c r="BD186" s="41" t="s">
        <v>1024</v>
      </c>
      <c r="BE186" s="40" t="s">
        <v>1320</v>
      </c>
      <c r="BF186" s="39" t="str">
        <f>データ!U186</f>
        <v>-</v>
      </c>
      <c r="BG186" s="41" t="s">
        <v>1024</v>
      </c>
      <c r="BH186" s="40" t="s">
        <v>1319</v>
      </c>
      <c r="BI186" s="39" t="str">
        <f>データ!V186</f>
        <v>グラン</v>
      </c>
      <c r="BJ186" s="41" t="s">
        <v>1024</v>
      </c>
      <c r="BK186" s="10" t="s">
        <v>1019</v>
      </c>
    </row>
    <row r="187" spans="1:63" x14ac:dyDescent="0.15">
      <c r="A187" s="10" t="s">
        <v>1016</v>
      </c>
      <c r="B187" s="10" t="s">
        <v>1454</v>
      </c>
      <c r="C187" s="38" t="str">
        <f>"./images/thumbnail/"&amp;データ!B187&amp;".jpg"</f>
        <v>./images/thumbnail/1323.jpg</v>
      </c>
      <c r="D187" s="38" t="s">
        <v>1455</v>
      </c>
      <c r="E187" s="38" t="str">
        <f>"./images/thumbnail/"&amp;データ!B187&amp;".jpg"</f>
        <v>./images/thumbnail/1323.jpg</v>
      </c>
      <c r="F187" s="38" t="s">
        <v>1116</v>
      </c>
      <c r="G187" s="38" t="s">
        <v>1319</v>
      </c>
      <c r="H187" s="38" t="str">
        <f>データ!C187</f>
        <v>ベアトリス</v>
      </c>
      <c r="I187" s="38" t="s">
        <v>1024</v>
      </c>
      <c r="J187" s="38" t="s">
        <v>1320</v>
      </c>
      <c r="K187" s="38" t="str">
        <f>データ!D187</f>
        <v>SSR</v>
      </c>
      <c r="L187" s="38" t="s">
        <v>1024</v>
      </c>
      <c r="M187" s="38" t="s">
        <v>1321</v>
      </c>
      <c r="N187" s="38">
        <f>データ!E187</f>
        <v>13</v>
      </c>
      <c r="O187" s="38" t="s">
        <v>1024</v>
      </c>
      <c r="P187" s="38" t="s">
        <v>1319</v>
      </c>
      <c r="Q187" s="38" t="str">
        <f>データ!F187</f>
        <v>斬</v>
      </c>
      <c r="R187" s="38" t="s">
        <v>1024</v>
      </c>
      <c r="S187" s="38" t="s">
        <v>1319</v>
      </c>
      <c r="T187" s="39">
        <f>データ!G187</f>
        <v>17249</v>
      </c>
      <c r="U187" s="40" t="s">
        <v>1024</v>
      </c>
      <c r="V187" s="40" t="s">
        <v>1319</v>
      </c>
      <c r="W187" s="39">
        <f>データ!H187</f>
        <v>6904</v>
      </c>
      <c r="X187" s="40" t="s">
        <v>1024</v>
      </c>
      <c r="Y187" s="40" t="s">
        <v>1319</v>
      </c>
      <c r="Z187" s="39">
        <f>データ!I187</f>
        <v>5336</v>
      </c>
      <c r="AA187" s="40" t="s">
        <v>1024</v>
      </c>
      <c r="AB187" s="40" t="s">
        <v>1322</v>
      </c>
      <c r="AC187" s="39" t="str">
        <f>データ!J187</f>
        <v>A+</v>
      </c>
      <c r="AD187" s="38" t="s">
        <v>1024</v>
      </c>
      <c r="AE187" s="40" t="s">
        <v>1323</v>
      </c>
      <c r="AF187" s="39">
        <f>データ!K187</f>
        <v>29489</v>
      </c>
      <c r="AG187" s="40" t="s">
        <v>1024</v>
      </c>
      <c r="AH187" s="40" t="s">
        <v>1324</v>
      </c>
      <c r="AI187" s="39" t="str">
        <f>データ!L187</f>
        <v>強奪者の雷／絶</v>
      </c>
      <c r="AJ187" s="10" t="s">
        <v>1113</v>
      </c>
      <c r="AK187" s="39" t="str">
        <f>データ!M187</f>
        <v>単体攻撃（宝箱優先／追加ダメージ）[大]</v>
      </c>
      <c r="AL187" s="10" t="s">
        <v>1024</v>
      </c>
      <c r="AM187" s="40" t="s">
        <v>1325</v>
      </c>
      <c r="AN187" s="39" t="str">
        <f>データ!N187</f>
        <v>-</v>
      </c>
      <c r="AO187" s="10" t="s">
        <v>1113</v>
      </c>
      <c r="AP187" s="39" t="str">
        <f>データ!O187</f>
        <v>　</v>
      </c>
      <c r="AQ187" s="41" t="s">
        <v>1024</v>
      </c>
      <c r="AR187" s="40" t="s">
        <v>1324</v>
      </c>
      <c r="AS187" s="39" t="str">
        <f>データ!P187</f>
        <v>ジャガーノート／真</v>
      </c>
      <c r="AT187" s="10" t="s">
        <v>1113</v>
      </c>
      <c r="AU187" s="39" t="str">
        <f>データ!Q187</f>
        <v>バトルで敵を全滅するとBPが中回復(バトル3回)</v>
      </c>
      <c r="AV187" s="10" t="s">
        <v>1024</v>
      </c>
      <c r="AW187" s="40" t="s">
        <v>1324</v>
      </c>
      <c r="AX187" s="39" t="str">
        <f>データ!R187</f>
        <v>-</v>
      </c>
      <c r="AY187" s="10" t="s">
        <v>1113</v>
      </c>
      <c r="AZ187" s="39" t="str">
        <f>データ!S187</f>
        <v>　</v>
      </c>
      <c r="BA187" s="41" t="s">
        <v>1024</v>
      </c>
      <c r="BB187" s="40" t="s">
        <v>1319</v>
      </c>
      <c r="BC187" s="39" t="str">
        <f>データ!T187</f>
        <v>-</v>
      </c>
      <c r="BD187" s="41" t="s">
        <v>1024</v>
      </c>
      <c r="BE187" s="40" t="s">
        <v>1320</v>
      </c>
      <c r="BF187" s="39" t="str">
        <f>データ!U187</f>
        <v>-</v>
      </c>
      <c r="BG187" s="41" t="s">
        <v>1024</v>
      </c>
      <c r="BH187" s="40" t="s">
        <v>1319</v>
      </c>
      <c r="BI187" s="39" t="str">
        <f>データ!V187</f>
        <v>常設</v>
      </c>
      <c r="BJ187" s="41" t="s">
        <v>1024</v>
      </c>
      <c r="BK187" s="10" t="s">
        <v>1019</v>
      </c>
    </row>
    <row r="188" spans="1:63" x14ac:dyDescent="0.15">
      <c r="A188" s="10" t="s">
        <v>1016</v>
      </c>
      <c r="B188" s="10" t="s">
        <v>1454</v>
      </c>
      <c r="C188" s="38" t="str">
        <f>"./images/thumbnail/"&amp;データ!B188&amp;".jpg"</f>
        <v>./images/thumbnail/1325.jpg</v>
      </c>
      <c r="D188" s="38" t="s">
        <v>1455</v>
      </c>
      <c r="E188" s="38" t="str">
        <f>"./images/thumbnail/"&amp;データ!B188&amp;".jpg"</f>
        <v>./images/thumbnail/1325.jpg</v>
      </c>
      <c r="F188" s="38" t="s">
        <v>1116</v>
      </c>
      <c r="G188" s="38" t="s">
        <v>1319</v>
      </c>
      <c r="H188" s="38" t="str">
        <f>データ!C188</f>
        <v>グレアム</v>
      </c>
      <c r="I188" s="38" t="s">
        <v>1024</v>
      </c>
      <c r="J188" s="38" t="s">
        <v>1320</v>
      </c>
      <c r="K188" s="38" t="str">
        <f>データ!D188</f>
        <v>SSR</v>
      </c>
      <c r="L188" s="38" t="s">
        <v>1024</v>
      </c>
      <c r="M188" s="38" t="s">
        <v>1321</v>
      </c>
      <c r="N188" s="38">
        <f>データ!E188</f>
        <v>13</v>
      </c>
      <c r="O188" s="38" t="s">
        <v>1024</v>
      </c>
      <c r="P188" s="38" t="s">
        <v>1319</v>
      </c>
      <c r="Q188" s="38" t="str">
        <f>データ!F188</f>
        <v>突</v>
      </c>
      <c r="R188" s="38" t="s">
        <v>1024</v>
      </c>
      <c r="S188" s="38" t="s">
        <v>1319</v>
      </c>
      <c r="T188" s="39">
        <f>データ!G188</f>
        <v>17270</v>
      </c>
      <c r="U188" s="40" t="s">
        <v>1024</v>
      </c>
      <c r="V188" s="40" t="s">
        <v>1319</v>
      </c>
      <c r="W188" s="39">
        <f>データ!H188</f>
        <v>5140</v>
      </c>
      <c r="X188" s="40" t="s">
        <v>1024</v>
      </c>
      <c r="Y188" s="40" t="s">
        <v>1319</v>
      </c>
      <c r="Z188" s="39">
        <f>データ!I188</f>
        <v>6551</v>
      </c>
      <c r="AA188" s="40" t="s">
        <v>1024</v>
      </c>
      <c r="AB188" s="40" t="s">
        <v>1322</v>
      </c>
      <c r="AC188" s="39" t="str">
        <f>データ!J188</f>
        <v>SS-</v>
      </c>
      <c r="AD188" s="38" t="s">
        <v>1024</v>
      </c>
      <c r="AE188" s="40" t="s">
        <v>1323</v>
      </c>
      <c r="AF188" s="39">
        <f>データ!K188</f>
        <v>28961</v>
      </c>
      <c r="AG188" s="40" t="s">
        <v>1024</v>
      </c>
      <c r="AH188" s="40" t="s">
        <v>1324</v>
      </c>
      <c r="AI188" s="39" t="str">
        <f>データ!L188</f>
        <v xml:space="preserve">天幻神の四連撃／真 </v>
      </c>
      <c r="AJ188" s="10" t="s">
        <v>1113</v>
      </c>
      <c r="AK188" s="39" t="str">
        <f>データ!M188</f>
        <v>ランダム4連続攻撃[中]自分の攻撃力UP[中]</v>
      </c>
      <c r="AL188" s="10" t="s">
        <v>1024</v>
      </c>
      <c r="AM188" s="40" t="s">
        <v>1325</v>
      </c>
      <c r="AN188" s="39" t="str">
        <f>データ!N188</f>
        <v>-</v>
      </c>
      <c r="AO188" s="10" t="s">
        <v>1113</v>
      </c>
      <c r="AP188" s="39" t="str">
        <f>データ!O188</f>
        <v>　</v>
      </c>
      <c r="AQ188" s="41" t="s">
        <v>1024</v>
      </c>
      <c r="AR188" s="40" t="s">
        <v>1324</v>
      </c>
      <c r="AS188" s="39" t="str">
        <f>データ!P188</f>
        <v>リヴァイブ／真蒼突</v>
      </c>
      <c r="AT188" s="10" t="s">
        <v>1113</v>
      </c>
      <c r="AU188" s="39" t="str">
        <f>データ!Q188</f>
        <v>高確率で突属性のユニットを復帰</v>
      </c>
      <c r="AV188" s="10" t="s">
        <v>1024</v>
      </c>
      <c r="AW188" s="40" t="s">
        <v>1324</v>
      </c>
      <c r="AX188" s="39" t="str">
        <f>データ!R188</f>
        <v>-</v>
      </c>
      <c r="AY188" s="10" t="s">
        <v>1113</v>
      </c>
      <c r="AZ188" s="39" t="str">
        <f>データ!S188</f>
        <v>　</v>
      </c>
      <c r="BA188" s="41" t="s">
        <v>1024</v>
      </c>
      <c r="BB188" s="40" t="s">
        <v>1319</v>
      </c>
      <c r="BC188" s="39" t="str">
        <f>データ!T188</f>
        <v>-</v>
      </c>
      <c r="BD188" s="41" t="s">
        <v>1024</v>
      </c>
      <c r="BE188" s="40" t="s">
        <v>1320</v>
      </c>
      <c r="BF188" s="39" t="str">
        <f>データ!U188</f>
        <v>-</v>
      </c>
      <c r="BG188" s="41" t="s">
        <v>1024</v>
      </c>
      <c r="BH188" s="40" t="s">
        <v>1319</v>
      </c>
      <c r="BI188" s="39" t="str">
        <f>データ!V188</f>
        <v>常設</v>
      </c>
      <c r="BJ188" s="41" t="s">
        <v>1024</v>
      </c>
      <c r="BK188" s="10" t="s">
        <v>1019</v>
      </c>
    </row>
    <row r="189" spans="1:63" x14ac:dyDescent="0.15">
      <c r="A189" s="10" t="s">
        <v>1016</v>
      </c>
      <c r="B189" s="10" t="s">
        <v>1454</v>
      </c>
      <c r="C189" s="38" t="str">
        <f>"./images/thumbnail/"&amp;データ!B189&amp;".jpg"</f>
        <v>./images/thumbnail/1327.jpg</v>
      </c>
      <c r="D189" s="38" t="s">
        <v>1455</v>
      </c>
      <c r="E189" s="38" t="str">
        <f>"./images/thumbnail/"&amp;データ!B189&amp;".jpg"</f>
        <v>./images/thumbnail/1327.jpg</v>
      </c>
      <c r="F189" s="38" t="s">
        <v>1116</v>
      </c>
      <c r="G189" s="38" t="s">
        <v>1319</v>
      </c>
      <c r="H189" s="38" t="str">
        <f>データ!C189</f>
        <v>ロジェ</v>
      </c>
      <c r="I189" s="38" t="s">
        <v>1024</v>
      </c>
      <c r="J189" s="38" t="s">
        <v>1320</v>
      </c>
      <c r="K189" s="38" t="str">
        <f>データ!D189</f>
        <v>SSR</v>
      </c>
      <c r="L189" s="38" t="s">
        <v>1024</v>
      </c>
      <c r="M189" s="38" t="s">
        <v>1321</v>
      </c>
      <c r="N189" s="38">
        <f>データ!E189</f>
        <v>13</v>
      </c>
      <c r="O189" s="38" t="s">
        <v>1024</v>
      </c>
      <c r="P189" s="38" t="s">
        <v>1319</v>
      </c>
      <c r="Q189" s="38" t="str">
        <f>データ!F189</f>
        <v>打</v>
      </c>
      <c r="R189" s="38" t="s">
        <v>1024</v>
      </c>
      <c r="S189" s="38" t="s">
        <v>1319</v>
      </c>
      <c r="T189" s="39">
        <f>データ!G189</f>
        <v>21014</v>
      </c>
      <c r="U189" s="40" t="s">
        <v>1024</v>
      </c>
      <c r="V189" s="40" t="s">
        <v>1319</v>
      </c>
      <c r="W189" s="39">
        <f>データ!H189</f>
        <v>5849</v>
      </c>
      <c r="X189" s="40" t="s">
        <v>1024</v>
      </c>
      <c r="Y189" s="40" t="s">
        <v>1319</v>
      </c>
      <c r="Z189" s="39">
        <f>データ!I189</f>
        <v>6535</v>
      </c>
      <c r="AA189" s="40" t="s">
        <v>1024</v>
      </c>
      <c r="AB189" s="40" t="s">
        <v>1322</v>
      </c>
      <c r="AC189" s="39" t="str">
        <f>データ!J189</f>
        <v>A-</v>
      </c>
      <c r="AD189" s="38" t="s">
        <v>1024</v>
      </c>
      <c r="AE189" s="40" t="s">
        <v>1323</v>
      </c>
      <c r="AF189" s="39">
        <f>データ!K189</f>
        <v>33398</v>
      </c>
      <c r="AG189" s="40" t="s">
        <v>1024</v>
      </c>
      <c r="AH189" s="40" t="s">
        <v>1324</v>
      </c>
      <c r="AI189" s="39" t="str">
        <f>データ!L189</f>
        <v>天幻光の交叉線／絶</v>
      </c>
      <c r="AJ189" s="10" t="s">
        <v>1113</v>
      </c>
      <c r="AK189" s="39" t="str">
        <f>データ!M189</f>
        <v>X字型攻撃[大]自分の攻撃力UP[大]</v>
      </c>
      <c r="AL189" s="10" t="s">
        <v>1024</v>
      </c>
      <c r="AM189" s="40" t="s">
        <v>1325</v>
      </c>
      <c r="AN189" s="39" t="str">
        <f>データ!N189</f>
        <v>-</v>
      </c>
      <c r="AO189" s="10" t="s">
        <v>1113</v>
      </c>
      <c r="AP189" s="39" t="str">
        <f>データ!O189</f>
        <v>　</v>
      </c>
      <c r="AQ189" s="41" t="s">
        <v>1024</v>
      </c>
      <c r="AR189" s="40" t="s">
        <v>1324</v>
      </c>
      <c r="AS189" s="39" t="str">
        <f>データ!P189</f>
        <v>ポイントライズ／真</v>
      </c>
      <c r="AT189" s="10" t="s">
        <v>1113</v>
      </c>
      <c r="AU189" s="39" t="str">
        <f>データ!Q189</f>
        <v>獲得する騎士団戦スコアが中アップ(バトル3回)</v>
      </c>
      <c r="AV189" s="10" t="s">
        <v>1024</v>
      </c>
      <c r="AW189" s="40" t="s">
        <v>1324</v>
      </c>
      <c r="AX189" s="39" t="str">
        <f>データ!R189</f>
        <v>-</v>
      </c>
      <c r="AY189" s="10" t="s">
        <v>1113</v>
      </c>
      <c r="AZ189" s="39" t="str">
        <f>データ!S189</f>
        <v>　</v>
      </c>
      <c r="BA189" s="41" t="s">
        <v>1024</v>
      </c>
      <c r="BB189" s="40" t="s">
        <v>1319</v>
      </c>
      <c r="BC189" s="39" t="str">
        <f>データ!T189</f>
        <v>-</v>
      </c>
      <c r="BD189" s="41" t="s">
        <v>1024</v>
      </c>
      <c r="BE189" s="40" t="s">
        <v>1320</v>
      </c>
      <c r="BF189" s="39" t="str">
        <f>データ!U189</f>
        <v>-</v>
      </c>
      <c r="BG189" s="41" t="s">
        <v>1024</v>
      </c>
      <c r="BH189" s="40" t="s">
        <v>1319</v>
      </c>
      <c r="BI189" s="39" t="str">
        <f>データ!V189</f>
        <v>常設</v>
      </c>
      <c r="BJ189" s="41" t="s">
        <v>1024</v>
      </c>
      <c r="BK189" s="10" t="s">
        <v>1019</v>
      </c>
    </row>
    <row r="190" spans="1:63" x14ac:dyDescent="0.15">
      <c r="A190" s="10" t="s">
        <v>1016</v>
      </c>
      <c r="B190" s="10" t="s">
        <v>1454</v>
      </c>
      <c r="C190" s="38" t="str">
        <f>"./images/thumbnail/"&amp;データ!B190&amp;".jpg"</f>
        <v>./images/thumbnail/1329.jpg</v>
      </c>
      <c r="D190" s="38" t="s">
        <v>1455</v>
      </c>
      <c r="E190" s="38" t="str">
        <f>"./images/thumbnail/"&amp;データ!B190&amp;".jpg"</f>
        <v>./images/thumbnail/1329.jpg</v>
      </c>
      <c r="F190" s="38" t="s">
        <v>1116</v>
      </c>
      <c r="G190" s="38" t="s">
        <v>1319</v>
      </c>
      <c r="H190" s="38" t="str">
        <f>データ!C190</f>
        <v>ユリーカ</v>
      </c>
      <c r="I190" s="38" t="s">
        <v>1024</v>
      </c>
      <c r="J190" s="38" t="s">
        <v>1320</v>
      </c>
      <c r="K190" s="38" t="str">
        <f>データ!D190</f>
        <v>SSR</v>
      </c>
      <c r="L190" s="38" t="s">
        <v>1024</v>
      </c>
      <c r="M190" s="38" t="s">
        <v>1321</v>
      </c>
      <c r="N190" s="38">
        <f>データ!E190</f>
        <v>13</v>
      </c>
      <c r="O190" s="38" t="s">
        <v>1024</v>
      </c>
      <c r="P190" s="38" t="s">
        <v>1319</v>
      </c>
      <c r="Q190" s="38" t="str">
        <f>データ!F190</f>
        <v>遠</v>
      </c>
      <c r="R190" s="38" t="s">
        <v>1024</v>
      </c>
      <c r="S190" s="38" t="s">
        <v>1319</v>
      </c>
      <c r="T190" s="39">
        <f>データ!G190</f>
        <v>16166</v>
      </c>
      <c r="U190" s="40" t="s">
        <v>1024</v>
      </c>
      <c r="V190" s="40" t="s">
        <v>1319</v>
      </c>
      <c r="W190" s="39">
        <f>データ!H190</f>
        <v>6480</v>
      </c>
      <c r="X190" s="40" t="s">
        <v>1024</v>
      </c>
      <c r="Y190" s="40" t="s">
        <v>1319</v>
      </c>
      <c r="Z190" s="39">
        <f>データ!I190</f>
        <v>5036</v>
      </c>
      <c r="AA190" s="40" t="s">
        <v>1024</v>
      </c>
      <c r="AB190" s="40" t="s">
        <v>1322</v>
      </c>
      <c r="AC190" s="39" t="str">
        <f>データ!J190</f>
        <v>S-</v>
      </c>
      <c r="AD190" s="38" t="s">
        <v>1024</v>
      </c>
      <c r="AE190" s="40" t="s">
        <v>1323</v>
      </c>
      <c r="AF190" s="39">
        <f>データ!K190</f>
        <v>27682</v>
      </c>
      <c r="AG190" s="40" t="s">
        <v>1024</v>
      </c>
      <c r="AH190" s="40" t="s">
        <v>1324</v>
      </c>
      <c r="AI190" s="39" t="str">
        <f>データ!L190</f>
        <v>癒やしの光／絶</v>
      </c>
      <c r="AJ190" s="10" t="s">
        <v>1113</v>
      </c>
      <c r="AK190" s="39" t="str">
        <f>データ!M190</f>
        <v>最もダメージが多い味方1人のHP回復[大]</v>
      </c>
      <c r="AL190" s="10" t="s">
        <v>1024</v>
      </c>
      <c r="AM190" s="40" t="s">
        <v>1325</v>
      </c>
      <c r="AN190" s="39" t="str">
        <f>データ!N190</f>
        <v>-</v>
      </c>
      <c r="AO190" s="10" t="s">
        <v>1113</v>
      </c>
      <c r="AP190" s="39" t="str">
        <f>データ!O190</f>
        <v>　</v>
      </c>
      <c r="AQ190" s="41" t="s">
        <v>1024</v>
      </c>
      <c r="AR190" s="40" t="s">
        <v>1324</v>
      </c>
      <c r="AS190" s="39" t="str">
        <f>データ!P190</f>
        <v>エース／真</v>
      </c>
      <c r="AT190" s="10" t="s">
        <v>1113</v>
      </c>
      <c r="AU190" s="39" t="str">
        <f>データ!Q190</f>
        <v>パーティ全体の攻・防が中UP(3分間)</v>
      </c>
      <c r="AV190" s="10" t="s">
        <v>1024</v>
      </c>
      <c r="AW190" s="40" t="s">
        <v>1324</v>
      </c>
      <c r="AX190" s="39" t="str">
        <f>データ!R190</f>
        <v>-</v>
      </c>
      <c r="AY190" s="10" t="s">
        <v>1113</v>
      </c>
      <c r="AZ190" s="39" t="str">
        <f>データ!S190</f>
        <v>　</v>
      </c>
      <c r="BA190" s="41" t="s">
        <v>1024</v>
      </c>
      <c r="BB190" s="40" t="s">
        <v>1319</v>
      </c>
      <c r="BC190" s="39" t="str">
        <f>データ!T190</f>
        <v>-</v>
      </c>
      <c r="BD190" s="41" t="s">
        <v>1024</v>
      </c>
      <c r="BE190" s="40" t="s">
        <v>1320</v>
      </c>
      <c r="BF190" s="39" t="str">
        <f>データ!U190</f>
        <v>-</v>
      </c>
      <c r="BG190" s="41" t="s">
        <v>1024</v>
      </c>
      <c r="BH190" s="40" t="s">
        <v>1319</v>
      </c>
      <c r="BI190" s="39" t="str">
        <f>データ!V190</f>
        <v>常設</v>
      </c>
      <c r="BJ190" s="41" t="s">
        <v>1024</v>
      </c>
      <c r="BK190" s="10" t="s">
        <v>1019</v>
      </c>
    </row>
    <row r="191" spans="1:63" x14ac:dyDescent="0.15">
      <c r="A191" s="10" t="s">
        <v>1016</v>
      </c>
      <c r="B191" s="10" t="s">
        <v>1454</v>
      </c>
      <c r="C191" s="38" t="str">
        <f>"./images/thumbnail/"&amp;データ!B191&amp;".jpg"</f>
        <v>./images/thumbnail/1330.jpg</v>
      </c>
      <c r="D191" s="38" t="s">
        <v>1455</v>
      </c>
      <c r="E191" s="38" t="str">
        <f>"./images/thumbnail/"&amp;データ!B191&amp;".jpg"</f>
        <v>./images/thumbnail/1330.jpg</v>
      </c>
      <c r="F191" s="38" t="s">
        <v>1116</v>
      </c>
      <c r="G191" s="38" t="s">
        <v>1319</v>
      </c>
      <c r="H191" s="38" t="str">
        <f>データ!C191</f>
        <v>ゾエ</v>
      </c>
      <c r="I191" s="38" t="s">
        <v>1024</v>
      </c>
      <c r="J191" s="38" t="s">
        <v>1320</v>
      </c>
      <c r="K191" s="38" t="str">
        <f>データ!D191</f>
        <v>SSR</v>
      </c>
      <c r="L191" s="38" t="s">
        <v>1024</v>
      </c>
      <c r="M191" s="38" t="s">
        <v>1321</v>
      </c>
      <c r="N191" s="38">
        <f>データ!E191</f>
        <v>12</v>
      </c>
      <c r="O191" s="38" t="s">
        <v>1024</v>
      </c>
      <c r="P191" s="38" t="s">
        <v>1319</v>
      </c>
      <c r="Q191" s="38" t="str">
        <f>データ!F191</f>
        <v>遠</v>
      </c>
      <c r="R191" s="38" t="s">
        <v>1024</v>
      </c>
      <c r="S191" s="38" t="s">
        <v>1319</v>
      </c>
      <c r="T191" s="39">
        <f>データ!G191</f>
        <v>17183</v>
      </c>
      <c r="U191" s="40" t="s">
        <v>1024</v>
      </c>
      <c r="V191" s="40" t="s">
        <v>1319</v>
      </c>
      <c r="W191" s="39">
        <f>データ!H191</f>
        <v>5997</v>
      </c>
      <c r="X191" s="40" t="s">
        <v>1024</v>
      </c>
      <c r="Y191" s="40" t="s">
        <v>1319</v>
      </c>
      <c r="Z191" s="39">
        <f>データ!I191</f>
        <v>4100</v>
      </c>
      <c r="AA191" s="40" t="s">
        <v>1024</v>
      </c>
      <c r="AB191" s="40" t="s">
        <v>1322</v>
      </c>
      <c r="AC191" s="39" t="str">
        <f>データ!J191</f>
        <v>S-</v>
      </c>
      <c r="AD191" s="38" t="s">
        <v>1024</v>
      </c>
      <c r="AE191" s="40" t="s">
        <v>1323</v>
      </c>
      <c r="AF191" s="39">
        <f>データ!K191</f>
        <v>27280</v>
      </c>
      <c r="AG191" s="40" t="s">
        <v>1024</v>
      </c>
      <c r="AH191" s="40" t="s">
        <v>1324</v>
      </c>
      <c r="AI191" s="39" t="str">
        <f>データ!L191</f>
        <v>暗闇の言霊／絶</v>
      </c>
      <c r="AJ191" s="10" t="s">
        <v>1113</v>
      </c>
      <c r="AK191" s="39" t="str">
        <f>データ!M191</f>
        <v>一定確率で敵を暗闇状態にする[高確率]</v>
      </c>
      <c r="AL191" s="10" t="s">
        <v>1024</v>
      </c>
      <c r="AM191" s="40" t="s">
        <v>1325</v>
      </c>
      <c r="AN191" s="39" t="str">
        <f>データ!N191</f>
        <v>-</v>
      </c>
      <c r="AO191" s="10" t="s">
        <v>1113</v>
      </c>
      <c r="AP191" s="39" t="str">
        <f>データ!O191</f>
        <v>　</v>
      </c>
      <c r="AQ191" s="41" t="s">
        <v>1024</v>
      </c>
      <c r="AR191" s="40" t="s">
        <v>1324</v>
      </c>
      <c r="AS191" s="39" t="str">
        <f>データ!P191</f>
        <v>プロヴォーク／真</v>
      </c>
      <c r="AT191" s="10" t="s">
        <v>1113</v>
      </c>
      <c r="AU191" s="39" t="str">
        <f>データ!Q191</f>
        <v>攻撃される確率が中UP(3分間)</v>
      </c>
      <c r="AV191" s="10" t="s">
        <v>1024</v>
      </c>
      <c r="AW191" s="40" t="s">
        <v>1324</v>
      </c>
      <c r="AX191" s="39" t="str">
        <f>データ!R191</f>
        <v>-</v>
      </c>
      <c r="AY191" s="10" t="s">
        <v>1113</v>
      </c>
      <c r="AZ191" s="39" t="str">
        <f>データ!S191</f>
        <v>　</v>
      </c>
      <c r="BA191" s="41" t="s">
        <v>1024</v>
      </c>
      <c r="BB191" s="40" t="s">
        <v>1319</v>
      </c>
      <c r="BC191" s="39" t="str">
        <f>データ!T191</f>
        <v>-</v>
      </c>
      <c r="BD191" s="41" t="s">
        <v>1024</v>
      </c>
      <c r="BE191" s="40" t="s">
        <v>1320</v>
      </c>
      <c r="BF191" s="39" t="str">
        <f>データ!U191</f>
        <v>-</v>
      </c>
      <c r="BG191" s="41" t="s">
        <v>1024</v>
      </c>
      <c r="BH191" s="40" t="s">
        <v>1319</v>
      </c>
      <c r="BI191" s="39" t="str">
        <f>データ!V191</f>
        <v>誓いイベ</v>
      </c>
      <c r="BJ191" s="41" t="s">
        <v>1024</v>
      </c>
      <c r="BK191" s="10" t="s">
        <v>1019</v>
      </c>
    </row>
    <row r="192" spans="1:63" x14ac:dyDescent="0.15">
      <c r="A192" s="10" t="s">
        <v>1016</v>
      </c>
      <c r="B192" s="10" t="s">
        <v>1454</v>
      </c>
      <c r="C192" s="38" t="str">
        <f>"./images/thumbnail/"&amp;データ!B192&amp;".jpg"</f>
        <v>./images/thumbnail/1332.jpg</v>
      </c>
      <c r="D192" s="38" t="s">
        <v>1455</v>
      </c>
      <c r="E192" s="38" t="str">
        <f>"./images/thumbnail/"&amp;データ!B192&amp;".jpg"</f>
        <v>./images/thumbnail/1332.jpg</v>
      </c>
      <c r="F192" s="38" t="s">
        <v>1116</v>
      </c>
      <c r="G192" s="38" t="s">
        <v>1319</v>
      </c>
      <c r="H192" s="38" t="str">
        <f>データ!C192</f>
        <v>メビウス</v>
      </c>
      <c r="I192" s="38" t="s">
        <v>1024</v>
      </c>
      <c r="J192" s="38" t="s">
        <v>1320</v>
      </c>
      <c r="K192" s="38" t="str">
        <f>データ!D192</f>
        <v>SSR</v>
      </c>
      <c r="L192" s="38" t="s">
        <v>1024</v>
      </c>
      <c r="M192" s="38" t="s">
        <v>1321</v>
      </c>
      <c r="N192" s="38">
        <f>データ!E192</f>
        <v>13</v>
      </c>
      <c r="O192" s="38" t="s">
        <v>1024</v>
      </c>
      <c r="P192" s="38" t="s">
        <v>1319</v>
      </c>
      <c r="Q192" s="38" t="str">
        <f>データ!F192</f>
        <v>斬</v>
      </c>
      <c r="R192" s="38" t="s">
        <v>1024</v>
      </c>
      <c r="S192" s="38" t="s">
        <v>1319</v>
      </c>
      <c r="T192" s="39">
        <f>データ!G192</f>
        <v>16651</v>
      </c>
      <c r="U192" s="40" t="s">
        <v>1024</v>
      </c>
      <c r="V192" s="40" t="s">
        <v>1319</v>
      </c>
      <c r="W192" s="39">
        <f>データ!H192</f>
        <v>7655</v>
      </c>
      <c r="X192" s="40" t="s">
        <v>1024</v>
      </c>
      <c r="Y192" s="40" t="s">
        <v>1319</v>
      </c>
      <c r="Z192" s="39">
        <f>データ!I192</f>
        <v>5044</v>
      </c>
      <c r="AA192" s="40" t="s">
        <v>1024</v>
      </c>
      <c r="AB192" s="40" t="s">
        <v>1322</v>
      </c>
      <c r="AC192" s="39" t="str">
        <f>データ!J192</f>
        <v>A+</v>
      </c>
      <c r="AD192" s="38" t="s">
        <v>1024</v>
      </c>
      <c r="AE192" s="40" t="s">
        <v>1323</v>
      </c>
      <c r="AF192" s="39">
        <f>データ!K192</f>
        <v>29350</v>
      </c>
      <c r="AG192" s="40" t="s">
        <v>1024</v>
      </c>
      <c r="AH192" s="40" t="s">
        <v>1324</v>
      </c>
      <c r="AI192" s="39" t="str">
        <f>データ!L192</f>
        <v>天焔幻の一閃／絶</v>
      </c>
      <c r="AJ192" s="10" t="s">
        <v>1113</v>
      </c>
      <c r="AK192" s="39" t="str">
        <f>データ!M192</f>
        <v>横一列攻撃[大]自分の攻撃力UP[大]</v>
      </c>
      <c r="AL192" s="10" t="s">
        <v>1024</v>
      </c>
      <c r="AM192" s="40" t="s">
        <v>1325</v>
      </c>
      <c r="AN192" s="39" t="str">
        <f>データ!N192</f>
        <v>-</v>
      </c>
      <c r="AO192" s="10" t="s">
        <v>1113</v>
      </c>
      <c r="AP192" s="39" t="str">
        <f>データ!O192</f>
        <v>　</v>
      </c>
      <c r="AQ192" s="41" t="s">
        <v>1024</v>
      </c>
      <c r="AR192" s="40" t="s">
        <v>1324</v>
      </c>
      <c r="AS192" s="39" t="str">
        <f>データ!P192</f>
        <v>シャドウ</v>
      </c>
      <c r="AT192" s="10" t="s">
        <v>1113</v>
      </c>
      <c r="AU192" s="39" t="str">
        <f>データ!Q192</f>
        <v>バトル時の強襲CB率が小UP(3分間)</v>
      </c>
      <c r="AV192" s="10" t="s">
        <v>1024</v>
      </c>
      <c r="AW192" s="40" t="s">
        <v>1324</v>
      </c>
      <c r="AX192" s="39" t="str">
        <f>データ!R192</f>
        <v>-</v>
      </c>
      <c r="AY192" s="10" t="s">
        <v>1113</v>
      </c>
      <c r="AZ192" s="39" t="str">
        <f>データ!S192</f>
        <v>　</v>
      </c>
      <c r="BA192" s="41" t="s">
        <v>1024</v>
      </c>
      <c r="BB192" s="40" t="s">
        <v>1319</v>
      </c>
      <c r="BC192" s="39" t="str">
        <f>データ!T192</f>
        <v>-</v>
      </c>
      <c r="BD192" s="41" t="s">
        <v>1024</v>
      </c>
      <c r="BE192" s="40" t="s">
        <v>1320</v>
      </c>
      <c r="BF192" s="39" t="str">
        <f>データ!U192</f>
        <v>-</v>
      </c>
      <c r="BG192" s="41" t="s">
        <v>1024</v>
      </c>
      <c r="BH192" s="40" t="s">
        <v>1319</v>
      </c>
      <c r="BI192" s="39" t="str">
        <f>データ!V192</f>
        <v>常設</v>
      </c>
      <c r="BJ192" s="41" t="s">
        <v>1024</v>
      </c>
      <c r="BK192" s="10" t="s">
        <v>1019</v>
      </c>
    </row>
    <row r="193" spans="1:63" x14ac:dyDescent="0.15">
      <c r="A193" s="10" t="s">
        <v>1016</v>
      </c>
      <c r="B193" s="10" t="s">
        <v>1454</v>
      </c>
      <c r="C193" s="38" t="str">
        <f>"./images/thumbnail/"&amp;データ!B193&amp;".jpg"</f>
        <v>./images/thumbnail/1334.jpg</v>
      </c>
      <c r="D193" s="38" t="s">
        <v>1455</v>
      </c>
      <c r="E193" s="38" t="str">
        <f>"./images/thumbnail/"&amp;データ!B193&amp;".jpg"</f>
        <v>./images/thumbnail/1334.jpg</v>
      </c>
      <c r="F193" s="38" t="s">
        <v>1116</v>
      </c>
      <c r="G193" s="38" t="s">
        <v>1319</v>
      </c>
      <c r="H193" s="38" t="str">
        <f>データ!C193</f>
        <v>フェリシアス</v>
      </c>
      <c r="I193" s="38" t="s">
        <v>1024</v>
      </c>
      <c r="J193" s="38" t="s">
        <v>1320</v>
      </c>
      <c r="K193" s="38" t="str">
        <f>データ!D193</f>
        <v>SSR</v>
      </c>
      <c r="L193" s="38" t="s">
        <v>1024</v>
      </c>
      <c r="M193" s="38" t="s">
        <v>1321</v>
      </c>
      <c r="N193" s="38">
        <f>データ!E193</f>
        <v>13</v>
      </c>
      <c r="O193" s="38" t="s">
        <v>1024</v>
      </c>
      <c r="P193" s="38" t="s">
        <v>1319</v>
      </c>
      <c r="Q193" s="38" t="str">
        <f>データ!F193</f>
        <v>突</v>
      </c>
      <c r="R193" s="38" t="s">
        <v>1024</v>
      </c>
      <c r="S193" s="38" t="s">
        <v>1319</v>
      </c>
      <c r="T193" s="39">
        <f>データ!G193</f>
        <v>17949</v>
      </c>
      <c r="U193" s="40" t="s">
        <v>1024</v>
      </c>
      <c r="V193" s="40" t="s">
        <v>1319</v>
      </c>
      <c r="W193" s="39">
        <f>データ!H193</f>
        <v>5340</v>
      </c>
      <c r="X193" s="40" t="s">
        <v>1024</v>
      </c>
      <c r="Y193" s="40" t="s">
        <v>1319</v>
      </c>
      <c r="Z193" s="39">
        <f>データ!I193</f>
        <v>5986</v>
      </c>
      <c r="AA193" s="40" t="s">
        <v>1024</v>
      </c>
      <c r="AB193" s="40" t="s">
        <v>1322</v>
      </c>
      <c r="AC193" s="39" t="str">
        <f>データ!J193</f>
        <v>SS-</v>
      </c>
      <c r="AD193" s="38" t="s">
        <v>1024</v>
      </c>
      <c r="AE193" s="40" t="s">
        <v>1323</v>
      </c>
      <c r="AF193" s="39">
        <f>データ!K193</f>
        <v>29275</v>
      </c>
      <c r="AG193" s="40" t="s">
        <v>1024</v>
      </c>
      <c r="AH193" s="40" t="s">
        <v>1324</v>
      </c>
      <c r="AI193" s="39" t="str">
        <f>データ!L193</f>
        <v>蒼突の追撃／真</v>
      </c>
      <c r="AJ193" s="10" t="s">
        <v>1113</v>
      </c>
      <c r="AK193" s="39" t="str">
        <f>データ!M193</f>
        <v>味方の攻撃に一定確率で追撃[高確率]</v>
      </c>
      <c r="AL193" s="10" t="s">
        <v>1024</v>
      </c>
      <c r="AM193" s="40" t="s">
        <v>1325</v>
      </c>
      <c r="AN193" s="39" t="str">
        <f>データ!N193</f>
        <v>-</v>
      </c>
      <c r="AO193" s="10" t="s">
        <v>1113</v>
      </c>
      <c r="AP193" s="39" t="str">
        <f>データ!O193</f>
        <v>　</v>
      </c>
      <c r="AQ193" s="41" t="s">
        <v>1024</v>
      </c>
      <c r="AR193" s="40" t="s">
        <v>1324</v>
      </c>
      <c r="AS193" s="39" t="str">
        <f>データ!P193</f>
        <v>ランページ／真</v>
      </c>
      <c r="AT193" s="10" t="s">
        <v>1113</v>
      </c>
      <c r="AU193" s="39" t="str">
        <f>データ!Q193</f>
        <v>バトルで獲得する騎士団戦スコアが中アップ(3分間)</v>
      </c>
      <c r="AV193" s="10" t="s">
        <v>1024</v>
      </c>
      <c r="AW193" s="40" t="s">
        <v>1324</v>
      </c>
      <c r="AX193" s="39" t="str">
        <f>データ!R193</f>
        <v>-</v>
      </c>
      <c r="AY193" s="10" t="s">
        <v>1113</v>
      </c>
      <c r="AZ193" s="39" t="str">
        <f>データ!S193</f>
        <v>　</v>
      </c>
      <c r="BA193" s="41" t="s">
        <v>1024</v>
      </c>
      <c r="BB193" s="40" t="s">
        <v>1319</v>
      </c>
      <c r="BC193" s="39" t="str">
        <f>データ!T193</f>
        <v>-</v>
      </c>
      <c r="BD193" s="41" t="s">
        <v>1024</v>
      </c>
      <c r="BE193" s="40" t="s">
        <v>1320</v>
      </c>
      <c r="BF193" s="39" t="str">
        <f>データ!U193</f>
        <v>-</v>
      </c>
      <c r="BG193" s="41" t="s">
        <v>1024</v>
      </c>
      <c r="BH193" s="40" t="s">
        <v>1319</v>
      </c>
      <c r="BI193" s="39" t="str">
        <f>データ!V193</f>
        <v>常設</v>
      </c>
      <c r="BJ193" s="41" t="s">
        <v>1024</v>
      </c>
      <c r="BK193" s="10" t="s">
        <v>1019</v>
      </c>
    </row>
    <row r="194" spans="1:63" x14ac:dyDescent="0.15">
      <c r="A194" s="10" t="s">
        <v>1016</v>
      </c>
      <c r="B194" s="10" t="s">
        <v>1454</v>
      </c>
      <c r="C194" s="38" t="str">
        <f>"./images/thumbnail/"&amp;データ!B194&amp;".jpg"</f>
        <v>./images/thumbnail/1336.jpg</v>
      </c>
      <c r="D194" s="38" t="s">
        <v>1455</v>
      </c>
      <c r="E194" s="38" t="str">
        <f>"./images/thumbnail/"&amp;データ!B194&amp;".jpg"</f>
        <v>./images/thumbnail/1336.jpg</v>
      </c>
      <c r="F194" s="38" t="s">
        <v>1116</v>
      </c>
      <c r="G194" s="38" t="s">
        <v>1319</v>
      </c>
      <c r="H194" s="38" t="str">
        <f>データ!C194</f>
        <v>フレデリカ</v>
      </c>
      <c r="I194" s="38" t="s">
        <v>1024</v>
      </c>
      <c r="J194" s="38" t="s">
        <v>1320</v>
      </c>
      <c r="K194" s="38" t="str">
        <f>データ!D194</f>
        <v>SSR</v>
      </c>
      <c r="L194" s="38" t="s">
        <v>1024</v>
      </c>
      <c r="M194" s="38" t="s">
        <v>1321</v>
      </c>
      <c r="N194" s="38">
        <f>データ!E194</f>
        <v>13</v>
      </c>
      <c r="O194" s="38" t="s">
        <v>1024</v>
      </c>
      <c r="P194" s="38" t="s">
        <v>1319</v>
      </c>
      <c r="Q194" s="38" t="str">
        <f>データ!F194</f>
        <v>打</v>
      </c>
      <c r="R194" s="38" t="s">
        <v>1024</v>
      </c>
      <c r="S194" s="38" t="s">
        <v>1319</v>
      </c>
      <c r="T194" s="39">
        <f>データ!G194</f>
        <v>18389</v>
      </c>
      <c r="U194" s="40" t="s">
        <v>1024</v>
      </c>
      <c r="V194" s="40" t="s">
        <v>1319</v>
      </c>
      <c r="W194" s="39">
        <f>データ!H194</f>
        <v>5818</v>
      </c>
      <c r="X194" s="40" t="s">
        <v>1024</v>
      </c>
      <c r="Y194" s="40" t="s">
        <v>1319</v>
      </c>
      <c r="Z194" s="39">
        <f>データ!I194</f>
        <v>7544</v>
      </c>
      <c r="AA194" s="40" t="s">
        <v>1024</v>
      </c>
      <c r="AB194" s="40" t="s">
        <v>1322</v>
      </c>
      <c r="AC194" s="39" t="str">
        <f>データ!J194</f>
        <v>A-</v>
      </c>
      <c r="AD194" s="38" t="s">
        <v>1024</v>
      </c>
      <c r="AE194" s="40" t="s">
        <v>1323</v>
      </c>
      <c r="AF194" s="39">
        <f>データ!K194</f>
        <v>31751</v>
      </c>
      <c r="AG194" s="40" t="s">
        <v>1024</v>
      </c>
      <c r="AH194" s="40" t="s">
        <v>1324</v>
      </c>
      <c r="AI194" s="39" t="str">
        <f>データ!L194</f>
        <v>昏睡の言霊／絶</v>
      </c>
      <c r="AJ194" s="10" t="s">
        <v>1113</v>
      </c>
      <c r="AK194" s="39" t="str">
        <f>データ!M194</f>
        <v>一定確率で敵を睡眠状態にする[高確率]</v>
      </c>
      <c r="AL194" s="10" t="s">
        <v>1024</v>
      </c>
      <c r="AM194" s="40" t="s">
        <v>1325</v>
      </c>
      <c r="AN194" s="39" t="str">
        <f>データ!N194</f>
        <v>-</v>
      </c>
      <c r="AO194" s="10" t="s">
        <v>1113</v>
      </c>
      <c r="AP194" s="39" t="str">
        <f>データ!O194</f>
        <v>　</v>
      </c>
      <c r="AQ194" s="41" t="s">
        <v>1024</v>
      </c>
      <c r="AR194" s="40" t="s">
        <v>1324</v>
      </c>
      <c r="AS194" s="39" t="str">
        <f>データ!P194</f>
        <v>リヴァイブ／真紫打</v>
      </c>
      <c r="AT194" s="10" t="s">
        <v>1113</v>
      </c>
      <c r="AU194" s="39" t="str">
        <f>データ!Q194</f>
        <v>高確率で打属性のユニットを復帰</v>
      </c>
      <c r="AV194" s="10" t="s">
        <v>1024</v>
      </c>
      <c r="AW194" s="40" t="s">
        <v>1324</v>
      </c>
      <c r="AX194" s="39" t="str">
        <f>データ!R194</f>
        <v>-</v>
      </c>
      <c r="AY194" s="10" t="s">
        <v>1113</v>
      </c>
      <c r="AZ194" s="39" t="str">
        <f>データ!S194</f>
        <v>　</v>
      </c>
      <c r="BA194" s="41" t="s">
        <v>1024</v>
      </c>
      <c r="BB194" s="40" t="s">
        <v>1319</v>
      </c>
      <c r="BC194" s="39" t="str">
        <f>データ!T194</f>
        <v>-</v>
      </c>
      <c r="BD194" s="41" t="s">
        <v>1024</v>
      </c>
      <c r="BE194" s="40" t="s">
        <v>1320</v>
      </c>
      <c r="BF194" s="39" t="str">
        <f>データ!U194</f>
        <v>-</v>
      </c>
      <c r="BG194" s="41" t="s">
        <v>1024</v>
      </c>
      <c r="BH194" s="40" t="s">
        <v>1319</v>
      </c>
      <c r="BI194" s="39" t="str">
        <f>データ!V194</f>
        <v>常設</v>
      </c>
      <c r="BJ194" s="41" t="s">
        <v>1024</v>
      </c>
      <c r="BK194" s="10" t="s">
        <v>1019</v>
      </c>
    </row>
    <row r="195" spans="1:63" x14ac:dyDescent="0.15">
      <c r="A195" s="10" t="s">
        <v>1016</v>
      </c>
      <c r="B195" s="10" t="s">
        <v>1454</v>
      </c>
      <c r="C195" s="38" t="str">
        <f>"./images/thumbnail/"&amp;データ!B195&amp;".jpg"</f>
        <v>./images/thumbnail/1338.jpg</v>
      </c>
      <c r="D195" s="38" t="s">
        <v>1455</v>
      </c>
      <c r="E195" s="38" t="str">
        <f>"./images/thumbnail/"&amp;データ!B195&amp;".jpg"</f>
        <v>./images/thumbnail/1338.jpg</v>
      </c>
      <c r="F195" s="38" t="s">
        <v>1116</v>
      </c>
      <c r="G195" s="38" t="s">
        <v>1319</v>
      </c>
      <c r="H195" s="38" t="str">
        <f>データ!C195</f>
        <v>エディオ</v>
      </c>
      <c r="I195" s="38" t="s">
        <v>1024</v>
      </c>
      <c r="J195" s="38" t="s">
        <v>1320</v>
      </c>
      <c r="K195" s="38" t="str">
        <f>データ!D195</f>
        <v>SSR</v>
      </c>
      <c r="L195" s="38" t="s">
        <v>1024</v>
      </c>
      <c r="M195" s="38" t="s">
        <v>1321</v>
      </c>
      <c r="N195" s="38">
        <f>データ!E195</f>
        <v>13</v>
      </c>
      <c r="O195" s="38" t="s">
        <v>1024</v>
      </c>
      <c r="P195" s="38" t="s">
        <v>1319</v>
      </c>
      <c r="Q195" s="38" t="str">
        <f>データ!F195</f>
        <v>遠</v>
      </c>
      <c r="R195" s="38" t="s">
        <v>1024</v>
      </c>
      <c r="S195" s="38" t="s">
        <v>1319</v>
      </c>
      <c r="T195" s="39">
        <f>データ!G195</f>
        <v>19881</v>
      </c>
      <c r="U195" s="40" t="s">
        <v>1024</v>
      </c>
      <c r="V195" s="40" t="s">
        <v>1319</v>
      </c>
      <c r="W195" s="39">
        <f>データ!H195</f>
        <v>5887</v>
      </c>
      <c r="X195" s="40" t="s">
        <v>1024</v>
      </c>
      <c r="Y195" s="40" t="s">
        <v>1319</v>
      </c>
      <c r="Z195" s="39">
        <f>データ!I195</f>
        <v>4526</v>
      </c>
      <c r="AA195" s="40" t="s">
        <v>1024</v>
      </c>
      <c r="AB195" s="40" t="s">
        <v>1322</v>
      </c>
      <c r="AC195" s="39" t="str">
        <f>データ!J195</f>
        <v>S-</v>
      </c>
      <c r="AD195" s="38" t="s">
        <v>1024</v>
      </c>
      <c r="AE195" s="40" t="s">
        <v>1323</v>
      </c>
      <c r="AF195" s="39">
        <f>データ!K195</f>
        <v>30294</v>
      </c>
      <c r="AG195" s="40" t="s">
        <v>1024</v>
      </c>
      <c r="AH195" s="40" t="s">
        <v>1324</v>
      </c>
      <c r="AI195" s="39" t="str">
        <f>データ!L195</f>
        <v>遠翠の聖護</v>
      </c>
      <c r="AJ195" s="10" t="s">
        <v>1113</v>
      </c>
      <c r="AK195" s="39" t="str">
        <f>データ!M195</f>
        <v>味方遠属性の防御力をUP[大]</v>
      </c>
      <c r="AL195" s="10" t="s">
        <v>1024</v>
      </c>
      <c r="AM195" s="40" t="s">
        <v>1325</v>
      </c>
      <c r="AN195" s="39" t="str">
        <f>データ!N195</f>
        <v>-</v>
      </c>
      <c r="AO195" s="10" t="s">
        <v>1113</v>
      </c>
      <c r="AP195" s="39" t="str">
        <f>データ!O195</f>
        <v>　</v>
      </c>
      <c r="AQ195" s="41" t="s">
        <v>1024</v>
      </c>
      <c r="AR195" s="40" t="s">
        <v>1324</v>
      </c>
      <c r="AS195" s="39" t="str">
        <f>データ!P195</f>
        <v>キャッスルヴェール</v>
      </c>
      <c r="AT195" s="10" t="s">
        <v>1113</v>
      </c>
      <c r="AU195" s="39" t="str">
        <f>データ!Q195</f>
        <v>城の強度Lvが小UP(3分間)</v>
      </c>
      <c r="AV195" s="10" t="s">
        <v>1024</v>
      </c>
      <c r="AW195" s="40" t="s">
        <v>1324</v>
      </c>
      <c r="AX195" s="39" t="str">
        <f>データ!R195</f>
        <v>-</v>
      </c>
      <c r="AY195" s="10" t="s">
        <v>1113</v>
      </c>
      <c r="AZ195" s="39" t="str">
        <f>データ!S195</f>
        <v>　</v>
      </c>
      <c r="BA195" s="41" t="s">
        <v>1024</v>
      </c>
      <c r="BB195" s="40" t="s">
        <v>1319</v>
      </c>
      <c r="BC195" s="39" t="str">
        <f>データ!T195</f>
        <v>-</v>
      </c>
      <c r="BD195" s="41" t="s">
        <v>1024</v>
      </c>
      <c r="BE195" s="40" t="s">
        <v>1320</v>
      </c>
      <c r="BF195" s="39" t="str">
        <f>データ!U195</f>
        <v>-</v>
      </c>
      <c r="BG195" s="41" t="s">
        <v>1024</v>
      </c>
      <c r="BH195" s="40" t="s">
        <v>1319</v>
      </c>
      <c r="BI195" s="39" t="str">
        <f>データ!V195</f>
        <v>常設</v>
      </c>
      <c r="BJ195" s="41" t="s">
        <v>1024</v>
      </c>
      <c r="BK195" s="10" t="s">
        <v>1019</v>
      </c>
    </row>
    <row r="196" spans="1:63" x14ac:dyDescent="0.15">
      <c r="A196" s="10" t="s">
        <v>1016</v>
      </c>
      <c r="B196" s="10" t="s">
        <v>1454</v>
      </c>
      <c r="C196" s="38" t="str">
        <f>"./images/thumbnail/"&amp;データ!B196&amp;".jpg"</f>
        <v>./images/thumbnail/1343.jpg</v>
      </c>
      <c r="D196" s="38" t="s">
        <v>1455</v>
      </c>
      <c r="E196" s="38" t="str">
        <f>"./images/thumbnail/"&amp;データ!B196&amp;".jpg"</f>
        <v>./images/thumbnail/1343.jpg</v>
      </c>
      <c r="F196" s="38" t="s">
        <v>1116</v>
      </c>
      <c r="G196" s="38" t="s">
        <v>1319</v>
      </c>
      <c r="H196" s="38" t="str">
        <f>データ!C196</f>
        <v>シルヴェストル</v>
      </c>
      <c r="I196" s="38" t="s">
        <v>1024</v>
      </c>
      <c r="J196" s="38" t="s">
        <v>1320</v>
      </c>
      <c r="K196" s="38" t="str">
        <f>データ!D196</f>
        <v>SSR</v>
      </c>
      <c r="L196" s="38" t="s">
        <v>1024</v>
      </c>
      <c r="M196" s="38" t="s">
        <v>1321</v>
      </c>
      <c r="N196" s="38">
        <f>データ!E196</f>
        <v>13</v>
      </c>
      <c r="O196" s="38" t="s">
        <v>1024</v>
      </c>
      <c r="P196" s="38" t="s">
        <v>1319</v>
      </c>
      <c r="Q196" s="38" t="str">
        <f>データ!F196</f>
        <v>突</v>
      </c>
      <c r="R196" s="38" t="s">
        <v>1024</v>
      </c>
      <c r="S196" s="38" t="s">
        <v>1319</v>
      </c>
      <c r="T196" s="39">
        <f>データ!G196</f>
        <v>19206</v>
      </c>
      <c r="U196" s="40" t="s">
        <v>1024</v>
      </c>
      <c r="V196" s="40" t="s">
        <v>1319</v>
      </c>
      <c r="W196" s="39">
        <f>データ!H196</f>
        <v>5718</v>
      </c>
      <c r="X196" s="40" t="s">
        <v>1024</v>
      </c>
      <c r="Y196" s="40" t="s">
        <v>1319</v>
      </c>
      <c r="Z196" s="39">
        <f>データ!I196</f>
        <v>5324</v>
      </c>
      <c r="AA196" s="40" t="s">
        <v>1024</v>
      </c>
      <c r="AB196" s="40" t="s">
        <v>1322</v>
      </c>
      <c r="AC196" s="39" t="str">
        <f>データ!J196</f>
        <v>SS-</v>
      </c>
      <c r="AD196" s="38" t="s">
        <v>1024</v>
      </c>
      <c r="AE196" s="40" t="s">
        <v>1323</v>
      </c>
      <c r="AF196" s="39">
        <f>データ!K196</f>
        <v>30248</v>
      </c>
      <c r="AG196" s="40" t="s">
        <v>1024</v>
      </c>
      <c r="AH196" s="40" t="s">
        <v>1324</v>
      </c>
      <c r="AI196" s="39" t="str">
        <f>データ!L196</f>
        <v>対紫の薙風／絶</v>
      </c>
      <c r="AJ196" s="10" t="s">
        <v>1113</v>
      </c>
      <c r="AK196" s="39" t="str">
        <f>データ!M196</f>
        <v>打に強く遠に弱い横一列攻撃[大]</v>
      </c>
      <c r="AL196" s="10" t="s">
        <v>1024</v>
      </c>
      <c r="AM196" s="40" t="s">
        <v>1325</v>
      </c>
      <c r="AN196" s="39" t="str">
        <f>データ!N196</f>
        <v>-</v>
      </c>
      <c r="AO196" s="10" t="s">
        <v>1113</v>
      </c>
      <c r="AP196" s="39" t="str">
        <f>データ!O196</f>
        <v>　</v>
      </c>
      <c r="AQ196" s="41" t="s">
        <v>1024</v>
      </c>
      <c r="AR196" s="40" t="s">
        <v>1324</v>
      </c>
      <c r="AS196" s="39" t="str">
        <f>データ!P196</f>
        <v>フォートレス／真</v>
      </c>
      <c r="AT196" s="10" t="s">
        <v>1113</v>
      </c>
      <c r="AU196" s="39" t="str">
        <f>データ!Q196</f>
        <v>パーティ全体の防御力が中UP(3分間)</v>
      </c>
      <c r="AV196" s="10" t="s">
        <v>1024</v>
      </c>
      <c r="AW196" s="40" t="s">
        <v>1324</v>
      </c>
      <c r="AX196" s="39" t="str">
        <f>データ!R196</f>
        <v>-</v>
      </c>
      <c r="AY196" s="10" t="s">
        <v>1113</v>
      </c>
      <c r="AZ196" s="39" t="str">
        <f>データ!S196</f>
        <v>　</v>
      </c>
      <c r="BA196" s="41" t="s">
        <v>1024</v>
      </c>
      <c r="BB196" s="40" t="s">
        <v>1319</v>
      </c>
      <c r="BC196" s="39" t="str">
        <f>データ!T196</f>
        <v>-</v>
      </c>
      <c r="BD196" s="41" t="s">
        <v>1024</v>
      </c>
      <c r="BE196" s="40" t="s">
        <v>1320</v>
      </c>
      <c r="BF196" s="39" t="str">
        <f>データ!U196</f>
        <v>-</v>
      </c>
      <c r="BG196" s="41" t="s">
        <v>1024</v>
      </c>
      <c r="BH196" s="40" t="s">
        <v>1319</v>
      </c>
      <c r="BI196" s="39" t="str">
        <f>データ!V196</f>
        <v>魔女の追憶イベ</v>
      </c>
      <c r="BJ196" s="41" t="s">
        <v>1024</v>
      </c>
      <c r="BK196" s="10" t="s">
        <v>1019</v>
      </c>
    </row>
    <row r="197" spans="1:63" x14ac:dyDescent="0.15">
      <c r="A197" s="10" t="s">
        <v>1016</v>
      </c>
      <c r="B197" s="10" t="s">
        <v>1454</v>
      </c>
      <c r="C197" s="38" t="str">
        <f>"./images/thumbnail/"&amp;データ!B197&amp;".jpg"</f>
        <v>./images/thumbnail/1345.jpg</v>
      </c>
      <c r="D197" s="38" t="s">
        <v>1455</v>
      </c>
      <c r="E197" s="38" t="str">
        <f>"./images/thumbnail/"&amp;データ!B197&amp;".jpg"</f>
        <v>./images/thumbnail/1345.jpg</v>
      </c>
      <c r="F197" s="38" t="s">
        <v>1116</v>
      </c>
      <c r="G197" s="38" t="s">
        <v>1319</v>
      </c>
      <c r="H197" s="38" t="str">
        <f>データ!C197</f>
        <v>ミネット</v>
      </c>
      <c r="I197" s="38" t="s">
        <v>1024</v>
      </c>
      <c r="J197" s="38" t="s">
        <v>1320</v>
      </c>
      <c r="K197" s="38" t="str">
        <f>データ!D197</f>
        <v>SSR</v>
      </c>
      <c r="L197" s="38" t="s">
        <v>1024</v>
      </c>
      <c r="M197" s="38" t="s">
        <v>1321</v>
      </c>
      <c r="N197" s="38">
        <f>データ!E197</f>
        <v>13</v>
      </c>
      <c r="O197" s="38" t="s">
        <v>1024</v>
      </c>
      <c r="P197" s="38" t="s">
        <v>1319</v>
      </c>
      <c r="Q197" s="38" t="str">
        <f>データ!F197</f>
        <v>打</v>
      </c>
      <c r="R197" s="38" t="s">
        <v>1024</v>
      </c>
      <c r="S197" s="38" t="s">
        <v>1319</v>
      </c>
      <c r="T197" s="39">
        <f>データ!G197</f>
        <v>18892</v>
      </c>
      <c r="U197" s="40" t="s">
        <v>1024</v>
      </c>
      <c r="V197" s="40" t="s">
        <v>1319</v>
      </c>
      <c r="W197" s="39">
        <f>データ!H197</f>
        <v>6265</v>
      </c>
      <c r="X197" s="40" t="s">
        <v>1024</v>
      </c>
      <c r="Y197" s="40" t="s">
        <v>1319</v>
      </c>
      <c r="Z197" s="39">
        <f>データ!I197</f>
        <v>6746</v>
      </c>
      <c r="AA197" s="40" t="s">
        <v>1024</v>
      </c>
      <c r="AB197" s="40" t="s">
        <v>1322</v>
      </c>
      <c r="AC197" s="39" t="str">
        <f>データ!J197</f>
        <v>A-</v>
      </c>
      <c r="AD197" s="38" t="s">
        <v>1024</v>
      </c>
      <c r="AE197" s="40" t="s">
        <v>1323</v>
      </c>
      <c r="AF197" s="39">
        <f>データ!K197</f>
        <v>31903</v>
      </c>
      <c r="AG197" s="40" t="s">
        <v>1024</v>
      </c>
      <c r="AH197" s="40" t="s">
        <v>1324</v>
      </c>
      <c r="AI197" s="39" t="str">
        <f>データ!L197</f>
        <v>打鋭の五連月</v>
      </c>
      <c r="AJ197" s="10" t="s">
        <v>1113</v>
      </c>
      <c r="AK197" s="39" t="str">
        <f>データ!M197</f>
        <v>ランダムで2～5連撃。攻撃毎に与ダメ2倍[低確率]</v>
      </c>
      <c r="AL197" s="10" t="s">
        <v>1024</v>
      </c>
      <c r="AM197" s="40" t="s">
        <v>1325</v>
      </c>
      <c r="AN197" s="39" t="str">
        <f>データ!N197</f>
        <v>-</v>
      </c>
      <c r="AO197" s="10" t="s">
        <v>1113</v>
      </c>
      <c r="AP197" s="39" t="str">
        <f>データ!O197</f>
        <v>　</v>
      </c>
      <c r="AQ197" s="41" t="s">
        <v>1024</v>
      </c>
      <c r="AR197" s="40" t="s">
        <v>1324</v>
      </c>
      <c r="AS197" s="39" t="str">
        <f>データ!P197</f>
        <v>アサルト／真</v>
      </c>
      <c r="AT197" s="10" t="s">
        <v>1113</v>
      </c>
      <c r="AU197" s="39" t="str">
        <f>データ!Q197</f>
        <v>パーティ全体の攻撃力が中UP(3分間)</v>
      </c>
      <c r="AV197" s="10" t="s">
        <v>1024</v>
      </c>
      <c r="AW197" s="40" t="s">
        <v>1324</v>
      </c>
      <c r="AX197" s="39" t="str">
        <f>データ!R197</f>
        <v>-</v>
      </c>
      <c r="AY197" s="10" t="s">
        <v>1113</v>
      </c>
      <c r="AZ197" s="39" t="str">
        <f>データ!S197</f>
        <v>　</v>
      </c>
      <c r="BA197" s="41" t="s">
        <v>1024</v>
      </c>
      <c r="BB197" s="40" t="s">
        <v>1319</v>
      </c>
      <c r="BC197" s="39" t="str">
        <f>データ!T197</f>
        <v>-</v>
      </c>
      <c r="BD197" s="41" t="s">
        <v>1024</v>
      </c>
      <c r="BE197" s="40" t="s">
        <v>1320</v>
      </c>
      <c r="BF197" s="39" t="str">
        <f>データ!U197</f>
        <v>-</v>
      </c>
      <c r="BG197" s="41" t="s">
        <v>1024</v>
      </c>
      <c r="BH197" s="40" t="s">
        <v>1319</v>
      </c>
      <c r="BI197" s="39" t="str">
        <f>データ!V197</f>
        <v>覇者の塔</v>
      </c>
      <c r="BJ197" s="41" t="s">
        <v>1024</v>
      </c>
      <c r="BK197" s="10" t="s">
        <v>1019</v>
      </c>
    </row>
    <row r="198" spans="1:63" x14ac:dyDescent="0.15">
      <c r="A198" s="10" t="s">
        <v>1016</v>
      </c>
      <c r="B198" s="10" t="s">
        <v>1454</v>
      </c>
      <c r="C198" s="38" t="str">
        <f>"./images/thumbnail/"&amp;データ!B198&amp;".jpg"</f>
        <v>./images/thumbnail/1347.jpg</v>
      </c>
      <c r="D198" s="38" t="s">
        <v>1455</v>
      </c>
      <c r="E198" s="38" t="str">
        <f>"./images/thumbnail/"&amp;データ!B198&amp;".jpg"</f>
        <v>./images/thumbnail/1347.jpg</v>
      </c>
      <c r="F198" s="38" t="s">
        <v>1116</v>
      </c>
      <c r="G198" s="38" t="s">
        <v>1319</v>
      </c>
      <c r="H198" s="38" t="str">
        <f>データ!C198</f>
        <v>ギルバード</v>
      </c>
      <c r="I198" s="38" t="s">
        <v>1024</v>
      </c>
      <c r="J198" s="38" t="s">
        <v>1320</v>
      </c>
      <c r="K198" s="38" t="str">
        <f>データ!D198</f>
        <v>SSR</v>
      </c>
      <c r="L198" s="38" t="s">
        <v>1024</v>
      </c>
      <c r="M198" s="38" t="s">
        <v>1321</v>
      </c>
      <c r="N198" s="38">
        <f>データ!E198</f>
        <v>13</v>
      </c>
      <c r="O198" s="38" t="s">
        <v>1024</v>
      </c>
      <c r="P198" s="38" t="s">
        <v>1319</v>
      </c>
      <c r="Q198" s="38" t="str">
        <f>データ!F198</f>
        <v>打</v>
      </c>
      <c r="R198" s="38" t="s">
        <v>1024</v>
      </c>
      <c r="S198" s="38" t="s">
        <v>1319</v>
      </c>
      <c r="T198" s="39">
        <f>データ!G198</f>
        <v>19679</v>
      </c>
      <c r="U198" s="40" t="s">
        <v>1024</v>
      </c>
      <c r="V198" s="40" t="s">
        <v>1319</v>
      </c>
      <c r="W198" s="39">
        <f>データ!H198</f>
        <v>5997</v>
      </c>
      <c r="X198" s="40" t="s">
        <v>1024</v>
      </c>
      <c r="Y198" s="40" t="s">
        <v>1319</v>
      </c>
      <c r="Z198" s="39">
        <f>データ!I198</f>
        <v>7030</v>
      </c>
      <c r="AA198" s="40" t="s">
        <v>1024</v>
      </c>
      <c r="AB198" s="40" t="s">
        <v>1322</v>
      </c>
      <c r="AC198" s="39" t="str">
        <f>データ!J198</f>
        <v>A-</v>
      </c>
      <c r="AD198" s="38" t="s">
        <v>1024</v>
      </c>
      <c r="AE198" s="40" t="s">
        <v>1323</v>
      </c>
      <c r="AF198" s="39">
        <f>データ!K198</f>
        <v>32706</v>
      </c>
      <c r="AG198" s="40" t="s">
        <v>1024</v>
      </c>
      <c r="AH198" s="40" t="s">
        <v>1324</v>
      </c>
      <c r="AI198" s="39" t="str">
        <f>データ!L198</f>
        <v>聖天消滅／遠翠</v>
      </c>
      <c r="AJ198" s="10" t="s">
        <v>1113</v>
      </c>
      <c r="AK198" s="39" t="str">
        <f>データ!M198</f>
        <v>敵遠属性の攻撃力と防御力をDOWN[大]</v>
      </c>
      <c r="AL198" s="10" t="s">
        <v>1024</v>
      </c>
      <c r="AM198" s="40" t="s">
        <v>1325</v>
      </c>
      <c r="AN198" s="39" t="str">
        <f>データ!N198</f>
        <v>-</v>
      </c>
      <c r="AO198" s="10" t="s">
        <v>1113</v>
      </c>
      <c r="AP198" s="39" t="str">
        <f>データ!O198</f>
        <v>　</v>
      </c>
      <c r="AQ198" s="41" t="s">
        <v>1024</v>
      </c>
      <c r="AR198" s="40" t="s">
        <v>1324</v>
      </c>
      <c r="AS198" s="39" t="str">
        <f>データ!P198</f>
        <v>ヒール／真</v>
      </c>
      <c r="AT198" s="10" t="s">
        <v>1113</v>
      </c>
      <c r="AU198" s="39" t="str">
        <f>データ!Q198</f>
        <v>生存ユニットのHPを中回復</v>
      </c>
      <c r="AV198" s="10" t="s">
        <v>1024</v>
      </c>
      <c r="AW198" s="40" t="s">
        <v>1324</v>
      </c>
      <c r="AX198" s="39" t="str">
        <f>データ!R198</f>
        <v>-</v>
      </c>
      <c r="AY198" s="10" t="s">
        <v>1113</v>
      </c>
      <c r="AZ198" s="39" t="str">
        <f>データ!S198</f>
        <v>　</v>
      </c>
      <c r="BA198" s="41" t="s">
        <v>1024</v>
      </c>
      <c r="BB198" s="40" t="s">
        <v>1319</v>
      </c>
      <c r="BC198" s="39" t="str">
        <f>データ!T198</f>
        <v>-</v>
      </c>
      <c r="BD198" s="41" t="s">
        <v>1024</v>
      </c>
      <c r="BE198" s="40" t="s">
        <v>1320</v>
      </c>
      <c r="BF198" s="39" t="str">
        <f>データ!U198</f>
        <v>-</v>
      </c>
      <c r="BG198" s="41" t="s">
        <v>1024</v>
      </c>
      <c r="BH198" s="40" t="s">
        <v>1319</v>
      </c>
      <c r="BI198" s="39" t="str">
        <f>データ!V198</f>
        <v>メダル</v>
      </c>
      <c r="BJ198" s="41" t="s">
        <v>1024</v>
      </c>
      <c r="BK198" s="10" t="s">
        <v>1019</v>
      </c>
    </row>
    <row r="199" spans="1:63" x14ac:dyDescent="0.15">
      <c r="A199" s="10" t="s">
        <v>1016</v>
      </c>
      <c r="B199" s="10" t="s">
        <v>1454</v>
      </c>
      <c r="C199" s="38" t="str">
        <f>"./images/thumbnail/"&amp;データ!B199&amp;".jpg"</f>
        <v>./images/thumbnail/1349.jpg</v>
      </c>
      <c r="D199" s="38" t="s">
        <v>1455</v>
      </c>
      <c r="E199" s="38" t="str">
        <f>"./images/thumbnail/"&amp;データ!B199&amp;".jpg"</f>
        <v>./images/thumbnail/1349.jpg</v>
      </c>
      <c r="F199" s="38" t="s">
        <v>1116</v>
      </c>
      <c r="G199" s="38" t="s">
        <v>1319</v>
      </c>
      <c r="H199" s="38" t="str">
        <f>データ!C199</f>
        <v>マーヴェル</v>
      </c>
      <c r="I199" s="38" t="s">
        <v>1024</v>
      </c>
      <c r="J199" s="38" t="s">
        <v>1320</v>
      </c>
      <c r="K199" s="38" t="str">
        <f>データ!D199</f>
        <v>SSR</v>
      </c>
      <c r="L199" s="38" t="s">
        <v>1024</v>
      </c>
      <c r="M199" s="38" t="s">
        <v>1321</v>
      </c>
      <c r="N199" s="38">
        <f>データ!E199</f>
        <v>13</v>
      </c>
      <c r="O199" s="38" t="s">
        <v>1024</v>
      </c>
      <c r="P199" s="38" t="s">
        <v>1319</v>
      </c>
      <c r="Q199" s="38" t="str">
        <f>データ!F199</f>
        <v>遠</v>
      </c>
      <c r="R199" s="38" t="s">
        <v>1024</v>
      </c>
      <c r="S199" s="38" t="s">
        <v>1319</v>
      </c>
      <c r="T199" s="39">
        <f>データ!G199</f>
        <v>18851</v>
      </c>
      <c r="U199" s="40" t="s">
        <v>1024</v>
      </c>
      <c r="V199" s="40" t="s">
        <v>1319</v>
      </c>
      <c r="W199" s="39">
        <f>データ!H199</f>
        <v>6580</v>
      </c>
      <c r="X199" s="40" t="s">
        <v>1024</v>
      </c>
      <c r="Y199" s="40" t="s">
        <v>1319</v>
      </c>
      <c r="Z199" s="39">
        <f>データ!I199</f>
        <v>4313</v>
      </c>
      <c r="AA199" s="40" t="s">
        <v>1024</v>
      </c>
      <c r="AB199" s="40" t="s">
        <v>1322</v>
      </c>
      <c r="AC199" s="39" t="str">
        <f>データ!J199</f>
        <v>S-</v>
      </c>
      <c r="AD199" s="38" t="s">
        <v>1024</v>
      </c>
      <c r="AE199" s="40" t="s">
        <v>1323</v>
      </c>
      <c r="AF199" s="39">
        <f>データ!K199</f>
        <v>29744</v>
      </c>
      <c r="AG199" s="40" t="s">
        <v>1024</v>
      </c>
      <c r="AH199" s="40" t="s">
        <v>1324</v>
      </c>
      <c r="AI199" s="39" t="str">
        <f>データ!L199</f>
        <v>天幻瞑の包囲陣／絶</v>
      </c>
      <c r="AJ199" s="10" t="s">
        <v>1113</v>
      </c>
      <c r="AK199" s="39" t="str">
        <f>データ!M199</f>
        <v>敵全体攻撃[大]自分の攻撃力UP[大]</v>
      </c>
      <c r="AL199" s="10" t="s">
        <v>1024</v>
      </c>
      <c r="AM199" s="40" t="s">
        <v>1325</v>
      </c>
      <c r="AN199" s="39" t="str">
        <f>データ!N199</f>
        <v>-</v>
      </c>
      <c r="AO199" s="10" t="s">
        <v>1113</v>
      </c>
      <c r="AP199" s="39" t="str">
        <f>データ!O199</f>
        <v>　</v>
      </c>
      <c r="AQ199" s="41" t="s">
        <v>1024</v>
      </c>
      <c r="AR199" s="40" t="s">
        <v>1324</v>
      </c>
      <c r="AS199" s="39" t="str">
        <f>データ!P199</f>
        <v>リヴァイブ／真</v>
      </c>
      <c r="AT199" s="10" t="s">
        <v>1113</v>
      </c>
      <c r="AU199" s="39" t="str">
        <f>データ!Q199</f>
        <v>中確率で戦闘不能ユニットを復帰</v>
      </c>
      <c r="AV199" s="10" t="s">
        <v>1024</v>
      </c>
      <c r="AW199" s="40" t="s">
        <v>1324</v>
      </c>
      <c r="AX199" s="39" t="str">
        <f>データ!R199</f>
        <v>-</v>
      </c>
      <c r="AY199" s="10" t="s">
        <v>1113</v>
      </c>
      <c r="AZ199" s="39" t="str">
        <f>データ!S199</f>
        <v>　</v>
      </c>
      <c r="BA199" s="41" t="s">
        <v>1024</v>
      </c>
      <c r="BB199" s="40" t="s">
        <v>1319</v>
      </c>
      <c r="BC199" s="39" t="str">
        <f>データ!T199</f>
        <v>-</v>
      </c>
      <c r="BD199" s="41" t="s">
        <v>1024</v>
      </c>
      <c r="BE199" s="40" t="s">
        <v>1320</v>
      </c>
      <c r="BF199" s="39" t="str">
        <f>データ!U199</f>
        <v>-</v>
      </c>
      <c r="BG199" s="41" t="s">
        <v>1024</v>
      </c>
      <c r="BH199" s="40" t="s">
        <v>1319</v>
      </c>
      <c r="BI199" s="39" t="str">
        <f>データ!V199</f>
        <v>ポーカー</v>
      </c>
      <c r="BJ199" s="41" t="s">
        <v>1024</v>
      </c>
      <c r="BK199" s="10" t="s">
        <v>1019</v>
      </c>
    </row>
    <row r="200" spans="1:63" x14ac:dyDescent="0.15">
      <c r="A200" s="10" t="s">
        <v>1016</v>
      </c>
      <c r="B200" s="10" t="s">
        <v>1454</v>
      </c>
      <c r="C200" s="38" t="str">
        <f>"./images/thumbnail/"&amp;データ!B200&amp;".jpg"</f>
        <v>./images/thumbnail/1355.jpg</v>
      </c>
      <c r="D200" s="38" t="s">
        <v>1455</v>
      </c>
      <c r="E200" s="38" t="str">
        <f>"./images/thumbnail/"&amp;データ!B200&amp;".jpg"</f>
        <v>./images/thumbnail/1355.jpg</v>
      </c>
      <c r="F200" s="38" t="s">
        <v>1116</v>
      </c>
      <c r="G200" s="38" t="s">
        <v>1319</v>
      </c>
      <c r="H200" s="38" t="str">
        <f>データ!C200</f>
        <v>ランサー</v>
      </c>
      <c r="I200" s="38" t="s">
        <v>1024</v>
      </c>
      <c r="J200" s="38" t="s">
        <v>1320</v>
      </c>
      <c r="K200" s="38" t="str">
        <f>データ!D200</f>
        <v>SSR</v>
      </c>
      <c r="L200" s="38" t="s">
        <v>1024</v>
      </c>
      <c r="M200" s="38" t="s">
        <v>1321</v>
      </c>
      <c r="N200" s="38">
        <f>データ!E200</f>
        <v>13</v>
      </c>
      <c r="O200" s="38" t="s">
        <v>1024</v>
      </c>
      <c r="P200" s="38" t="s">
        <v>1319</v>
      </c>
      <c r="Q200" s="38" t="str">
        <f>データ!F200</f>
        <v>突</v>
      </c>
      <c r="R200" s="38" t="s">
        <v>1024</v>
      </c>
      <c r="S200" s="38" t="s">
        <v>1319</v>
      </c>
      <c r="T200" s="39">
        <f>データ!G200</f>
        <v>16808</v>
      </c>
      <c r="U200" s="40" t="s">
        <v>1024</v>
      </c>
      <c r="V200" s="40" t="s">
        <v>1319</v>
      </c>
      <c r="W200" s="39">
        <f>データ!H200</f>
        <v>5746</v>
      </c>
      <c r="X200" s="40" t="s">
        <v>1024</v>
      </c>
      <c r="Y200" s="40" t="s">
        <v>1319</v>
      </c>
      <c r="Z200" s="39">
        <f>データ!I200</f>
        <v>6080</v>
      </c>
      <c r="AA200" s="40" t="s">
        <v>1024</v>
      </c>
      <c r="AB200" s="40" t="s">
        <v>1322</v>
      </c>
      <c r="AC200" s="39" t="str">
        <f>データ!J200</f>
        <v>SS-</v>
      </c>
      <c r="AD200" s="38" t="s">
        <v>1024</v>
      </c>
      <c r="AE200" s="40" t="s">
        <v>1323</v>
      </c>
      <c r="AF200" s="39">
        <f>データ!K200</f>
        <v>28634</v>
      </c>
      <c r="AG200" s="40" t="s">
        <v>1024</v>
      </c>
      <c r="AH200" s="40" t="s">
        <v>1324</v>
      </c>
      <c r="AI200" s="39" t="str">
        <f>データ!L200</f>
        <v>解除の一撃／真</v>
      </c>
      <c r="AJ200" s="10" t="s">
        <v>1113</v>
      </c>
      <c r="AK200" s="39" t="str">
        <f>データ!M200</f>
        <v>単体固定ダメージ[中]+敵ステータスUP解除</v>
      </c>
      <c r="AL200" s="10" t="s">
        <v>1024</v>
      </c>
      <c r="AM200" s="40" t="s">
        <v>1325</v>
      </c>
      <c r="AN200" s="39" t="str">
        <f>データ!N200</f>
        <v>-</v>
      </c>
      <c r="AO200" s="10" t="s">
        <v>1113</v>
      </c>
      <c r="AP200" s="39" t="str">
        <f>データ!O200</f>
        <v>　</v>
      </c>
      <c r="AQ200" s="41" t="s">
        <v>1024</v>
      </c>
      <c r="AR200" s="40" t="s">
        <v>1324</v>
      </c>
      <c r="AS200" s="39" t="str">
        <f>データ!P200</f>
        <v>ジャガーノート／真</v>
      </c>
      <c r="AT200" s="10" t="s">
        <v>1113</v>
      </c>
      <c r="AU200" s="39" t="str">
        <f>データ!Q200</f>
        <v>バトルで敵を全滅するとBPが中回復(バトル3回)</v>
      </c>
      <c r="AV200" s="10" t="s">
        <v>1024</v>
      </c>
      <c r="AW200" s="40" t="s">
        <v>1324</v>
      </c>
      <c r="AX200" s="39" t="str">
        <f>データ!R200</f>
        <v>-</v>
      </c>
      <c r="AY200" s="10" t="s">
        <v>1113</v>
      </c>
      <c r="AZ200" s="39" t="str">
        <f>データ!S200</f>
        <v>　</v>
      </c>
      <c r="BA200" s="41" t="s">
        <v>1024</v>
      </c>
      <c r="BB200" s="40" t="s">
        <v>1319</v>
      </c>
      <c r="BC200" s="39" t="str">
        <f>データ!T200</f>
        <v>-</v>
      </c>
      <c r="BD200" s="41" t="s">
        <v>1024</v>
      </c>
      <c r="BE200" s="40" t="s">
        <v>1320</v>
      </c>
      <c r="BF200" s="39" t="str">
        <f>データ!U200</f>
        <v>-</v>
      </c>
      <c r="BG200" s="41" t="s">
        <v>1024</v>
      </c>
      <c r="BH200" s="40" t="s">
        <v>1319</v>
      </c>
      <c r="BI200" s="39" t="str">
        <f>データ!V200</f>
        <v>Fate/stay night[UBW]コラボ</v>
      </c>
      <c r="BJ200" s="41" t="s">
        <v>1024</v>
      </c>
      <c r="BK200" s="10" t="s">
        <v>1019</v>
      </c>
    </row>
    <row r="201" spans="1:63" x14ac:dyDescent="0.15">
      <c r="A201" s="10" t="s">
        <v>1016</v>
      </c>
      <c r="B201" s="10" t="s">
        <v>1454</v>
      </c>
      <c r="C201" s="38" t="str">
        <f>"./images/thumbnail/"&amp;データ!B201&amp;".jpg"</f>
        <v>./images/thumbnail/1357.jpg</v>
      </c>
      <c r="D201" s="38" t="s">
        <v>1455</v>
      </c>
      <c r="E201" s="38" t="str">
        <f>"./images/thumbnail/"&amp;データ!B201&amp;".jpg"</f>
        <v>./images/thumbnail/1357.jpg</v>
      </c>
      <c r="F201" s="38" t="s">
        <v>1116</v>
      </c>
      <c r="G201" s="38" t="s">
        <v>1319</v>
      </c>
      <c r="H201" s="38" t="str">
        <f>データ!C201</f>
        <v>アーチャー</v>
      </c>
      <c r="I201" s="38" t="s">
        <v>1024</v>
      </c>
      <c r="J201" s="38" t="s">
        <v>1320</v>
      </c>
      <c r="K201" s="38" t="str">
        <f>データ!D201</f>
        <v>SSR</v>
      </c>
      <c r="L201" s="38" t="s">
        <v>1024</v>
      </c>
      <c r="M201" s="38" t="s">
        <v>1321</v>
      </c>
      <c r="N201" s="38">
        <f>データ!E201</f>
        <v>13</v>
      </c>
      <c r="O201" s="38" t="s">
        <v>1024</v>
      </c>
      <c r="P201" s="38" t="s">
        <v>1319</v>
      </c>
      <c r="Q201" s="38" t="str">
        <f>データ!F201</f>
        <v>斬</v>
      </c>
      <c r="R201" s="38" t="s">
        <v>1024</v>
      </c>
      <c r="S201" s="38" t="s">
        <v>1319</v>
      </c>
      <c r="T201" s="39">
        <f>データ!G201</f>
        <v>17573</v>
      </c>
      <c r="U201" s="40" t="s">
        <v>1024</v>
      </c>
      <c r="V201" s="40" t="s">
        <v>1319</v>
      </c>
      <c r="W201" s="39">
        <f>データ!H201</f>
        <v>6952</v>
      </c>
      <c r="X201" s="40" t="s">
        <v>1024</v>
      </c>
      <c r="Y201" s="40" t="s">
        <v>1319</v>
      </c>
      <c r="Z201" s="39">
        <f>データ!I201</f>
        <v>5549</v>
      </c>
      <c r="AA201" s="40" t="s">
        <v>1024</v>
      </c>
      <c r="AB201" s="40" t="s">
        <v>1322</v>
      </c>
      <c r="AC201" s="39" t="str">
        <f>データ!J201</f>
        <v>A+</v>
      </c>
      <c r="AD201" s="38" t="s">
        <v>1024</v>
      </c>
      <c r="AE201" s="40" t="s">
        <v>1323</v>
      </c>
      <c r="AF201" s="39">
        <f>データ!K201</f>
        <v>30074</v>
      </c>
      <c r="AG201" s="40" t="s">
        <v>1024</v>
      </c>
      <c r="AH201" s="40" t="s">
        <v>1324</v>
      </c>
      <c r="AI201" s="39" t="str">
        <f>データ!L201</f>
        <v>斬紅の覇道</v>
      </c>
      <c r="AJ201" s="10" t="s">
        <v>1113</v>
      </c>
      <c r="AK201" s="39" t="str">
        <f>データ!M201</f>
        <v>味方斬属性の攻撃力をUP[大]</v>
      </c>
      <c r="AL201" s="10" t="s">
        <v>1024</v>
      </c>
      <c r="AM201" s="40" t="s">
        <v>1325</v>
      </c>
      <c r="AN201" s="39" t="str">
        <f>データ!N201</f>
        <v>-</v>
      </c>
      <c r="AO201" s="10" t="s">
        <v>1113</v>
      </c>
      <c r="AP201" s="39" t="str">
        <f>データ!O201</f>
        <v>　</v>
      </c>
      <c r="AQ201" s="41" t="s">
        <v>1024</v>
      </c>
      <c r="AR201" s="40" t="s">
        <v>1324</v>
      </c>
      <c r="AS201" s="39" t="str">
        <f>データ!P201</f>
        <v>ステルス／真</v>
      </c>
      <c r="AT201" s="10" t="s">
        <v>1113</v>
      </c>
      <c r="AU201" s="39" t="str">
        <f>データ!Q201</f>
        <v>強襲CBの発生確率・強襲時獲得ポイント中UP(3回)</v>
      </c>
      <c r="AV201" s="10" t="s">
        <v>1024</v>
      </c>
      <c r="AW201" s="40" t="s">
        <v>1324</v>
      </c>
      <c r="AX201" s="39" t="str">
        <f>データ!R201</f>
        <v>-</v>
      </c>
      <c r="AY201" s="10" t="s">
        <v>1113</v>
      </c>
      <c r="AZ201" s="39" t="str">
        <f>データ!S201</f>
        <v>　</v>
      </c>
      <c r="BA201" s="41" t="s">
        <v>1024</v>
      </c>
      <c r="BB201" s="40" t="s">
        <v>1319</v>
      </c>
      <c r="BC201" s="39" t="str">
        <f>データ!T201</f>
        <v>-</v>
      </c>
      <c r="BD201" s="41" t="s">
        <v>1024</v>
      </c>
      <c r="BE201" s="40" t="s">
        <v>1320</v>
      </c>
      <c r="BF201" s="39" t="str">
        <f>データ!U201</f>
        <v>-</v>
      </c>
      <c r="BG201" s="41" t="s">
        <v>1024</v>
      </c>
      <c r="BH201" s="40" t="s">
        <v>1319</v>
      </c>
      <c r="BI201" s="39" t="str">
        <f>データ!V201</f>
        <v>Fate/stay night[UBW]コラボ</v>
      </c>
      <c r="BJ201" s="41" t="s">
        <v>1024</v>
      </c>
      <c r="BK201" s="10" t="s">
        <v>1019</v>
      </c>
    </row>
    <row r="202" spans="1:63" x14ac:dyDescent="0.15">
      <c r="A202" s="10" t="s">
        <v>1016</v>
      </c>
      <c r="B202" s="10" t="s">
        <v>1454</v>
      </c>
      <c r="C202" s="38" t="str">
        <f>"./images/thumbnail/"&amp;データ!B202&amp;".jpg"</f>
        <v>./images/thumbnail/1360.jpg</v>
      </c>
      <c r="D202" s="38" t="s">
        <v>1455</v>
      </c>
      <c r="E202" s="38" t="str">
        <f>"./images/thumbnail/"&amp;データ!B202&amp;".jpg"</f>
        <v>./images/thumbnail/1360.jpg</v>
      </c>
      <c r="F202" s="38" t="s">
        <v>1116</v>
      </c>
      <c r="G202" s="38" t="s">
        <v>1319</v>
      </c>
      <c r="H202" s="38" t="str">
        <f>データ!C202</f>
        <v>セイバー</v>
      </c>
      <c r="I202" s="38" t="s">
        <v>1024</v>
      </c>
      <c r="J202" s="38" t="s">
        <v>1320</v>
      </c>
      <c r="K202" s="38" t="str">
        <f>データ!D202</f>
        <v>SSR</v>
      </c>
      <c r="L202" s="38" t="s">
        <v>1024</v>
      </c>
      <c r="M202" s="38" t="s">
        <v>1321</v>
      </c>
      <c r="N202" s="38">
        <f>データ!E202</f>
        <v>13</v>
      </c>
      <c r="O202" s="38" t="s">
        <v>1024</v>
      </c>
      <c r="P202" s="38" t="s">
        <v>1319</v>
      </c>
      <c r="Q202" s="38" t="str">
        <f>データ!F202</f>
        <v>斬</v>
      </c>
      <c r="R202" s="38" t="s">
        <v>1024</v>
      </c>
      <c r="S202" s="38" t="s">
        <v>1319</v>
      </c>
      <c r="T202" s="39">
        <f>データ!G202</f>
        <v>14445</v>
      </c>
      <c r="U202" s="40" t="s">
        <v>1024</v>
      </c>
      <c r="V202" s="40" t="s">
        <v>1319</v>
      </c>
      <c r="W202" s="39">
        <f>データ!H202</f>
        <v>7896</v>
      </c>
      <c r="X202" s="40" t="s">
        <v>1024</v>
      </c>
      <c r="Y202" s="40" t="s">
        <v>1319</v>
      </c>
      <c r="Z202" s="39">
        <f>データ!I202</f>
        <v>5284</v>
      </c>
      <c r="AA202" s="40" t="s">
        <v>1024</v>
      </c>
      <c r="AB202" s="40" t="s">
        <v>1322</v>
      </c>
      <c r="AC202" s="39" t="str">
        <f>データ!J202</f>
        <v>A+</v>
      </c>
      <c r="AD202" s="38" t="s">
        <v>1024</v>
      </c>
      <c r="AE202" s="40" t="s">
        <v>1323</v>
      </c>
      <c r="AF202" s="39">
        <f>データ!K202</f>
        <v>27625</v>
      </c>
      <c r="AG202" s="40" t="s">
        <v>1024</v>
      </c>
      <c r="AH202" s="40" t="s">
        <v>1324</v>
      </c>
      <c r="AI202" s="39" t="str">
        <f>データ!L202</f>
        <v>地魔幻の閃光／絶</v>
      </c>
      <c r="AJ202" s="10" t="s">
        <v>1113</v>
      </c>
      <c r="AK202" s="39" t="str">
        <f>データ!M202</f>
        <v>縦一列に攻撃[大]自分の防御力UP[大]</v>
      </c>
      <c r="AL202" s="38" t="s">
        <v>1024</v>
      </c>
      <c r="AM202" s="40" t="s">
        <v>1325</v>
      </c>
      <c r="AN202" s="39" t="str">
        <f>データ!N202</f>
        <v>-</v>
      </c>
      <c r="AO202" s="10" t="s">
        <v>1113</v>
      </c>
      <c r="AP202" s="39" t="str">
        <f>データ!O202</f>
        <v>　</v>
      </c>
      <c r="AQ202" s="41" t="s">
        <v>1024</v>
      </c>
      <c r="AR202" s="40" t="s">
        <v>1324</v>
      </c>
      <c r="AS202" s="39" t="str">
        <f>データ!P202</f>
        <v>エースオーダー</v>
      </c>
      <c r="AT202" s="10" t="s">
        <v>1113</v>
      </c>
      <c r="AU202" s="39" t="str">
        <f>データ!Q202</f>
        <v>騎士団全体の攻・防が小UP(3分間)</v>
      </c>
      <c r="AV202" s="10" t="s">
        <v>1024</v>
      </c>
      <c r="AW202" s="40" t="s">
        <v>1324</v>
      </c>
      <c r="AX202" s="39" t="str">
        <f>データ!R202</f>
        <v>-</v>
      </c>
      <c r="AY202" s="10" t="s">
        <v>1113</v>
      </c>
      <c r="AZ202" s="39" t="str">
        <f>データ!S202</f>
        <v>　</v>
      </c>
      <c r="BA202" s="41" t="s">
        <v>1024</v>
      </c>
      <c r="BB202" s="40" t="s">
        <v>1319</v>
      </c>
      <c r="BC202" s="39" t="str">
        <f>データ!T202</f>
        <v>-</v>
      </c>
      <c r="BD202" s="41" t="s">
        <v>1024</v>
      </c>
      <c r="BE202" s="40" t="s">
        <v>1320</v>
      </c>
      <c r="BF202" s="39" t="str">
        <f>データ!U202</f>
        <v>-</v>
      </c>
      <c r="BG202" s="41" t="s">
        <v>1024</v>
      </c>
      <c r="BH202" s="40" t="s">
        <v>1319</v>
      </c>
      <c r="BI202" s="39" t="str">
        <f>データ!V202</f>
        <v>Fate/stay night[UBW]コラボ</v>
      </c>
      <c r="BJ202" s="41" t="s">
        <v>1024</v>
      </c>
      <c r="BK202" s="10" t="s">
        <v>1019</v>
      </c>
    </row>
    <row r="203" spans="1:63" x14ac:dyDescent="0.15">
      <c r="A203" s="10" t="s">
        <v>1016</v>
      </c>
      <c r="B203" s="10" t="s">
        <v>1454</v>
      </c>
      <c r="C203" s="38" t="str">
        <f>"./images/thumbnail/"&amp;データ!B203&amp;".jpg"</f>
        <v>./images/thumbnail/1362.jpg</v>
      </c>
      <c r="D203" s="38" t="s">
        <v>1455</v>
      </c>
      <c r="E203" s="38" t="str">
        <f>"./images/thumbnail/"&amp;データ!B203&amp;".jpg"</f>
        <v>./images/thumbnail/1362.jpg</v>
      </c>
      <c r="F203" s="38" t="s">
        <v>1116</v>
      </c>
      <c r="G203" s="38" t="s">
        <v>1319</v>
      </c>
      <c r="H203" s="38" t="str">
        <f>データ!C203</f>
        <v>ギルガメッシュ</v>
      </c>
      <c r="I203" s="38" t="s">
        <v>1024</v>
      </c>
      <c r="J203" s="38" t="s">
        <v>1320</v>
      </c>
      <c r="K203" s="38" t="str">
        <f>データ!D203</f>
        <v>SSR</v>
      </c>
      <c r="L203" s="38" t="s">
        <v>1024</v>
      </c>
      <c r="M203" s="38" t="s">
        <v>1321</v>
      </c>
      <c r="N203" s="38">
        <f>データ!E203</f>
        <v>13</v>
      </c>
      <c r="O203" s="38" t="s">
        <v>1024</v>
      </c>
      <c r="P203" s="38" t="s">
        <v>1319</v>
      </c>
      <c r="Q203" s="38" t="str">
        <f>データ!F203</f>
        <v>遠</v>
      </c>
      <c r="R203" s="38" t="s">
        <v>1024</v>
      </c>
      <c r="S203" s="38" t="s">
        <v>1319</v>
      </c>
      <c r="T203" s="39">
        <f>データ!G203</f>
        <v>16977</v>
      </c>
      <c r="U203" s="40" t="s">
        <v>1024</v>
      </c>
      <c r="V203" s="40" t="s">
        <v>1319</v>
      </c>
      <c r="W203" s="39">
        <f>データ!H203</f>
        <v>7002</v>
      </c>
      <c r="X203" s="40" t="s">
        <v>1024</v>
      </c>
      <c r="Y203" s="40" t="s">
        <v>1319</v>
      </c>
      <c r="Z203" s="39">
        <f>データ!I203</f>
        <v>4452</v>
      </c>
      <c r="AA203" s="40" t="s">
        <v>1024</v>
      </c>
      <c r="AB203" s="40" t="s">
        <v>1322</v>
      </c>
      <c r="AC203" s="39" t="str">
        <f>データ!J203</f>
        <v>S-</v>
      </c>
      <c r="AD203" s="38" t="s">
        <v>1024</v>
      </c>
      <c r="AE203" s="40" t="s">
        <v>1323</v>
      </c>
      <c r="AF203" s="39">
        <f>データ!K203</f>
        <v>28431</v>
      </c>
      <c r="AG203" s="40" t="s">
        <v>1024</v>
      </c>
      <c r="AH203" s="40" t="s">
        <v>1324</v>
      </c>
      <c r="AI203" s="39" t="str">
        <f>データ!L203</f>
        <v>天幻射の四連撃／真</v>
      </c>
      <c r="AJ203" s="10" t="s">
        <v>1113</v>
      </c>
      <c r="AK203" s="39" t="str">
        <f>データ!M203</f>
        <v>ランダム4連続攻撃[中]自分の攻撃力UP[中]</v>
      </c>
      <c r="AL203" s="10" t="s">
        <v>1024</v>
      </c>
      <c r="AM203" s="40" t="s">
        <v>1325</v>
      </c>
      <c r="AN203" s="39" t="str">
        <f>データ!N203</f>
        <v>-</v>
      </c>
      <c r="AO203" s="10" t="s">
        <v>1113</v>
      </c>
      <c r="AP203" s="39" t="str">
        <f>データ!O203</f>
        <v>　</v>
      </c>
      <c r="AQ203" s="41" t="s">
        <v>1024</v>
      </c>
      <c r="AR203" s="40" t="s">
        <v>1324</v>
      </c>
      <c r="AS203" s="39" t="str">
        <f>データ!P203</f>
        <v>ランページ／真</v>
      </c>
      <c r="AT203" s="10" t="s">
        <v>1113</v>
      </c>
      <c r="AU203" s="39" t="str">
        <f>データ!Q203</f>
        <v>バトルで獲得する騎士団戦スコアが中アップ(3分間)</v>
      </c>
      <c r="AV203" s="10" t="s">
        <v>1024</v>
      </c>
      <c r="AW203" s="40" t="s">
        <v>1324</v>
      </c>
      <c r="AX203" s="39" t="str">
        <f>データ!R203</f>
        <v>-</v>
      </c>
      <c r="AY203" s="10" t="s">
        <v>1113</v>
      </c>
      <c r="AZ203" s="39" t="str">
        <f>データ!S203</f>
        <v>　</v>
      </c>
      <c r="BA203" s="41" t="s">
        <v>1024</v>
      </c>
      <c r="BB203" s="40" t="s">
        <v>1319</v>
      </c>
      <c r="BC203" s="39" t="str">
        <f>データ!T203</f>
        <v>-</v>
      </c>
      <c r="BD203" s="41" t="s">
        <v>1024</v>
      </c>
      <c r="BE203" s="40" t="s">
        <v>1320</v>
      </c>
      <c r="BF203" s="39" t="str">
        <f>データ!U203</f>
        <v>-</v>
      </c>
      <c r="BG203" s="41" t="s">
        <v>1024</v>
      </c>
      <c r="BH203" s="40" t="s">
        <v>1319</v>
      </c>
      <c r="BI203" s="39" t="str">
        <f>データ!V203</f>
        <v>Fate/stay night[UBW]コラボ</v>
      </c>
      <c r="BJ203" s="41" t="s">
        <v>1024</v>
      </c>
      <c r="BK203" s="10" t="s">
        <v>1019</v>
      </c>
    </row>
    <row r="204" spans="1:63" x14ac:dyDescent="0.15">
      <c r="A204" s="10" t="s">
        <v>1016</v>
      </c>
      <c r="B204" s="10" t="s">
        <v>1454</v>
      </c>
      <c r="C204" s="38" t="str">
        <f>"./images/thumbnail/"&amp;データ!B204&amp;".jpg"</f>
        <v>./images/thumbnail/1365.jpg</v>
      </c>
      <c r="D204" s="38" t="s">
        <v>1455</v>
      </c>
      <c r="E204" s="38" t="str">
        <f>"./images/thumbnail/"&amp;データ!B204&amp;".jpg"</f>
        <v>./images/thumbnail/1365.jpg</v>
      </c>
      <c r="F204" s="38" t="s">
        <v>1116</v>
      </c>
      <c r="G204" s="38" t="s">
        <v>1319</v>
      </c>
      <c r="H204" s="38" t="str">
        <f>データ!C204</f>
        <v>ユキッド</v>
      </c>
      <c r="I204" s="38" t="s">
        <v>1024</v>
      </c>
      <c r="J204" s="38" t="s">
        <v>1320</v>
      </c>
      <c r="K204" s="38" t="str">
        <f>データ!D204</f>
        <v>SSR</v>
      </c>
      <c r="L204" s="38" t="s">
        <v>1024</v>
      </c>
      <c r="M204" s="38" t="s">
        <v>1321</v>
      </c>
      <c r="N204" s="38">
        <f>データ!E204</f>
        <v>12</v>
      </c>
      <c r="O204" s="38" t="s">
        <v>1024</v>
      </c>
      <c r="P204" s="38" t="s">
        <v>1319</v>
      </c>
      <c r="Q204" s="38" t="str">
        <f>データ!F204</f>
        <v>打</v>
      </c>
      <c r="R204" s="38" t="s">
        <v>1024</v>
      </c>
      <c r="S204" s="38" t="s">
        <v>1319</v>
      </c>
      <c r="T204" s="39">
        <f>データ!G204</f>
        <v>18877</v>
      </c>
      <c r="U204" s="40" t="s">
        <v>1024</v>
      </c>
      <c r="V204" s="40" t="s">
        <v>1319</v>
      </c>
      <c r="W204" s="39">
        <f>データ!H204</f>
        <v>5146</v>
      </c>
      <c r="X204" s="40" t="s">
        <v>1024</v>
      </c>
      <c r="Y204" s="40" t="s">
        <v>1319</v>
      </c>
      <c r="Z204" s="39">
        <f>データ!I204</f>
        <v>6743</v>
      </c>
      <c r="AA204" s="40" t="s">
        <v>1024</v>
      </c>
      <c r="AB204" s="40" t="s">
        <v>1322</v>
      </c>
      <c r="AC204" s="39" t="str">
        <f>データ!J204</f>
        <v>A-</v>
      </c>
      <c r="AD204" s="38" t="s">
        <v>1024</v>
      </c>
      <c r="AE204" s="40" t="s">
        <v>1323</v>
      </c>
      <c r="AF204" s="39">
        <f>データ!K204</f>
        <v>30766</v>
      </c>
      <c r="AG204" s="40" t="s">
        <v>1024</v>
      </c>
      <c r="AH204" s="40" t="s">
        <v>1324</v>
      </c>
      <c r="AI204" s="39" t="str">
        <f>データ!L204</f>
        <v>対紅の薙風／絶</v>
      </c>
      <c r="AJ204" s="10" t="s">
        <v>1113</v>
      </c>
      <c r="AK204" s="39" t="str">
        <f>データ!M204</f>
        <v>斬に強く突に弱い横一列攻撃[大]</v>
      </c>
      <c r="AL204" s="10" t="s">
        <v>1024</v>
      </c>
      <c r="AM204" s="40" t="s">
        <v>1325</v>
      </c>
      <c r="AN204" s="39" t="str">
        <f>データ!N204</f>
        <v>-</v>
      </c>
      <c r="AO204" s="10" t="s">
        <v>1113</v>
      </c>
      <c r="AP204" s="39" t="str">
        <f>データ!O204</f>
        <v>　</v>
      </c>
      <c r="AQ204" s="41" t="s">
        <v>1024</v>
      </c>
      <c r="AR204" s="40" t="s">
        <v>1324</v>
      </c>
      <c r="AS204" s="39" t="str">
        <f>データ!P204</f>
        <v>ヒール／真紫打</v>
      </c>
      <c r="AT204" s="10" t="s">
        <v>1113</v>
      </c>
      <c r="AU204" s="39" t="str">
        <f>データ!Q204</f>
        <v>打属性の生存ユニットのHPを高確率で全回復</v>
      </c>
      <c r="AV204" s="10" t="s">
        <v>1024</v>
      </c>
      <c r="AW204" s="40" t="s">
        <v>1324</v>
      </c>
      <c r="AX204" s="39" t="str">
        <f>データ!R204</f>
        <v>-</v>
      </c>
      <c r="AY204" s="10" t="s">
        <v>1113</v>
      </c>
      <c r="AZ204" s="39" t="str">
        <f>データ!S204</f>
        <v>　</v>
      </c>
      <c r="BA204" s="41" t="s">
        <v>1024</v>
      </c>
      <c r="BB204" s="40" t="s">
        <v>1319</v>
      </c>
      <c r="BC204" s="39" t="str">
        <f>データ!T204</f>
        <v>-</v>
      </c>
      <c r="BD204" s="41" t="s">
        <v>1024</v>
      </c>
      <c r="BE204" s="40" t="s">
        <v>1320</v>
      </c>
      <c r="BF204" s="39" t="str">
        <f>データ!U204</f>
        <v>-</v>
      </c>
      <c r="BG204" s="41" t="s">
        <v>1024</v>
      </c>
      <c r="BH204" s="40" t="s">
        <v>1319</v>
      </c>
      <c r="BI204" s="39" t="str">
        <f>データ!V204</f>
        <v>マゴニア</v>
      </c>
      <c r="BJ204" s="41" t="s">
        <v>1024</v>
      </c>
      <c r="BK204" s="10" t="s">
        <v>1019</v>
      </c>
    </row>
    <row r="205" spans="1:63" x14ac:dyDescent="0.15">
      <c r="A205" s="10" t="s">
        <v>1016</v>
      </c>
      <c r="B205" s="10" t="s">
        <v>1454</v>
      </c>
      <c r="C205" s="38" t="str">
        <f>"./images/thumbnail/"&amp;データ!B205&amp;".jpg"</f>
        <v>./images/thumbnail/1367.jpg</v>
      </c>
      <c r="D205" s="38" t="s">
        <v>1455</v>
      </c>
      <c r="E205" s="38" t="str">
        <f>"./images/thumbnail/"&amp;データ!B205&amp;".jpg"</f>
        <v>./images/thumbnail/1367.jpg</v>
      </c>
      <c r="F205" s="38" t="s">
        <v>1116</v>
      </c>
      <c r="G205" s="38" t="s">
        <v>1319</v>
      </c>
      <c r="H205" s="38" t="str">
        <f>データ!C205</f>
        <v>ペチカ</v>
      </c>
      <c r="I205" s="38" t="s">
        <v>1024</v>
      </c>
      <c r="J205" s="38" t="s">
        <v>1320</v>
      </c>
      <c r="K205" s="38" t="str">
        <f>データ!D205</f>
        <v>SSR</v>
      </c>
      <c r="L205" s="38" t="s">
        <v>1024</v>
      </c>
      <c r="M205" s="38" t="s">
        <v>1321</v>
      </c>
      <c r="N205" s="38">
        <f>データ!E205</f>
        <v>13</v>
      </c>
      <c r="O205" s="38" t="s">
        <v>1024</v>
      </c>
      <c r="P205" s="38" t="s">
        <v>1319</v>
      </c>
      <c r="Q205" s="38" t="str">
        <f>データ!F205</f>
        <v>斬</v>
      </c>
      <c r="R205" s="38" t="s">
        <v>1024</v>
      </c>
      <c r="S205" s="38" t="s">
        <v>1319</v>
      </c>
      <c r="T205" s="39">
        <f>データ!G205</f>
        <v>14681</v>
      </c>
      <c r="U205" s="40" t="s">
        <v>1024</v>
      </c>
      <c r="V205" s="40" t="s">
        <v>1319</v>
      </c>
      <c r="W205" s="39">
        <f>データ!H205</f>
        <v>7539</v>
      </c>
      <c r="X205" s="40" t="s">
        <v>1024</v>
      </c>
      <c r="Y205" s="40" t="s">
        <v>1319</v>
      </c>
      <c r="Z205" s="39">
        <f>データ!I205</f>
        <v>4682</v>
      </c>
      <c r="AA205" s="40" t="s">
        <v>1024</v>
      </c>
      <c r="AB205" s="40" t="s">
        <v>1322</v>
      </c>
      <c r="AC205" s="39" t="str">
        <f>データ!J205</f>
        <v>S+</v>
      </c>
      <c r="AD205" s="38" t="s">
        <v>1024</v>
      </c>
      <c r="AE205" s="40" t="s">
        <v>1323</v>
      </c>
      <c r="AF205" s="39">
        <f>データ!K205</f>
        <v>26902</v>
      </c>
      <c r="AG205" s="40" t="s">
        <v>1024</v>
      </c>
      <c r="AH205" s="40" t="s">
        <v>1324</v>
      </c>
      <c r="AI205" s="39" t="str">
        <f>データ!L205</f>
        <v>天魔幻の閃光／絶</v>
      </c>
      <c r="AJ205" s="10" t="s">
        <v>1113</v>
      </c>
      <c r="AK205" s="39" t="str">
        <f>データ!M205</f>
        <v>縦一列攻撃[大]自分の攻撃力UP[大]</v>
      </c>
      <c r="AL205" s="10" t="s">
        <v>1024</v>
      </c>
      <c r="AM205" s="40" t="s">
        <v>1325</v>
      </c>
      <c r="AN205" s="39" t="str">
        <f>データ!N205</f>
        <v>-</v>
      </c>
      <c r="AO205" s="10" t="s">
        <v>1113</v>
      </c>
      <c r="AP205" s="39" t="str">
        <f>データ!O205</f>
        <v>　</v>
      </c>
      <c r="AQ205" s="41" t="s">
        <v>1024</v>
      </c>
      <c r="AR205" s="40" t="s">
        <v>1324</v>
      </c>
      <c r="AS205" s="39" t="str">
        <f>データ!P205</f>
        <v>ハイド／真</v>
      </c>
      <c r="AT205" s="10" t="s">
        <v>1113</v>
      </c>
      <c r="AU205" s="39" t="str">
        <f>データ!Q205</f>
        <v>攻撃される確率が中DOWN(3分間)</v>
      </c>
      <c r="AV205" s="10" t="s">
        <v>1024</v>
      </c>
      <c r="AW205" s="40" t="s">
        <v>1324</v>
      </c>
      <c r="AX205" s="39" t="str">
        <f>データ!R205</f>
        <v>-</v>
      </c>
      <c r="AY205" s="10" t="s">
        <v>1113</v>
      </c>
      <c r="AZ205" s="39" t="str">
        <f>データ!S205</f>
        <v>　</v>
      </c>
      <c r="BA205" s="41" t="s">
        <v>1024</v>
      </c>
      <c r="BB205" s="40" t="s">
        <v>1319</v>
      </c>
      <c r="BC205" s="39" t="str">
        <f>データ!T205</f>
        <v>-</v>
      </c>
      <c r="BD205" s="41" t="s">
        <v>1024</v>
      </c>
      <c r="BE205" s="40" t="s">
        <v>1320</v>
      </c>
      <c r="BF205" s="39" t="str">
        <f>データ!U205</f>
        <v>-</v>
      </c>
      <c r="BG205" s="41" t="s">
        <v>1024</v>
      </c>
      <c r="BH205" s="40" t="s">
        <v>1319</v>
      </c>
      <c r="BI205" s="39" t="str">
        <f>データ!V205</f>
        <v>常設</v>
      </c>
      <c r="BJ205" s="41" t="s">
        <v>1024</v>
      </c>
      <c r="BK205" s="10" t="s">
        <v>1019</v>
      </c>
    </row>
    <row r="206" spans="1:63" x14ac:dyDescent="0.15">
      <c r="A206" s="10" t="s">
        <v>1016</v>
      </c>
      <c r="B206" s="10" t="s">
        <v>1454</v>
      </c>
      <c r="C206" s="38" t="str">
        <f>"./images/thumbnail/"&amp;データ!B206&amp;".jpg"</f>
        <v>./images/thumbnail/1369.jpg</v>
      </c>
      <c r="D206" s="38" t="s">
        <v>1455</v>
      </c>
      <c r="E206" s="38" t="str">
        <f>"./images/thumbnail/"&amp;データ!B206&amp;".jpg"</f>
        <v>./images/thumbnail/1369.jpg</v>
      </c>
      <c r="F206" s="38" t="s">
        <v>1116</v>
      </c>
      <c r="G206" s="38" t="s">
        <v>1319</v>
      </c>
      <c r="H206" s="38" t="str">
        <f>データ!C206</f>
        <v>トリム</v>
      </c>
      <c r="I206" s="38" t="s">
        <v>1024</v>
      </c>
      <c r="J206" s="38" t="s">
        <v>1320</v>
      </c>
      <c r="K206" s="38" t="str">
        <f>データ!D206</f>
        <v>SSR</v>
      </c>
      <c r="L206" s="38" t="s">
        <v>1024</v>
      </c>
      <c r="M206" s="38" t="s">
        <v>1321</v>
      </c>
      <c r="N206" s="38">
        <f>データ!E206</f>
        <v>13</v>
      </c>
      <c r="O206" s="38" t="s">
        <v>1024</v>
      </c>
      <c r="P206" s="38" t="s">
        <v>1319</v>
      </c>
      <c r="Q206" s="38" t="str">
        <f>データ!F206</f>
        <v>突</v>
      </c>
      <c r="R206" s="38" t="s">
        <v>1024</v>
      </c>
      <c r="S206" s="38" t="s">
        <v>1319</v>
      </c>
      <c r="T206" s="39">
        <f>データ!G206</f>
        <v>17534</v>
      </c>
      <c r="U206" s="40" t="s">
        <v>1024</v>
      </c>
      <c r="V206" s="40" t="s">
        <v>1319</v>
      </c>
      <c r="W206" s="39">
        <f>データ!H206</f>
        <v>5221</v>
      </c>
      <c r="X206" s="40" t="s">
        <v>1024</v>
      </c>
      <c r="Y206" s="40" t="s">
        <v>1319</v>
      </c>
      <c r="Z206" s="39">
        <f>データ!I206</f>
        <v>6444</v>
      </c>
      <c r="AA206" s="40" t="s">
        <v>1024</v>
      </c>
      <c r="AB206" s="40" t="s">
        <v>1322</v>
      </c>
      <c r="AC206" s="39" t="str">
        <f>データ!J206</f>
        <v>SS-</v>
      </c>
      <c r="AD206" s="38" t="s">
        <v>1024</v>
      </c>
      <c r="AE206" s="40" t="s">
        <v>1323</v>
      </c>
      <c r="AF206" s="39">
        <f>データ!K206</f>
        <v>29199</v>
      </c>
      <c r="AG206" s="40" t="s">
        <v>1024</v>
      </c>
      <c r="AH206" s="40" t="s">
        <v>1324</v>
      </c>
      <c r="AI206" s="39" t="str">
        <f>データ!L206</f>
        <v xml:space="preserve">突鋭の五連撃 </v>
      </c>
      <c r="AJ206" s="10" t="s">
        <v>1113</v>
      </c>
      <c r="AK206" s="39" t="str">
        <f>データ!M206</f>
        <v>ランダム5連続攻撃[小][低確率]でダメージ2倍</v>
      </c>
      <c r="AL206" s="10" t="s">
        <v>1024</v>
      </c>
      <c r="AM206" s="40" t="s">
        <v>1325</v>
      </c>
      <c r="AN206" s="39" t="str">
        <f>データ!N206</f>
        <v>-</v>
      </c>
      <c r="AO206" s="10" t="s">
        <v>1113</v>
      </c>
      <c r="AP206" s="39" t="str">
        <f>データ!O206</f>
        <v>　</v>
      </c>
      <c r="AQ206" s="41" t="s">
        <v>1024</v>
      </c>
      <c r="AR206" s="40" t="s">
        <v>1324</v>
      </c>
      <c r="AS206" s="39" t="str">
        <f>データ!P206</f>
        <v>ヒール／真蒼突</v>
      </c>
      <c r="AT206" s="10" t="s">
        <v>1113</v>
      </c>
      <c r="AU206" s="39" t="str">
        <f>データ!Q206</f>
        <v>突属性の生存ユニットのHPを高確率で全回復</v>
      </c>
      <c r="AV206" s="10" t="s">
        <v>1024</v>
      </c>
      <c r="AW206" s="40" t="s">
        <v>1324</v>
      </c>
      <c r="AX206" s="39" t="str">
        <f>データ!R206</f>
        <v>-</v>
      </c>
      <c r="AY206" s="10" t="s">
        <v>1113</v>
      </c>
      <c r="AZ206" s="39" t="str">
        <f>データ!S206</f>
        <v>　</v>
      </c>
      <c r="BA206" s="41" t="s">
        <v>1024</v>
      </c>
      <c r="BB206" s="40" t="s">
        <v>1319</v>
      </c>
      <c r="BC206" s="39" t="str">
        <f>データ!T206</f>
        <v>-</v>
      </c>
      <c r="BD206" s="41" t="s">
        <v>1024</v>
      </c>
      <c r="BE206" s="40" t="s">
        <v>1320</v>
      </c>
      <c r="BF206" s="39" t="str">
        <f>データ!U206</f>
        <v>-</v>
      </c>
      <c r="BG206" s="41" t="s">
        <v>1024</v>
      </c>
      <c r="BH206" s="40" t="s">
        <v>1319</v>
      </c>
      <c r="BI206" s="39" t="str">
        <f>データ!V206</f>
        <v>常設</v>
      </c>
      <c r="BJ206" s="41" t="s">
        <v>1024</v>
      </c>
      <c r="BK206" s="10" t="s">
        <v>1019</v>
      </c>
    </row>
    <row r="207" spans="1:63" x14ac:dyDescent="0.15">
      <c r="A207" s="10" t="s">
        <v>1016</v>
      </c>
      <c r="B207" s="10" t="s">
        <v>1454</v>
      </c>
      <c r="C207" s="38" t="str">
        <f>"./images/thumbnail/"&amp;データ!B207&amp;".jpg"</f>
        <v>./images/thumbnail/1371.jpg</v>
      </c>
      <c r="D207" s="38" t="s">
        <v>1455</v>
      </c>
      <c r="E207" s="38" t="str">
        <f>"./images/thumbnail/"&amp;データ!B207&amp;".jpg"</f>
        <v>./images/thumbnail/1371.jpg</v>
      </c>
      <c r="F207" s="38" t="s">
        <v>1116</v>
      </c>
      <c r="G207" s="38" t="s">
        <v>1319</v>
      </c>
      <c r="H207" s="38" t="str">
        <f>データ!C207</f>
        <v>レア</v>
      </c>
      <c r="I207" s="38" t="s">
        <v>1024</v>
      </c>
      <c r="J207" s="38" t="s">
        <v>1320</v>
      </c>
      <c r="K207" s="38" t="str">
        <f>データ!D207</f>
        <v>SSR</v>
      </c>
      <c r="L207" s="38" t="s">
        <v>1024</v>
      </c>
      <c r="M207" s="38" t="s">
        <v>1321</v>
      </c>
      <c r="N207" s="38">
        <f>データ!E207</f>
        <v>13</v>
      </c>
      <c r="O207" s="38" t="s">
        <v>1024</v>
      </c>
      <c r="P207" s="38" t="s">
        <v>1319</v>
      </c>
      <c r="Q207" s="38" t="str">
        <f>データ!F207</f>
        <v>打</v>
      </c>
      <c r="R207" s="38" t="s">
        <v>1024</v>
      </c>
      <c r="S207" s="38" t="s">
        <v>1319</v>
      </c>
      <c r="T207" s="39">
        <f>データ!G207</f>
        <v>21231</v>
      </c>
      <c r="U207" s="40" t="s">
        <v>1024</v>
      </c>
      <c r="V207" s="40" t="s">
        <v>1319</v>
      </c>
      <c r="W207" s="39">
        <f>データ!H207</f>
        <v>5039</v>
      </c>
      <c r="X207" s="40" t="s">
        <v>1024</v>
      </c>
      <c r="Y207" s="40" t="s">
        <v>1319</v>
      </c>
      <c r="Z207" s="39">
        <f>データ!I207</f>
        <v>7582</v>
      </c>
      <c r="AA207" s="40" t="s">
        <v>1024</v>
      </c>
      <c r="AB207" s="40" t="s">
        <v>1322</v>
      </c>
      <c r="AC207" s="39" t="str">
        <f>データ!J207</f>
        <v>A-</v>
      </c>
      <c r="AD207" s="38" t="s">
        <v>1024</v>
      </c>
      <c r="AE207" s="40" t="s">
        <v>1323</v>
      </c>
      <c r="AF207" s="39">
        <f>データ!K207</f>
        <v>33852</v>
      </c>
      <c r="AG207" s="40" t="s">
        <v>1024</v>
      </c>
      <c r="AH207" s="40" t="s">
        <v>1324</v>
      </c>
      <c r="AI207" s="39" t="str">
        <f>データ!L207</f>
        <v>強奪者の雷／絶</v>
      </c>
      <c r="AJ207" s="10" t="s">
        <v>1113</v>
      </c>
      <c r="AK207" s="39" t="str">
        <f>データ!M207</f>
        <v>単体攻撃（宝箱優先／追加ダメージ）[大]</v>
      </c>
      <c r="AL207" s="38" t="s">
        <v>1024</v>
      </c>
      <c r="AM207" s="40" t="s">
        <v>1325</v>
      </c>
      <c r="AN207" s="39" t="str">
        <f>データ!N207</f>
        <v>-</v>
      </c>
      <c r="AO207" s="10" t="s">
        <v>1113</v>
      </c>
      <c r="AP207" s="39" t="str">
        <f>データ!O207</f>
        <v>　</v>
      </c>
      <c r="AQ207" s="41" t="s">
        <v>1024</v>
      </c>
      <c r="AR207" s="40" t="s">
        <v>1324</v>
      </c>
      <c r="AS207" s="39" t="str">
        <f>データ!P207</f>
        <v>アサルト／真</v>
      </c>
      <c r="AT207" s="10" t="s">
        <v>1113</v>
      </c>
      <c r="AU207" s="39" t="str">
        <f>データ!Q207</f>
        <v>パーティ全体の攻撃力が中UP(3分間)</v>
      </c>
      <c r="AV207" s="10" t="s">
        <v>1024</v>
      </c>
      <c r="AW207" s="40" t="s">
        <v>1324</v>
      </c>
      <c r="AX207" s="39" t="str">
        <f>データ!R207</f>
        <v>-</v>
      </c>
      <c r="AY207" s="10" t="s">
        <v>1113</v>
      </c>
      <c r="AZ207" s="39" t="str">
        <f>データ!S207</f>
        <v>　</v>
      </c>
      <c r="BA207" s="41" t="s">
        <v>1024</v>
      </c>
      <c r="BB207" s="40" t="s">
        <v>1319</v>
      </c>
      <c r="BC207" s="39" t="str">
        <f>データ!T207</f>
        <v>-</v>
      </c>
      <c r="BD207" s="41" t="s">
        <v>1024</v>
      </c>
      <c r="BE207" s="40" t="s">
        <v>1320</v>
      </c>
      <c r="BF207" s="39" t="str">
        <f>データ!U207</f>
        <v>-</v>
      </c>
      <c r="BG207" s="41" t="s">
        <v>1024</v>
      </c>
      <c r="BH207" s="40" t="s">
        <v>1319</v>
      </c>
      <c r="BI207" s="39" t="str">
        <f>データ!V207</f>
        <v>常設</v>
      </c>
      <c r="BJ207" s="41" t="s">
        <v>1024</v>
      </c>
      <c r="BK207" s="10" t="s">
        <v>1019</v>
      </c>
    </row>
    <row r="208" spans="1:63" x14ac:dyDescent="0.15">
      <c r="A208" s="10" t="s">
        <v>1016</v>
      </c>
      <c r="B208" s="10" t="s">
        <v>1454</v>
      </c>
      <c r="C208" s="38" t="str">
        <f>"./images/thumbnail/"&amp;データ!B208&amp;".jpg"</f>
        <v>./images/thumbnail/1373.jpg</v>
      </c>
      <c r="D208" s="38" t="s">
        <v>1455</v>
      </c>
      <c r="E208" s="38" t="str">
        <f>"./images/thumbnail/"&amp;データ!B208&amp;".jpg"</f>
        <v>./images/thumbnail/1373.jpg</v>
      </c>
      <c r="F208" s="38" t="s">
        <v>1116</v>
      </c>
      <c r="G208" s="38" t="s">
        <v>1319</v>
      </c>
      <c r="H208" s="38" t="str">
        <f>データ!C208</f>
        <v>フェリクス</v>
      </c>
      <c r="I208" s="38" t="s">
        <v>1024</v>
      </c>
      <c r="J208" s="38" t="s">
        <v>1320</v>
      </c>
      <c r="K208" s="38" t="str">
        <f>データ!D208</f>
        <v>SSR</v>
      </c>
      <c r="L208" s="38" t="s">
        <v>1024</v>
      </c>
      <c r="M208" s="38" t="s">
        <v>1321</v>
      </c>
      <c r="N208" s="38">
        <f>データ!E208</f>
        <v>13</v>
      </c>
      <c r="O208" s="38" t="s">
        <v>1024</v>
      </c>
      <c r="P208" s="38" t="s">
        <v>1319</v>
      </c>
      <c r="Q208" s="38" t="str">
        <f>データ!F208</f>
        <v>遠</v>
      </c>
      <c r="R208" s="38" t="s">
        <v>1024</v>
      </c>
      <c r="S208" s="38" t="s">
        <v>1319</v>
      </c>
      <c r="T208" s="39">
        <f>データ!G208</f>
        <v>16952</v>
      </c>
      <c r="U208" s="40" t="s">
        <v>1024</v>
      </c>
      <c r="V208" s="40" t="s">
        <v>1319</v>
      </c>
      <c r="W208" s="39">
        <f>データ!H208</f>
        <v>5915</v>
      </c>
      <c r="X208" s="40" t="s">
        <v>1024</v>
      </c>
      <c r="Y208" s="40" t="s">
        <v>1319</v>
      </c>
      <c r="Z208" s="39">
        <f>データ!I208</f>
        <v>5307</v>
      </c>
      <c r="AA208" s="40" t="s">
        <v>1024</v>
      </c>
      <c r="AB208" s="40" t="s">
        <v>1322</v>
      </c>
      <c r="AC208" s="39" t="str">
        <f>データ!J208</f>
        <v>S-</v>
      </c>
      <c r="AD208" s="38" t="s">
        <v>1024</v>
      </c>
      <c r="AE208" s="40" t="s">
        <v>1323</v>
      </c>
      <c r="AF208" s="39">
        <f>データ!K208</f>
        <v>28174</v>
      </c>
      <c r="AG208" s="40" t="s">
        <v>1024</v>
      </c>
      <c r="AH208" s="40" t="s">
        <v>1324</v>
      </c>
      <c r="AI208" s="39" t="str">
        <f>データ!L208</f>
        <v xml:space="preserve">光芒の覇道 </v>
      </c>
      <c r="AJ208" s="10" t="s">
        <v>1113</v>
      </c>
      <c r="AK208" s="39" t="str">
        <f>データ!M208</f>
        <v>味方全体の攻撃力をUP[大]</v>
      </c>
      <c r="AL208" s="10" t="s">
        <v>1024</v>
      </c>
      <c r="AM208" s="40" t="s">
        <v>1325</v>
      </c>
      <c r="AN208" s="39" t="str">
        <f>データ!N208</f>
        <v>-</v>
      </c>
      <c r="AO208" s="10" t="s">
        <v>1113</v>
      </c>
      <c r="AP208" s="39" t="str">
        <f>データ!O208</f>
        <v>　</v>
      </c>
      <c r="AQ208" s="41" t="s">
        <v>1024</v>
      </c>
      <c r="AR208" s="40" t="s">
        <v>1324</v>
      </c>
      <c r="AS208" s="39" t="str">
        <f>データ!P208</f>
        <v>フォートレスオーダー</v>
      </c>
      <c r="AT208" s="10" t="s">
        <v>1113</v>
      </c>
      <c r="AU208" s="39" t="str">
        <f>データ!Q208</f>
        <v>騎士団全体の防御力が小UP(3分間)</v>
      </c>
      <c r="AV208" s="10" t="s">
        <v>1024</v>
      </c>
      <c r="AW208" s="40" t="s">
        <v>1324</v>
      </c>
      <c r="AX208" s="39" t="str">
        <f>データ!R208</f>
        <v>-</v>
      </c>
      <c r="AY208" s="10" t="s">
        <v>1113</v>
      </c>
      <c r="AZ208" s="39" t="str">
        <f>データ!S208</f>
        <v>　</v>
      </c>
      <c r="BA208" s="41" t="s">
        <v>1024</v>
      </c>
      <c r="BB208" s="40" t="s">
        <v>1319</v>
      </c>
      <c r="BC208" s="39" t="str">
        <f>データ!T208</f>
        <v>-</v>
      </c>
      <c r="BD208" s="41" t="s">
        <v>1024</v>
      </c>
      <c r="BE208" s="40" t="s">
        <v>1320</v>
      </c>
      <c r="BF208" s="39" t="str">
        <f>データ!U208</f>
        <v>-</v>
      </c>
      <c r="BG208" s="41" t="s">
        <v>1024</v>
      </c>
      <c r="BH208" s="40" t="s">
        <v>1319</v>
      </c>
      <c r="BI208" s="39" t="str">
        <f>データ!V208</f>
        <v>常設</v>
      </c>
      <c r="BJ208" s="41" t="s">
        <v>1024</v>
      </c>
      <c r="BK208" s="10" t="s">
        <v>1019</v>
      </c>
    </row>
    <row r="209" spans="1:63" x14ac:dyDescent="0.15">
      <c r="A209" s="10" t="s">
        <v>1016</v>
      </c>
      <c r="B209" s="10" t="s">
        <v>1454</v>
      </c>
      <c r="C209" s="38" t="str">
        <f>"./images/thumbnail/"&amp;データ!B209&amp;".jpg"</f>
        <v>./images/thumbnail/1375.jpg</v>
      </c>
      <c r="D209" s="38" t="s">
        <v>1455</v>
      </c>
      <c r="E209" s="38" t="str">
        <f>"./images/thumbnail/"&amp;データ!B209&amp;".jpg"</f>
        <v>./images/thumbnail/1375.jpg</v>
      </c>
      <c r="F209" s="38" t="s">
        <v>1116</v>
      </c>
      <c r="G209" s="38" t="s">
        <v>1319</v>
      </c>
      <c r="H209" s="38" t="str">
        <f>データ!C209</f>
        <v>ロッテ</v>
      </c>
      <c r="I209" s="38" t="s">
        <v>1024</v>
      </c>
      <c r="J209" s="38" t="s">
        <v>1320</v>
      </c>
      <c r="K209" s="38" t="str">
        <f>データ!D209</f>
        <v>SSR</v>
      </c>
      <c r="L209" s="38" t="s">
        <v>1024</v>
      </c>
      <c r="M209" s="38" t="s">
        <v>1321</v>
      </c>
      <c r="N209" s="38">
        <f>データ!E209</f>
        <v>13</v>
      </c>
      <c r="O209" s="38" t="s">
        <v>1024</v>
      </c>
      <c r="P209" s="38" t="s">
        <v>1319</v>
      </c>
      <c r="Q209" s="38" t="str">
        <f>データ!F209</f>
        <v>斬</v>
      </c>
      <c r="R209" s="38" t="s">
        <v>1024</v>
      </c>
      <c r="S209" s="38" t="s">
        <v>1319</v>
      </c>
      <c r="T209" s="39">
        <f>データ!G209</f>
        <v>15745</v>
      </c>
      <c r="U209" s="40" t="s">
        <v>1024</v>
      </c>
      <c r="V209" s="40" t="s">
        <v>1319</v>
      </c>
      <c r="W209" s="39">
        <f>データ!H209</f>
        <v>7094</v>
      </c>
      <c r="X209" s="40" t="s">
        <v>1024</v>
      </c>
      <c r="Y209" s="40" t="s">
        <v>1319</v>
      </c>
      <c r="Z209" s="39">
        <f>データ!I209</f>
        <v>4745</v>
      </c>
      <c r="AA209" s="40" t="s">
        <v>1024</v>
      </c>
      <c r="AB209" s="40" t="s">
        <v>1322</v>
      </c>
      <c r="AC209" s="39" t="str">
        <f>データ!J209</f>
        <v>S+</v>
      </c>
      <c r="AD209" s="38" t="s">
        <v>1024</v>
      </c>
      <c r="AE209" s="40" t="s">
        <v>1323</v>
      </c>
      <c r="AF209" s="39">
        <f>データ!K209</f>
        <v>27584</v>
      </c>
      <c r="AG209" s="40" t="s">
        <v>1024</v>
      </c>
      <c r="AH209" s="40" t="s">
        <v>1324</v>
      </c>
      <c r="AI209" s="39" t="str">
        <f>データ!L209</f>
        <v>斬紅の業火／真</v>
      </c>
      <c r="AJ209" s="10" t="s">
        <v>1113</v>
      </c>
      <c r="AK209" s="39" t="str">
        <f>データ!M209</f>
        <v>次の攻撃でダメージが上昇する[中]</v>
      </c>
      <c r="AL209" s="10" t="s">
        <v>1024</v>
      </c>
      <c r="AM209" s="40" t="s">
        <v>1325</v>
      </c>
      <c r="AN209" s="39" t="str">
        <f>データ!N209</f>
        <v>-</v>
      </c>
      <c r="AO209" s="10" t="s">
        <v>1113</v>
      </c>
      <c r="AP209" s="39" t="str">
        <f>データ!O209</f>
        <v>　</v>
      </c>
      <c r="AQ209" s="41" t="s">
        <v>1024</v>
      </c>
      <c r="AR209" s="40" t="s">
        <v>1324</v>
      </c>
      <c r="AS209" s="39" t="str">
        <f>データ!P209</f>
        <v>リヴァイブ／真斬紅</v>
      </c>
      <c r="AT209" s="10" t="s">
        <v>1113</v>
      </c>
      <c r="AU209" s="39" t="str">
        <f>データ!Q209</f>
        <v>高確率で斬属性のユニットを復帰</v>
      </c>
      <c r="AV209" s="10" t="s">
        <v>1024</v>
      </c>
      <c r="AW209" s="40" t="s">
        <v>1324</v>
      </c>
      <c r="AX209" s="39" t="str">
        <f>データ!R209</f>
        <v>-</v>
      </c>
      <c r="AY209" s="10" t="s">
        <v>1113</v>
      </c>
      <c r="AZ209" s="39" t="str">
        <f>データ!S209</f>
        <v>　</v>
      </c>
      <c r="BA209" s="41" t="s">
        <v>1024</v>
      </c>
      <c r="BB209" s="40" t="s">
        <v>1319</v>
      </c>
      <c r="BC209" s="39" t="str">
        <f>データ!T209</f>
        <v>-</v>
      </c>
      <c r="BD209" s="41" t="s">
        <v>1024</v>
      </c>
      <c r="BE209" s="40" t="s">
        <v>1320</v>
      </c>
      <c r="BF209" s="39" t="str">
        <f>データ!U209</f>
        <v>-</v>
      </c>
      <c r="BG209" s="41" t="s">
        <v>1024</v>
      </c>
      <c r="BH209" s="40" t="s">
        <v>1319</v>
      </c>
      <c r="BI209" s="39" t="str">
        <f>データ!V209</f>
        <v>メダル</v>
      </c>
      <c r="BJ209" s="41" t="s">
        <v>1024</v>
      </c>
      <c r="BK209" s="10" t="s">
        <v>1019</v>
      </c>
    </row>
    <row r="210" spans="1:63" x14ac:dyDescent="0.15">
      <c r="A210" s="10" t="s">
        <v>1016</v>
      </c>
      <c r="B210" s="10" t="s">
        <v>1454</v>
      </c>
      <c r="C210" s="38" t="str">
        <f>"./images/thumbnail/"&amp;データ!B210&amp;".jpg"</f>
        <v>./images/thumbnail/1376.jpg</v>
      </c>
      <c r="D210" s="38" t="s">
        <v>1455</v>
      </c>
      <c r="E210" s="38" t="str">
        <f>"./images/thumbnail/"&amp;データ!B210&amp;".jpg"</f>
        <v>./images/thumbnail/1376.jpg</v>
      </c>
      <c r="F210" s="38" t="s">
        <v>1116</v>
      </c>
      <c r="G210" s="38" t="s">
        <v>1319</v>
      </c>
      <c r="H210" s="38" t="str">
        <f>データ!C210</f>
        <v>イルメリ</v>
      </c>
      <c r="I210" s="38" t="s">
        <v>1024</v>
      </c>
      <c r="J210" s="38" t="s">
        <v>1320</v>
      </c>
      <c r="K210" s="38" t="str">
        <f>データ!D210</f>
        <v>SSR</v>
      </c>
      <c r="L210" s="38" t="s">
        <v>1024</v>
      </c>
      <c r="M210" s="38" t="s">
        <v>1321</v>
      </c>
      <c r="N210" s="38">
        <f>データ!E210</f>
        <v>13</v>
      </c>
      <c r="O210" s="38" t="s">
        <v>1024</v>
      </c>
      <c r="P210" s="38" t="s">
        <v>1319</v>
      </c>
      <c r="Q210" s="38" t="str">
        <f>データ!F210</f>
        <v>斬</v>
      </c>
      <c r="R210" s="38" t="s">
        <v>1024</v>
      </c>
      <c r="S210" s="38" t="s">
        <v>1319</v>
      </c>
      <c r="T210" s="39">
        <f>データ!G210</f>
        <v>15441</v>
      </c>
      <c r="U210" s="40" t="s">
        <v>1024</v>
      </c>
      <c r="V210" s="40" t="s">
        <v>1319</v>
      </c>
      <c r="W210" s="39">
        <f>データ!H210</f>
        <v>8033</v>
      </c>
      <c r="X210" s="40" t="s">
        <v>1024</v>
      </c>
      <c r="Y210" s="40" t="s">
        <v>1319</v>
      </c>
      <c r="Z210" s="39">
        <f>データ!I210</f>
        <v>5264</v>
      </c>
      <c r="AA210" s="40" t="s">
        <v>1024</v>
      </c>
      <c r="AB210" s="40" t="s">
        <v>1322</v>
      </c>
      <c r="AC210" s="39" t="str">
        <f>データ!J210</f>
        <v>A+</v>
      </c>
      <c r="AD210" s="38" t="s">
        <v>1024</v>
      </c>
      <c r="AE210" s="40" t="s">
        <v>1323</v>
      </c>
      <c r="AF210" s="39">
        <f>データ!K210</f>
        <v>28738</v>
      </c>
      <c r="AG210" s="40" t="s">
        <v>1024</v>
      </c>
      <c r="AH210" s="40" t="s">
        <v>1324</v>
      </c>
      <c r="AI210" s="39" t="str">
        <f>データ!L210</f>
        <v>対翠の交叉線／絶</v>
      </c>
      <c r="AJ210" s="10" t="s">
        <v>1113</v>
      </c>
      <c r="AK210" s="39" t="str">
        <f>データ!M210</f>
        <v>遠に強く打に弱いX字型に攻撃[大]</v>
      </c>
      <c r="AL210" s="10" t="s">
        <v>1024</v>
      </c>
      <c r="AM210" s="40" t="s">
        <v>1325</v>
      </c>
      <c r="AN210" s="39" t="str">
        <f>データ!N210</f>
        <v>-</v>
      </c>
      <c r="AO210" s="10" t="s">
        <v>1113</v>
      </c>
      <c r="AP210" s="39" t="str">
        <f>データ!O210</f>
        <v>　</v>
      </c>
      <c r="AQ210" s="41" t="s">
        <v>1024</v>
      </c>
      <c r="AR210" s="40" t="s">
        <v>1324</v>
      </c>
      <c r="AS210" s="39" t="str">
        <f>データ!P210</f>
        <v>エース</v>
      </c>
      <c r="AT210" s="10" t="s">
        <v>1113</v>
      </c>
      <c r="AU210" s="39" t="str">
        <f>データ!Q210</f>
        <v>パーティ全体の攻・防が小UP(3分間)</v>
      </c>
      <c r="AV210" s="10" t="s">
        <v>1024</v>
      </c>
      <c r="AW210" s="40" t="s">
        <v>1324</v>
      </c>
      <c r="AX210" s="39" t="str">
        <f>データ!R210</f>
        <v>-</v>
      </c>
      <c r="AY210" s="10" t="s">
        <v>1113</v>
      </c>
      <c r="AZ210" s="39" t="str">
        <f>データ!S210</f>
        <v>　</v>
      </c>
      <c r="BA210" s="41" t="s">
        <v>1024</v>
      </c>
      <c r="BB210" s="40" t="s">
        <v>1319</v>
      </c>
      <c r="BC210" s="39" t="str">
        <f>データ!T210</f>
        <v>-</v>
      </c>
      <c r="BD210" s="41" t="s">
        <v>1024</v>
      </c>
      <c r="BE210" s="40" t="s">
        <v>1320</v>
      </c>
      <c r="BF210" s="39" t="str">
        <f>データ!U210</f>
        <v>-</v>
      </c>
      <c r="BG210" s="41" t="s">
        <v>1024</v>
      </c>
      <c r="BH210" s="40" t="s">
        <v>1319</v>
      </c>
      <c r="BI210" s="39" t="str">
        <f>データ!V210</f>
        <v>グラン</v>
      </c>
      <c r="BJ210" s="41" t="s">
        <v>1024</v>
      </c>
      <c r="BK210" s="10" t="s">
        <v>1019</v>
      </c>
    </row>
    <row r="211" spans="1:63" x14ac:dyDescent="0.15">
      <c r="A211" s="10" t="s">
        <v>1016</v>
      </c>
      <c r="B211" s="10" t="s">
        <v>1454</v>
      </c>
      <c r="C211" s="38" t="str">
        <f>"./images/thumbnail/"&amp;データ!B211&amp;".jpg"</f>
        <v>./images/thumbnail/1378.jpg</v>
      </c>
      <c r="D211" s="38" t="s">
        <v>1455</v>
      </c>
      <c r="E211" s="38" t="str">
        <f>"./images/thumbnail/"&amp;データ!B211&amp;".jpg"</f>
        <v>./images/thumbnail/1378.jpg</v>
      </c>
      <c r="F211" s="38" t="s">
        <v>1116</v>
      </c>
      <c r="G211" s="38" t="s">
        <v>1319</v>
      </c>
      <c r="H211" s="38" t="str">
        <f>データ!C211</f>
        <v>デフロット</v>
      </c>
      <c r="I211" s="38" t="s">
        <v>1024</v>
      </c>
      <c r="J211" s="38" t="s">
        <v>1320</v>
      </c>
      <c r="K211" s="38" t="str">
        <f>データ!D211</f>
        <v>SSR</v>
      </c>
      <c r="L211" s="38" t="s">
        <v>1024</v>
      </c>
      <c r="M211" s="38" t="s">
        <v>1321</v>
      </c>
      <c r="N211" s="38">
        <f>データ!E211</f>
        <v>12</v>
      </c>
      <c r="O211" s="38" t="s">
        <v>1024</v>
      </c>
      <c r="P211" s="38" t="s">
        <v>1319</v>
      </c>
      <c r="Q211" s="38" t="str">
        <f>データ!F211</f>
        <v>突</v>
      </c>
      <c r="R211" s="38" t="s">
        <v>1024</v>
      </c>
      <c r="S211" s="38" t="s">
        <v>1319</v>
      </c>
      <c r="T211" s="39">
        <f>データ!G211</f>
        <v>15555</v>
      </c>
      <c r="U211" s="40" t="s">
        <v>1024</v>
      </c>
      <c r="V211" s="40" t="s">
        <v>1319</v>
      </c>
      <c r="W211" s="39">
        <f>データ!H211</f>
        <v>5319</v>
      </c>
      <c r="X211" s="40" t="s">
        <v>1024</v>
      </c>
      <c r="Y211" s="40" t="s">
        <v>1319</v>
      </c>
      <c r="Z211" s="39">
        <f>データ!I211</f>
        <v>5687</v>
      </c>
      <c r="AA211" s="40" t="s">
        <v>1024</v>
      </c>
      <c r="AB211" s="40" t="s">
        <v>1322</v>
      </c>
      <c r="AC211" s="39" t="str">
        <f>データ!J211</f>
        <v>SS-</v>
      </c>
      <c r="AD211" s="38" t="s">
        <v>1024</v>
      </c>
      <c r="AE211" s="40" t="s">
        <v>1323</v>
      </c>
      <c r="AF211" s="39">
        <f>データ!K211</f>
        <v>26561</v>
      </c>
      <c r="AG211" s="40" t="s">
        <v>1024</v>
      </c>
      <c r="AH211" s="40" t="s">
        <v>1324</v>
      </c>
      <c r="AI211" s="39" t="str">
        <f>データ!L211</f>
        <v>焔幻の一閃／絶</v>
      </c>
      <c r="AJ211" s="10" t="s">
        <v>1113</v>
      </c>
      <c r="AK211" s="39" t="str">
        <f>データ!M211</f>
        <v>横一列に攻撃[大]</v>
      </c>
      <c r="AL211" s="10" t="s">
        <v>1024</v>
      </c>
      <c r="AM211" s="40" t="s">
        <v>1325</v>
      </c>
      <c r="AN211" s="39" t="str">
        <f>データ!N211</f>
        <v>-</v>
      </c>
      <c r="AO211" s="10" t="s">
        <v>1113</v>
      </c>
      <c r="AP211" s="39" t="str">
        <f>データ!O211</f>
        <v>　</v>
      </c>
      <c r="AQ211" s="41" t="s">
        <v>1024</v>
      </c>
      <c r="AR211" s="40" t="s">
        <v>1324</v>
      </c>
      <c r="AS211" s="39" t="str">
        <f>データ!P211</f>
        <v>アサルト／真</v>
      </c>
      <c r="AT211" s="10" t="s">
        <v>1113</v>
      </c>
      <c r="AU211" s="39" t="str">
        <f>データ!Q211</f>
        <v>パーティ全体の攻撃力が中UP(3分間)</v>
      </c>
      <c r="AV211" s="10" t="s">
        <v>1024</v>
      </c>
      <c r="AW211" s="40" t="s">
        <v>1324</v>
      </c>
      <c r="AX211" s="39" t="str">
        <f>データ!R211</f>
        <v>-</v>
      </c>
      <c r="AY211" s="10" t="s">
        <v>1113</v>
      </c>
      <c r="AZ211" s="39" t="str">
        <f>データ!S211</f>
        <v>　</v>
      </c>
      <c r="BA211" s="41" t="s">
        <v>1024</v>
      </c>
      <c r="BB211" s="40" t="s">
        <v>1319</v>
      </c>
      <c r="BC211" s="39" t="str">
        <f>データ!T211</f>
        <v>-</v>
      </c>
      <c r="BD211" s="41" t="s">
        <v>1024</v>
      </c>
      <c r="BE211" s="40" t="s">
        <v>1320</v>
      </c>
      <c r="BF211" s="39" t="str">
        <f>データ!U211</f>
        <v>-</v>
      </c>
      <c r="BG211" s="41" t="s">
        <v>1024</v>
      </c>
      <c r="BH211" s="40" t="s">
        <v>1319</v>
      </c>
      <c r="BI211" s="39" t="str">
        <f>データ!V211</f>
        <v>第5回統一報酬</v>
      </c>
      <c r="BJ211" s="41" t="s">
        <v>1024</v>
      </c>
      <c r="BK211" s="10" t="s">
        <v>1019</v>
      </c>
    </row>
    <row r="212" spans="1:63" x14ac:dyDescent="0.15">
      <c r="A212" s="10" t="s">
        <v>1016</v>
      </c>
      <c r="B212" s="10" t="s">
        <v>1454</v>
      </c>
      <c r="C212" s="38" t="str">
        <f>"./images/thumbnail/"&amp;データ!B212&amp;".jpg"</f>
        <v>./images/thumbnail/1379.jpg</v>
      </c>
      <c r="D212" s="38" t="s">
        <v>1455</v>
      </c>
      <c r="E212" s="38" t="str">
        <f>"./images/thumbnail/"&amp;データ!B212&amp;".jpg"</f>
        <v>./images/thumbnail/1379.jpg</v>
      </c>
      <c r="F212" s="38" t="s">
        <v>1116</v>
      </c>
      <c r="G212" s="38" t="s">
        <v>1319</v>
      </c>
      <c r="H212" s="38" t="str">
        <f>データ!C212</f>
        <v>デフロット</v>
      </c>
      <c r="I212" s="38" t="s">
        <v>1024</v>
      </c>
      <c r="J212" s="38" t="s">
        <v>1320</v>
      </c>
      <c r="K212" s="38" t="str">
        <f>データ!D212</f>
        <v>SSR</v>
      </c>
      <c r="L212" s="38" t="s">
        <v>1024</v>
      </c>
      <c r="M212" s="38" t="s">
        <v>1321</v>
      </c>
      <c r="N212" s="38">
        <f>データ!E212</f>
        <v>13</v>
      </c>
      <c r="O212" s="38" t="s">
        <v>1024</v>
      </c>
      <c r="P212" s="38" t="s">
        <v>1319</v>
      </c>
      <c r="Q212" s="38" t="str">
        <f>データ!F212</f>
        <v>突</v>
      </c>
      <c r="R212" s="38" t="s">
        <v>1024</v>
      </c>
      <c r="S212" s="38" t="s">
        <v>1319</v>
      </c>
      <c r="T212" s="39">
        <f>データ!G212</f>
        <v>16979</v>
      </c>
      <c r="U212" s="40" t="s">
        <v>1024</v>
      </c>
      <c r="V212" s="40" t="s">
        <v>1319</v>
      </c>
      <c r="W212" s="39">
        <f>データ!H212</f>
        <v>5804</v>
      </c>
      <c r="X212" s="40" t="s">
        <v>1024</v>
      </c>
      <c r="Y212" s="40" t="s">
        <v>1319</v>
      </c>
      <c r="Z212" s="39">
        <f>データ!I212</f>
        <v>6015</v>
      </c>
      <c r="AA212" s="40" t="s">
        <v>1024</v>
      </c>
      <c r="AB212" s="40" t="s">
        <v>1322</v>
      </c>
      <c r="AC212" s="39" t="str">
        <f>データ!J212</f>
        <v>SS-</v>
      </c>
      <c r="AD212" s="38" t="s">
        <v>1024</v>
      </c>
      <c r="AE212" s="40" t="s">
        <v>1323</v>
      </c>
      <c r="AF212" s="39">
        <f>データ!K212</f>
        <v>28798</v>
      </c>
      <c r="AG212" s="40" t="s">
        <v>1024</v>
      </c>
      <c r="AH212" s="40" t="s">
        <v>1324</v>
      </c>
      <c r="AI212" s="39" t="str">
        <f>データ!L212</f>
        <v>焔幻の一閃／絶</v>
      </c>
      <c r="AJ212" s="10" t="s">
        <v>1113</v>
      </c>
      <c r="AK212" s="39" t="str">
        <f>データ!M212</f>
        <v>横一列に攻撃[大]</v>
      </c>
      <c r="AL212" s="10" t="s">
        <v>1024</v>
      </c>
      <c r="AM212" s="40" t="s">
        <v>1325</v>
      </c>
      <c r="AN212" s="39" t="str">
        <f>データ!N212</f>
        <v>-</v>
      </c>
      <c r="AO212" s="10" t="s">
        <v>1113</v>
      </c>
      <c r="AP212" s="39" t="str">
        <f>データ!O212</f>
        <v>　</v>
      </c>
      <c r="AQ212" s="41" t="s">
        <v>1024</v>
      </c>
      <c r="AR212" s="40" t="s">
        <v>1324</v>
      </c>
      <c r="AS212" s="39" t="str">
        <f>データ!P212</f>
        <v>アサルト／真</v>
      </c>
      <c r="AT212" s="10" t="s">
        <v>1113</v>
      </c>
      <c r="AU212" s="39" t="str">
        <f>データ!Q212</f>
        <v>パーティ全体の攻撃力が中UP(3分間)</v>
      </c>
      <c r="AV212" s="10" t="s">
        <v>1024</v>
      </c>
      <c r="AW212" s="40" t="s">
        <v>1324</v>
      </c>
      <c r="AX212" s="39" t="str">
        <f>データ!R212</f>
        <v>-</v>
      </c>
      <c r="AY212" s="10" t="s">
        <v>1113</v>
      </c>
      <c r="AZ212" s="39" t="str">
        <f>データ!S212</f>
        <v>　</v>
      </c>
      <c r="BA212" s="41" t="s">
        <v>1024</v>
      </c>
      <c r="BB212" s="40" t="s">
        <v>1319</v>
      </c>
      <c r="BC212" s="39" t="str">
        <f>データ!T212</f>
        <v>-</v>
      </c>
      <c r="BD212" s="41" t="s">
        <v>1024</v>
      </c>
      <c r="BE212" s="40" t="s">
        <v>1320</v>
      </c>
      <c r="BF212" s="39" t="str">
        <f>データ!U212</f>
        <v>-</v>
      </c>
      <c r="BG212" s="41" t="s">
        <v>1024</v>
      </c>
      <c r="BH212" s="40" t="s">
        <v>1319</v>
      </c>
      <c r="BI212" s="39" t="str">
        <f>データ!V212</f>
        <v>第5回統一報酬</v>
      </c>
      <c r="BJ212" s="41" t="s">
        <v>1024</v>
      </c>
      <c r="BK212" s="10" t="s">
        <v>1019</v>
      </c>
    </row>
    <row r="213" spans="1:63" x14ac:dyDescent="0.15">
      <c r="A213" s="10" t="s">
        <v>1016</v>
      </c>
      <c r="B213" s="10" t="s">
        <v>1454</v>
      </c>
      <c r="C213" s="38" t="str">
        <f>"./images/thumbnail/"&amp;データ!B213&amp;".jpg"</f>
        <v>./images/thumbnail/1380.jpg</v>
      </c>
      <c r="D213" s="38" t="s">
        <v>1455</v>
      </c>
      <c r="E213" s="38" t="str">
        <f>"./images/thumbnail/"&amp;データ!B213&amp;".jpg"</f>
        <v>./images/thumbnail/1380.jpg</v>
      </c>
      <c r="F213" s="38" t="s">
        <v>1116</v>
      </c>
      <c r="G213" s="38" t="s">
        <v>1319</v>
      </c>
      <c r="H213" s="38" t="str">
        <f>データ!C213</f>
        <v>デフロット</v>
      </c>
      <c r="I213" s="38" t="s">
        <v>1024</v>
      </c>
      <c r="J213" s="38" t="s">
        <v>1320</v>
      </c>
      <c r="K213" s="38" t="str">
        <f>データ!D213</f>
        <v>UR</v>
      </c>
      <c r="L213" s="38" t="s">
        <v>1024</v>
      </c>
      <c r="M213" s="38" t="s">
        <v>1321</v>
      </c>
      <c r="N213" s="38">
        <f>データ!E213</f>
        <v>14</v>
      </c>
      <c r="O213" s="38" t="s">
        <v>1024</v>
      </c>
      <c r="P213" s="38" t="s">
        <v>1319</v>
      </c>
      <c r="Q213" s="38" t="str">
        <f>データ!F213</f>
        <v>突</v>
      </c>
      <c r="R213" s="38" t="s">
        <v>1024</v>
      </c>
      <c r="S213" s="38" t="s">
        <v>1319</v>
      </c>
      <c r="T213" s="39">
        <f>データ!G213</f>
        <v>17591</v>
      </c>
      <c r="U213" s="40" t="s">
        <v>1024</v>
      </c>
      <c r="V213" s="40" t="s">
        <v>1319</v>
      </c>
      <c r="W213" s="39">
        <f>データ!H213</f>
        <v>6015</v>
      </c>
      <c r="X213" s="40" t="s">
        <v>1024</v>
      </c>
      <c r="Y213" s="40" t="s">
        <v>1319</v>
      </c>
      <c r="Z213" s="39">
        <f>データ!I213</f>
        <v>7534</v>
      </c>
      <c r="AA213" s="40" t="s">
        <v>1024</v>
      </c>
      <c r="AB213" s="40" t="s">
        <v>1322</v>
      </c>
      <c r="AC213" s="39" t="str">
        <f>データ!J213</f>
        <v>SS+</v>
      </c>
      <c r="AD213" s="38" t="s">
        <v>1024</v>
      </c>
      <c r="AE213" s="40" t="s">
        <v>1323</v>
      </c>
      <c r="AF213" s="39">
        <f>データ!K213</f>
        <v>31140</v>
      </c>
      <c r="AG213" s="40" t="s">
        <v>1024</v>
      </c>
      <c r="AH213" s="40" t="s">
        <v>1324</v>
      </c>
      <c r="AI213" s="39" t="str">
        <f>データ!L213</f>
        <v>焔幻の一閃／煌</v>
      </c>
      <c r="AJ213" s="10" t="s">
        <v>1113</v>
      </c>
      <c r="AK213" s="39" t="str">
        <f>データ!M213</f>
        <v>横一列に攻撃[特大]</v>
      </c>
      <c r="AL213" s="10" t="s">
        <v>1024</v>
      </c>
      <c r="AM213" s="40" t="s">
        <v>1325</v>
      </c>
      <c r="AN213" s="39" t="str">
        <f>データ!N213</f>
        <v>-</v>
      </c>
      <c r="AO213" s="10" t="s">
        <v>1113</v>
      </c>
      <c r="AP213" s="39" t="str">
        <f>データ!O213</f>
        <v>　</v>
      </c>
      <c r="AQ213" s="41" t="s">
        <v>1024</v>
      </c>
      <c r="AR213" s="40" t="s">
        <v>1324</v>
      </c>
      <c r="AS213" s="39" t="str">
        <f>データ!P213</f>
        <v>アサルト／絶</v>
      </c>
      <c r="AT213" s="10" t="s">
        <v>1113</v>
      </c>
      <c r="AU213" s="39" t="str">
        <f>データ!Q213</f>
        <v>パーティ全体の攻撃力が大UP(3分間)</v>
      </c>
      <c r="AV213" s="10" t="s">
        <v>1024</v>
      </c>
      <c r="AW213" s="40" t="s">
        <v>1324</v>
      </c>
      <c r="AX213" s="39" t="str">
        <f>データ!R213</f>
        <v>-</v>
      </c>
      <c r="AY213" s="10" t="s">
        <v>1113</v>
      </c>
      <c r="AZ213" s="39" t="str">
        <f>データ!S213</f>
        <v>　</v>
      </c>
      <c r="BA213" s="41" t="s">
        <v>1024</v>
      </c>
      <c r="BB213" s="40" t="s">
        <v>1319</v>
      </c>
      <c r="BC213" s="39" t="str">
        <f>データ!T213</f>
        <v>-</v>
      </c>
      <c r="BD213" s="41" t="s">
        <v>1024</v>
      </c>
      <c r="BE213" s="40" t="s">
        <v>1320</v>
      </c>
      <c r="BF213" s="39" t="str">
        <f>データ!U213</f>
        <v>-</v>
      </c>
      <c r="BG213" s="41" t="s">
        <v>1024</v>
      </c>
      <c r="BH213" s="40" t="s">
        <v>1319</v>
      </c>
      <c r="BI213" s="39" t="str">
        <f>データ!V213</f>
        <v>第5回統一報酬</v>
      </c>
      <c r="BJ213" s="41" t="s">
        <v>1024</v>
      </c>
      <c r="BK213" s="10" t="s">
        <v>1019</v>
      </c>
    </row>
    <row r="214" spans="1:63" x14ac:dyDescent="0.15">
      <c r="A214" s="10" t="s">
        <v>1016</v>
      </c>
      <c r="B214" s="10" t="s">
        <v>1454</v>
      </c>
      <c r="C214" s="38" t="str">
        <f>"./images/thumbnail/"&amp;データ!B214&amp;".jpg"</f>
        <v>./images/thumbnail/1382.jpg</v>
      </c>
      <c r="D214" s="38" t="s">
        <v>1455</v>
      </c>
      <c r="E214" s="38" t="str">
        <f>"./images/thumbnail/"&amp;データ!B214&amp;".jpg"</f>
        <v>./images/thumbnail/1382.jpg</v>
      </c>
      <c r="F214" s="38" t="s">
        <v>1116</v>
      </c>
      <c r="G214" s="38" t="s">
        <v>1319</v>
      </c>
      <c r="H214" s="38" t="str">
        <f>データ!C214</f>
        <v>エメーリエ</v>
      </c>
      <c r="I214" s="38" t="s">
        <v>1024</v>
      </c>
      <c r="J214" s="38" t="s">
        <v>1320</v>
      </c>
      <c r="K214" s="38" t="str">
        <f>データ!D214</f>
        <v>SSR</v>
      </c>
      <c r="L214" s="38" t="s">
        <v>1024</v>
      </c>
      <c r="M214" s="38" t="s">
        <v>1321</v>
      </c>
      <c r="N214" s="38">
        <f>データ!E214</f>
        <v>13</v>
      </c>
      <c r="O214" s="38" t="s">
        <v>1024</v>
      </c>
      <c r="P214" s="38" t="s">
        <v>1319</v>
      </c>
      <c r="Q214" s="38" t="str">
        <f>データ!F214</f>
        <v>斬</v>
      </c>
      <c r="R214" s="38" t="s">
        <v>1024</v>
      </c>
      <c r="S214" s="38" t="s">
        <v>1319</v>
      </c>
      <c r="T214" s="39">
        <f>データ!G214</f>
        <v>17928</v>
      </c>
      <c r="U214" s="40" t="s">
        <v>1024</v>
      </c>
      <c r="V214" s="40" t="s">
        <v>1319</v>
      </c>
      <c r="W214" s="39">
        <f>データ!H214</f>
        <v>7713</v>
      </c>
      <c r="X214" s="40" t="s">
        <v>1024</v>
      </c>
      <c r="Y214" s="40" t="s">
        <v>1319</v>
      </c>
      <c r="Z214" s="39">
        <f>データ!I214</f>
        <v>4529</v>
      </c>
      <c r="AA214" s="40" t="s">
        <v>1024</v>
      </c>
      <c r="AB214" s="40" t="s">
        <v>1322</v>
      </c>
      <c r="AC214" s="39" t="str">
        <f>データ!J214</f>
        <v>A+</v>
      </c>
      <c r="AD214" s="38" t="s">
        <v>1024</v>
      </c>
      <c r="AE214" s="40" t="s">
        <v>1323</v>
      </c>
      <c r="AF214" s="39">
        <f>データ!K214</f>
        <v>30170</v>
      </c>
      <c r="AG214" s="40" t="s">
        <v>1024</v>
      </c>
      <c r="AH214" s="40" t="s">
        <v>1324</v>
      </c>
      <c r="AI214" s="39" t="str">
        <f>データ!L214</f>
        <v>対蒼の縦十字／絶</v>
      </c>
      <c r="AJ214" s="10" t="s">
        <v>1113</v>
      </c>
      <c r="AK214" s="39" t="str">
        <f>データ!M214</f>
        <v>突に強く斬に弱い十字型攻撃[大]</v>
      </c>
      <c r="AL214" s="10" t="s">
        <v>1024</v>
      </c>
      <c r="AM214" s="40" t="s">
        <v>1325</v>
      </c>
      <c r="AN214" s="39" t="str">
        <f>データ!N214</f>
        <v>-</v>
      </c>
      <c r="AO214" s="10" t="s">
        <v>1113</v>
      </c>
      <c r="AP214" s="39" t="str">
        <f>データ!O214</f>
        <v>　</v>
      </c>
      <c r="AQ214" s="41" t="s">
        <v>1024</v>
      </c>
      <c r="AR214" s="40" t="s">
        <v>1324</v>
      </c>
      <c r="AS214" s="39" t="str">
        <f>データ!P214</f>
        <v>アサルト／真</v>
      </c>
      <c r="AT214" s="10" t="s">
        <v>1113</v>
      </c>
      <c r="AU214" s="39" t="str">
        <f>データ!Q214</f>
        <v>パーティ全体の攻撃力が中UP(3分間)</v>
      </c>
      <c r="AV214" s="10" t="s">
        <v>1024</v>
      </c>
      <c r="AW214" s="40" t="s">
        <v>1324</v>
      </c>
      <c r="AX214" s="39" t="str">
        <f>データ!R214</f>
        <v>-</v>
      </c>
      <c r="AY214" s="10" t="s">
        <v>1113</v>
      </c>
      <c r="AZ214" s="39" t="str">
        <f>データ!S214</f>
        <v>　</v>
      </c>
      <c r="BA214" s="41" t="s">
        <v>1024</v>
      </c>
      <c r="BB214" s="40" t="s">
        <v>1319</v>
      </c>
      <c r="BC214" s="39" t="str">
        <f>データ!T214</f>
        <v>-</v>
      </c>
      <c r="BD214" s="41" t="s">
        <v>1024</v>
      </c>
      <c r="BE214" s="40" t="s">
        <v>1320</v>
      </c>
      <c r="BF214" s="39" t="str">
        <f>データ!U214</f>
        <v>-</v>
      </c>
      <c r="BG214" s="41" t="s">
        <v>1024</v>
      </c>
      <c r="BH214" s="40" t="s">
        <v>1319</v>
      </c>
      <c r="BI214" s="39" t="str">
        <f>データ!V214</f>
        <v>ガチャイベ</v>
      </c>
      <c r="BJ214" s="41" t="s">
        <v>1024</v>
      </c>
      <c r="BK214" s="10" t="s">
        <v>1019</v>
      </c>
    </row>
    <row r="215" spans="1:63" x14ac:dyDescent="0.15">
      <c r="A215" s="10" t="s">
        <v>1016</v>
      </c>
      <c r="B215" s="10" t="s">
        <v>1454</v>
      </c>
      <c r="C215" s="38" t="str">
        <f>"./images/thumbnail/"&amp;データ!B215&amp;".jpg"</f>
        <v>./images/thumbnail/1384.jpg</v>
      </c>
      <c r="D215" s="38" t="s">
        <v>1455</v>
      </c>
      <c r="E215" s="38" t="str">
        <f>"./images/thumbnail/"&amp;データ!B215&amp;".jpg"</f>
        <v>./images/thumbnail/1384.jpg</v>
      </c>
      <c r="F215" s="38" t="s">
        <v>1116</v>
      </c>
      <c r="G215" s="38" t="s">
        <v>1319</v>
      </c>
      <c r="H215" s="38" t="str">
        <f>データ!C215</f>
        <v>アルファ</v>
      </c>
      <c r="I215" s="38" t="s">
        <v>1024</v>
      </c>
      <c r="J215" s="38" t="s">
        <v>1320</v>
      </c>
      <c r="K215" s="38" t="str">
        <f>データ!D215</f>
        <v>SSR</v>
      </c>
      <c r="L215" s="38" t="s">
        <v>1024</v>
      </c>
      <c r="M215" s="38" t="s">
        <v>1321</v>
      </c>
      <c r="N215" s="38">
        <f>データ!E215</f>
        <v>13</v>
      </c>
      <c r="O215" s="38" t="s">
        <v>1024</v>
      </c>
      <c r="P215" s="38" t="s">
        <v>1319</v>
      </c>
      <c r="Q215" s="38" t="str">
        <f>データ!F215</f>
        <v>突</v>
      </c>
      <c r="R215" s="38" t="s">
        <v>1024</v>
      </c>
      <c r="S215" s="38" t="s">
        <v>1319</v>
      </c>
      <c r="T215" s="39">
        <f>データ!G215</f>
        <v>18899</v>
      </c>
      <c r="U215" s="40" t="s">
        <v>1024</v>
      </c>
      <c r="V215" s="40" t="s">
        <v>1319</v>
      </c>
      <c r="W215" s="39">
        <f>データ!H215</f>
        <v>5908</v>
      </c>
      <c r="X215" s="40" t="s">
        <v>1024</v>
      </c>
      <c r="Y215" s="40" t="s">
        <v>1319</v>
      </c>
      <c r="Z215" s="39">
        <f>データ!I215</f>
        <v>5282</v>
      </c>
      <c r="AA215" s="40" t="s">
        <v>1024</v>
      </c>
      <c r="AB215" s="40" t="s">
        <v>1322</v>
      </c>
      <c r="AC215" s="39" t="str">
        <f>データ!J215</f>
        <v>SS-</v>
      </c>
      <c r="AD215" s="38" t="s">
        <v>1024</v>
      </c>
      <c r="AE215" s="40" t="s">
        <v>1323</v>
      </c>
      <c r="AF215" s="39">
        <f>データ!K215</f>
        <v>30089</v>
      </c>
      <c r="AG215" s="40" t="s">
        <v>1024</v>
      </c>
      <c r="AH215" s="40" t="s">
        <v>1324</v>
      </c>
      <c r="AI215" s="39" t="str">
        <f>データ!L215</f>
        <v>聖天消滅／光芒</v>
      </c>
      <c r="AJ215" s="10" t="s">
        <v>1113</v>
      </c>
      <c r="AK215" s="39" t="str">
        <f>データ!M215</f>
        <v>敵全体の攻撃力と防御力をDOWN[大]</v>
      </c>
      <c r="AL215" s="10" t="s">
        <v>1024</v>
      </c>
      <c r="AM215" s="40" t="s">
        <v>1325</v>
      </c>
      <c r="AN215" s="39" t="str">
        <f>データ!N215</f>
        <v>-</v>
      </c>
      <c r="AO215" s="10" t="s">
        <v>1113</v>
      </c>
      <c r="AP215" s="39" t="str">
        <f>データ!O215</f>
        <v>　</v>
      </c>
      <c r="AQ215" s="41" t="s">
        <v>1024</v>
      </c>
      <c r="AR215" s="40" t="s">
        <v>1324</v>
      </c>
      <c r="AS215" s="39" t="str">
        <f>データ!P215</f>
        <v>ランページ／真</v>
      </c>
      <c r="AT215" s="10" t="s">
        <v>1113</v>
      </c>
      <c r="AU215" s="39" t="str">
        <f>データ!Q215</f>
        <v>バトルで獲得する騎士団戦スコアが中アップ(3分間)</v>
      </c>
      <c r="AV215" s="10" t="s">
        <v>1024</v>
      </c>
      <c r="AW215" s="40" t="s">
        <v>1324</v>
      </c>
      <c r="AX215" s="39" t="str">
        <f>データ!R215</f>
        <v>-</v>
      </c>
      <c r="AY215" s="10" t="s">
        <v>1113</v>
      </c>
      <c r="AZ215" s="39" t="str">
        <f>データ!S215</f>
        <v>　</v>
      </c>
      <c r="BA215" s="41" t="s">
        <v>1024</v>
      </c>
      <c r="BB215" s="40" t="s">
        <v>1319</v>
      </c>
      <c r="BC215" s="39" t="str">
        <f>データ!T215</f>
        <v>-</v>
      </c>
      <c r="BD215" s="41" t="s">
        <v>1024</v>
      </c>
      <c r="BE215" s="40" t="s">
        <v>1320</v>
      </c>
      <c r="BF215" s="39" t="str">
        <f>データ!U215</f>
        <v>-</v>
      </c>
      <c r="BG215" s="41" t="s">
        <v>1024</v>
      </c>
      <c r="BH215" s="40" t="s">
        <v>1319</v>
      </c>
      <c r="BI215" s="39" t="str">
        <f>データ!V215</f>
        <v>ガチャイベ</v>
      </c>
      <c r="BJ215" s="41" t="s">
        <v>1024</v>
      </c>
      <c r="BK215" s="10" t="s">
        <v>1019</v>
      </c>
    </row>
    <row r="216" spans="1:63" x14ac:dyDescent="0.15">
      <c r="A216" s="10" t="s">
        <v>1016</v>
      </c>
      <c r="B216" s="10" t="s">
        <v>1454</v>
      </c>
      <c r="C216" s="38" t="str">
        <f>"./images/thumbnail/"&amp;データ!B216&amp;".jpg"</f>
        <v>./images/thumbnail/1386.jpg</v>
      </c>
      <c r="D216" s="38" t="s">
        <v>1455</v>
      </c>
      <c r="E216" s="38" t="str">
        <f>"./images/thumbnail/"&amp;データ!B216&amp;".jpg"</f>
        <v>./images/thumbnail/1386.jpg</v>
      </c>
      <c r="F216" s="38" t="s">
        <v>1116</v>
      </c>
      <c r="G216" s="38" t="s">
        <v>1319</v>
      </c>
      <c r="H216" s="38" t="str">
        <f>データ!C216</f>
        <v>マリー</v>
      </c>
      <c r="I216" s="38" t="s">
        <v>1024</v>
      </c>
      <c r="J216" s="38" t="s">
        <v>1320</v>
      </c>
      <c r="K216" s="38" t="str">
        <f>データ!D216</f>
        <v>UR</v>
      </c>
      <c r="L216" s="38" t="s">
        <v>1024</v>
      </c>
      <c r="M216" s="38" t="s">
        <v>1321</v>
      </c>
      <c r="N216" s="38">
        <f>データ!E216</f>
        <v>14</v>
      </c>
      <c r="O216" s="38" t="s">
        <v>1024</v>
      </c>
      <c r="P216" s="38" t="s">
        <v>1319</v>
      </c>
      <c r="Q216" s="38" t="str">
        <f>データ!F216</f>
        <v>打</v>
      </c>
      <c r="R216" s="38" t="s">
        <v>1024</v>
      </c>
      <c r="S216" s="38" t="s">
        <v>1319</v>
      </c>
      <c r="T216" s="39">
        <f>データ!G216</f>
        <v>22251</v>
      </c>
      <c r="U216" s="40" t="s">
        <v>1024</v>
      </c>
      <c r="V216" s="40" t="s">
        <v>1319</v>
      </c>
      <c r="W216" s="39">
        <f>データ!H216</f>
        <v>6453</v>
      </c>
      <c r="X216" s="40" t="s">
        <v>1024</v>
      </c>
      <c r="Y216" s="40" t="s">
        <v>1319</v>
      </c>
      <c r="Z216" s="39">
        <f>データ!I216</f>
        <v>8729</v>
      </c>
      <c r="AA216" s="40" t="s">
        <v>1024</v>
      </c>
      <c r="AB216" s="40" t="s">
        <v>1322</v>
      </c>
      <c r="AC216" s="39" t="str">
        <f>データ!J216</f>
        <v>S</v>
      </c>
      <c r="AD216" s="38" t="s">
        <v>1024</v>
      </c>
      <c r="AE216" s="40" t="s">
        <v>1323</v>
      </c>
      <c r="AF216" s="39">
        <f>データ!K216</f>
        <v>37433</v>
      </c>
      <c r="AG216" s="40" t="s">
        <v>1024</v>
      </c>
      <c r="AH216" s="40" t="s">
        <v>1324</v>
      </c>
      <c r="AI216" s="39" t="str">
        <f>データ!L216</f>
        <v>天幻光の交叉線／煌</v>
      </c>
      <c r="AJ216" s="10" t="s">
        <v>1113</v>
      </c>
      <c r="AK216" s="39" t="str">
        <f>データ!M216</f>
        <v>X字型攻撃[特大]自分の攻撃力UP[特大]</v>
      </c>
      <c r="AL216" s="38" t="s">
        <v>1024</v>
      </c>
      <c r="AM216" s="40" t="s">
        <v>1325</v>
      </c>
      <c r="AN216" s="39" t="str">
        <f>データ!N216</f>
        <v>-</v>
      </c>
      <c r="AO216" s="10" t="s">
        <v>1113</v>
      </c>
      <c r="AP216" s="39" t="str">
        <f>データ!O216</f>
        <v>　</v>
      </c>
      <c r="AQ216" s="41" t="s">
        <v>1024</v>
      </c>
      <c r="AR216" s="40" t="s">
        <v>1324</v>
      </c>
      <c r="AS216" s="39" t="str">
        <f>データ!P216</f>
        <v>ポイントライズ／絶</v>
      </c>
      <c r="AT216" s="10" t="s">
        <v>1113</v>
      </c>
      <c r="AU216" s="39" t="str">
        <f>データ!Q216</f>
        <v>獲得する騎士団戦スコアが大アップ(バトル3回)</v>
      </c>
      <c r="AV216" s="10" t="s">
        <v>1024</v>
      </c>
      <c r="AW216" s="40" t="s">
        <v>1324</v>
      </c>
      <c r="AX216" s="39" t="str">
        <f>データ!R216</f>
        <v>-</v>
      </c>
      <c r="AY216" s="10" t="s">
        <v>1113</v>
      </c>
      <c r="AZ216" s="39" t="str">
        <f>データ!S216</f>
        <v>　</v>
      </c>
      <c r="BA216" s="41" t="s">
        <v>1024</v>
      </c>
      <c r="BB216" s="40" t="s">
        <v>1319</v>
      </c>
      <c r="BC216" s="39" t="str">
        <f>データ!T216</f>
        <v>-</v>
      </c>
      <c r="BD216" s="41" t="s">
        <v>1024</v>
      </c>
      <c r="BE216" s="40" t="s">
        <v>1320</v>
      </c>
      <c r="BF216" s="39" t="str">
        <f>データ!U216</f>
        <v>-</v>
      </c>
      <c r="BG216" s="41" t="s">
        <v>1024</v>
      </c>
      <c r="BH216" s="40" t="s">
        <v>1319</v>
      </c>
      <c r="BI216" s="39" t="str">
        <f>データ!V216</f>
        <v>ガチャイベ</v>
      </c>
      <c r="BJ216" s="41" t="s">
        <v>1024</v>
      </c>
      <c r="BK216" s="10" t="s">
        <v>1019</v>
      </c>
    </row>
    <row r="217" spans="1:63" x14ac:dyDescent="0.15">
      <c r="A217" s="10" t="s">
        <v>1016</v>
      </c>
      <c r="B217" s="10" t="s">
        <v>1454</v>
      </c>
      <c r="C217" s="38" t="str">
        <f>"./images/thumbnail/"&amp;データ!B217&amp;".jpg"</f>
        <v>./images/thumbnail/1388.jpg</v>
      </c>
      <c r="D217" s="38" t="s">
        <v>1455</v>
      </c>
      <c r="E217" s="38" t="str">
        <f>"./images/thumbnail/"&amp;データ!B217&amp;".jpg"</f>
        <v>./images/thumbnail/1388.jpg</v>
      </c>
      <c r="F217" s="38" t="s">
        <v>1116</v>
      </c>
      <c r="G217" s="38" t="s">
        <v>1319</v>
      </c>
      <c r="H217" s="38" t="str">
        <f>データ!C217</f>
        <v>セシル</v>
      </c>
      <c r="I217" s="38" t="s">
        <v>1024</v>
      </c>
      <c r="J217" s="38" t="s">
        <v>1320</v>
      </c>
      <c r="K217" s="38" t="str">
        <f>データ!D217</f>
        <v>UR</v>
      </c>
      <c r="L217" s="38" t="s">
        <v>1024</v>
      </c>
      <c r="M217" s="38" t="s">
        <v>1321</v>
      </c>
      <c r="N217" s="38">
        <f>データ!E217</f>
        <v>14</v>
      </c>
      <c r="O217" s="38" t="s">
        <v>1024</v>
      </c>
      <c r="P217" s="38" t="s">
        <v>1319</v>
      </c>
      <c r="Q217" s="38" t="str">
        <f>データ!F217</f>
        <v>遠</v>
      </c>
      <c r="R217" s="38" t="s">
        <v>1024</v>
      </c>
      <c r="S217" s="38" t="s">
        <v>1319</v>
      </c>
      <c r="T217" s="39">
        <f>データ!G217</f>
        <v>17195</v>
      </c>
      <c r="U217" s="40" t="s">
        <v>1024</v>
      </c>
      <c r="V217" s="40" t="s">
        <v>1319</v>
      </c>
      <c r="W217" s="39">
        <f>データ!H217</f>
        <v>6893</v>
      </c>
      <c r="X217" s="40" t="s">
        <v>1024</v>
      </c>
      <c r="Y217" s="40" t="s">
        <v>1319</v>
      </c>
      <c r="Z217" s="39">
        <f>データ!I217</f>
        <v>6142</v>
      </c>
      <c r="AA217" s="40" t="s">
        <v>1024</v>
      </c>
      <c r="AB217" s="40" t="s">
        <v>1322</v>
      </c>
      <c r="AC217" s="39" t="str">
        <f>データ!J217</f>
        <v>S+</v>
      </c>
      <c r="AD217" s="38" t="s">
        <v>1024</v>
      </c>
      <c r="AE217" s="40" t="s">
        <v>1323</v>
      </c>
      <c r="AF217" s="39">
        <f>データ!K217</f>
        <v>30230</v>
      </c>
      <c r="AG217" s="40" t="s">
        <v>1024</v>
      </c>
      <c r="AH217" s="40" t="s">
        <v>1324</v>
      </c>
      <c r="AI217" s="39" t="str">
        <f>データ!L217</f>
        <v>幻瞑の包囲陣／煌</v>
      </c>
      <c r="AJ217" s="10" t="s">
        <v>1113</v>
      </c>
      <c r="AK217" s="39" t="str">
        <f>データ!M217</f>
        <v>敵全体に攻撃[特大]</v>
      </c>
      <c r="AL217" s="10" t="s">
        <v>1024</v>
      </c>
      <c r="AM217" s="40" t="s">
        <v>1325</v>
      </c>
      <c r="AN217" s="39" t="str">
        <f>データ!N217</f>
        <v>-</v>
      </c>
      <c r="AO217" s="10" t="s">
        <v>1113</v>
      </c>
      <c r="AP217" s="39" t="str">
        <f>データ!O217</f>
        <v>　</v>
      </c>
      <c r="AQ217" s="41" t="s">
        <v>1024</v>
      </c>
      <c r="AR217" s="40" t="s">
        <v>1324</v>
      </c>
      <c r="AS217" s="39" t="str">
        <f>データ!P217</f>
        <v>シャドウオーダー</v>
      </c>
      <c r="AT217" s="10" t="s">
        <v>1113</v>
      </c>
      <c r="AU217" s="39" t="str">
        <f>データ!Q217</f>
        <v>騎士団全体の強襲CB率が小UP(3分間)</v>
      </c>
      <c r="AV217" s="10" t="s">
        <v>1024</v>
      </c>
      <c r="AW217" s="40" t="s">
        <v>1324</v>
      </c>
      <c r="AX217" s="39" t="str">
        <f>データ!R217</f>
        <v>-</v>
      </c>
      <c r="AY217" s="10" t="s">
        <v>1113</v>
      </c>
      <c r="AZ217" s="39" t="str">
        <f>データ!S217</f>
        <v>　</v>
      </c>
      <c r="BA217" s="41" t="s">
        <v>1024</v>
      </c>
      <c r="BB217" s="40" t="s">
        <v>1319</v>
      </c>
      <c r="BC217" s="39" t="str">
        <f>データ!T217</f>
        <v>-</v>
      </c>
      <c r="BD217" s="41" t="s">
        <v>1024</v>
      </c>
      <c r="BE217" s="40" t="s">
        <v>1320</v>
      </c>
      <c r="BF217" s="39" t="str">
        <f>データ!U217</f>
        <v>-</v>
      </c>
      <c r="BG217" s="41" t="s">
        <v>1024</v>
      </c>
      <c r="BH217" s="40" t="s">
        <v>1319</v>
      </c>
      <c r="BI217" s="39" t="str">
        <f>データ!V217</f>
        <v>ガチャイベ</v>
      </c>
      <c r="BJ217" s="41" t="s">
        <v>1024</v>
      </c>
      <c r="BK217" s="10" t="s">
        <v>1019</v>
      </c>
    </row>
    <row r="218" spans="1:63" x14ac:dyDescent="0.15">
      <c r="A218" s="10" t="s">
        <v>1016</v>
      </c>
      <c r="B218" s="10" t="s">
        <v>1454</v>
      </c>
      <c r="C218" s="38" t="str">
        <f>"./images/thumbnail/"&amp;データ!B218&amp;".jpg"</f>
        <v>./images/thumbnail/1389.jpg</v>
      </c>
      <c r="D218" s="38" t="s">
        <v>1455</v>
      </c>
      <c r="E218" s="38" t="str">
        <f>"./images/thumbnail/"&amp;データ!B218&amp;".jpg"</f>
        <v>./images/thumbnail/1389.jpg</v>
      </c>
      <c r="F218" s="38" t="s">
        <v>1116</v>
      </c>
      <c r="G218" s="38" t="s">
        <v>1319</v>
      </c>
      <c r="H218" s="38" t="str">
        <f>データ!C218</f>
        <v>コンラッド</v>
      </c>
      <c r="I218" s="38" t="s">
        <v>1024</v>
      </c>
      <c r="J218" s="38" t="s">
        <v>1320</v>
      </c>
      <c r="K218" s="38" t="str">
        <f>データ!D218</f>
        <v>SSR</v>
      </c>
      <c r="L218" s="38" t="s">
        <v>1024</v>
      </c>
      <c r="M218" s="38" t="s">
        <v>1321</v>
      </c>
      <c r="N218" s="38">
        <f>データ!E218</f>
        <v>12</v>
      </c>
      <c r="O218" s="38" t="s">
        <v>1024</v>
      </c>
      <c r="P218" s="38" t="s">
        <v>1319</v>
      </c>
      <c r="Q218" s="38" t="str">
        <f>データ!F218</f>
        <v>打</v>
      </c>
      <c r="R218" s="38" t="s">
        <v>1024</v>
      </c>
      <c r="S218" s="38" t="s">
        <v>1319</v>
      </c>
      <c r="T218" s="39">
        <f>データ!G218</f>
        <v>17285</v>
      </c>
      <c r="U218" s="40" t="s">
        <v>1024</v>
      </c>
      <c r="V218" s="40" t="s">
        <v>1319</v>
      </c>
      <c r="W218" s="39">
        <f>データ!H218</f>
        <v>5353</v>
      </c>
      <c r="X218" s="40" t="s">
        <v>1024</v>
      </c>
      <c r="Y218" s="40" t="s">
        <v>1319</v>
      </c>
      <c r="Z218" s="39">
        <f>データ!I218</f>
        <v>7089</v>
      </c>
      <c r="AA218" s="40" t="s">
        <v>1024</v>
      </c>
      <c r="AB218" s="40" t="s">
        <v>1322</v>
      </c>
      <c r="AC218" s="39" t="str">
        <f>データ!J218</f>
        <v>A-</v>
      </c>
      <c r="AD218" s="38" t="s">
        <v>1024</v>
      </c>
      <c r="AE218" s="40" t="s">
        <v>1323</v>
      </c>
      <c r="AF218" s="39">
        <f>データ!K218</f>
        <v>29727</v>
      </c>
      <c r="AG218" s="40" t="s">
        <v>1024</v>
      </c>
      <c r="AH218" s="40" t="s">
        <v>1324</v>
      </c>
      <c r="AI218" s="39" t="str">
        <f>データ!L218</f>
        <v>紫打の覇道</v>
      </c>
      <c r="AJ218" s="10" t="s">
        <v>1113</v>
      </c>
      <c r="AK218" s="39" t="str">
        <f>データ!M218</f>
        <v>味方打属性の攻撃力をUP[大]</v>
      </c>
      <c r="AL218" s="10" t="s">
        <v>1024</v>
      </c>
      <c r="AM218" s="40" t="s">
        <v>1325</v>
      </c>
      <c r="AN218" s="39" t="str">
        <f>データ!N218</f>
        <v>-</v>
      </c>
      <c r="AO218" s="10" t="s">
        <v>1113</v>
      </c>
      <c r="AP218" s="39" t="str">
        <f>データ!O218</f>
        <v>　</v>
      </c>
      <c r="AQ218" s="41" t="s">
        <v>1024</v>
      </c>
      <c r="AR218" s="40" t="s">
        <v>1324</v>
      </c>
      <c r="AS218" s="39" t="str">
        <f>データ!P218</f>
        <v>ハイド／真</v>
      </c>
      <c r="AT218" s="10" t="s">
        <v>1113</v>
      </c>
      <c r="AU218" s="39" t="str">
        <f>データ!Q218</f>
        <v>攻撃される確率が中DOWN(3分間)</v>
      </c>
      <c r="AV218" s="10" t="s">
        <v>1024</v>
      </c>
      <c r="AW218" s="40" t="s">
        <v>1324</v>
      </c>
      <c r="AX218" s="39" t="str">
        <f>データ!R218</f>
        <v>-</v>
      </c>
      <c r="AY218" s="10" t="s">
        <v>1113</v>
      </c>
      <c r="AZ218" s="39" t="str">
        <f>データ!S218</f>
        <v>　</v>
      </c>
      <c r="BA218" s="41" t="s">
        <v>1024</v>
      </c>
      <c r="BB218" s="40" t="s">
        <v>1319</v>
      </c>
      <c r="BC218" s="39" t="str">
        <f>データ!T218</f>
        <v>-</v>
      </c>
      <c r="BD218" s="41" t="s">
        <v>1024</v>
      </c>
      <c r="BE218" s="40" t="s">
        <v>1320</v>
      </c>
      <c r="BF218" s="39" t="str">
        <f>データ!U218</f>
        <v>-</v>
      </c>
      <c r="BG218" s="41" t="s">
        <v>1024</v>
      </c>
      <c r="BH218" s="40" t="s">
        <v>1319</v>
      </c>
      <c r="BI218" s="39" t="str">
        <f>データ!V218</f>
        <v>誓いイベ</v>
      </c>
      <c r="BJ218" s="41" t="s">
        <v>1024</v>
      </c>
      <c r="BK218" s="10" t="s">
        <v>1019</v>
      </c>
    </row>
    <row r="219" spans="1:63" x14ac:dyDescent="0.15">
      <c r="A219" s="10" t="s">
        <v>1016</v>
      </c>
      <c r="B219" s="10" t="s">
        <v>1454</v>
      </c>
      <c r="C219" s="38" t="str">
        <f>"./images/thumbnail/"&amp;データ!B219&amp;".jpg"</f>
        <v>./images/thumbnail/1394.jpg</v>
      </c>
      <c r="D219" s="38" t="s">
        <v>1455</v>
      </c>
      <c r="E219" s="38" t="str">
        <f>"./images/thumbnail/"&amp;データ!B219&amp;".jpg"</f>
        <v>./images/thumbnail/1394.jpg</v>
      </c>
      <c r="F219" s="38" t="s">
        <v>1116</v>
      </c>
      <c r="G219" s="38" t="s">
        <v>1319</v>
      </c>
      <c r="H219" s="38" t="str">
        <f>データ!C219</f>
        <v>エステル</v>
      </c>
      <c r="I219" s="38" t="s">
        <v>1024</v>
      </c>
      <c r="J219" s="38" t="s">
        <v>1320</v>
      </c>
      <c r="K219" s="38" t="str">
        <f>データ!D219</f>
        <v>SSR</v>
      </c>
      <c r="L219" s="38" t="s">
        <v>1024</v>
      </c>
      <c r="M219" s="38" t="s">
        <v>1321</v>
      </c>
      <c r="N219" s="38">
        <f>データ!E219</f>
        <v>13</v>
      </c>
      <c r="O219" s="38" t="s">
        <v>1024</v>
      </c>
      <c r="P219" s="38" t="s">
        <v>1319</v>
      </c>
      <c r="Q219" s="38" t="str">
        <f>データ!F219</f>
        <v>斬</v>
      </c>
      <c r="R219" s="38" t="s">
        <v>1024</v>
      </c>
      <c r="S219" s="38" t="s">
        <v>1319</v>
      </c>
      <c r="T219" s="39">
        <f>データ!G219</f>
        <v>15512</v>
      </c>
      <c r="U219" s="40" t="s">
        <v>1024</v>
      </c>
      <c r="V219" s="40" t="s">
        <v>1319</v>
      </c>
      <c r="W219" s="39">
        <f>データ!H219</f>
        <v>7095</v>
      </c>
      <c r="X219" s="40" t="s">
        <v>1024</v>
      </c>
      <c r="Y219" s="40" t="s">
        <v>1319</v>
      </c>
      <c r="Z219" s="39">
        <f>データ!I219</f>
        <v>5515</v>
      </c>
      <c r="AA219" s="40" t="s">
        <v>1024</v>
      </c>
      <c r="AB219" s="40" t="s">
        <v>1322</v>
      </c>
      <c r="AC219" s="39" t="str">
        <f>データ!J219</f>
        <v>A+</v>
      </c>
      <c r="AD219" s="38" t="s">
        <v>1024</v>
      </c>
      <c r="AE219" s="40" t="s">
        <v>1323</v>
      </c>
      <c r="AF219" s="39">
        <f>データ!K219</f>
        <v>28122</v>
      </c>
      <c r="AG219" s="40" t="s">
        <v>1024</v>
      </c>
      <c r="AH219" s="40" t="s">
        <v>1324</v>
      </c>
      <c r="AI219" s="39" t="str">
        <f>データ!L219</f>
        <v>癒やしの光／絶</v>
      </c>
      <c r="AJ219" s="10" t="s">
        <v>1113</v>
      </c>
      <c r="AK219" s="39" t="str">
        <f>データ!M219</f>
        <v>最もダメージが多い味方1人のHP回復[大]</v>
      </c>
      <c r="AL219" s="10" t="s">
        <v>1024</v>
      </c>
      <c r="AM219" s="40" t="s">
        <v>1325</v>
      </c>
      <c r="AN219" s="39" t="str">
        <f>データ!N219</f>
        <v>-</v>
      </c>
      <c r="AO219" s="10" t="s">
        <v>1113</v>
      </c>
      <c r="AP219" s="39" t="str">
        <f>データ!O219</f>
        <v>　</v>
      </c>
      <c r="AQ219" s="41" t="s">
        <v>1024</v>
      </c>
      <c r="AR219" s="40" t="s">
        <v>1324</v>
      </c>
      <c r="AS219" s="39" t="str">
        <f>データ!P219</f>
        <v>リザレクション／真</v>
      </c>
      <c r="AT219" s="10" t="s">
        <v>1113</v>
      </c>
      <c r="AU219" s="39" t="str">
        <f>データ!Q219</f>
        <v>中確率でパーティ全員を復帰(全滅時のみ使用可)</v>
      </c>
      <c r="AV219" s="10" t="s">
        <v>1024</v>
      </c>
      <c r="AW219" s="40" t="s">
        <v>1324</v>
      </c>
      <c r="AX219" s="39" t="str">
        <f>データ!R219</f>
        <v>-</v>
      </c>
      <c r="AY219" s="10" t="s">
        <v>1113</v>
      </c>
      <c r="AZ219" s="39" t="str">
        <f>データ!S219</f>
        <v>　</v>
      </c>
      <c r="BA219" s="41" t="s">
        <v>1024</v>
      </c>
      <c r="BB219" s="40" t="s">
        <v>1319</v>
      </c>
      <c r="BC219" s="39" t="str">
        <f>データ!T219</f>
        <v>-</v>
      </c>
      <c r="BD219" s="41" t="s">
        <v>1024</v>
      </c>
      <c r="BE219" s="40" t="s">
        <v>1320</v>
      </c>
      <c r="BF219" s="39" t="str">
        <f>データ!U219</f>
        <v>-</v>
      </c>
      <c r="BG219" s="41" t="s">
        <v>1024</v>
      </c>
      <c r="BH219" s="40" t="s">
        <v>1319</v>
      </c>
      <c r="BI219" s="39" t="str">
        <f>データ!V219</f>
        <v>魔女の追憶イベ</v>
      </c>
      <c r="BJ219" s="41" t="s">
        <v>1024</v>
      </c>
      <c r="BK219" s="10" t="s">
        <v>1019</v>
      </c>
    </row>
    <row r="220" spans="1:63" x14ac:dyDescent="0.15">
      <c r="A220" s="10" t="s">
        <v>1016</v>
      </c>
      <c r="B220" s="10" t="s">
        <v>1454</v>
      </c>
      <c r="C220" s="38" t="str">
        <f>"./images/thumbnail/"&amp;データ!B220&amp;".jpg"</f>
        <v>./images/thumbnail/1396.jpg</v>
      </c>
      <c r="D220" s="38" t="s">
        <v>1455</v>
      </c>
      <c r="E220" s="38" t="str">
        <f>"./images/thumbnail/"&amp;データ!B220&amp;".jpg"</f>
        <v>./images/thumbnail/1396.jpg</v>
      </c>
      <c r="F220" s="38" t="s">
        <v>1116</v>
      </c>
      <c r="G220" s="38" t="s">
        <v>1319</v>
      </c>
      <c r="H220" s="38" t="str">
        <f>データ!C220</f>
        <v>ニーナ</v>
      </c>
      <c r="I220" s="38" t="s">
        <v>1024</v>
      </c>
      <c r="J220" s="38" t="s">
        <v>1320</v>
      </c>
      <c r="K220" s="38" t="str">
        <f>データ!D220</f>
        <v>UR</v>
      </c>
      <c r="L220" s="38" t="s">
        <v>1024</v>
      </c>
      <c r="M220" s="38" t="s">
        <v>1321</v>
      </c>
      <c r="N220" s="38">
        <f>データ!E220</f>
        <v>14</v>
      </c>
      <c r="O220" s="38" t="s">
        <v>1024</v>
      </c>
      <c r="P220" s="38" t="s">
        <v>1319</v>
      </c>
      <c r="Q220" s="38" t="str">
        <f>データ!F220</f>
        <v>斬</v>
      </c>
      <c r="R220" s="38" t="s">
        <v>1024</v>
      </c>
      <c r="S220" s="38" t="s">
        <v>1319</v>
      </c>
      <c r="T220" s="39">
        <f>データ!G220</f>
        <v>17168</v>
      </c>
      <c r="U220" s="40" t="s">
        <v>1024</v>
      </c>
      <c r="V220" s="40" t="s">
        <v>1319</v>
      </c>
      <c r="W220" s="39">
        <f>データ!H220</f>
        <v>7892</v>
      </c>
      <c r="X220" s="40" t="s">
        <v>1024</v>
      </c>
      <c r="Y220" s="40" t="s">
        <v>1319</v>
      </c>
      <c r="Z220" s="39">
        <f>データ!I220</f>
        <v>6351</v>
      </c>
      <c r="AA220" s="40" t="s">
        <v>1024</v>
      </c>
      <c r="AB220" s="40" t="s">
        <v>1322</v>
      </c>
      <c r="AC220" s="39" t="str">
        <f>データ!J220</f>
        <v>S</v>
      </c>
      <c r="AD220" s="38" t="s">
        <v>1024</v>
      </c>
      <c r="AE220" s="40" t="s">
        <v>1323</v>
      </c>
      <c r="AF220" s="39">
        <f>データ!K220</f>
        <v>31411</v>
      </c>
      <c r="AG220" s="40" t="s">
        <v>1024</v>
      </c>
      <c r="AH220" s="40" t="s">
        <v>1324</v>
      </c>
      <c r="AI220" s="39" t="str">
        <f>データ!L220</f>
        <v>幻氷の縦十字／煌</v>
      </c>
      <c r="AJ220" s="10" t="s">
        <v>1113</v>
      </c>
      <c r="AK220" s="39" t="str">
        <f>データ!M220</f>
        <v>十字型に攻撃[特大]</v>
      </c>
      <c r="AL220" s="10" t="s">
        <v>1024</v>
      </c>
      <c r="AM220" s="40" t="s">
        <v>1325</v>
      </c>
      <c r="AN220" s="39" t="str">
        <f>データ!N220</f>
        <v>-</v>
      </c>
      <c r="AO220" s="10" t="s">
        <v>1113</v>
      </c>
      <c r="AP220" s="39" t="str">
        <f>データ!O220</f>
        <v>　</v>
      </c>
      <c r="AQ220" s="41" t="s">
        <v>1024</v>
      </c>
      <c r="AR220" s="40" t="s">
        <v>1324</v>
      </c>
      <c r="AS220" s="39" t="str">
        <f>データ!P220</f>
        <v>エース／絶</v>
      </c>
      <c r="AT220" s="10" t="s">
        <v>1113</v>
      </c>
      <c r="AU220" s="39" t="str">
        <f>データ!Q220</f>
        <v>パーティ全体の攻・防が大UP(3分間)</v>
      </c>
      <c r="AV220" s="10" t="s">
        <v>1024</v>
      </c>
      <c r="AW220" s="40" t="s">
        <v>1324</v>
      </c>
      <c r="AX220" s="39" t="str">
        <f>データ!R220</f>
        <v>-</v>
      </c>
      <c r="AY220" s="10" t="s">
        <v>1113</v>
      </c>
      <c r="AZ220" s="39" t="str">
        <f>データ!S220</f>
        <v>　</v>
      </c>
      <c r="BA220" s="41" t="s">
        <v>1024</v>
      </c>
      <c r="BB220" s="40" t="s">
        <v>1319</v>
      </c>
      <c r="BC220" s="39" t="str">
        <f>データ!T220</f>
        <v>-</v>
      </c>
      <c r="BD220" s="41" t="s">
        <v>1024</v>
      </c>
      <c r="BE220" s="40" t="s">
        <v>1320</v>
      </c>
      <c r="BF220" s="39" t="str">
        <f>データ!U220</f>
        <v>-</v>
      </c>
      <c r="BG220" s="41" t="s">
        <v>1024</v>
      </c>
      <c r="BH220" s="40" t="s">
        <v>1319</v>
      </c>
      <c r="BI220" s="39" t="str">
        <f>データ!V220</f>
        <v>常設</v>
      </c>
      <c r="BJ220" s="41" t="s">
        <v>1024</v>
      </c>
      <c r="BK220" s="10" t="s">
        <v>1019</v>
      </c>
    </row>
    <row r="221" spans="1:63" x14ac:dyDescent="0.15">
      <c r="A221" s="10" t="s">
        <v>1016</v>
      </c>
      <c r="B221" s="10" t="s">
        <v>1454</v>
      </c>
      <c r="C221" s="38" t="str">
        <f>"./images/thumbnail/"&amp;データ!B221&amp;".jpg"</f>
        <v>./images/thumbnail/1396_a.jpg</v>
      </c>
      <c r="D221" s="38" t="s">
        <v>1455</v>
      </c>
      <c r="E221" s="38" t="str">
        <f>"./images/thumbnail/"&amp;データ!B221&amp;".jpg"</f>
        <v>./images/thumbnail/1396_a.jpg</v>
      </c>
      <c r="F221" s="38" t="s">
        <v>1116</v>
      </c>
      <c r="G221" s="38" t="s">
        <v>1319</v>
      </c>
      <c r="H221" s="38" t="str">
        <f>データ!C221</f>
        <v>ニーナ</v>
      </c>
      <c r="I221" s="38" t="s">
        <v>1024</v>
      </c>
      <c r="J221" s="38" t="s">
        <v>1320</v>
      </c>
      <c r="K221" s="38" t="str">
        <f>データ!D221</f>
        <v>UR</v>
      </c>
      <c r="L221" s="38" t="s">
        <v>1024</v>
      </c>
      <c r="M221" s="38" t="s">
        <v>1321</v>
      </c>
      <c r="N221" s="38">
        <f>データ!E221</f>
        <v>14</v>
      </c>
      <c r="O221" s="38" t="s">
        <v>1024</v>
      </c>
      <c r="P221" s="38" t="s">
        <v>1319</v>
      </c>
      <c r="Q221" s="38" t="str">
        <f>データ!F221</f>
        <v>斬</v>
      </c>
      <c r="R221" s="38" t="s">
        <v>1024</v>
      </c>
      <c r="S221" s="38" t="s">
        <v>1319</v>
      </c>
      <c r="T221" s="39">
        <f>データ!G221</f>
        <v>22670</v>
      </c>
      <c r="U221" s="40" t="s">
        <v>1024</v>
      </c>
      <c r="V221" s="40" t="s">
        <v>1319</v>
      </c>
      <c r="W221" s="39">
        <f>データ!H221</f>
        <v>11042</v>
      </c>
      <c r="X221" s="40" t="s">
        <v>1024</v>
      </c>
      <c r="Y221" s="40" t="s">
        <v>1319</v>
      </c>
      <c r="Z221" s="39">
        <f>データ!I221</f>
        <v>8640</v>
      </c>
      <c r="AA221" s="40" t="s">
        <v>1024</v>
      </c>
      <c r="AB221" s="40" t="s">
        <v>1322</v>
      </c>
      <c r="AC221" s="39" t="str">
        <f>データ!J221</f>
        <v>SS+</v>
      </c>
      <c r="AD221" s="38" t="s">
        <v>1024</v>
      </c>
      <c r="AE221" s="40" t="s">
        <v>1323</v>
      </c>
      <c r="AF221" s="39">
        <f>データ!K221</f>
        <v>42352</v>
      </c>
      <c r="AG221" s="40" t="s">
        <v>1024</v>
      </c>
      <c r="AH221" s="40" t="s">
        <v>1324</v>
      </c>
      <c r="AI221" s="39" t="str">
        <f>データ!L221</f>
        <v>幻氷の縦十字／煌＋</v>
      </c>
      <c r="AJ221" s="10" t="s">
        <v>1113</v>
      </c>
      <c r="AK221" s="39" t="str">
        <f>データ!M221</f>
        <v>十字型に攻撃[超極大]</v>
      </c>
      <c r="AL221" s="10" t="s">
        <v>1024</v>
      </c>
      <c r="AM221" s="40" t="s">
        <v>1325</v>
      </c>
      <c r="AN221" s="39" t="str">
        <f>データ!N221</f>
        <v>-</v>
      </c>
      <c r="AO221" s="10" t="s">
        <v>1113</v>
      </c>
      <c r="AP221" s="39" t="str">
        <f>データ!O221</f>
        <v>　</v>
      </c>
      <c r="AQ221" s="41" t="s">
        <v>1024</v>
      </c>
      <c r="AR221" s="40" t="s">
        <v>1324</v>
      </c>
      <c r="AS221" s="39" t="str">
        <f>データ!P221</f>
        <v>エース／絶</v>
      </c>
      <c r="AT221" s="10" t="s">
        <v>1113</v>
      </c>
      <c r="AU221" s="39" t="str">
        <f>データ!Q221</f>
        <v>パーティ全体の攻・防が大UP(3分間)</v>
      </c>
      <c r="AV221" s="10" t="s">
        <v>1024</v>
      </c>
      <c r="AW221" s="40" t="s">
        <v>1324</v>
      </c>
      <c r="AX221" s="39" t="str">
        <f>データ!R221</f>
        <v>-</v>
      </c>
      <c r="AY221" s="10" t="s">
        <v>1113</v>
      </c>
      <c r="AZ221" s="39" t="str">
        <f>データ!S221</f>
        <v>　</v>
      </c>
      <c r="BA221" s="41" t="s">
        <v>1024</v>
      </c>
      <c r="BB221" s="40" t="s">
        <v>1319</v>
      </c>
      <c r="BC221" s="39" t="str">
        <f>データ!T221</f>
        <v>-</v>
      </c>
      <c r="BD221" s="41" t="s">
        <v>1024</v>
      </c>
      <c r="BE221" s="40" t="s">
        <v>1320</v>
      </c>
      <c r="BF221" s="39" t="str">
        <f>データ!U221</f>
        <v>-</v>
      </c>
      <c r="BG221" s="41" t="s">
        <v>1024</v>
      </c>
      <c r="BH221" s="40" t="s">
        <v>1319</v>
      </c>
      <c r="BI221" s="39" t="str">
        <f>データ!V221</f>
        <v>精鋭化ユニット</v>
      </c>
      <c r="BJ221" s="41" t="s">
        <v>1024</v>
      </c>
      <c r="BK221" s="10" t="s">
        <v>1019</v>
      </c>
    </row>
    <row r="222" spans="1:63" x14ac:dyDescent="0.15">
      <c r="A222" s="10" t="s">
        <v>1016</v>
      </c>
      <c r="B222" s="10" t="s">
        <v>1454</v>
      </c>
      <c r="C222" s="38" t="str">
        <f>"./images/thumbnail/"&amp;データ!B222&amp;".jpg"</f>
        <v>./images/thumbnail/1396_b.jpg</v>
      </c>
      <c r="D222" s="38" t="s">
        <v>1455</v>
      </c>
      <c r="E222" s="38" t="str">
        <f>"./images/thumbnail/"&amp;データ!B222&amp;".jpg"</f>
        <v>./images/thumbnail/1396_b.jpg</v>
      </c>
      <c r="F222" s="38" t="s">
        <v>1116</v>
      </c>
      <c r="G222" s="38" t="s">
        <v>1319</v>
      </c>
      <c r="H222" s="38" t="str">
        <f>データ!C222</f>
        <v>ニーナ</v>
      </c>
      <c r="I222" s="38" t="s">
        <v>1024</v>
      </c>
      <c r="J222" s="38" t="s">
        <v>1320</v>
      </c>
      <c r="K222" s="38" t="str">
        <f>データ!D222</f>
        <v>UR</v>
      </c>
      <c r="L222" s="38" t="s">
        <v>1024</v>
      </c>
      <c r="M222" s="38" t="s">
        <v>1321</v>
      </c>
      <c r="N222" s="38">
        <f>データ!E222</f>
        <v>14</v>
      </c>
      <c r="O222" s="38" t="s">
        <v>1024</v>
      </c>
      <c r="P222" s="38" t="s">
        <v>1319</v>
      </c>
      <c r="Q222" s="38" t="str">
        <f>データ!F222</f>
        <v>斬</v>
      </c>
      <c r="R222" s="38" t="s">
        <v>1024</v>
      </c>
      <c r="S222" s="38" t="s">
        <v>1319</v>
      </c>
      <c r="T222" s="39">
        <f>データ!G222</f>
        <v>21809</v>
      </c>
      <c r="U222" s="40" t="s">
        <v>1024</v>
      </c>
      <c r="V222" s="40" t="s">
        <v>1319</v>
      </c>
      <c r="W222" s="39">
        <f>データ!H222</f>
        <v>10664</v>
      </c>
      <c r="X222" s="40" t="s">
        <v>1024</v>
      </c>
      <c r="Y222" s="40" t="s">
        <v>1319</v>
      </c>
      <c r="Z222" s="39">
        <f>データ!I222</f>
        <v>8010</v>
      </c>
      <c r="AA222" s="40" t="s">
        <v>1024</v>
      </c>
      <c r="AB222" s="40" t="s">
        <v>1322</v>
      </c>
      <c r="AC222" s="39" t="str">
        <f>データ!J222</f>
        <v>SS+</v>
      </c>
      <c r="AD222" s="38" t="s">
        <v>1024</v>
      </c>
      <c r="AE222" s="40" t="s">
        <v>1323</v>
      </c>
      <c r="AF222" s="39">
        <f>データ!K222</f>
        <v>40483</v>
      </c>
      <c r="AG222" s="40" t="s">
        <v>1024</v>
      </c>
      <c r="AH222" s="40" t="s">
        <v>1324</v>
      </c>
      <c r="AI222" s="39" t="str">
        <f>データ!L222</f>
        <v>幻氷の縦十字／煌</v>
      </c>
      <c r="AJ222" s="10" t="s">
        <v>1113</v>
      </c>
      <c r="AK222" s="39" t="str">
        <f>データ!M222</f>
        <v>十字型に攻撃[特大]</v>
      </c>
      <c r="AL222" s="10" t="s">
        <v>1024</v>
      </c>
      <c r="AM222" s="40" t="s">
        <v>1325</v>
      </c>
      <c r="AN222" s="39" t="str">
        <f>データ!N222</f>
        <v>-</v>
      </c>
      <c r="AO222" s="10" t="s">
        <v>1113</v>
      </c>
      <c r="AP222" s="39" t="str">
        <f>データ!O222</f>
        <v>　</v>
      </c>
      <c r="AQ222" s="41" t="s">
        <v>1024</v>
      </c>
      <c r="AR222" s="40" t="s">
        <v>1324</v>
      </c>
      <c r="AS222" s="39" t="str">
        <f>データ!P222</f>
        <v>想い繋ぐ指先</v>
      </c>
      <c r="AT222" s="10" t="s">
        <v>1113</v>
      </c>
      <c r="AU222" s="39" t="str">
        <f>データ!Q222</f>
        <v>パーティ全体の攻・防が極大UP(5分間)</v>
      </c>
      <c r="AV222" s="10" t="s">
        <v>1024</v>
      </c>
      <c r="AW222" s="40" t="s">
        <v>1324</v>
      </c>
      <c r="AX222" s="39" t="str">
        <f>データ!R222</f>
        <v>-</v>
      </c>
      <c r="AY222" s="10" t="s">
        <v>1113</v>
      </c>
      <c r="AZ222" s="39" t="str">
        <f>データ!S222</f>
        <v>　</v>
      </c>
      <c r="BA222" s="41" t="s">
        <v>1024</v>
      </c>
      <c r="BB222" s="40" t="s">
        <v>1319</v>
      </c>
      <c r="BC222" s="39" t="str">
        <f>データ!T222</f>
        <v>-</v>
      </c>
      <c r="BD222" s="41" t="s">
        <v>1024</v>
      </c>
      <c r="BE222" s="40" t="s">
        <v>1320</v>
      </c>
      <c r="BF222" s="39" t="str">
        <f>データ!U222</f>
        <v>-</v>
      </c>
      <c r="BG222" s="41" t="s">
        <v>1024</v>
      </c>
      <c r="BH222" s="40" t="s">
        <v>1319</v>
      </c>
      <c r="BI222" s="39" t="str">
        <f>データ!V222</f>
        <v>精鋭化ユニット</v>
      </c>
      <c r="BJ222" s="41" t="s">
        <v>1024</v>
      </c>
      <c r="BK222" s="10" t="s">
        <v>1019</v>
      </c>
    </row>
    <row r="223" spans="1:63" x14ac:dyDescent="0.15">
      <c r="A223" s="10" t="s">
        <v>1016</v>
      </c>
      <c r="B223" s="10" t="s">
        <v>1454</v>
      </c>
      <c r="C223" s="38" t="str">
        <f>"./images/thumbnail/"&amp;データ!B223&amp;".jpg"</f>
        <v>./images/thumbnail/1398.jpg</v>
      </c>
      <c r="D223" s="38" t="s">
        <v>1455</v>
      </c>
      <c r="E223" s="38" t="str">
        <f>"./images/thumbnail/"&amp;データ!B223&amp;".jpg"</f>
        <v>./images/thumbnail/1398.jpg</v>
      </c>
      <c r="F223" s="38" t="s">
        <v>1116</v>
      </c>
      <c r="G223" s="38" t="s">
        <v>1319</v>
      </c>
      <c r="H223" s="38" t="str">
        <f>データ!C223</f>
        <v>カリス</v>
      </c>
      <c r="I223" s="38" t="s">
        <v>1024</v>
      </c>
      <c r="J223" s="38" t="s">
        <v>1320</v>
      </c>
      <c r="K223" s="38" t="str">
        <f>データ!D223</f>
        <v>SSR</v>
      </c>
      <c r="L223" s="38" t="s">
        <v>1024</v>
      </c>
      <c r="M223" s="38" t="s">
        <v>1321</v>
      </c>
      <c r="N223" s="38">
        <f>データ!E223</f>
        <v>13</v>
      </c>
      <c r="O223" s="38" t="s">
        <v>1024</v>
      </c>
      <c r="P223" s="38" t="s">
        <v>1319</v>
      </c>
      <c r="Q223" s="38" t="str">
        <f>データ!F223</f>
        <v>突</v>
      </c>
      <c r="R223" s="38" t="s">
        <v>1024</v>
      </c>
      <c r="S223" s="38" t="s">
        <v>1319</v>
      </c>
      <c r="T223" s="39">
        <f>データ!G223</f>
        <v>17045</v>
      </c>
      <c r="U223" s="40" t="s">
        <v>1024</v>
      </c>
      <c r="V223" s="40" t="s">
        <v>1319</v>
      </c>
      <c r="W223" s="39">
        <f>データ!H223</f>
        <v>5818</v>
      </c>
      <c r="X223" s="40" t="s">
        <v>1024</v>
      </c>
      <c r="Y223" s="40" t="s">
        <v>1319</v>
      </c>
      <c r="Z223" s="39">
        <f>データ!I223</f>
        <v>5994</v>
      </c>
      <c r="AA223" s="40" t="s">
        <v>1024</v>
      </c>
      <c r="AB223" s="40" t="s">
        <v>1322</v>
      </c>
      <c r="AC223" s="39" t="str">
        <f>データ!J223</f>
        <v>SS-</v>
      </c>
      <c r="AD223" s="38" t="s">
        <v>1024</v>
      </c>
      <c r="AE223" s="40" t="s">
        <v>1323</v>
      </c>
      <c r="AF223" s="39">
        <f>データ!K223</f>
        <v>28857</v>
      </c>
      <c r="AG223" s="40" t="s">
        <v>1024</v>
      </c>
      <c r="AH223" s="40" t="s">
        <v>1324</v>
      </c>
      <c r="AI223" s="39" t="str">
        <f>データ!L223</f>
        <v>孤撃の言霊／絶</v>
      </c>
      <c r="AJ223" s="10" t="s">
        <v>1113</v>
      </c>
      <c r="AK223" s="39" t="str">
        <f>データ!M223</f>
        <v>一定確率で敵を範囲不可にする[高確率]</v>
      </c>
      <c r="AL223" s="10" t="s">
        <v>1024</v>
      </c>
      <c r="AM223" s="40" t="s">
        <v>1325</v>
      </c>
      <c r="AN223" s="39" t="str">
        <f>データ!N223</f>
        <v>-</v>
      </c>
      <c r="AO223" s="10" t="s">
        <v>1113</v>
      </c>
      <c r="AP223" s="39" t="str">
        <f>データ!O223</f>
        <v>　</v>
      </c>
      <c r="AQ223" s="41" t="s">
        <v>1024</v>
      </c>
      <c r="AR223" s="40" t="s">
        <v>1324</v>
      </c>
      <c r="AS223" s="39" t="str">
        <f>データ!P223</f>
        <v>プロヴォーク／真</v>
      </c>
      <c r="AT223" s="10" t="s">
        <v>1113</v>
      </c>
      <c r="AU223" s="39" t="str">
        <f>データ!Q223</f>
        <v>攻撃される確率が中UP(3分間)</v>
      </c>
      <c r="AV223" s="10" t="s">
        <v>1024</v>
      </c>
      <c r="AW223" s="40" t="s">
        <v>1324</v>
      </c>
      <c r="AX223" s="39" t="str">
        <f>データ!R223</f>
        <v>-</v>
      </c>
      <c r="AY223" s="10" t="s">
        <v>1113</v>
      </c>
      <c r="AZ223" s="39" t="str">
        <f>データ!S223</f>
        <v>　</v>
      </c>
      <c r="BA223" s="41" t="s">
        <v>1024</v>
      </c>
      <c r="BB223" s="40" t="s">
        <v>1319</v>
      </c>
      <c r="BC223" s="39" t="str">
        <f>データ!T223</f>
        <v>-</v>
      </c>
      <c r="BD223" s="41" t="s">
        <v>1024</v>
      </c>
      <c r="BE223" s="40" t="s">
        <v>1320</v>
      </c>
      <c r="BF223" s="39" t="str">
        <f>データ!U223</f>
        <v>-</v>
      </c>
      <c r="BG223" s="41" t="s">
        <v>1024</v>
      </c>
      <c r="BH223" s="40" t="s">
        <v>1319</v>
      </c>
      <c r="BI223" s="39" t="str">
        <f>データ!V223</f>
        <v>常設</v>
      </c>
      <c r="BJ223" s="41" t="s">
        <v>1024</v>
      </c>
      <c r="BK223" s="10" t="s">
        <v>1019</v>
      </c>
    </row>
    <row r="224" spans="1:63" x14ac:dyDescent="0.15">
      <c r="A224" s="10" t="s">
        <v>1016</v>
      </c>
      <c r="B224" s="10" t="s">
        <v>1454</v>
      </c>
      <c r="C224" s="38" t="str">
        <f>"./images/thumbnail/"&amp;データ!B224&amp;".jpg"</f>
        <v>./images/thumbnail/1400.jpg</v>
      </c>
      <c r="D224" s="38" t="s">
        <v>1455</v>
      </c>
      <c r="E224" s="38" t="str">
        <f>"./images/thumbnail/"&amp;データ!B224&amp;".jpg"</f>
        <v>./images/thumbnail/1400.jpg</v>
      </c>
      <c r="F224" s="38" t="s">
        <v>1116</v>
      </c>
      <c r="G224" s="38" t="s">
        <v>1319</v>
      </c>
      <c r="H224" s="38" t="str">
        <f>データ!C224</f>
        <v>モーリス</v>
      </c>
      <c r="I224" s="38" t="s">
        <v>1024</v>
      </c>
      <c r="J224" s="38" t="s">
        <v>1320</v>
      </c>
      <c r="K224" s="38" t="str">
        <f>データ!D224</f>
        <v>UR</v>
      </c>
      <c r="L224" s="38" t="s">
        <v>1024</v>
      </c>
      <c r="M224" s="38" t="s">
        <v>1321</v>
      </c>
      <c r="N224" s="38">
        <f>データ!E224</f>
        <v>14</v>
      </c>
      <c r="O224" s="38" t="s">
        <v>1024</v>
      </c>
      <c r="P224" s="38" t="s">
        <v>1319</v>
      </c>
      <c r="Q224" s="38" t="str">
        <f>データ!F224</f>
        <v>打</v>
      </c>
      <c r="R224" s="38" t="s">
        <v>1024</v>
      </c>
      <c r="S224" s="38" t="s">
        <v>1319</v>
      </c>
      <c r="T224" s="39">
        <f>データ!G224</f>
        <v>24895</v>
      </c>
      <c r="U224" s="40" t="s">
        <v>1024</v>
      </c>
      <c r="V224" s="40" t="s">
        <v>1319</v>
      </c>
      <c r="W224" s="39">
        <f>データ!H224</f>
        <v>6033</v>
      </c>
      <c r="X224" s="40" t="s">
        <v>1024</v>
      </c>
      <c r="Y224" s="40" t="s">
        <v>1319</v>
      </c>
      <c r="Z224" s="39">
        <f>データ!I224</f>
        <v>8337</v>
      </c>
      <c r="AA224" s="40" t="s">
        <v>1024</v>
      </c>
      <c r="AB224" s="40" t="s">
        <v>1322</v>
      </c>
      <c r="AC224" s="39" t="str">
        <f>データ!J224</f>
        <v>A+</v>
      </c>
      <c r="AD224" s="38" t="s">
        <v>1024</v>
      </c>
      <c r="AE224" s="40" t="s">
        <v>1323</v>
      </c>
      <c r="AF224" s="39">
        <f>データ!K224</f>
        <v>39265</v>
      </c>
      <c r="AG224" s="40" t="s">
        <v>1024</v>
      </c>
      <c r="AH224" s="40" t="s">
        <v>1324</v>
      </c>
      <c r="AI224" s="39" t="str">
        <f>データ!L224</f>
        <v>沈黙の言霊／煌</v>
      </c>
      <c r="AJ224" s="10" t="s">
        <v>1113</v>
      </c>
      <c r="AK224" s="39" t="str">
        <f>データ!M224</f>
        <v>一定確率で敵を沈黙状態にする[超高確率]</v>
      </c>
      <c r="AL224" s="10" t="s">
        <v>1024</v>
      </c>
      <c r="AM224" s="40" t="s">
        <v>1325</v>
      </c>
      <c r="AN224" s="39" t="str">
        <f>データ!N224</f>
        <v>-</v>
      </c>
      <c r="AO224" s="10" t="s">
        <v>1113</v>
      </c>
      <c r="AP224" s="39" t="str">
        <f>データ!O224</f>
        <v>　</v>
      </c>
      <c r="AQ224" s="41" t="s">
        <v>1024</v>
      </c>
      <c r="AR224" s="40" t="s">
        <v>1324</v>
      </c>
      <c r="AS224" s="39" t="str">
        <f>データ!P224</f>
        <v>シャドウ／真</v>
      </c>
      <c r="AT224" s="10" t="s">
        <v>1113</v>
      </c>
      <c r="AU224" s="39" t="str">
        <f>データ!Q224</f>
        <v>バトル時の強襲CB率が中UP(3分間)</v>
      </c>
      <c r="AV224" s="10" t="s">
        <v>1024</v>
      </c>
      <c r="AW224" s="40" t="s">
        <v>1324</v>
      </c>
      <c r="AX224" s="39" t="str">
        <f>データ!R224</f>
        <v>-</v>
      </c>
      <c r="AY224" s="10" t="s">
        <v>1113</v>
      </c>
      <c r="AZ224" s="39" t="str">
        <f>データ!S224</f>
        <v>　</v>
      </c>
      <c r="BA224" s="41" t="s">
        <v>1024</v>
      </c>
      <c r="BB224" s="40" t="s">
        <v>1319</v>
      </c>
      <c r="BC224" s="39" t="str">
        <f>データ!T224</f>
        <v>-</v>
      </c>
      <c r="BD224" s="41" t="s">
        <v>1024</v>
      </c>
      <c r="BE224" s="40" t="s">
        <v>1320</v>
      </c>
      <c r="BF224" s="39" t="str">
        <f>データ!U224</f>
        <v>-</v>
      </c>
      <c r="BG224" s="41" t="s">
        <v>1024</v>
      </c>
      <c r="BH224" s="40" t="s">
        <v>1319</v>
      </c>
      <c r="BI224" s="39" t="str">
        <f>データ!V224</f>
        <v>常設</v>
      </c>
      <c r="BJ224" s="41" t="s">
        <v>1024</v>
      </c>
      <c r="BK224" s="10" t="s">
        <v>1019</v>
      </c>
    </row>
    <row r="225" spans="1:63" x14ac:dyDescent="0.15">
      <c r="A225" s="10" t="s">
        <v>1016</v>
      </c>
      <c r="B225" s="10" t="s">
        <v>1454</v>
      </c>
      <c r="C225" s="38" t="str">
        <f>"./images/thumbnail/"&amp;データ!B225&amp;".jpg"</f>
        <v>./images/thumbnail/1402.jpg</v>
      </c>
      <c r="D225" s="38" t="s">
        <v>1455</v>
      </c>
      <c r="E225" s="38" t="str">
        <f>"./images/thumbnail/"&amp;データ!B225&amp;".jpg"</f>
        <v>./images/thumbnail/1402.jpg</v>
      </c>
      <c r="F225" s="38" t="s">
        <v>1116</v>
      </c>
      <c r="G225" s="38" t="s">
        <v>1319</v>
      </c>
      <c r="H225" s="38" t="str">
        <f>データ!C225</f>
        <v>フォルテ</v>
      </c>
      <c r="I225" s="38" t="s">
        <v>1024</v>
      </c>
      <c r="J225" s="38" t="s">
        <v>1320</v>
      </c>
      <c r="K225" s="38" t="str">
        <f>データ!D225</f>
        <v>SSR</v>
      </c>
      <c r="L225" s="38" t="s">
        <v>1024</v>
      </c>
      <c r="M225" s="38" t="s">
        <v>1321</v>
      </c>
      <c r="N225" s="38">
        <f>データ!E225</f>
        <v>13</v>
      </c>
      <c r="O225" s="38" t="s">
        <v>1024</v>
      </c>
      <c r="P225" s="38" t="s">
        <v>1319</v>
      </c>
      <c r="Q225" s="38" t="str">
        <f>データ!F225</f>
        <v>遠</v>
      </c>
      <c r="R225" s="38" t="s">
        <v>1024</v>
      </c>
      <c r="S225" s="38" t="s">
        <v>1319</v>
      </c>
      <c r="T225" s="39">
        <f>データ!G225</f>
        <v>18944</v>
      </c>
      <c r="U225" s="40" t="s">
        <v>1024</v>
      </c>
      <c r="V225" s="40" t="s">
        <v>1319</v>
      </c>
      <c r="W225" s="39">
        <f>データ!H225</f>
        <v>6611</v>
      </c>
      <c r="X225" s="40" t="s">
        <v>1024</v>
      </c>
      <c r="Y225" s="40" t="s">
        <v>1319</v>
      </c>
      <c r="Z225" s="39">
        <f>データ!I225</f>
        <v>4289</v>
      </c>
      <c r="AA225" s="40" t="s">
        <v>1024</v>
      </c>
      <c r="AB225" s="40" t="s">
        <v>1322</v>
      </c>
      <c r="AC225" s="39" t="str">
        <f>データ!J225</f>
        <v>S-</v>
      </c>
      <c r="AD225" s="38" t="s">
        <v>1024</v>
      </c>
      <c r="AE225" s="40" t="s">
        <v>1323</v>
      </c>
      <c r="AF225" s="39">
        <f>データ!K225</f>
        <v>29844</v>
      </c>
      <c r="AG225" s="40" t="s">
        <v>1024</v>
      </c>
      <c r="AH225" s="40" t="s">
        <v>1324</v>
      </c>
      <c r="AI225" s="39" t="str">
        <f>データ!L225</f>
        <v>地幻射の四連撃／真</v>
      </c>
      <c r="AJ225" s="10" t="s">
        <v>1113</v>
      </c>
      <c r="AK225" s="39" t="str">
        <f>データ!M225</f>
        <v>ランダム4連続攻撃[中]自分の防御力UP[中]</v>
      </c>
      <c r="AL225" s="10" t="s">
        <v>1024</v>
      </c>
      <c r="AM225" s="40" t="s">
        <v>1325</v>
      </c>
      <c r="AN225" s="39" t="str">
        <f>データ!N225</f>
        <v>-</v>
      </c>
      <c r="AO225" s="10" t="s">
        <v>1113</v>
      </c>
      <c r="AP225" s="39" t="str">
        <f>データ!O225</f>
        <v>　</v>
      </c>
      <c r="AQ225" s="41" t="s">
        <v>1024</v>
      </c>
      <c r="AR225" s="40" t="s">
        <v>1324</v>
      </c>
      <c r="AS225" s="39" t="str">
        <f>データ!P225</f>
        <v>ジャガーノート／真</v>
      </c>
      <c r="AT225" s="10" t="s">
        <v>1113</v>
      </c>
      <c r="AU225" s="39" t="str">
        <f>データ!Q225</f>
        <v>バトルで敵を全滅するとBPが中回復(バトル3回)</v>
      </c>
      <c r="AV225" s="10" t="s">
        <v>1024</v>
      </c>
      <c r="AW225" s="40" t="s">
        <v>1324</v>
      </c>
      <c r="AX225" s="39" t="str">
        <f>データ!R225</f>
        <v>-</v>
      </c>
      <c r="AY225" s="10" t="s">
        <v>1113</v>
      </c>
      <c r="AZ225" s="39" t="str">
        <f>データ!S225</f>
        <v>　</v>
      </c>
      <c r="BA225" s="41" t="s">
        <v>1024</v>
      </c>
      <c r="BB225" s="40" t="s">
        <v>1319</v>
      </c>
      <c r="BC225" s="39" t="str">
        <f>データ!T225</f>
        <v>-</v>
      </c>
      <c r="BD225" s="41" t="s">
        <v>1024</v>
      </c>
      <c r="BE225" s="40" t="s">
        <v>1320</v>
      </c>
      <c r="BF225" s="39" t="str">
        <f>データ!U225</f>
        <v>-</v>
      </c>
      <c r="BG225" s="41" t="s">
        <v>1024</v>
      </c>
      <c r="BH225" s="40" t="s">
        <v>1319</v>
      </c>
      <c r="BI225" s="39" t="str">
        <f>データ!V225</f>
        <v>常設</v>
      </c>
      <c r="BJ225" s="41" t="s">
        <v>1024</v>
      </c>
      <c r="BK225" s="10" t="s">
        <v>1019</v>
      </c>
    </row>
    <row r="226" spans="1:63" x14ac:dyDescent="0.15">
      <c r="A226" s="10" t="s">
        <v>1016</v>
      </c>
      <c r="B226" s="10" t="s">
        <v>1454</v>
      </c>
      <c r="C226" s="38" t="str">
        <f>"./images/thumbnail/"&amp;データ!B226&amp;".jpg"</f>
        <v>./images/thumbnail/1404.jpg</v>
      </c>
      <c r="D226" s="38" t="s">
        <v>1455</v>
      </c>
      <c r="E226" s="38" t="str">
        <f>"./images/thumbnail/"&amp;データ!B226&amp;".jpg"</f>
        <v>./images/thumbnail/1404.jpg</v>
      </c>
      <c r="F226" s="38" t="s">
        <v>1116</v>
      </c>
      <c r="G226" s="38" t="s">
        <v>1319</v>
      </c>
      <c r="H226" s="38" t="str">
        <f>データ!C226</f>
        <v>ヴェロニク</v>
      </c>
      <c r="I226" s="38" t="s">
        <v>1024</v>
      </c>
      <c r="J226" s="38" t="s">
        <v>1320</v>
      </c>
      <c r="K226" s="38" t="str">
        <f>データ!D226</f>
        <v>SSR</v>
      </c>
      <c r="L226" s="38" t="s">
        <v>1024</v>
      </c>
      <c r="M226" s="38" t="s">
        <v>1321</v>
      </c>
      <c r="N226" s="38">
        <f>データ!E226</f>
        <v>13</v>
      </c>
      <c r="O226" s="38" t="s">
        <v>1024</v>
      </c>
      <c r="P226" s="38" t="s">
        <v>1319</v>
      </c>
      <c r="Q226" s="38" t="str">
        <f>データ!F226</f>
        <v>突</v>
      </c>
      <c r="R226" s="38" t="s">
        <v>1024</v>
      </c>
      <c r="S226" s="38" t="s">
        <v>1319</v>
      </c>
      <c r="T226" s="39">
        <f>データ!G226</f>
        <v>17074</v>
      </c>
      <c r="U226" s="40" t="s">
        <v>1024</v>
      </c>
      <c r="V226" s="40" t="s">
        <v>1319</v>
      </c>
      <c r="W226" s="39">
        <f>データ!H226</f>
        <v>5993</v>
      </c>
      <c r="X226" s="40" t="s">
        <v>1024</v>
      </c>
      <c r="Y226" s="40" t="s">
        <v>1319</v>
      </c>
      <c r="Z226" s="39">
        <f>データ!I226</f>
        <v>5607</v>
      </c>
      <c r="AA226" s="40" t="s">
        <v>1024</v>
      </c>
      <c r="AB226" s="40" t="s">
        <v>1322</v>
      </c>
      <c r="AC226" s="39" t="str">
        <f>データ!J226</f>
        <v>SS-</v>
      </c>
      <c r="AD226" s="38" t="s">
        <v>1024</v>
      </c>
      <c r="AE226" s="40" t="s">
        <v>1323</v>
      </c>
      <c r="AF226" s="39">
        <f>データ!K226</f>
        <v>28674</v>
      </c>
      <c r="AG226" s="40" t="s">
        <v>1024</v>
      </c>
      <c r="AH226" s="40" t="s">
        <v>1324</v>
      </c>
      <c r="AI226" s="39" t="str">
        <f>データ!L226</f>
        <v>天幻神の五連撃</v>
      </c>
      <c r="AJ226" s="10" t="s">
        <v>1113</v>
      </c>
      <c r="AK226" s="39" t="str">
        <f>データ!M226</f>
        <v>ランダム5連続攻撃[小]自分の攻撃力UP[小]</v>
      </c>
      <c r="AL226" s="10" t="s">
        <v>1024</v>
      </c>
      <c r="AM226" s="40" t="s">
        <v>1325</v>
      </c>
      <c r="AN226" s="39" t="str">
        <f>データ!N226</f>
        <v>-</v>
      </c>
      <c r="AO226" s="10" t="s">
        <v>1113</v>
      </c>
      <c r="AP226" s="39" t="str">
        <f>データ!O226</f>
        <v>　</v>
      </c>
      <c r="AQ226" s="41" t="s">
        <v>1024</v>
      </c>
      <c r="AR226" s="40" t="s">
        <v>1324</v>
      </c>
      <c r="AS226" s="39" t="str">
        <f>データ!P226</f>
        <v>ランページ／真</v>
      </c>
      <c r="AT226" s="10" t="s">
        <v>1113</v>
      </c>
      <c r="AU226" s="39" t="str">
        <f>データ!Q226</f>
        <v>バトルで獲得する騎士団戦スコアが中アップ(3分間)</v>
      </c>
      <c r="AV226" s="10" t="s">
        <v>1024</v>
      </c>
      <c r="AW226" s="40" t="s">
        <v>1324</v>
      </c>
      <c r="AX226" s="39" t="str">
        <f>データ!R226</f>
        <v>-</v>
      </c>
      <c r="AY226" s="10" t="s">
        <v>1113</v>
      </c>
      <c r="AZ226" s="39" t="str">
        <f>データ!S226</f>
        <v>　</v>
      </c>
      <c r="BA226" s="41" t="s">
        <v>1024</v>
      </c>
      <c r="BB226" s="40" t="s">
        <v>1319</v>
      </c>
      <c r="BC226" s="39" t="str">
        <f>データ!T226</f>
        <v>-</v>
      </c>
      <c r="BD226" s="41" t="s">
        <v>1024</v>
      </c>
      <c r="BE226" s="40" t="s">
        <v>1320</v>
      </c>
      <c r="BF226" s="39" t="str">
        <f>データ!U226</f>
        <v>-</v>
      </c>
      <c r="BG226" s="41" t="s">
        <v>1024</v>
      </c>
      <c r="BH226" s="40" t="s">
        <v>1319</v>
      </c>
      <c r="BI226" s="39" t="str">
        <f>データ!V226</f>
        <v>覇者の塔</v>
      </c>
      <c r="BJ226" s="41" t="s">
        <v>1024</v>
      </c>
      <c r="BK226" s="10" t="s">
        <v>1019</v>
      </c>
    </row>
    <row r="227" spans="1:63" x14ac:dyDescent="0.15">
      <c r="A227" s="10" t="s">
        <v>1016</v>
      </c>
      <c r="B227" s="10" t="s">
        <v>1454</v>
      </c>
      <c r="C227" s="38" t="str">
        <f>"./images/thumbnail/"&amp;データ!B227&amp;".jpg"</f>
        <v>./images/thumbnail/1406.jpg</v>
      </c>
      <c r="D227" s="38" t="s">
        <v>1455</v>
      </c>
      <c r="E227" s="38" t="str">
        <f>"./images/thumbnail/"&amp;データ!B227&amp;".jpg"</f>
        <v>./images/thumbnail/1406.jpg</v>
      </c>
      <c r="F227" s="38" t="s">
        <v>1116</v>
      </c>
      <c r="G227" s="38" t="s">
        <v>1319</v>
      </c>
      <c r="H227" s="38" t="str">
        <f>データ!C227</f>
        <v>トルテ</v>
      </c>
      <c r="I227" s="38" t="s">
        <v>1024</v>
      </c>
      <c r="J227" s="38" t="s">
        <v>1320</v>
      </c>
      <c r="K227" s="38" t="str">
        <f>データ!D227</f>
        <v>UR</v>
      </c>
      <c r="L227" s="38" t="s">
        <v>1024</v>
      </c>
      <c r="M227" s="38" t="s">
        <v>1321</v>
      </c>
      <c r="N227" s="38">
        <f>データ!E227</f>
        <v>14</v>
      </c>
      <c r="O227" s="38" t="s">
        <v>1024</v>
      </c>
      <c r="P227" s="38" t="s">
        <v>1319</v>
      </c>
      <c r="Q227" s="38" t="str">
        <f>データ!F227</f>
        <v>遠</v>
      </c>
      <c r="R227" s="38" t="s">
        <v>1024</v>
      </c>
      <c r="S227" s="38" t="s">
        <v>1319</v>
      </c>
      <c r="T227" s="39">
        <f>データ!G227</f>
        <v>20835</v>
      </c>
      <c r="U227" s="40" t="s">
        <v>1024</v>
      </c>
      <c r="V227" s="40" t="s">
        <v>1319</v>
      </c>
      <c r="W227" s="39">
        <f>データ!H227</f>
        <v>6345</v>
      </c>
      <c r="X227" s="40" t="s">
        <v>1024</v>
      </c>
      <c r="Y227" s="40" t="s">
        <v>1319</v>
      </c>
      <c r="Z227" s="39">
        <f>データ!I227</f>
        <v>5538</v>
      </c>
      <c r="AA227" s="40" t="s">
        <v>1024</v>
      </c>
      <c r="AB227" s="40" t="s">
        <v>1322</v>
      </c>
      <c r="AC227" s="39" t="str">
        <f>データ!J227</f>
        <v>S+</v>
      </c>
      <c r="AD227" s="38" t="s">
        <v>1024</v>
      </c>
      <c r="AE227" s="40" t="s">
        <v>1323</v>
      </c>
      <c r="AF227" s="39">
        <f>データ!K227</f>
        <v>32718</v>
      </c>
      <c r="AG227" s="40" t="s">
        <v>1024</v>
      </c>
      <c r="AH227" s="40" t="s">
        <v>1324</v>
      </c>
      <c r="AI227" s="39" t="str">
        <f>データ!L227</f>
        <v>魔幻の閃光／煌</v>
      </c>
      <c r="AJ227" s="10" t="s">
        <v>1113</v>
      </c>
      <c r="AK227" s="39" t="str">
        <f>データ!M227</f>
        <v>縦一列に攻撃[特大]</v>
      </c>
      <c r="AL227" s="10" t="s">
        <v>1024</v>
      </c>
      <c r="AM227" s="40" t="s">
        <v>1325</v>
      </c>
      <c r="AN227" s="39" t="str">
        <f>データ!N227</f>
        <v>-</v>
      </c>
      <c r="AO227" s="10" t="s">
        <v>1113</v>
      </c>
      <c r="AP227" s="39" t="str">
        <f>データ!O227</f>
        <v>　</v>
      </c>
      <c r="AQ227" s="41" t="s">
        <v>1024</v>
      </c>
      <c r="AR227" s="40" t="s">
        <v>1324</v>
      </c>
      <c r="AS227" s="39" t="str">
        <f>データ!P227</f>
        <v>ジャガーノート／絶</v>
      </c>
      <c r="AT227" s="10" t="s">
        <v>1113</v>
      </c>
      <c r="AU227" s="39" t="str">
        <f>データ!Q227</f>
        <v>バトルで敵を全滅するとBPが大回復(バトル3回)</v>
      </c>
      <c r="AV227" s="10" t="s">
        <v>1024</v>
      </c>
      <c r="AW227" s="40" t="s">
        <v>1324</v>
      </c>
      <c r="AX227" s="39" t="str">
        <f>データ!R227</f>
        <v>-</v>
      </c>
      <c r="AY227" s="10" t="s">
        <v>1113</v>
      </c>
      <c r="AZ227" s="39" t="str">
        <f>データ!S227</f>
        <v>　</v>
      </c>
      <c r="BA227" s="41" t="s">
        <v>1024</v>
      </c>
      <c r="BB227" s="40" t="s">
        <v>1319</v>
      </c>
      <c r="BC227" s="39" t="str">
        <f>データ!T227</f>
        <v>-</v>
      </c>
      <c r="BD227" s="41" t="s">
        <v>1024</v>
      </c>
      <c r="BE227" s="40" t="s">
        <v>1320</v>
      </c>
      <c r="BF227" s="39" t="str">
        <f>データ!U227</f>
        <v>-</v>
      </c>
      <c r="BG227" s="41" t="s">
        <v>1024</v>
      </c>
      <c r="BH227" s="40" t="s">
        <v>1319</v>
      </c>
      <c r="BI227" s="39" t="str">
        <f>データ!V227</f>
        <v>ガチャイベ</v>
      </c>
      <c r="BJ227" s="41" t="s">
        <v>1024</v>
      </c>
      <c r="BK227" s="10" t="s">
        <v>1019</v>
      </c>
    </row>
    <row r="228" spans="1:63" x14ac:dyDescent="0.15">
      <c r="A228" s="10" t="s">
        <v>1016</v>
      </c>
      <c r="B228" s="10" t="s">
        <v>1454</v>
      </c>
      <c r="C228" s="38" t="str">
        <f>"./images/thumbnail/"&amp;データ!B228&amp;".jpg"</f>
        <v>./images/thumbnail/1407.jpg</v>
      </c>
      <c r="D228" s="38" t="s">
        <v>1455</v>
      </c>
      <c r="E228" s="38" t="str">
        <f>"./images/thumbnail/"&amp;データ!B228&amp;".jpg"</f>
        <v>./images/thumbnail/1407.jpg</v>
      </c>
      <c r="F228" s="38" t="s">
        <v>1116</v>
      </c>
      <c r="G228" s="38" t="s">
        <v>1319</v>
      </c>
      <c r="H228" s="38" t="str">
        <f>データ!C228</f>
        <v>ユージーン</v>
      </c>
      <c r="I228" s="38" t="s">
        <v>1024</v>
      </c>
      <c r="J228" s="38" t="s">
        <v>1320</v>
      </c>
      <c r="K228" s="38" t="str">
        <f>データ!D228</f>
        <v>SSR</v>
      </c>
      <c r="L228" s="38" t="s">
        <v>1024</v>
      </c>
      <c r="M228" s="38" t="s">
        <v>1321</v>
      </c>
      <c r="N228" s="38">
        <f>データ!E228</f>
        <v>13</v>
      </c>
      <c r="O228" s="38" t="s">
        <v>1024</v>
      </c>
      <c r="P228" s="38" t="s">
        <v>1319</v>
      </c>
      <c r="Q228" s="38" t="str">
        <f>データ!F228</f>
        <v>突</v>
      </c>
      <c r="R228" s="38" t="s">
        <v>1024</v>
      </c>
      <c r="S228" s="38" t="s">
        <v>1319</v>
      </c>
      <c r="T228" s="39">
        <f>データ!G228</f>
        <v>16622</v>
      </c>
      <c r="U228" s="40" t="s">
        <v>1024</v>
      </c>
      <c r="V228" s="40" t="s">
        <v>1319</v>
      </c>
      <c r="W228" s="39">
        <f>データ!H228</f>
        <v>5787</v>
      </c>
      <c r="X228" s="40" t="s">
        <v>1024</v>
      </c>
      <c r="Y228" s="40" t="s">
        <v>1319</v>
      </c>
      <c r="Z228" s="39">
        <f>データ!I228</f>
        <v>6269</v>
      </c>
      <c r="AA228" s="40" t="s">
        <v>1024</v>
      </c>
      <c r="AB228" s="40" t="s">
        <v>1322</v>
      </c>
      <c r="AC228" s="39" t="str">
        <f>データ!J228</f>
        <v>SS-</v>
      </c>
      <c r="AD228" s="38" t="s">
        <v>1024</v>
      </c>
      <c r="AE228" s="40" t="s">
        <v>1323</v>
      </c>
      <c r="AF228" s="39">
        <f>データ!K228</f>
        <v>28678</v>
      </c>
      <c r="AG228" s="40" t="s">
        <v>1024</v>
      </c>
      <c r="AH228" s="40" t="s">
        <v>1324</v>
      </c>
      <c r="AI228" s="39" t="str">
        <f>データ!L228</f>
        <v>天焔幻の一閃／絶</v>
      </c>
      <c r="AJ228" s="10" t="s">
        <v>1113</v>
      </c>
      <c r="AK228" s="39" t="str">
        <f>データ!M228</f>
        <v>横一列攻撃[大]自分の攻撃力UP[大]</v>
      </c>
      <c r="AL228" s="10" t="s">
        <v>1024</v>
      </c>
      <c r="AM228" s="40" t="s">
        <v>1325</v>
      </c>
      <c r="AN228" s="39" t="str">
        <f>データ!N228</f>
        <v>-</v>
      </c>
      <c r="AO228" s="10" t="s">
        <v>1113</v>
      </c>
      <c r="AP228" s="39" t="str">
        <f>データ!O228</f>
        <v>　</v>
      </c>
      <c r="AQ228" s="41" t="s">
        <v>1024</v>
      </c>
      <c r="AR228" s="40" t="s">
        <v>1324</v>
      </c>
      <c r="AS228" s="39" t="str">
        <f>データ!P228</f>
        <v>アサルト／真</v>
      </c>
      <c r="AT228" s="10" t="s">
        <v>1113</v>
      </c>
      <c r="AU228" s="39" t="str">
        <f>データ!Q228</f>
        <v>パーティ全体の攻撃力が中UP(3分間)</v>
      </c>
      <c r="AV228" s="10" t="s">
        <v>1024</v>
      </c>
      <c r="AW228" s="40" t="s">
        <v>1324</v>
      </c>
      <c r="AX228" s="39" t="str">
        <f>データ!R228</f>
        <v>-</v>
      </c>
      <c r="AY228" s="10" t="s">
        <v>1113</v>
      </c>
      <c r="AZ228" s="39" t="str">
        <f>データ!S228</f>
        <v>　</v>
      </c>
      <c r="BA228" s="41" t="s">
        <v>1024</v>
      </c>
      <c r="BB228" s="40" t="s">
        <v>1319</v>
      </c>
      <c r="BC228" s="39" t="str">
        <f>データ!T228</f>
        <v>-</v>
      </c>
      <c r="BD228" s="41" t="s">
        <v>1024</v>
      </c>
      <c r="BE228" s="40" t="s">
        <v>1320</v>
      </c>
      <c r="BF228" s="39" t="str">
        <f>データ!U228</f>
        <v>-</v>
      </c>
      <c r="BG228" s="41" t="s">
        <v>1024</v>
      </c>
      <c r="BH228" s="40" t="s">
        <v>1319</v>
      </c>
      <c r="BI228" s="39" t="str">
        <f>データ!V228</f>
        <v>ガチャイベ</v>
      </c>
      <c r="BJ228" s="41" t="s">
        <v>1024</v>
      </c>
      <c r="BK228" s="10" t="s">
        <v>1019</v>
      </c>
    </row>
    <row r="229" spans="1:63" x14ac:dyDescent="0.15">
      <c r="A229" s="10" t="s">
        <v>1016</v>
      </c>
      <c r="B229" s="10" t="s">
        <v>1454</v>
      </c>
      <c r="C229" s="38" t="str">
        <f>"./images/thumbnail/"&amp;データ!B229&amp;".jpg"</f>
        <v>./images/thumbnail/1409.jpg</v>
      </c>
      <c r="D229" s="38" t="s">
        <v>1455</v>
      </c>
      <c r="E229" s="38" t="str">
        <f>"./images/thumbnail/"&amp;データ!B229&amp;".jpg"</f>
        <v>./images/thumbnail/1409.jpg</v>
      </c>
      <c r="F229" s="38" t="s">
        <v>1116</v>
      </c>
      <c r="G229" s="38" t="s">
        <v>1319</v>
      </c>
      <c r="H229" s="38" t="str">
        <f>データ!C229</f>
        <v>ポーラ</v>
      </c>
      <c r="I229" s="38" t="s">
        <v>1024</v>
      </c>
      <c r="J229" s="38" t="s">
        <v>1320</v>
      </c>
      <c r="K229" s="38" t="str">
        <f>データ!D229</f>
        <v>SSR</v>
      </c>
      <c r="L229" s="38" t="s">
        <v>1024</v>
      </c>
      <c r="M229" s="38" t="s">
        <v>1321</v>
      </c>
      <c r="N229" s="38">
        <f>データ!E229</f>
        <v>13</v>
      </c>
      <c r="O229" s="38" t="s">
        <v>1024</v>
      </c>
      <c r="P229" s="38" t="s">
        <v>1319</v>
      </c>
      <c r="Q229" s="38" t="str">
        <f>データ!F229</f>
        <v>斬</v>
      </c>
      <c r="R229" s="38" t="s">
        <v>1024</v>
      </c>
      <c r="S229" s="38" t="s">
        <v>1319</v>
      </c>
      <c r="T229" s="39">
        <f>データ!G229</f>
        <v>17249</v>
      </c>
      <c r="U229" s="40" t="s">
        <v>1024</v>
      </c>
      <c r="V229" s="40" t="s">
        <v>1319</v>
      </c>
      <c r="W229" s="39">
        <f>データ!H229</f>
        <v>6616</v>
      </c>
      <c r="X229" s="40" t="s">
        <v>1024</v>
      </c>
      <c r="Y229" s="40" t="s">
        <v>1319</v>
      </c>
      <c r="Z229" s="39">
        <f>データ!I229</f>
        <v>5574</v>
      </c>
      <c r="AA229" s="40" t="s">
        <v>1024</v>
      </c>
      <c r="AB229" s="40" t="s">
        <v>1322</v>
      </c>
      <c r="AC229" s="39" t="str">
        <f>データ!J229</f>
        <v>A+</v>
      </c>
      <c r="AD229" s="38" t="s">
        <v>1024</v>
      </c>
      <c r="AE229" s="40" t="s">
        <v>1323</v>
      </c>
      <c r="AF229" s="39">
        <f>データ!K229</f>
        <v>29439</v>
      </c>
      <c r="AG229" s="40" t="s">
        <v>1024</v>
      </c>
      <c r="AH229" s="40" t="s">
        <v>1324</v>
      </c>
      <c r="AI229" s="39" t="str">
        <f>データ!L229</f>
        <v>天幻氷の縦十字／絶</v>
      </c>
      <c r="AJ229" s="10" t="s">
        <v>1113</v>
      </c>
      <c r="AK229" s="39" t="str">
        <f>データ!M229</f>
        <v>十字型攻撃[大]自分の攻撃力UP[大]</v>
      </c>
      <c r="AL229" s="10" t="s">
        <v>1024</v>
      </c>
      <c r="AM229" s="40" t="s">
        <v>1325</v>
      </c>
      <c r="AN229" s="39" t="str">
        <f>データ!N229</f>
        <v>-</v>
      </c>
      <c r="AO229" s="10" t="s">
        <v>1113</v>
      </c>
      <c r="AP229" s="39" t="str">
        <f>データ!O229</f>
        <v>　</v>
      </c>
      <c r="AQ229" s="41" t="s">
        <v>1024</v>
      </c>
      <c r="AR229" s="40" t="s">
        <v>1324</v>
      </c>
      <c r="AS229" s="39" t="str">
        <f>データ!P229</f>
        <v>ステルス／真</v>
      </c>
      <c r="AT229" s="10" t="s">
        <v>1113</v>
      </c>
      <c r="AU229" s="39" t="str">
        <f>データ!Q229</f>
        <v>強襲CBの発生確率・強襲時獲得ポイント中UP(3回)</v>
      </c>
      <c r="AV229" s="10" t="s">
        <v>1024</v>
      </c>
      <c r="AW229" s="40" t="s">
        <v>1324</v>
      </c>
      <c r="AX229" s="39" t="str">
        <f>データ!R229</f>
        <v>-</v>
      </c>
      <c r="AY229" s="10" t="s">
        <v>1113</v>
      </c>
      <c r="AZ229" s="39" t="str">
        <f>データ!S229</f>
        <v>　</v>
      </c>
      <c r="BA229" s="41" t="s">
        <v>1024</v>
      </c>
      <c r="BB229" s="40" t="s">
        <v>1319</v>
      </c>
      <c r="BC229" s="39" t="str">
        <f>データ!T229</f>
        <v>-</v>
      </c>
      <c r="BD229" s="41" t="s">
        <v>1024</v>
      </c>
      <c r="BE229" s="40" t="s">
        <v>1320</v>
      </c>
      <c r="BF229" s="39" t="str">
        <f>データ!U229</f>
        <v>-</v>
      </c>
      <c r="BG229" s="41" t="s">
        <v>1024</v>
      </c>
      <c r="BH229" s="40" t="s">
        <v>1319</v>
      </c>
      <c r="BI229" s="39" t="str">
        <f>データ!V229</f>
        <v>常設</v>
      </c>
      <c r="BJ229" s="41" t="s">
        <v>1024</v>
      </c>
      <c r="BK229" s="10" t="s">
        <v>1019</v>
      </c>
    </row>
    <row r="230" spans="1:63" x14ac:dyDescent="0.15">
      <c r="A230" s="10" t="s">
        <v>1016</v>
      </c>
      <c r="B230" s="10" t="s">
        <v>1454</v>
      </c>
      <c r="C230" s="38" t="str">
        <f>"./images/thumbnail/"&amp;データ!B230&amp;".jpg"</f>
        <v>./images/thumbnail/1411.jpg</v>
      </c>
      <c r="D230" s="38" t="s">
        <v>1455</v>
      </c>
      <c r="E230" s="38" t="str">
        <f>"./images/thumbnail/"&amp;データ!B230&amp;".jpg"</f>
        <v>./images/thumbnail/1411.jpg</v>
      </c>
      <c r="F230" s="38" t="s">
        <v>1116</v>
      </c>
      <c r="G230" s="38" t="s">
        <v>1319</v>
      </c>
      <c r="H230" s="38" t="str">
        <f>データ!C230</f>
        <v>レティシア</v>
      </c>
      <c r="I230" s="38" t="s">
        <v>1024</v>
      </c>
      <c r="J230" s="38" t="s">
        <v>1320</v>
      </c>
      <c r="K230" s="38" t="str">
        <f>データ!D230</f>
        <v>UR</v>
      </c>
      <c r="L230" s="38" t="s">
        <v>1024</v>
      </c>
      <c r="M230" s="38" t="s">
        <v>1321</v>
      </c>
      <c r="N230" s="38">
        <f>データ!E230</f>
        <v>14</v>
      </c>
      <c r="O230" s="38" t="s">
        <v>1024</v>
      </c>
      <c r="P230" s="38" t="s">
        <v>1319</v>
      </c>
      <c r="Q230" s="38" t="str">
        <f>データ!F230</f>
        <v>突</v>
      </c>
      <c r="R230" s="38" t="s">
        <v>1024</v>
      </c>
      <c r="S230" s="38" t="s">
        <v>1319</v>
      </c>
      <c r="T230" s="39">
        <f>データ!G230</f>
        <v>19420</v>
      </c>
      <c r="U230" s="40" t="s">
        <v>1024</v>
      </c>
      <c r="V230" s="40" t="s">
        <v>1319</v>
      </c>
      <c r="W230" s="39">
        <f>データ!H230</f>
        <v>5782</v>
      </c>
      <c r="X230" s="40" t="s">
        <v>1024</v>
      </c>
      <c r="Y230" s="40" t="s">
        <v>1319</v>
      </c>
      <c r="Z230" s="39">
        <f>データ!I230</f>
        <v>7165</v>
      </c>
      <c r="AA230" s="40" t="s">
        <v>1024</v>
      </c>
      <c r="AB230" s="40" t="s">
        <v>1322</v>
      </c>
      <c r="AC230" s="39" t="str">
        <f>データ!J230</f>
        <v>SS+</v>
      </c>
      <c r="AD230" s="38" t="s">
        <v>1024</v>
      </c>
      <c r="AE230" s="40" t="s">
        <v>1323</v>
      </c>
      <c r="AF230" s="39">
        <f>データ!K230</f>
        <v>32367</v>
      </c>
      <c r="AG230" s="40" t="s">
        <v>1024</v>
      </c>
      <c r="AH230" s="40" t="s">
        <v>1324</v>
      </c>
      <c r="AI230" s="39" t="str">
        <f>データ!L230</f>
        <v>孤撃の言霊／煌</v>
      </c>
      <c r="AJ230" s="10" t="s">
        <v>1113</v>
      </c>
      <c r="AK230" s="39" t="str">
        <f>データ!M230</f>
        <v>一定確率で敵を範囲不可にする[超高確率]</v>
      </c>
      <c r="AL230" s="10" t="s">
        <v>1024</v>
      </c>
      <c r="AM230" s="40" t="s">
        <v>1325</v>
      </c>
      <c r="AN230" s="39" t="str">
        <f>データ!N230</f>
        <v>-</v>
      </c>
      <c r="AO230" s="10" t="s">
        <v>1113</v>
      </c>
      <c r="AP230" s="39" t="str">
        <f>データ!O230</f>
        <v>　</v>
      </c>
      <c r="AQ230" s="41" t="s">
        <v>1024</v>
      </c>
      <c r="AR230" s="40" t="s">
        <v>1324</v>
      </c>
      <c r="AS230" s="39" t="str">
        <f>データ!P230</f>
        <v>アサルト／絶</v>
      </c>
      <c r="AT230" s="10" t="s">
        <v>1113</v>
      </c>
      <c r="AU230" s="39" t="str">
        <f>データ!Q230</f>
        <v>パーティ全体の攻撃力が大UP(3分間)</v>
      </c>
      <c r="AV230" s="10" t="s">
        <v>1024</v>
      </c>
      <c r="AW230" s="40" t="s">
        <v>1324</v>
      </c>
      <c r="AX230" s="39" t="str">
        <f>データ!R230</f>
        <v>-</v>
      </c>
      <c r="AY230" s="10" t="s">
        <v>1113</v>
      </c>
      <c r="AZ230" s="39" t="str">
        <f>データ!S230</f>
        <v>　</v>
      </c>
      <c r="BA230" s="41" t="s">
        <v>1024</v>
      </c>
      <c r="BB230" s="40" t="s">
        <v>1319</v>
      </c>
      <c r="BC230" s="39" t="str">
        <f>データ!T230</f>
        <v>-</v>
      </c>
      <c r="BD230" s="41" t="s">
        <v>1024</v>
      </c>
      <c r="BE230" s="40" t="s">
        <v>1320</v>
      </c>
      <c r="BF230" s="39" t="str">
        <f>データ!U230</f>
        <v>-</v>
      </c>
      <c r="BG230" s="41" t="s">
        <v>1024</v>
      </c>
      <c r="BH230" s="40" t="s">
        <v>1319</v>
      </c>
      <c r="BI230" s="39" t="str">
        <f>データ!V230</f>
        <v>常設</v>
      </c>
      <c r="BJ230" s="41" t="s">
        <v>1024</v>
      </c>
      <c r="BK230" s="10" t="s">
        <v>1019</v>
      </c>
    </row>
    <row r="231" spans="1:63" x14ac:dyDescent="0.15">
      <c r="A231" s="10" t="s">
        <v>1016</v>
      </c>
      <c r="B231" s="10" t="s">
        <v>1454</v>
      </c>
      <c r="C231" s="38" t="str">
        <f>"./images/thumbnail/"&amp;データ!B231&amp;".jpg"</f>
        <v>./images/thumbnail/1411_a.jpg</v>
      </c>
      <c r="D231" s="38" t="s">
        <v>1455</v>
      </c>
      <c r="E231" s="38" t="str">
        <f>"./images/thumbnail/"&amp;データ!B231&amp;".jpg"</f>
        <v>./images/thumbnail/1411_a.jpg</v>
      </c>
      <c r="F231" s="38" t="s">
        <v>1116</v>
      </c>
      <c r="G231" s="38" t="s">
        <v>1319</v>
      </c>
      <c r="H231" s="38" t="str">
        <f>データ!C231</f>
        <v>レティシア</v>
      </c>
      <c r="I231" s="38" t="s">
        <v>1024</v>
      </c>
      <c r="J231" s="38" t="s">
        <v>1320</v>
      </c>
      <c r="K231" s="38" t="str">
        <f>データ!D231</f>
        <v>UR</v>
      </c>
      <c r="L231" s="38" t="s">
        <v>1024</v>
      </c>
      <c r="M231" s="38" t="s">
        <v>1321</v>
      </c>
      <c r="N231" s="38">
        <f>データ!E231</f>
        <v>14</v>
      </c>
      <c r="O231" s="38" t="s">
        <v>1024</v>
      </c>
      <c r="P231" s="38" t="s">
        <v>1319</v>
      </c>
      <c r="Q231" s="38" t="str">
        <f>データ!F231</f>
        <v>突</v>
      </c>
      <c r="R231" s="38" t="s">
        <v>1024</v>
      </c>
      <c r="S231" s="38" t="s">
        <v>1319</v>
      </c>
      <c r="T231" s="39">
        <f>データ!G231</f>
        <v>27967</v>
      </c>
      <c r="U231" s="40" t="s">
        <v>1024</v>
      </c>
      <c r="V231" s="40" t="s">
        <v>1319</v>
      </c>
      <c r="W231" s="39">
        <f>データ!H231</f>
        <v>7630</v>
      </c>
      <c r="X231" s="40" t="s">
        <v>1024</v>
      </c>
      <c r="Y231" s="40" t="s">
        <v>1319</v>
      </c>
      <c r="Z231" s="39">
        <f>データ!I231</f>
        <v>10966</v>
      </c>
      <c r="AA231" s="40" t="s">
        <v>1024</v>
      </c>
      <c r="AB231" s="40" t="s">
        <v>1322</v>
      </c>
      <c r="AC231" s="39" t="str">
        <f>データ!J231</f>
        <v>SS4</v>
      </c>
      <c r="AD231" s="38" t="s">
        <v>1024</v>
      </c>
      <c r="AE231" s="40" t="s">
        <v>1323</v>
      </c>
      <c r="AF231" s="39">
        <f>データ!K231</f>
        <v>46563</v>
      </c>
      <c r="AG231" s="40" t="s">
        <v>1024</v>
      </c>
      <c r="AH231" s="40" t="s">
        <v>1324</v>
      </c>
      <c r="AI231" s="39" t="str">
        <f>データ!L231</f>
        <v>孤撃の言霊／煌＋</v>
      </c>
      <c r="AJ231" s="10" t="s">
        <v>1113</v>
      </c>
      <c r="AK231" s="39" t="str">
        <f>データ!M231</f>
        <v>一定確率で敵を範囲不可にする[超超高確率]</v>
      </c>
      <c r="AL231" s="10" t="s">
        <v>1024</v>
      </c>
      <c r="AM231" s="40" t="s">
        <v>1325</v>
      </c>
      <c r="AN231" s="39" t="str">
        <f>データ!N231</f>
        <v>-</v>
      </c>
      <c r="AO231" s="10" t="s">
        <v>1113</v>
      </c>
      <c r="AP231" s="39" t="str">
        <f>データ!O231</f>
        <v>　</v>
      </c>
      <c r="AQ231" s="41" t="s">
        <v>1024</v>
      </c>
      <c r="AR231" s="40" t="s">
        <v>1324</v>
      </c>
      <c r="AS231" s="39" t="str">
        <f>データ!P231</f>
        <v>アサルト／絶</v>
      </c>
      <c r="AT231" s="10" t="s">
        <v>1113</v>
      </c>
      <c r="AU231" s="39" t="str">
        <f>データ!Q231</f>
        <v>パーティ全体の攻撃力が大UP(3分間)</v>
      </c>
      <c r="AV231" s="10" t="s">
        <v>1024</v>
      </c>
      <c r="AW231" s="40" t="s">
        <v>1324</v>
      </c>
      <c r="AX231" s="39" t="str">
        <f>データ!R231</f>
        <v>-</v>
      </c>
      <c r="AY231" s="10" t="s">
        <v>1113</v>
      </c>
      <c r="AZ231" s="39" t="str">
        <f>データ!S231</f>
        <v>　</v>
      </c>
      <c r="BA231" s="41" t="s">
        <v>1024</v>
      </c>
      <c r="BB231" s="40" t="s">
        <v>1319</v>
      </c>
      <c r="BC231" s="39" t="str">
        <f>データ!T231</f>
        <v>-</v>
      </c>
      <c r="BD231" s="41" t="s">
        <v>1024</v>
      </c>
      <c r="BE231" s="40" t="s">
        <v>1320</v>
      </c>
      <c r="BF231" s="39" t="str">
        <f>データ!U231</f>
        <v>-</v>
      </c>
      <c r="BG231" s="41" t="s">
        <v>1024</v>
      </c>
      <c r="BH231" s="40" t="s">
        <v>1319</v>
      </c>
      <c r="BI231" s="39" t="str">
        <f>データ!V231</f>
        <v>精鋭化ユニット</v>
      </c>
      <c r="BJ231" s="41" t="s">
        <v>1024</v>
      </c>
      <c r="BK231" s="10" t="s">
        <v>1019</v>
      </c>
    </row>
    <row r="232" spans="1:63" x14ac:dyDescent="0.15">
      <c r="A232" s="10" t="s">
        <v>1016</v>
      </c>
      <c r="B232" s="10" t="s">
        <v>1454</v>
      </c>
      <c r="C232" s="38" t="str">
        <f>"./images/thumbnail/"&amp;データ!B232&amp;".jpg"</f>
        <v>./images/thumbnail/1411_b.jpg</v>
      </c>
      <c r="D232" s="38" t="s">
        <v>1455</v>
      </c>
      <c r="E232" s="38" t="str">
        <f>"./images/thumbnail/"&amp;データ!B232&amp;".jpg"</f>
        <v>./images/thumbnail/1411_b.jpg</v>
      </c>
      <c r="F232" s="38" t="s">
        <v>1116</v>
      </c>
      <c r="G232" s="38" t="s">
        <v>1319</v>
      </c>
      <c r="H232" s="38" t="str">
        <f>データ!C232</f>
        <v>レティシア</v>
      </c>
      <c r="I232" s="38" t="s">
        <v>1024</v>
      </c>
      <c r="J232" s="38" t="s">
        <v>1320</v>
      </c>
      <c r="K232" s="38" t="str">
        <f>データ!D232</f>
        <v>UR</v>
      </c>
      <c r="L232" s="38" t="s">
        <v>1024</v>
      </c>
      <c r="M232" s="38" t="s">
        <v>1321</v>
      </c>
      <c r="N232" s="38">
        <f>データ!E232</f>
        <v>14</v>
      </c>
      <c r="O232" s="38" t="s">
        <v>1024</v>
      </c>
      <c r="P232" s="38" t="s">
        <v>1319</v>
      </c>
      <c r="Q232" s="38" t="str">
        <f>データ!F232</f>
        <v>突</v>
      </c>
      <c r="R232" s="38" t="s">
        <v>1024</v>
      </c>
      <c r="S232" s="38" t="s">
        <v>1319</v>
      </c>
      <c r="T232" s="39">
        <f>データ!G232</f>
        <v>27001</v>
      </c>
      <c r="U232" s="40" t="s">
        <v>1024</v>
      </c>
      <c r="V232" s="40" t="s">
        <v>1319</v>
      </c>
      <c r="W232" s="39">
        <f>データ!H232</f>
        <v>7336</v>
      </c>
      <c r="X232" s="40" t="s">
        <v>1024</v>
      </c>
      <c r="Y232" s="40" t="s">
        <v>1319</v>
      </c>
      <c r="Z232" s="39">
        <f>データ!I232</f>
        <v>10609</v>
      </c>
      <c r="AA232" s="40" t="s">
        <v>1024</v>
      </c>
      <c r="AB232" s="40" t="s">
        <v>1322</v>
      </c>
      <c r="AC232" s="39" t="str">
        <f>データ!J232</f>
        <v>SS4</v>
      </c>
      <c r="AD232" s="38" t="s">
        <v>1024</v>
      </c>
      <c r="AE232" s="40" t="s">
        <v>1323</v>
      </c>
      <c r="AF232" s="39">
        <f>データ!K232</f>
        <v>44946</v>
      </c>
      <c r="AG232" s="40" t="s">
        <v>1024</v>
      </c>
      <c r="AH232" s="40" t="s">
        <v>1324</v>
      </c>
      <c r="AI232" s="39" t="str">
        <f>データ!L232</f>
        <v>孤撃の言霊／煌</v>
      </c>
      <c r="AJ232" s="10" t="s">
        <v>1113</v>
      </c>
      <c r="AK232" s="39" t="str">
        <f>データ!M232</f>
        <v>一定確率で敵を範囲不可にする[超高確率]</v>
      </c>
      <c r="AL232" s="10" t="s">
        <v>1024</v>
      </c>
      <c r="AM232" s="40" t="s">
        <v>1325</v>
      </c>
      <c r="AN232" s="39" t="str">
        <f>データ!N232</f>
        <v>-</v>
      </c>
      <c r="AO232" s="10" t="s">
        <v>1113</v>
      </c>
      <c r="AP232" s="39" t="str">
        <f>データ!O232</f>
        <v>　</v>
      </c>
      <c r="AQ232" s="41" t="s">
        <v>1024</v>
      </c>
      <c r="AR232" s="40" t="s">
        <v>1324</v>
      </c>
      <c r="AS232" s="39" t="str">
        <f>データ!P232</f>
        <v>覚醒の神槍</v>
      </c>
      <c r="AT232" s="10" t="s">
        <v>1113</v>
      </c>
      <c r="AU232" s="39" t="str">
        <f>データ!Q232</f>
        <v>パーティ全体の攻撃力が極大UP(5分間)</v>
      </c>
      <c r="AV232" s="10" t="s">
        <v>1024</v>
      </c>
      <c r="AW232" s="40" t="s">
        <v>1324</v>
      </c>
      <c r="AX232" s="39" t="str">
        <f>データ!R232</f>
        <v>-</v>
      </c>
      <c r="AY232" s="10" t="s">
        <v>1113</v>
      </c>
      <c r="AZ232" s="39" t="str">
        <f>データ!S232</f>
        <v>　</v>
      </c>
      <c r="BA232" s="41" t="s">
        <v>1024</v>
      </c>
      <c r="BB232" s="40" t="s">
        <v>1319</v>
      </c>
      <c r="BC232" s="39" t="str">
        <f>データ!T232</f>
        <v>-</v>
      </c>
      <c r="BD232" s="41" t="s">
        <v>1024</v>
      </c>
      <c r="BE232" s="40" t="s">
        <v>1320</v>
      </c>
      <c r="BF232" s="39" t="str">
        <f>データ!U232</f>
        <v>-</v>
      </c>
      <c r="BG232" s="41" t="s">
        <v>1024</v>
      </c>
      <c r="BH232" s="40" t="s">
        <v>1319</v>
      </c>
      <c r="BI232" s="39" t="str">
        <f>データ!V232</f>
        <v>精鋭化ユニット</v>
      </c>
      <c r="BJ232" s="41" t="s">
        <v>1024</v>
      </c>
      <c r="BK232" s="10" t="s">
        <v>1019</v>
      </c>
    </row>
    <row r="233" spans="1:63" x14ac:dyDescent="0.15">
      <c r="A233" s="10" t="s">
        <v>1016</v>
      </c>
      <c r="B233" s="10" t="s">
        <v>1454</v>
      </c>
      <c r="C233" s="38" t="str">
        <f>"./images/thumbnail/"&amp;データ!B233&amp;".jpg"</f>
        <v>./images/thumbnail/1413.jpg</v>
      </c>
      <c r="D233" s="38" t="s">
        <v>1455</v>
      </c>
      <c r="E233" s="38" t="str">
        <f>"./images/thumbnail/"&amp;データ!B233&amp;".jpg"</f>
        <v>./images/thumbnail/1413.jpg</v>
      </c>
      <c r="F233" s="38" t="s">
        <v>1116</v>
      </c>
      <c r="G233" s="38" t="s">
        <v>1319</v>
      </c>
      <c r="H233" s="38" t="str">
        <f>データ!C233</f>
        <v>ヴァルム</v>
      </c>
      <c r="I233" s="38" t="s">
        <v>1024</v>
      </c>
      <c r="J233" s="38" t="s">
        <v>1320</v>
      </c>
      <c r="K233" s="38" t="str">
        <f>データ!D233</f>
        <v>SSR</v>
      </c>
      <c r="L233" s="38" t="s">
        <v>1024</v>
      </c>
      <c r="M233" s="38" t="s">
        <v>1321</v>
      </c>
      <c r="N233" s="38">
        <f>データ!E233</f>
        <v>13</v>
      </c>
      <c r="O233" s="38" t="s">
        <v>1024</v>
      </c>
      <c r="P233" s="38" t="s">
        <v>1319</v>
      </c>
      <c r="Q233" s="38" t="str">
        <f>データ!F233</f>
        <v>打</v>
      </c>
      <c r="R233" s="38" t="s">
        <v>1024</v>
      </c>
      <c r="S233" s="38" t="s">
        <v>1319</v>
      </c>
      <c r="T233" s="39">
        <f>データ!G233</f>
        <v>22737</v>
      </c>
      <c r="U233" s="40" t="s">
        <v>1024</v>
      </c>
      <c r="V233" s="40" t="s">
        <v>1319</v>
      </c>
      <c r="W233" s="39">
        <f>データ!H233</f>
        <v>5202</v>
      </c>
      <c r="X233" s="40" t="s">
        <v>1024</v>
      </c>
      <c r="Y233" s="40" t="s">
        <v>1319</v>
      </c>
      <c r="Z233" s="39">
        <f>データ!I233</f>
        <v>6890</v>
      </c>
      <c r="AA233" s="40" t="s">
        <v>1024</v>
      </c>
      <c r="AB233" s="40" t="s">
        <v>1322</v>
      </c>
      <c r="AC233" s="39" t="str">
        <f>データ!J233</f>
        <v>A-</v>
      </c>
      <c r="AD233" s="38" t="s">
        <v>1024</v>
      </c>
      <c r="AE233" s="40" t="s">
        <v>1323</v>
      </c>
      <c r="AF233" s="39">
        <f>データ!K233</f>
        <v>34829</v>
      </c>
      <c r="AG233" s="40" t="s">
        <v>1024</v>
      </c>
      <c r="AH233" s="40" t="s">
        <v>1324</v>
      </c>
      <c r="AI233" s="39" t="str">
        <f>データ!L233</f>
        <v>挑発の舞踏／真</v>
      </c>
      <c r="AJ233" s="10" t="s">
        <v>1113</v>
      </c>
      <c r="AK233" s="39" t="str">
        <f>データ!M233</f>
        <v>一定確率で敵の攻撃を引き付ける[高確率]</v>
      </c>
      <c r="AL233" s="10" t="s">
        <v>1024</v>
      </c>
      <c r="AM233" s="40" t="s">
        <v>1325</v>
      </c>
      <c r="AN233" s="39" t="str">
        <f>データ!N233</f>
        <v>-</v>
      </c>
      <c r="AO233" s="10" t="s">
        <v>1113</v>
      </c>
      <c r="AP233" s="39" t="str">
        <f>データ!O233</f>
        <v>　</v>
      </c>
      <c r="AQ233" s="41" t="s">
        <v>1024</v>
      </c>
      <c r="AR233" s="40" t="s">
        <v>1324</v>
      </c>
      <c r="AS233" s="39" t="str">
        <f>データ!P233</f>
        <v>エースオーダー</v>
      </c>
      <c r="AT233" s="10" t="s">
        <v>1113</v>
      </c>
      <c r="AU233" s="39" t="str">
        <f>データ!Q233</f>
        <v>騎士団全体の攻・防が小UP(3分間)</v>
      </c>
      <c r="AV233" s="10" t="s">
        <v>1024</v>
      </c>
      <c r="AW233" s="40" t="s">
        <v>1324</v>
      </c>
      <c r="AX233" s="39" t="str">
        <f>データ!R233</f>
        <v>-</v>
      </c>
      <c r="AY233" s="10" t="s">
        <v>1113</v>
      </c>
      <c r="AZ233" s="39" t="str">
        <f>データ!S233</f>
        <v>　</v>
      </c>
      <c r="BA233" s="41" t="s">
        <v>1024</v>
      </c>
      <c r="BB233" s="40" t="s">
        <v>1319</v>
      </c>
      <c r="BC233" s="39" t="str">
        <f>データ!T233</f>
        <v>-</v>
      </c>
      <c r="BD233" s="41" t="s">
        <v>1024</v>
      </c>
      <c r="BE233" s="40" t="s">
        <v>1320</v>
      </c>
      <c r="BF233" s="39" t="str">
        <f>データ!U233</f>
        <v>-</v>
      </c>
      <c r="BG233" s="41" t="s">
        <v>1024</v>
      </c>
      <c r="BH233" s="40" t="s">
        <v>1319</v>
      </c>
      <c r="BI233" s="39" t="str">
        <f>データ!V233</f>
        <v>常設</v>
      </c>
      <c r="BJ233" s="41" t="s">
        <v>1024</v>
      </c>
      <c r="BK233" s="10" t="s">
        <v>1019</v>
      </c>
    </row>
    <row r="234" spans="1:63" x14ac:dyDescent="0.15">
      <c r="A234" s="10" t="s">
        <v>1016</v>
      </c>
      <c r="B234" s="10" t="s">
        <v>1454</v>
      </c>
      <c r="C234" s="38" t="str">
        <f>"./images/thumbnail/"&amp;データ!B234&amp;".jpg"</f>
        <v>./images/thumbnail/1415.jpg</v>
      </c>
      <c r="D234" s="38" t="s">
        <v>1455</v>
      </c>
      <c r="E234" s="38" t="str">
        <f>"./images/thumbnail/"&amp;データ!B234&amp;".jpg"</f>
        <v>./images/thumbnail/1415.jpg</v>
      </c>
      <c r="F234" s="38" t="s">
        <v>1116</v>
      </c>
      <c r="G234" s="38" t="s">
        <v>1319</v>
      </c>
      <c r="H234" s="38" t="str">
        <f>データ!C234</f>
        <v>キュオスティ</v>
      </c>
      <c r="I234" s="38" t="s">
        <v>1024</v>
      </c>
      <c r="J234" s="38" t="s">
        <v>1320</v>
      </c>
      <c r="K234" s="38" t="str">
        <f>データ!D234</f>
        <v>UR</v>
      </c>
      <c r="L234" s="38" t="s">
        <v>1024</v>
      </c>
      <c r="M234" s="38" t="s">
        <v>1321</v>
      </c>
      <c r="N234" s="38">
        <f>データ!E234</f>
        <v>14</v>
      </c>
      <c r="O234" s="38" t="s">
        <v>1024</v>
      </c>
      <c r="P234" s="38" t="s">
        <v>1319</v>
      </c>
      <c r="Q234" s="38" t="str">
        <f>データ!F234</f>
        <v>遠</v>
      </c>
      <c r="R234" s="38" t="s">
        <v>1024</v>
      </c>
      <c r="S234" s="38" t="s">
        <v>1319</v>
      </c>
      <c r="T234" s="39">
        <f>データ!G234</f>
        <v>18775</v>
      </c>
      <c r="U234" s="40" t="s">
        <v>1024</v>
      </c>
      <c r="V234" s="40" t="s">
        <v>1319</v>
      </c>
      <c r="W234" s="39">
        <f>データ!H234</f>
        <v>6552</v>
      </c>
      <c r="X234" s="40" t="s">
        <v>1024</v>
      </c>
      <c r="Y234" s="40" t="s">
        <v>1319</v>
      </c>
      <c r="Z234" s="39">
        <f>データ!I234</f>
        <v>5900</v>
      </c>
      <c r="AA234" s="40" t="s">
        <v>1024</v>
      </c>
      <c r="AB234" s="40" t="s">
        <v>1322</v>
      </c>
      <c r="AC234" s="39" t="str">
        <f>データ!J234</f>
        <v>S+</v>
      </c>
      <c r="AD234" s="38" t="s">
        <v>1024</v>
      </c>
      <c r="AE234" s="40" t="s">
        <v>1323</v>
      </c>
      <c r="AF234" s="39">
        <f>データ!K234</f>
        <v>31227</v>
      </c>
      <c r="AG234" s="40" t="s">
        <v>1024</v>
      </c>
      <c r="AH234" s="40" t="s">
        <v>1324</v>
      </c>
      <c r="AI234" s="39" t="str">
        <f>データ!L234</f>
        <v>遠翠の神威</v>
      </c>
      <c r="AJ234" s="10" t="s">
        <v>1113</v>
      </c>
      <c r="AK234" s="39" t="str">
        <f>データ!M234</f>
        <v>味方遠属性の攻撃力をUP[特大]</v>
      </c>
      <c r="AL234" s="10" t="s">
        <v>1024</v>
      </c>
      <c r="AM234" s="40" t="s">
        <v>1325</v>
      </c>
      <c r="AN234" s="39" t="str">
        <f>データ!N234</f>
        <v>-</v>
      </c>
      <c r="AO234" s="10" t="s">
        <v>1113</v>
      </c>
      <c r="AP234" s="39" t="str">
        <f>データ!O234</f>
        <v>　</v>
      </c>
      <c r="AQ234" s="41" t="s">
        <v>1024</v>
      </c>
      <c r="AR234" s="40" t="s">
        <v>1324</v>
      </c>
      <c r="AS234" s="39" t="str">
        <f>データ!P234</f>
        <v>フォートレス／絶</v>
      </c>
      <c r="AT234" s="10" t="s">
        <v>1113</v>
      </c>
      <c r="AU234" s="39" t="str">
        <f>データ!Q234</f>
        <v>パーティ全体の防御力が大UP(3分間)</v>
      </c>
      <c r="AV234" s="10" t="s">
        <v>1024</v>
      </c>
      <c r="AW234" s="40" t="s">
        <v>1324</v>
      </c>
      <c r="AX234" s="39" t="str">
        <f>データ!R234</f>
        <v>-</v>
      </c>
      <c r="AY234" s="10" t="s">
        <v>1113</v>
      </c>
      <c r="AZ234" s="39" t="str">
        <f>データ!S234</f>
        <v>　</v>
      </c>
      <c r="BA234" s="41" t="s">
        <v>1024</v>
      </c>
      <c r="BB234" s="40" t="s">
        <v>1319</v>
      </c>
      <c r="BC234" s="39" t="str">
        <f>データ!T234</f>
        <v>-</v>
      </c>
      <c r="BD234" s="41" t="s">
        <v>1024</v>
      </c>
      <c r="BE234" s="40" t="s">
        <v>1320</v>
      </c>
      <c r="BF234" s="39" t="str">
        <f>データ!U234</f>
        <v>-</v>
      </c>
      <c r="BG234" s="41" t="s">
        <v>1024</v>
      </c>
      <c r="BH234" s="40" t="s">
        <v>1319</v>
      </c>
      <c r="BI234" s="39" t="str">
        <f>データ!V234</f>
        <v>常設</v>
      </c>
      <c r="BJ234" s="41" t="s">
        <v>1024</v>
      </c>
      <c r="BK234" s="10" t="s">
        <v>1019</v>
      </c>
    </row>
    <row r="235" spans="1:63" x14ac:dyDescent="0.15">
      <c r="A235" s="10" t="s">
        <v>1016</v>
      </c>
      <c r="B235" s="10" t="s">
        <v>1454</v>
      </c>
      <c r="C235" s="38" t="str">
        <f>"./images/thumbnail/"&amp;データ!B235&amp;".jpg"</f>
        <v>./images/thumbnail/1415_a.jpg</v>
      </c>
      <c r="D235" s="38" t="s">
        <v>1455</v>
      </c>
      <c r="E235" s="38" t="str">
        <f>"./images/thumbnail/"&amp;データ!B235&amp;".jpg"</f>
        <v>./images/thumbnail/1415_a.jpg</v>
      </c>
      <c r="F235" s="38" t="s">
        <v>1116</v>
      </c>
      <c r="G235" s="38" t="s">
        <v>1319</v>
      </c>
      <c r="H235" s="38" t="str">
        <f>データ!C235</f>
        <v>キュオスティ</v>
      </c>
      <c r="I235" s="38" t="s">
        <v>1024</v>
      </c>
      <c r="J235" s="38" t="s">
        <v>1320</v>
      </c>
      <c r="K235" s="38" t="str">
        <f>データ!D235</f>
        <v>UR</v>
      </c>
      <c r="L235" s="38" t="s">
        <v>1024</v>
      </c>
      <c r="M235" s="38" t="s">
        <v>1321</v>
      </c>
      <c r="N235" s="38">
        <f>データ!E235</f>
        <v>14</v>
      </c>
      <c r="O235" s="38" t="s">
        <v>1024</v>
      </c>
      <c r="P235" s="38" t="s">
        <v>1319</v>
      </c>
      <c r="Q235" s="38" t="str">
        <f>データ!F235</f>
        <v>遠</v>
      </c>
      <c r="R235" s="38" t="s">
        <v>1024</v>
      </c>
      <c r="S235" s="38" t="s">
        <v>1319</v>
      </c>
      <c r="T235" s="39">
        <f>データ!G235</f>
        <v>26293</v>
      </c>
      <c r="U235" s="40" t="s">
        <v>1024</v>
      </c>
      <c r="V235" s="40" t="s">
        <v>1319</v>
      </c>
      <c r="W235" s="39">
        <f>データ!H235</f>
        <v>8841</v>
      </c>
      <c r="X235" s="40" t="s">
        <v>1024</v>
      </c>
      <c r="Y235" s="40" t="s">
        <v>1319</v>
      </c>
      <c r="Z235" s="39">
        <f>データ!I235</f>
        <v>8546</v>
      </c>
      <c r="AA235" s="40" t="s">
        <v>1024</v>
      </c>
      <c r="AB235" s="40" t="s">
        <v>1322</v>
      </c>
      <c r="AC235" s="39" t="str">
        <f>データ!J235</f>
        <v>SS1</v>
      </c>
      <c r="AD235" s="38" t="s">
        <v>1024</v>
      </c>
      <c r="AE235" s="40" t="s">
        <v>1323</v>
      </c>
      <c r="AF235" s="39">
        <f>データ!K235</f>
        <v>43680</v>
      </c>
      <c r="AG235" s="40" t="s">
        <v>1024</v>
      </c>
      <c r="AH235" s="40" t="s">
        <v>1324</v>
      </c>
      <c r="AI235" s="39" t="str">
        <f>データ!L235</f>
        <v>遠翠の神威＋</v>
      </c>
      <c r="AJ235" s="10" t="s">
        <v>1113</v>
      </c>
      <c r="AK235" s="39" t="str">
        <f>データ!M235</f>
        <v>味方遠属性の攻撃力をUP[超特大]</v>
      </c>
      <c r="AL235" s="10" t="s">
        <v>1024</v>
      </c>
      <c r="AM235" s="40" t="s">
        <v>1325</v>
      </c>
      <c r="AN235" s="39" t="str">
        <f>データ!N235</f>
        <v>-</v>
      </c>
      <c r="AO235" s="10" t="s">
        <v>1113</v>
      </c>
      <c r="AP235" s="39" t="str">
        <f>データ!O235</f>
        <v>　</v>
      </c>
      <c r="AQ235" s="41" t="s">
        <v>1024</v>
      </c>
      <c r="AR235" s="40" t="s">
        <v>1324</v>
      </c>
      <c r="AS235" s="39" t="str">
        <f>データ!P235</f>
        <v>フォートレス／絶</v>
      </c>
      <c r="AT235" s="10" t="s">
        <v>1113</v>
      </c>
      <c r="AU235" s="39" t="str">
        <f>データ!Q235</f>
        <v>パーティ全体の防御力が大UP(3分間)</v>
      </c>
      <c r="AV235" s="10" t="s">
        <v>1024</v>
      </c>
      <c r="AW235" s="40" t="s">
        <v>1324</v>
      </c>
      <c r="AX235" s="39" t="str">
        <f>データ!R235</f>
        <v>-</v>
      </c>
      <c r="AY235" s="10" t="s">
        <v>1113</v>
      </c>
      <c r="AZ235" s="39" t="str">
        <f>データ!S235</f>
        <v>　</v>
      </c>
      <c r="BA235" s="41" t="s">
        <v>1024</v>
      </c>
      <c r="BB235" s="40" t="s">
        <v>1319</v>
      </c>
      <c r="BC235" s="39" t="str">
        <f>データ!T235</f>
        <v>-</v>
      </c>
      <c r="BD235" s="41" t="s">
        <v>1024</v>
      </c>
      <c r="BE235" s="40" t="s">
        <v>1320</v>
      </c>
      <c r="BF235" s="39" t="str">
        <f>データ!U235</f>
        <v>-</v>
      </c>
      <c r="BG235" s="41" t="s">
        <v>1024</v>
      </c>
      <c r="BH235" s="40" t="s">
        <v>1319</v>
      </c>
      <c r="BI235" s="39" t="str">
        <f>データ!V235</f>
        <v>精鋭化ユニット</v>
      </c>
      <c r="BJ235" s="41" t="s">
        <v>1024</v>
      </c>
      <c r="BK235" s="10" t="s">
        <v>1019</v>
      </c>
    </row>
    <row r="236" spans="1:63" x14ac:dyDescent="0.15">
      <c r="A236" s="10" t="s">
        <v>1016</v>
      </c>
      <c r="B236" s="10" t="s">
        <v>1454</v>
      </c>
      <c r="C236" s="38" t="str">
        <f>"./images/thumbnail/"&amp;データ!B236&amp;".jpg"</f>
        <v>./images/thumbnail/1415_b.jpg</v>
      </c>
      <c r="D236" s="38" t="s">
        <v>1455</v>
      </c>
      <c r="E236" s="38" t="str">
        <f>"./images/thumbnail/"&amp;データ!B236&amp;".jpg"</f>
        <v>./images/thumbnail/1415_b.jpg</v>
      </c>
      <c r="F236" s="38" t="s">
        <v>1116</v>
      </c>
      <c r="G236" s="38" t="s">
        <v>1319</v>
      </c>
      <c r="H236" s="38" t="str">
        <f>データ!C236</f>
        <v>キュオスティ</v>
      </c>
      <c r="I236" s="38" t="s">
        <v>1024</v>
      </c>
      <c r="J236" s="38" t="s">
        <v>1320</v>
      </c>
      <c r="K236" s="38" t="str">
        <f>データ!D236</f>
        <v>UR</v>
      </c>
      <c r="L236" s="38" t="s">
        <v>1024</v>
      </c>
      <c r="M236" s="38" t="s">
        <v>1321</v>
      </c>
      <c r="N236" s="38">
        <f>データ!E236</f>
        <v>14</v>
      </c>
      <c r="O236" s="38" t="s">
        <v>1024</v>
      </c>
      <c r="P236" s="38" t="s">
        <v>1319</v>
      </c>
      <c r="Q236" s="38" t="str">
        <f>データ!F236</f>
        <v>遠</v>
      </c>
      <c r="R236" s="38" t="s">
        <v>1024</v>
      </c>
      <c r="S236" s="38" t="s">
        <v>1319</v>
      </c>
      <c r="T236" s="39">
        <f>データ!G236</f>
        <v>24403</v>
      </c>
      <c r="U236" s="42" t="s">
        <v>1024</v>
      </c>
      <c r="V236" s="40" t="s">
        <v>1319</v>
      </c>
      <c r="W236" s="39">
        <f>データ!H236</f>
        <v>8526</v>
      </c>
      <c r="X236" s="42" t="s">
        <v>1024</v>
      </c>
      <c r="Y236" s="40" t="s">
        <v>1319</v>
      </c>
      <c r="Z236" s="39">
        <f>データ!I236</f>
        <v>7958</v>
      </c>
      <c r="AA236" s="42" t="s">
        <v>1024</v>
      </c>
      <c r="AB236" s="40" t="s">
        <v>1322</v>
      </c>
      <c r="AC236" s="39" t="str">
        <f>データ!J236</f>
        <v>SS1</v>
      </c>
      <c r="AD236" s="38" t="s">
        <v>1024</v>
      </c>
      <c r="AE236" s="40" t="s">
        <v>1323</v>
      </c>
      <c r="AF236" s="39">
        <f>データ!K236</f>
        <v>40887</v>
      </c>
      <c r="AG236" s="40" t="s">
        <v>1024</v>
      </c>
      <c r="AH236" s="40" t="s">
        <v>1324</v>
      </c>
      <c r="AI236" s="39" t="str">
        <f>データ!L236</f>
        <v>遠翠の神威</v>
      </c>
      <c r="AJ236" s="10" t="s">
        <v>1113</v>
      </c>
      <c r="AK236" s="39" t="str">
        <f>データ!M236</f>
        <v>味方遠属性の攻撃力をUP[特大]</v>
      </c>
      <c r="AL236" s="38" t="s">
        <v>1024</v>
      </c>
      <c r="AM236" s="40" t="s">
        <v>1325</v>
      </c>
      <c r="AN236" s="39" t="str">
        <f>データ!N236</f>
        <v>-</v>
      </c>
      <c r="AO236" s="10" t="s">
        <v>1113</v>
      </c>
      <c r="AP236" s="39" t="str">
        <f>データ!O236</f>
        <v>　</v>
      </c>
      <c r="AQ236" s="41" t="s">
        <v>1024</v>
      </c>
      <c r="AR236" s="40" t="s">
        <v>1324</v>
      </c>
      <c r="AS236" s="39" t="str">
        <f>データ!P236</f>
        <v>迅風の剛閃弓</v>
      </c>
      <c r="AT236" s="10" t="s">
        <v>1113</v>
      </c>
      <c r="AU236" s="39" t="str">
        <f>データ!Q236</f>
        <v>パーティ全体の防御力が極大UP(5分間)</v>
      </c>
      <c r="AV236" s="10" t="s">
        <v>1024</v>
      </c>
      <c r="AW236" s="40" t="s">
        <v>1324</v>
      </c>
      <c r="AX236" s="39" t="str">
        <f>データ!R236</f>
        <v>-</v>
      </c>
      <c r="AY236" s="10" t="s">
        <v>1113</v>
      </c>
      <c r="AZ236" s="39" t="str">
        <f>データ!S236</f>
        <v>　</v>
      </c>
      <c r="BA236" s="41" t="s">
        <v>1024</v>
      </c>
      <c r="BB236" s="40" t="s">
        <v>1319</v>
      </c>
      <c r="BC236" s="39" t="str">
        <f>データ!T236</f>
        <v>-</v>
      </c>
      <c r="BD236" s="41" t="s">
        <v>1024</v>
      </c>
      <c r="BE236" s="40" t="s">
        <v>1320</v>
      </c>
      <c r="BF236" s="39" t="str">
        <f>データ!U236</f>
        <v>-</v>
      </c>
      <c r="BG236" s="41" t="s">
        <v>1024</v>
      </c>
      <c r="BH236" s="40" t="s">
        <v>1319</v>
      </c>
      <c r="BI236" s="39" t="str">
        <f>データ!V236</f>
        <v>精鋭化ユニット</v>
      </c>
      <c r="BJ236" s="41" t="s">
        <v>1024</v>
      </c>
      <c r="BK236" s="10" t="s">
        <v>1019</v>
      </c>
    </row>
    <row r="237" spans="1:63" x14ac:dyDescent="0.15">
      <c r="A237" s="10" t="s">
        <v>1016</v>
      </c>
      <c r="B237" s="10" t="s">
        <v>1454</v>
      </c>
      <c r="C237" s="38" t="str">
        <f>"./images/thumbnail/"&amp;データ!B237&amp;".jpg"</f>
        <v>./images/thumbnail/1417.jpg</v>
      </c>
      <c r="D237" s="38" t="s">
        <v>1455</v>
      </c>
      <c r="E237" s="38" t="str">
        <f>"./images/thumbnail/"&amp;データ!B237&amp;".jpg"</f>
        <v>./images/thumbnail/1417.jpg</v>
      </c>
      <c r="F237" s="38" t="s">
        <v>1116</v>
      </c>
      <c r="G237" s="38" t="s">
        <v>1319</v>
      </c>
      <c r="H237" s="38" t="str">
        <f>データ!C237</f>
        <v>アンネ</v>
      </c>
      <c r="I237" s="38" t="s">
        <v>1024</v>
      </c>
      <c r="J237" s="38" t="s">
        <v>1320</v>
      </c>
      <c r="K237" s="38" t="str">
        <f>データ!D237</f>
        <v>SSR</v>
      </c>
      <c r="L237" s="38" t="s">
        <v>1024</v>
      </c>
      <c r="M237" s="38" t="s">
        <v>1321</v>
      </c>
      <c r="N237" s="38">
        <f>データ!E237</f>
        <v>13</v>
      </c>
      <c r="O237" s="38" t="s">
        <v>1024</v>
      </c>
      <c r="P237" s="38" t="s">
        <v>1319</v>
      </c>
      <c r="Q237" s="38" t="str">
        <f>データ!F237</f>
        <v>遠</v>
      </c>
      <c r="R237" s="38" t="s">
        <v>1024</v>
      </c>
      <c r="S237" s="38" t="s">
        <v>1319</v>
      </c>
      <c r="T237" s="39">
        <f>データ!G237</f>
        <v>17154</v>
      </c>
      <c r="U237" s="40" t="s">
        <v>1024</v>
      </c>
      <c r="V237" s="40" t="s">
        <v>1319</v>
      </c>
      <c r="W237" s="39">
        <f>データ!H237</f>
        <v>5915</v>
      </c>
      <c r="X237" s="40" t="s">
        <v>1024</v>
      </c>
      <c r="Y237" s="40" t="s">
        <v>1319</v>
      </c>
      <c r="Z237" s="39">
        <f>データ!I237</f>
        <v>5211</v>
      </c>
      <c r="AA237" s="40" t="s">
        <v>1024</v>
      </c>
      <c r="AB237" s="40" t="s">
        <v>1322</v>
      </c>
      <c r="AC237" s="39" t="str">
        <f>データ!J237</f>
        <v>S-</v>
      </c>
      <c r="AD237" s="38" t="s">
        <v>1024</v>
      </c>
      <c r="AE237" s="40" t="s">
        <v>1323</v>
      </c>
      <c r="AF237" s="39">
        <f>データ!K237</f>
        <v>28280</v>
      </c>
      <c r="AG237" s="40" t="s">
        <v>1024</v>
      </c>
      <c r="AH237" s="40" t="s">
        <v>1324</v>
      </c>
      <c r="AI237" s="39" t="str">
        <f>データ!L237</f>
        <v>暗闇の言霊／絶</v>
      </c>
      <c r="AJ237" s="10" t="s">
        <v>1113</v>
      </c>
      <c r="AK237" s="39" t="str">
        <f>データ!M237</f>
        <v>一定確率で敵を暗闇状態にする[高確率]</v>
      </c>
      <c r="AL237" s="10" t="s">
        <v>1024</v>
      </c>
      <c r="AM237" s="40" t="s">
        <v>1325</v>
      </c>
      <c r="AN237" s="39" t="str">
        <f>データ!N237</f>
        <v>-</v>
      </c>
      <c r="AO237" s="10" t="s">
        <v>1113</v>
      </c>
      <c r="AP237" s="39" t="str">
        <f>データ!O237</f>
        <v>　</v>
      </c>
      <c r="AQ237" s="41" t="s">
        <v>1024</v>
      </c>
      <c r="AR237" s="40" t="s">
        <v>1324</v>
      </c>
      <c r="AS237" s="39" t="str">
        <f>データ!P237</f>
        <v>リヴァイブ／真遠翠</v>
      </c>
      <c r="AT237" s="10" t="s">
        <v>1113</v>
      </c>
      <c r="AU237" s="39" t="str">
        <f>データ!Q237</f>
        <v>高確率で遠属性のユニットを復帰</v>
      </c>
      <c r="AV237" s="10" t="s">
        <v>1024</v>
      </c>
      <c r="AW237" s="40" t="s">
        <v>1324</v>
      </c>
      <c r="AX237" s="39" t="str">
        <f>データ!R237</f>
        <v>-</v>
      </c>
      <c r="AY237" s="10" t="s">
        <v>1113</v>
      </c>
      <c r="AZ237" s="39" t="str">
        <f>データ!S237</f>
        <v>　</v>
      </c>
      <c r="BA237" s="41" t="s">
        <v>1024</v>
      </c>
      <c r="BB237" s="40" t="s">
        <v>1319</v>
      </c>
      <c r="BC237" s="39" t="str">
        <f>データ!T237</f>
        <v>-</v>
      </c>
      <c r="BD237" s="41" t="s">
        <v>1024</v>
      </c>
      <c r="BE237" s="40" t="s">
        <v>1320</v>
      </c>
      <c r="BF237" s="39" t="str">
        <f>データ!U237</f>
        <v>-</v>
      </c>
      <c r="BG237" s="41" t="s">
        <v>1024</v>
      </c>
      <c r="BH237" s="40" t="s">
        <v>1319</v>
      </c>
      <c r="BI237" s="39" t="str">
        <f>データ!V237</f>
        <v>メダル</v>
      </c>
      <c r="BJ237" s="41" t="s">
        <v>1024</v>
      </c>
      <c r="BK237" s="10" t="s">
        <v>1019</v>
      </c>
    </row>
    <row r="238" spans="1:63" x14ac:dyDescent="0.15">
      <c r="A238" s="10" t="s">
        <v>1016</v>
      </c>
      <c r="B238" s="10" t="s">
        <v>1454</v>
      </c>
      <c r="C238" s="38" t="str">
        <f>"./images/thumbnail/"&amp;データ!B238&amp;".jpg"</f>
        <v>./images/thumbnail/1420.jpg</v>
      </c>
      <c r="D238" s="38" t="s">
        <v>1455</v>
      </c>
      <c r="E238" s="38" t="str">
        <f>"./images/thumbnail/"&amp;データ!B238&amp;".jpg"</f>
        <v>./images/thumbnail/1420.jpg</v>
      </c>
      <c r="F238" s="38" t="s">
        <v>1116</v>
      </c>
      <c r="G238" s="38" t="s">
        <v>1319</v>
      </c>
      <c r="H238" s="38" t="str">
        <f>データ!C238</f>
        <v>メリオダス</v>
      </c>
      <c r="I238" s="38" t="s">
        <v>1024</v>
      </c>
      <c r="J238" s="38" t="s">
        <v>1320</v>
      </c>
      <c r="K238" s="38" t="str">
        <f>データ!D238</f>
        <v>UR</v>
      </c>
      <c r="L238" s="38" t="s">
        <v>1024</v>
      </c>
      <c r="M238" s="38" t="s">
        <v>1321</v>
      </c>
      <c r="N238" s="38">
        <f>データ!E238</f>
        <v>14</v>
      </c>
      <c r="O238" s="38" t="s">
        <v>1024</v>
      </c>
      <c r="P238" s="38" t="s">
        <v>1319</v>
      </c>
      <c r="Q238" s="38" t="str">
        <f>データ!F238</f>
        <v>斬</v>
      </c>
      <c r="R238" s="38" t="s">
        <v>1024</v>
      </c>
      <c r="S238" s="38" t="s">
        <v>1319</v>
      </c>
      <c r="T238" s="39">
        <f>データ!G238</f>
        <v>15726</v>
      </c>
      <c r="U238" s="40" t="s">
        <v>1024</v>
      </c>
      <c r="V238" s="40" t="s">
        <v>1319</v>
      </c>
      <c r="W238" s="39">
        <f>データ!H238</f>
        <v>8306</v>
      </c>
      <c r="X238" s="40" t="s">
        <v>1024</v>
      </c>
      <c r="Y238" s="40" t="s">
        <v>1319</v>
      </c>
      <c r="Z238" s="39">
        <f>データ!I238</f>
        <v>6614</v>
      </c>
      <c r="AA238" s="40" t="s">
        <v>1024</v>
      </c>
      <c r="AB238" s="40" t="s">
        <v>1322</v>
      </c>
      <c r="AC238" s="39" t="str">
        <f>データ!J238</f>
        <v>S</v>
      </c>
      <c r="AD238" s="38" t="s">
        <v>1024</v>
      </c>
      <c r="AE238" s="40" t="s">
        <v>1323</v>
      </c>
      <c r="AF238" s="39">
        <f>データ!K238</f>
        <v>30646</v>
      </c>
      <c r="AG238" s="40" t="s">
        <v>1024</v>
      </c>
      <c r="AH238" s="40" t="s">
        <v>1324</v>
      </c>
      <c r="AI238" s="39" t="str">
        <f>データ!L238</f>
        <v>魔幻の閃光／煌</v>
      </c>
      <c r="AJ238" s="10" t="s">
        <v>1113</v>
      </c>
      <c r="AK238" s="39" t="str">
        <f>データ!M238</f>
        <v>縦一列に攻撃[特大]</v>
      </c>
      <c r="AL238" s="10" t="s">
        <v>1024</v>
      </c>
      <c r="AM238" s="40" t="s">
        <v>1325</v>
      </c>
      <c r="AN238" s="39" t="str">
        <f>データ!N238</f>
        <v>-</v>
      </c>
      <c r="AO238" s="10" t="s">
        <v>1113</v>
      </c>
      <c r="AP238" s="39" t="str">
        <f>データ!O238</f>
        <v>　</v>
      </c>
      <c r="AQ238" s="41" t="s">
        <v>1024</v>
      </c>
      <c r="AR238" s="40" t="s">
        <v>1324</v>
      </c>
      <c r="AS238" s="39" t="str">
        <f>データ!P238</f>
        <v>ポイントライズ／絶</v>
      </c>
      <c r="AT238" s="10" t="s">
        <v>1113</v>
      </c>
      <c r="AU238" s="39" t="str">
        <f>データ!Q238</f>
        <v>獲得する騎士団戦スコアが大アップ(バトル3回)</v>
      </c>
      <c r="AV238" s="10" t="s">
        <v>1024</v>
      </c>
      <c r="AW238" s="40" t="s">
        <v>1324</v>
      </c>
      <c r="AX238" s="39" t="str">
        <f>データ!R238</f>
        <v>-</v>
      </c>
      <c r="AY238" s="10" t="s">
        <v>1113</v>
      </c>
      <c r="AZ238" s="39" t="str">
        <f>データ!S238</f>
        <v>　</v>
      </c>
      <c r="BA238" s="41" t="s">
        <v>1024</v>
      </c>
      <c r="BB238" s="40" t="s">
        <v>1319</v>
      </c>
      <c r="BC238" s="39" t="str">
        <f>データ!T238</f>
        <v>-</v>
      </c>
      <c r="BD238" s="41" t="s">
        <v>1024</v>
      </c>
      <c r="BE238" s="40" t="s">
        <v>1320</v>
      </c>
      <c r="BF238" s="39" t="str">
        <f>データ!U238</f>
        <v>-</v>
      </c>
      <c r="BG238" s="41" t="s">
        <v>1024</v>
      </c>
      <c r="BH238" s="40" t="s">
        <v>1319</v>
      </c>
      <c r="BI238" s="39" t="str">
        <f>データ!V238</f>
        <v>七つの大罪コラボ</v>
      </c>
      <c r="BJ238" s="41" t="s">
        <v>1024</v>
      </c>
      <c r="BK238" s="10" t="s">
        <v>1019</v>
      </c>
    </row>
    <row r="239" spans="1:63" x14ac:dyDescent="0.15">
      <c r="A239" s="10" t="s">
        <v>1016</v>
      </c>
      <c r="B239" s="10" t="s">
        <v>1454</v>
      </c>
      <c r="C239" s="38" t="str">
        <f>"./images/thumbnail/"&amp;データ!B239&amp;".jpg"</f>
        <v>./images/thumbnail/1422.jpg</v>
      </c>
      <c r="D239" s="38" t="s">
        <v>1455</v>
      </c>
      <c r="E239" s="38" t="str">
        <f>"./images/thumbnail/"&amp;データ!B239&amp;".jpg"</f>
        <v>./images/thumbnail/1422.jpg</v>
      </c>
      <c r="F239" s="38" t="s">
        <v>1116</v>
      </c>
      <c r="G239" s="38" t="s">
        <v>1319</v>
      </c>
      <c r="H239" s="38" t="str">
        <f>データ!C239</f>
        <v>エリザベス</v>
      </c>
      <c r="I239" s="38" t="s">
        <v>1024</v>
      </c>
      <c r="J239" s="38" t="s">
        <v>1320</v>
      </c>
      <c r="K239" s="38" t="str">
        <f>データ!D239</f>
        <v>UR</v>
      </c>
      <c r="L239" s="38" t="s">
        <v>1024</v>
      </c>
      <c r="M239" s="38" t="s">
        <v>1321</v>
      </c>
      <c r="N239" s="38">
        <f>データ!E239</f>
        <v>14</v>
      </c>
      <c r="O239" s="38" t="s">
        <v>1024</v>
      </c>
      <c r="P239" s="38" t="s">
        <v>1319</v>
      </c>
      <c r="Q239" s="38" t="str">
        <f>データ!F239</f>
        <v>遠</v>
      </c>
      <c r="R239" s="38" t="s">
        <v>1024</v>
      </c>
      <c r="S239" s="38" t="s">
        <v>1319</v>
      </c>
      <c r="T239" s="39">
        <f>データ!G239</f>
        <v>19249</v>
      </c>
      <c r="U239" s="40" t="s">
        <v>1024</v>
      </c>
      <c r="V239" s="40" t="s">
        <v>1319</v>
      </c>
      <c r="W239" s="39">
        <f>データ!H239</f>
        <v>6690</v>
      </c>
      <c r="X239" s="40" t="s">
        <v>1024</v>
      </c>
      <c r="Y239" s="40" t="s">
        <v>1319</v>
      </c>
      <c r="Z239" s="39">
        <f>データ!I239</f>
        <v>5851</v>
      </c>
      <c r="AA239" s="40" t="s">
        <v>1024</v>
      </c>
      <c r="AB239" s="40" t="s">
        <v>1322</v>
      </c>
      <c r="AC239" s="39" t="str">
        <f>データ!J239</f>
        <v>S+</v>
      </c>
      <c r="AD239" s="38" t="s">
        <v>1024</v>
      </c>
      <c r="AE239" s="40" t="s">
        <v>1323</v>
      </c>
      <c r="AF239" s="39">
        <f>データ!K239</f>
        <v>31790</v>
      </c>
      <c r="AG239" s="40" t="s">
        <v>1024</v>
      </c>
      <c r="AH239" s="40" t="s">
        <v>1324</v>
      </c>
      <c r="AI239" s="39" t="str">
        <f>データ!L239</f>
        <v>光芒の聖護</v>
      </c>
      <c r="AJ239" s="10" t="s">
        <v>1113</v>
      </c>
      <c r="AK239" s="39" t="str">
        <f>データ!M239</f>
        <v>味方全体の防御力をUP[大]</v>
      </c>
      <c r="AL239" s="10" t="s">
        <v>1024</v>
      </c>
      <c r="AM239" s="40" t="s">
        <v>1325</v>
      </c>
      <c r="AN239" s="39" t="str">
        <f>データ!N239</f>
        <v>-</v>
      </c>
      <c r="AO239" s="10" t="s">
        <v>1113</v>
      </c>
      <c r="AP239" s="39" t="str">
        <f>データ!O239</f>
        <v>　</v>
      </c>
      <c r="AQ239" s="41" t="s">
        <v>1024</v>
      </c>
      <c r="AR239" s="40" t="s">
        <v>1324</v>
      </c>
      <c r="AS239" s="39" t="str">
        <f>データ!P239</f>
        <v>オラクル／絶</v>
      </c>
      <c r="AT239" s="10" t="s">
        <v>1113</v>
      </c>
      <c r="AU239" s="39" t="str">
        <f>データ!Q239</f>
        <v>パーティ全体のスキル発動率が大UP(3分間)</v>
      </c>
      <c r="AV239" s="10" t="s">
        <v>1024</v>
      </c>
      <c r="AW239" s="40" t="s">
        <v>1324</v>
      </c>
      <c r="AX239" s="39" t="str">
        <f>データ!R239</f>
        <v>-</v>
      </c>
      <c r="AY239" s="10" t="s">
        <v>1113</v>
      </c>
      <c r="AZ239" s="39" t="str">
        <f>データ!S239</f>
        <v>　</v>
      </c>
      <c r="BA239" s="41" t="s">
        <v>1024</v>
      </c>
      <c r="BB239" s="40" t="s">
        <v>1319</v>
      </c>
      <c r="BC239" s="39" t="str">
        <f>データ!T239</f>
        <v>-</v>
      </c>
      <c r="BD239" s="41" t="s">
        <v>1024</v>
      </c>
      <c r="BE239" s="40" t="s">
        <v>1320</v>
      </c>
      <c r="BF239" s="39" t="str">
        <f>データ!U239</f>
        <v>-</v>
      </c>
      <c r="BG239" s="41" t="s">
        <v>1024</v>
      </c>
      <c r="BH239" s="40" t="s">
        <v>1319</v>
      </c>
      <c r="BI239" s="39" t="str">
        <f>データ!V239</f>
        <v>七つの大罪コラボ</v>
      </c>
      <c r="BJ239" s="41" t="s">
        <v>1024</v>
      </c>
      <c r="BK239" s="10" t="s">
        <v>1019</v>
      </c>
    </row>
    <row r="240" spans="1:63" x14ac:dyDescent="0.15">
      <c r="A240" s="10" t="s">
        <v>1016</v>
      </c>
      <c r="B240" s="10" t="s">
        <v>1454</v>
      </c>
      <c r="C240" s="38" t="str">
        <f>"./images/thumbnail/"&amp;データ!B240&amp;".jpg"</f>
        <v>./images/thumbnail/1424.jpg</v>
      </c>
      <c r="D240" s="38" t="s">
        <v>1455</v>
      </c>
      <c r="E240" s="38" t="str">
        <f>"./images/thumbnail/"&amp;データ!B240&amp;".jpg"</f>
        <v>./images/thumbnail/1424.jpg</v>
      </c>
      <c r="F240" s="38" t="s">
        <v>1116</v>
      </c>
      <c r="G240" s="38" t="s">
        <v>1319</v>
      </c>
      <c r="H240" s="38" t="str">
        <f>データ!C240</f>
        <v>ディアンヌ</v>
      </c>
      <c r="I240" s="38" t="s">
        <v>1024</v>
      </c>
      <c r="J240" s="38" t="s">
        <v>1320</v>
      </c>
      <c r="K240" s="38" t="str">
        <f>データ!D240</f>
        <v>SSR</v>
      </c>
      <c r="L240" s="38" t="s">
        <v>1024</v>
      </c>
      <c r="M240" s="38" t="s">
        <v>1321</v>
      </c>
      <c r="N240" s="38">
        <f>データ!E240</f>
        <v>13</v>
      </c>
      <c r="O240" s="38" t="s">
        <v>1024</v>
      </c>
      <c r="P240" s="38" t="s">
        <v>1319</v>
      </c>
      <c r="Q240" s="38" t="str">
        <f>データ!F240</f>
        <v>打</v>
      </c>
      <c r="R240" s="38" t="s">
        <v>1024</v>
      </c>
      <c r="S240" s="38" t="s">
        <v>1319</v>
      </c>
      <c r="T240" s="39">
        <f>データ!G240</f>
        <v>22850</v>
      </c>
      <c r="U240" s="40" t="s">
        <v>1024</v>
      </c>
      <c r="V240" s="40" t="s">
        <v>1319</v>
      </c>
      <c r="W240" s="39">
        <f>データ!H240</f>
        <v>5174</v>
      </c>
      <c r="X240" s="40" t="s">
        <v>1024</v>
      </c>
      <c r="Y240" s="40" t="s">
        <v>1319</v>
      </c>
      <c r="Z240" s="39">
        <f>データ!I240</f>
        <v>6924</v>
      </c>
      <c r="AA240" s="40" t="s">
        <v>1024</v>
      </c>
      <c r="AB240" s="40" t="s">
        <v>1322</v>
      </c>
      <c r="AC240" s="39" t="str">
        <f>データ!J240</f>
        <v>A-</v>
      </c>
      <c r="AD240" s="38" t="s">
        <v>1024</v>
      </c>
      <c r="AE240" s="40" t="s">
        <v>1323</v>
      </c>
      <c r="AF240" s="39">
        <f>データ!K240</f>
        <v>34948</v>
      </c>
      <c r="AG240" s="40" t="s">
        <v>1024</v>
      </c>
      <c r="AH240" s="40" t="s">
        <v>1324</v>
      </c>
      <c r="AI240" s="39" t="str">
        <f>データ!L240</f>
        <v>打鋭の四連星／真</v>
      </c>
      <c r="AJ240" s="10" t="s">
        <v>1113</v>
      </c>
      <c r="AK240" s="39" t="str">
        <f>データ!M240</f>
        <v>ランダムで1～4連撃。攻撃毎に与ダメ2倍[低確率]</v>
      </c>
      <c r="AL240" s="10" t="s">
        <v>1024</v>
      </c>
      <c r="AM240" s="40" t="s">
        <v>1325</v>
      </c>
      <c r="AN240" s="39" t="str">
        <f>データ!N240</f>
        <v>-</v>
      </c>
      <c r="AO240" s="10" t="s">
        <v>1113</v>
      </c>
      <c r="AP240" s="39" t="str">
        <f>データ!O240</f>
        <v>　</v>
      </c>
      <c r="AQ240" s="41" t="s">
        <v>1024</v>
      </c>
      <c r="AR240" s="40" t="s">
        <v>1324</v>
      </c>
      <c r="AS240" s="39" t="str">
        <f>データ!P240</f>
        <v>キャッスルヴェール</v>
      </c>
      <c r="AT240" s="10" t="s">
        <v>1113</v>
      </c>
      <c r="AU240" s="39" t="str">
        <f>データ!Q240</f>
        <v>城の強度Lvが小UP(3分間)</v>
      </c>
      <c r="AV240" s="10" t="s">
        <v>1024</v>
      </c>
      <c r="AW240" s="40" t="s">
        <v>1324</v>
      </c>
      <c r="AX240" s="39" t="str">
        <f>データ!R240</f>
        <v>-</v>
      </c>
      <c r="AY240" s="10" t="s">
        <v>1113</v>
      </c>
      <c r="AZ240" s="39" t="str">
        <f>データ!S240</f>
        <v>　</v>
      </c>
      <c r="BA240" s="41" t="s">
        <v>1024</v>
      </c>
      <c r="BB240" s="40" t="s">
        <v>1319</v>
      </c>
      <c r="BC240" s="39" t="str">
        <f>データ!T240</f>
        <v>-</v>
      </c>
      <c r="BD240" s="41" t="s">
        <v>1024</v>
      </c>
      <c r="BE240" s="40" t="s">
        <v>1320</v>
      </c>
      <c r="BF240" s="39" t="str">
        <f>データ!U240</f>
        <v>-</v>
      </c>
      <c r="BG240" s="41" t="s">
        <v>1024</v>
      </c>
      <c r="BH240" s="40" t="s">
        <v>1319</v>
      </c>
      <c r="BI240" s="39" t="str">
        <f>データ!V240</f>
        <v>七つの大罪コラボ</v>
      </c>
      <c r="BJ240" s="41" t="s">
        <v>1024</v>
      </c>
      <c r="BK240" s="10" t="s">
        <v>1019</v>
      </c>
    </row>
    <row r="241" spans="1:63" x14ac:dyDescent="0.15">
      <c r="A241" s="10" t="s">
        <v>1016</v>
      </c>
      <c r="B241" s="10" t="s">
        <v>1454</v>
      </c>
      <c r="C241" s="38" t="str">
        <f>"./images/thumbnail/"&amp;データ!B241&amp;".jpg"</f>
        <v>./images/thumbnail/1426.jpg</v>
      </c>
      <c r="D241" s="38" t="s">
        <v>1455</v>
      </c>
      <c r="E241" s="38" t="str">
        <f>"./images/thumbnail/"&amp;データ!B241&amp;".jpg"</f>
        <v>./images/thumbnail/1426.jpg</v>
      </c>
      <c r="F241" s="38" t="s">
        <v>1116</v>
      </c>
      <c r="G241" s="38" t="s">
        <v>1319</v>
      </c>
      <c r="H241" s="38" t="str">
        <f>データ!C241</f>
        <v>バン</v>
      </c>
      <c r="I241" s="38" t="s">
        <v>1024</v>
      </c>
      <c r="J241" s="38" t="s">
        <v>1320</v>
      </c>
      <c r="K241" s="38" t="str">
        <f>データ!D241</f>
        <v>SSR</v>
      </c>
      <c r="L241" s="38" t="s">
        <v>1024</v>
      </c>
      <c r="M241" s="38" t="s">
        <v>1321</v>
      </c>
      <c r="N241" s="38">
        <f>データ!E241</f>
        <v>13</v>
      </c>
      <c r="O241" s="38" t="s">
        <v>1024</v>
      </c>
      <c r="P241" s="38" t="s">
        <v>1319</v>
      </c>
      <c r="Q241" s="38" t="str">
        <f>データ!F241</f>
        <v>打</v>
      </c>
      <c r="R241" s="38" t="s">
        <v>1024</v>
      </c>
      <c r="S241" s="38" t="s">
        <v>1319</v>
      </c>
      <c r="T241" s="39">
        <f>データ!G241</f>
        <v>19485</v>
      </c>
      <c r="U241" s="40" t="s">
        <v>1024</v>
      </c>
      <c r="V241" s="40" t="s">
        <v>1319</v>
      </c>
      <c r="W241" s="39">
        <f>データ!H241</f>
        <v>5446</v>
      </c>
      <c r="X241" s="40" t="s">
        <v>1024</v>
      </c>
      <c r="Y241" s="40" t="s">
        <v>1319</v>
      </c>
      <c r="Z241" s="39">
        <f>データ!I241</f>
        <v>6959</v>
      </c>
      <c r="AA241" s="40" t="s">
        <v>1024</v>
      </c>
      <c r="AB241" s="40" t="s">
        <v>1322</v>
      </c>
      <c r="AC241" s="39" t="str">
        <f>データ!J241</f>
        <v>S-</v>
      </c>
      <c r="AD241" s="38" t="s">
        <v>1024</v>
      </c>
      <c r="AE241" s="40" t="s">
        <v>1323</v>
      </c>
      <c r="AF241" s="39">
        <f>データ!K241</f>
        <v>31890</v>
      </c>
      <c r="AG241" s="40" t="s">
        <v>1024</v>
      </c>
      <c r="AH241" s="40" t="s">
        <v>1324</v>
      </c>
      <c r="AI241" s="39" t="str">
        <f>データ!L241</f>
        <v>強奪者の雷／絶</v>
      </c>
      <c r="AJ241" s="10" t="s">
        <v>1113</v>
      </c>
      <c r="AK241" s="39" t="str">
        <f>データ!M241</f>
        <v>単体攻撃（宝箱優先／追加ダメージ）[大]</v>
      </c>
      <c r="AL241" s="10" t="s">
        <v>1024</v>
      </c>
      <c r="AM241" s="40" t="s">
        <v>1325</v>
      </c>
      <c r="AN241" s="39" t="str">
        <f>データ!N241</f>
        <v>-</v>
      </c>
      <c r="AO241" s="10" t="s">
        <v>1113</v>
      </c>
      <c r="AP241" s="39" t="str">
        <f>データ!O241</f>
        <v>　</v>
      </c>
      <c r="AQ241" s="41" t="s">
        <v>1024</v>
      </c>
      <c r="AR241" s="40" t="s">
        <v>1324</v>
      </c>
      <c r="AS241" s="39" t="str">
        <f>データ!P241</f>
        <v>ステルス／真</v>
      </c>
      <c r="AT241" s="10" t="s">
        <v>1113</v>
      </c>
      <c r="AU241" s="39" t="str">
        <f>データ!Q241</f>
        <v>強襲CBの発生確率・強襲時獲得ポイント中UP(3回)</v>
      </c>
      <c r="AV241" s="10" t="s">
        <v>1024</v>
      </c>
      <c r="AW241" s="40" t="s">
        <v>1324</v>
      </c>
      <c r="AX241" s="39" t="str">
        <f>データ!R241</f>
        <v>-</v>
      </c>
      <c r="AY241" s="10" t="s">
        <v>1113</v>
      </c>
      <c r="AZ241" s="39" t="str">
        <f>データ!S241</f>
        <v>　</v>
      </c>
      <c r="BA241" s="41" t="s">
        <v>1024</v>
      </c>
      <c r="BB241" s="40" t="s">
        <v>1319</v>
      </c>
      <c r="BC241" s="39" t="str">
        <f>データ!T241</f>
        <v>-</v>
      </c>
      <c r="BD241" s="41" t="s">
        <v>1024</v>
      </c>
      <c r="BE241" s="40" t="s">
        <v>1320</v>
      </c>
      <c r="BF241" s="39" t="str">
        <f>データ!U241</f>
        <v>-</v>
      </c>
      <c r="BG241" s="41" t="s">
        <v>1024</v>
      </c>
      <c r="BH241" s="40" t="s">
        <v>1319</v>
      </c>
      <c r="BI241" s="39" t="str">
        <f>データ!V241</f>
        <v>七つの大罪コラボ</v>
      </c>
      <c r="BJ241" s="41" t="s">
        <v>1024</v>
      </c>
      <c r="BK241" s="10" t="s">
        <v>1019</v>
      </c>
    </row>
    <row r="242" spans="1:63" x14ac:dyDescent="0.15">
      <c r="A242" s="10" t="s">
        <v>1016</v>
      </c>
      <c r="B242" s="10" t="s">
        <v>1454</v>
      </c>
      <c r="C242" s="38" t="str">
        <f>"./images/thumbnail/"&amp;データ!B242&amp;".jpg"</f>
        <v>./images/thumbnail/1428.jpg</v>
      </c>
      <c r="D242" s="38" t="s">
        <v>1455</v>
      </c>
      <c r="E242" s="38" t="str">
        <f>"./images/thumbnail/"&amp;データ!B242&amp;".jpg"</f>
        <v>./images/thumbnail/1428.jpg</v>
      </c>
      <c r="F242" s="38" t="s">
        <v>1116</v>
      </c>
      <c r="G242" s="38" t="s">
        <v>1319</v>
      </c>
      <c r="H242" s="38" t="str">
        <f>データ!C242</f>
        <v>キング</v>
      </c>
      <c r="I242" s="38" t="s">
        <v>1024</v>
      </c>
      <c r="J242" s="38" t="s">
        <v>1320</v>
      </c>
      <c r="K242" s="38" t="str">
        <f>データ!D242</f>
        <v>SSR</v>
      </c>
      <c r="L242" s="38" t="s">
        <v>1024</v>
      </c>
      <c r="M242" s="38" t="s">
        <v>1321</v>
      </c>
      <c r="N242" s="38">
        <f>データ!E242</f>
        <v>13</v>
      </c>
      <c r="O242" s="38" t="s">
        <v>1024</v>
      </c>
      <c r="P242" s="38" t="s">
        <v>1319</v>
      </c>
      <c r="Q242" s="38" t="str">
        <f>データ!F242</f>
        <v>突</v>
      </c>
      <c r="R242" s="38" t="s">
        <v>1024</v>
      </c>
      <c r="S242" s="38" t="s">
        <v>1319</v>
      </c>
      <c r="T242" s="39">
        <f>データ!G242</f>
        <v>17027</v>
      </c>
      <c r="U242" s="40" t="s">
        <v>1024</v>
      </c>
      <c r="V242" s="40" t="s">
        <v>1319</v>
      </c>
      <c r="W242" s="39">
        <f>データ!H242</f>
        <v>5842</v>
      </c>
      <c r="X242" s="40" t="s">
        <v>1024</v>
      </c>
      <c r="Y242" s="40" t="s">
        <v>1319</v>
      </c>
      <c r="Z242" s="39">
        <f>データ!I242</f>
        <v>5987</v>
      </c>
      <c r="AA242" s="40" t="s">
        <v>1024</v>
      </c>
      <c r="AB242" s="40" t="s">
        <v>1322</v>
      </c>
      <c r="AC242" s="39" t="str">
        <f>データ!J242</f>
        <v>SS-</v>
      </c>
      <c r="AD242" s="38" t="s">
        <v>1024</v>
      </c>
      <c r="AE242" s="40" t="s">
        <v>1323</v>
      </c>
      <c r="AF242" s="39">
        <f>データ!K242</f>
        <v>28856</v>
      </c>
      <c r="AG242" s="40" t="s">
        <v>1024</v>
      </c>
      <c r="AH242" s="40" t="s">
        <v>1324</v>
      </c>
      <c r="AI242" s="39" t="str">
        <f>データ!L242</f>
        <v>蒼突の聖天</v>
      </c>
      <c r="AJ242" s="10" t="s">
        <v>1113</v>
      </c>
      <c r="AK242" s="39" t="str">
        <f>データ!M242</f>
        <v>味方突属性の攻撃力と防御力をUP[大]</v>
      </c>
      <c r="AL242" s="10" t="s">
        <v>1024</v>
      </c>
      <c r="AM242" s="40" t="s">
        <v>1325</v>
      </c>
      <c r="AN242" s="39" t="str">
        <f>データ!N242</f>
        <v>-</v>
      </c>
      <c r="AO242" s="10" t="s">
        <v>1113</v>
      </c>
      <c r="AP242" s="39" t="str">
        <f>データ!O242</f>
        <v>　</v>
      </c>
      <c r="AQ242" s="41" t="s">
        <v>1024</v>
      </c>
      <c r="AR242" s="40" t="s">
        <v>1324</v>
      </c>
      <c r="AS242" s="39" t="str">
        <f>データ!P242</f>
        <v>フォートレスオーダー</v>
      </c>
      <c r="AT242" s="10" t="s">
        <v>1113</v>
      </c>
      <c r="AU242" s="39" t="str">
        <f>データ!Q242</f>
        <v>騎士団全体の防御力が小UP(3分間)</v>
      </c>
      <c r="AV242" s="10" t="s">
        <v>1024</v>
      </c>
      <c r="AW242" s="40" t="s">
        <v>1324</v>
      </c>
      <c r="AX242" s="39" t="str">
        <f>データ!R242</f>
        <v>-</v>
      </c>
      <c r="AY242" s="10" t="s">
        <v>1113</v>
      </c>
      <c r="AZ242" s="39" t="str">
        <f>データ!S242</f>
        <v>　</v>
      </c>
      <c r="BA242" s="41" t="s">
        <v>1024</v>
      </c>
      <c r="BB242" s="40" t="s">
        <v>1319</v>
      </c>
      <c r="BC242" s="39" t="str">
        <f>データ!T242</f>
        <v>-</v>
      </c>
      <c r="BD242" s="41" t="s">
        <v>1024</v>
      </c>
      <c r="BE242" s="40" t="s">
        <v>1320</v>
      </c>
      <c r="BF242" s="39" t="str">
        <f>データ!U242</f>
        <v>-</v>
      </c>
      <c r="BG242" s="41" t="s">
        <v>1024</v>
      </c>
      <c r="BH242" s="40" t="s">
        <v>1319</v>
      </c>
      <c r="BI242" s="39" t="str">
        <f>データ!V242</f>
        <v>七つの大罪コラボ</v>
      </c>
      <c r="BJ242" s="41" t="s">
        <v>1024</v>
      </c>
      <c r="BK242" s="10" t="s">
        <v>1019</v>
      </c>
    </row>
    <row r="243" spans="1:63" x14ac:dyDescent="0.15">
      <c r="A243" s="10" t="s">
        <v>1016</v>
      </c>
      <c r="B243" s="10" t="s">
        <v>1454</v>
      </c>
      <c r="C243" s="38" t="str">
        <f>"./images/thumbnail/"&amp;データ!B243&amp;".jpg"</f>
        <v>./images/thumbnail/1430.jpg</v>
      </c>
      <c r="D243" s="38" t="s">
        <v>1455</v>
      </c>
      <c r="E243" s="38" t="str">
        <f>"./images/thumbnail/"&amp;データ!B243&amp;".jpg"</f>
        <v>./images/thumbnail/1430.jpg</v>
      </c>
      <c r="F243" s="38" t="s">
        <v>1116</v>
      </c>
      <c r="G243" s="38" t="s">
        <v>1319</v>
      </c>
      <c r="H243" s="38" t="str">
        <f>データ!C243</f>
        <v>ゴウセル</v>
      </c>
      <c r="I243" s="38" t="s">
        <v>1024</v>
      </c>
      <c r="J243" s="38" t="s">
        <v>1320</v>
      </c>
      <c r="K243" s="38" t="str">
        <f>データ!D243</f>
        <v>SSR</v>
      </c>
      <c r="L243" s="38" t="s">
        <v>1024</v>
      </c>
      <c r="M243" s="38" t="s">
        <v>1321</v>
      </c>
      <c r="N243" s="38">
        <f>データ!E243</f>
        <v>13</v>
      </c>
      <c r="O243" s="38" t="s">
        <v>1024</v>
      </c>
      <c r="P243" s="38" t="s">
        <v>1319</v>
      </c>
      <c r="Q243" s="38" t="str">
        <f>データ!F243</f>
        <v>遠</v>
      </c>
      <c r="R243" s="38" t="s">
        <v>1024</v>
      </c>
      <c r="S243" s="38" t="s">
        <v>1319</v>
      </c>
      <c r="T243" s="39">
        <f>データ!G243</f>
        <v>18902</v>
      </c>
      <c r="U243" s="40" t="s">
        <v>1024</v>
      </c>
      <c r="V243" s="40" t="s">
        <v>1319</v>
      </c>
      <c r="W243" s="39">
        <f>データ!H243</f>
        <v>5767</v>
      </c>
      <c r="X243" s="40" t="s">
        <v>1024</v>
      </c>
      <c r="Y243" s="40" t="s">
        <v>1319</v>
      </c>
      <c r="Z243" s="39">
        <f>データ!I243</f>
        <v>4943</v>
      </c>
      <c r="AA243" s="40" t="s">
        <v>1024</v>
      </c>
      <c r="AB243" s="40" t="s">
        <v>1322</v>
      </c>
      <c r="AC243" s="39" t="str">
        <f>データ!J243</f>
        <v>S-</v>
      </c>
      <c r="AD243" s="38" t="s">
        <v>1024</v>
      </c>
      <c r="AE243" s="40" t="s">
        <v>1323</v>
      </c>
      <c r="AF243" s="39">
        <f>データ!K243</f>
        <v>29612</v>
      </c>
      <c r="AG243" s="40" t="s">
        <v>1024</v>
      </c>
      <c r="AH243" s="40" t="s">
        <v>1324</v>
      </c>
      <c r="AI243" s="39" t="str">
        <f>データ!L243</f>
        <v>遠翠の略奪／絶</v>
      </c>
      <c r="AJ243" s="10" t="s">
        <v>1113</v>
      </c>
      <c r="AK243" s="39" t="str">
        <f>データ!M243</f>
        <v>敵単体に攻撃しつつHP回復[大]</v>
      </c>
      <c r="AL243" s="10" t="s">
        <v>1024</v>
      </c>
      <c r="AM243" s="40" t="s">
        <v>1325</v>
      </c>
      <c r="AN243" s="39" t="str">
        <f>データ!N243</f>
        <v>-</v>
      </c>
      <c r="AO243" s="10" t="s">
        <v>1113</v>
      </c>
      <c r="AP243" s="39" t="str">
        <f>データ!O243</f>
        <v>　</v>
      </c>
      <c r="AQ243" s="41" t="s">
        <v>1024</v>
      </c>
      <c r="AR243" s="40" t="s">
        <v>1324</v>
      </c>
      <c r="AS243" s="39" t="str">
        <f>データ!P243</f>
        <v>アサルト／真</v>
      </c>
      <c r="AT243" s="10" t="s">
        <v>1113</v>
      </c>
      <c r="AU243" s="39" t="str">
        <f>データ!Q243</f>
        <v>パーティ全体の攻撃力が中UP(3分間)</v>
      </c>
      <c r="AV243" s="10" t="s">
        <v>1024</v>
      </c>
      <c r="AW243" s="40" t="s">
        <v>1324</v>
      </c>
      <c r="AX243" s="39" t="str">
        <f>データ!R243</f>
        <v>-</v>
      </c>
      <c r="AY243" s="10" t="s">
        <v>1113</v>
      </c>
      <c r="AZ243" s="39" t="str">
        <f>データ!S243</f>
        <v>　</v>
      </c>
      <c r="BA243" s="41" t="s">
        <v>1024</v>
      </c>
      <c r="BB243" s="40" t="s">
        <v>1319</v>
      </c>
      <c r="BC243" s="39" t="str">
        <f>データ!T243</f>
        <v>-</v>
      </c>
      <c r="BD243" s="41" t="s">
        <v>1024</v>
      </c>
      <c r="BE243" s="40" t="s">
        <v>1320</v>
      </c>
      <c r="BF243" s="39" t="str">
        <f>データ!U243</f>
        <v>-</v>
      </c>
      <c r="BG243" s="41" t="s">
        <v>1024</v>
      </c>
      <c r="BH243" s="40" t="s">
        <v>1319</v>
      </c>
      <c r="BI243" s="39" t="str">
        <f>データ!V243</f>
        <v>七つの大罪コラボ</v>
      </c>
      <c r="BJ243" s="41" t="s">
        <v>1024</v>
      </c>
      <c r="BK243" s="10" t="s">
        <v>1019</v>
      </c>
    </row>
    <row r="244" spans="1:63" x14ac:dyDescent="0.15">
      <c r="A244" s="10" t="s">
        <v>1016</v>
      </c>
      <c r="B244" s="10" t="s">
        <v>1454</v>
      </c>
      <c r="C244" s="38" t="str">
        <f>"./images/thumbnail/"&amp;データ!B244&amp;".jpg"</f>
        <v>./images/thumbnail/1432.jpg</v>
      </c>
      <c r="D244" s="38" t="s">
        <v>1455</v>
      </c>
      <c r="E244" s="38" t="str">
        <f>"./images/thumbnail/"&amp;データ!B244&amp;".jpg"</f>
        <v>./images/thumbnail/1432.jpg</v>
      </c>
      <c r="F244" s="38" t="s">
        <v>1116</v>
      </c>
      <c r="G244" s="38" t="s">
        <v>1319</v>
      </c>
      <c r="H244" s="38" t="str">
        <f>データ!C244</f>
        <v>マーリン</v>
      </c>
      <c r="I244" s="38" t="s">
        <v>1024</v>
      </c>
      <c r="J244" s="38" t="s">
        <v>1320</v>
      </c>
      <c r="K244" s="38" t="str">
        <f>データ!D244</f>
        <v>SSR</v>
      </c>
      <c r="L244" s="38" t="s">
        <v>1024</v>
      </c>
      <c r="M244" s="38" t="s">
        <v>1321</v>
      </c>
      <c r="N244" s="38">
        <f>データ!E244</f>
        <v>13</v>
      </c>
      <c r="O244" s="38" t="s">
        <v>1024</v>
      </c>
      <c r="P244" s="38" t="s">
        <v>1319</v>
      </c>
      <c r="Q244" s="38" t="str">
        <f>データ!F244</f>
        <v>遠</v>
      </c>
      <c r="R244" s="38" t="s">
        <v>1024</v>
      </c>
      <c r="S244" s="38" t="s">
        <v>1319</v>
      </c>
      <c r="T244" s="39">
        <f>データ!G244</f>
        <v>18644</v>
      </c>
      <c r="U244" s="40" t="s">
        <v>1024</v>
      </c>
      <c r="V244" s="40" t="s">
        <v>1319</v>
      </c>
      <c r="W244" s="39">
        <f>データ!H244</f>
        <v>6528</v>
      </c>
      <c r="X244" s="40" t="s">
        <v>1024</v>
      </c>
      <c r="Y244" s="40" t="s">
        <v>1319</v>
      </c>
      <c r="Z244" s="39">
        <f>データ!I244</f>
        <v>4373</v>
      </c>
      <c r="AA244" s="40" t="s">
        <v>1024</v>
      </c>
      <c r="AB244" s="40" t="s">
        <v>1322</v>
      </c>
      <c r="AC244" s="39" t="str">
        <f>データ!J244</f>
        <v>S-</v>
      </c>
      <c r="AD244" s="38" t="s">
        <v>1024</v>
      </c>
      <c r="AE244" s="40" t="s">
        <v>1323</v>
      </c>
      <c r="AF244" s="39">
        <f>データ!K244</f>
        <v>29545</v>
      </c>
      <c r="AG244" s="40" t="s">
        <v>1024</v>
      </c>
      <c r="AH244" s="40" t="s">
        <v>1324</v>
      </c>
      <c r="AI244" s="39" t="str">
        <f>データ!L244</f>
        <v>幻瞑の包囲陣／絶</v>
      </c>
      <c r="AJ244" s="10" t="s">
        <v>1113</v>
      </c>
      <c r="AK244" s="39" t="str">
        <f>データ!M244</f>
        <v>敵全体に攻撃[大]</v>
      </c>
      <c r="AL244" s="10" t="s">
        <v>1024</v>
      </c>
      <c r="AM244" s="40" t="s">
        <v>1325</v>
      </c>
      <c r="AN244" s="39" t="str">
        <f>データ!N244</f>
        <v>-</v>
      </c>
      <c r="AO244" s="10" t="s">
        <v>1113</v>
      </c>
      <c r="AP244" s="39" t="str">
        <f>データ!O244</f>
        <v>　</v>
      </c>
      <c r="AQ244" s="41" t="s">
        <v>1024</v>
      </c>
      <c r="AR244" s="40" t="s">
        <v>1324</v>
      </c>
      <c r="AS244" s="39" t="str">
        <f>データ!P244</f>
        <v>ポイントライズ／真</v>
      </c>
      <c r="AT244" s="10" t="s">
        <v>1113</v>
      </c>
      <c r="AU244" s="39" t="str">
        <f>データ!Q244</f>
        <v>獲得する騎士団戦スコアが中アップ(バトル3回)</v>
      </c>
      <c r="AV244" s="10" t="s">
        <v>1024</v>
      </c>
      <c r="AW244" s="40" t="s">
        <v>1324</v>
      </c>
      <c r="AX244" s="39" t="str">
        <f>データ!R244</f>
        <v>-</v>
      </c>
      <c r="AY244" s="10" t="s">
        <v>1113</v>
      </c>
      <c r="AZ244" s="39" t="str">
        <f>データ!S244</f>
        <v>　</v>
      </c>
      <c r="BA244" s="41" t="s">
        <v>1024</v>
      </c>
      <c r="BB244" s="40" t="s">
        <v>1319</v>
      </c>
      <c r="BC244" s="39" t="str">
        <f>データ!T244</f>
        <v>-</v>
      </c>
      <c r="BD244" s="41" t="s">
        <v>1024</v>
      </c>
      <c r="BE244" s="40" t="s">
        <v>1320</v>
      </c>
      <c r="BF244" s="39" t="str">
        <f>データ!U244</f>
        <v>-</v>
      </c>
      <c r="BG244" s="41" t="s">
        <v>1024</v>
      </c>
      <c r="BH244" s="40" t="s">
        <v>1319</v>
      </c>
      <c r="BI244" s="39" t="str">
        <f>データ!V244</f>
        <v>七つの大罪コラボ</v>
      </c>
      <c r="BJ244" s="41" t="s">
        <v>1024</v>
      </c>
      <c r="BK244" s="10" t="s">
        <v>1019</v>
      </c>
    </row>
    <row r="245" spans="1:63" x14ac:dyDescent="0.15">
      <c r="A245" s="10" t="s">
        <v>1016</v>
      </c>
      <c r="B245" s="10" t="s">
        <v>1454</v>
      </c>
      <c r="C245" s="38" t="str">
        <f>"./images/thumbnail/"&amp;データ!B245&amp;".jpg"</f>
        <v>./images/thumbnail/1433.jpg</v>
      </c>
      <c r="D245" s="38" t="s">
        <v>1455</v>
      </c>
      <c r="E245" s="38" t="str">
        <f>"./images/thumbnail/"&amp;データ!B245&amp;".jpg"</f>
        <v>./images/thumbnail/1433.jpg</v>
      </c>
      <c r="F245" s="38" t="s">
        <v>1116</v>
      </c>
      <c r="G245" s="38" t="s">
        <v>1319</v>
      </c>
      <c r="H245" s="38" t="str">
        <f>データ!C245</f>
        <v>Deemo</v>
      </c>
      <c r="I245" s="38" t="s">
        <v>1024</v>
      </c>
      <c r="J245" s="38" t="s">
        <v>1320</v>
      </c>
      <c r="K245" s="38" t="str">
        <f>データ!D245</f>
        <v>SSR</v>
      </c>
      <c r="L245" s="38" t="s">
        <v>1024</v>
      </c>
      <c r="M245" s="38" t="s">
        <v>1321</v>
      </c>
      <c r="N245" s="38">
        <f>データ!E245</f>
        <v>13</v>
      </c>
      <c r="O245" s="38" t="s">
        <v>1024</v>
      </c>
      <c r="P245" s="38" t="s">
        <v>1319</v>
      </c>
      <c r="Q245" s="38" t="str">
        <f>データ!F245</f>
        <v>斬</v>
      </c>
      <c r="R245" s="38" t="s">
        <v>1024</v>
      </c>
      <c r="S245" s="38" t="s">
        <v>1319</v>
      </c>
      <c r="T245" s="39">
        <f>データ!G245</f>
        <v>16638</v>
      </c>
      <c r="U245" s="40" t="s">
        <v>1024</v>
      </c>
      <c r="V245" s="40" t="s">
        <v>1319</v>
      </c>
      <c r="W245" s="39">
        <f>データ!H245</f>
        <v>7072</v>
      </c>
      <c r="X245" s="40" t="s">
        <v>1024</v>
      </c>
      <c r="Y245" s="40" t="s">
        <v>1319</v>
      </c>
      <c r="Z245" s="39">
        <f>データ!I245</f>
        <v>5034</v>
      </c>
      <c r="AA245" s="40" t="s">
        <v>1024</v>
      </c>
      <c r="AB245" s="40" t="s">
        <v>1322</v>
      </c>
      <c r="AC245" s="39" t="str">
        <f>データ!J245</f>
        <v>A+</v>
      </c>
      <c r="AD245" s="38" t="s">
        <v>1024</v>
      </c>
      <c r="AE245" s="40" t="s">
        <v>1323</v>
      </c>
      <c r="AF245" s="39">
        <f>データ!K245</f>
        <v>28744</v>
      </c>
      <c r="AG245" s="40" t="s">
        <v>1024</v>
      </c>
      <c r="AH245" s="40" t="s">
        <v>1324</v>
      </c>
      <c r="AI245" s="39" t="str">
        <f>データ!L245</f>
        <v>魔幻の閃光／絶</v>
      </c>
      <c r="AJ245" s="10" t="s">
        <v>1113</v>
      </c>
      <c r="AK245" s="39" t="str">
        <f>データ!M245</f>
        <v>縦一列に攻撃[大]</v>
      </c>
      <c r="AL245" s="10" t="s">
        <v>1024</v>
      </c>
      <c r="AM245" s="40" t="s">
        <v>1325</v>
      </c>
      <c r="AN245" s="39" t="str">
        <f>データ!N245</f>
        <v>-</v>
      </c>
      <c r="AO245" s="10" t="s">
        <v>1113</v>
      </c>
      <c r="AP245" s="39" t="str">
        <f>データ!O245</f>
        <v>　</v>
      </c>
      <c r="AQ245" s="41" t="s">
        <v>1024</v>
      </c>
      <c r="AR245" s="40" t="s">
        <v>1324</v>
      </c>
      <c r="AS245" s="39" t="str">
        <f>データ!P245</f>
        <v>ポイントライズ</v>
      </c>
      <c r="AT245" s="10" t="s">
        <v>1113</v>
      </c>
      <c r="AU245" s="39" t="str">
        <f>データ!Q245</f>
        <v>獲得する騎士団戦スコアが小アップ(バトル3回)</v>
      </c>
      <c r="AV245" s="10" t="s">
        <v>1024</v>
      </c>
      <c r="AW245" s="40" t="s">
        <v>1324</v>
      </c>
      <c r="AX245" s="39" t="str">
        <f>データ!R245</f>
        <v>-</v>
      </c>
      <c r="AY245" s="10" t="s">
        <v>1113</v>
      </c>
      <c r="AZ245" s="39" t="str">
        <f>データ!S245</f>
        <v>　</v>
      </c>
      <c r="BA245" s="41" t="s">
        <v>1024</v>
      </c>
      <c r="BB245" s="40" t="s">
        <v>1319</v>
      </c>
      <c r="BC245" s="39" t="str">
        <f>データ!T245</f>
        <v>-</v>
      </c>
      <c r="BD245" s="41" t="s">
        <v>1024</v>
      </c>
      <c r="BE245" s="40" t="s">
        <v>1320</v>
      </c>
      <c r="BF245" s="39" t="str">
        <f>データ!U245</f>
        <v>-</v>
      </c>
      <c r="BG245" s="41" t="s">
        <v>1024</v>
      </c>
      <c r="BH245" s="40" t="s">
        <v>1319</v>
      </c>
      <c r="BI245" s="39" t="str">
        <f>データ!V245</f>
        <v>Deemoコラボ／メダル</v>
      </c>
      <c r="BJ245" s="41" t="s">
        <v>1024</v>
      </c>
      <c r="BK245" s="10" t="s">
        <v>1019</v>
      </c>
    </row>
    <row r="246" spans="1:63" x14ac:dyDescent="0.15">
      <c r="A246" s="10" t="s">
        <v>1016</v>
      </c>
      <c r="B246" s="10" t="s">
        <v>1454</v>
      </c>
      <c r="C246" s="38" t="str">
        <f>"./images/thumbnail/"&amp;データ!B246&amp;".jpg"</f>
        <v>./images/thumbnail/1434.jpg</v>
      </c>
      <c r="D246" s="38" t="s">
        <v>1455</v>
      </c>
      <c r="E246" s="38" t="str">
        <f>"./images/thumbnail/"&amp;データ!B246&amp;".jpg"</f>
        <v>./images/thumbnail/1434.jpg</v>
      </c>
      <c r="F246" s="38" t="s">
        <v>1116</v>
      </c>
      <c r="G246" s="38" t="s">
        <v>1319</v>
      </c>
      <c r="H246" s="38" t="str">
        <f>データ!C246</f>
        <v>少女</v>
      </c>
      <c r="I246" s="38" t="s">
        <v>1024</v>
      </c>
      <c r="J246" s="38" t="s">
        <v>1320</v>
      </c>
      <c r="K246" s="38" t="str">
        <f>データ!D246</f>
        <v>SSR</v>
      </c>
      <c r="L246" s="38" t="s">
        <v>1024</v>
      </c>
      <c r="M246" s="38" t="s">
        <v>1321</v>
      </c>
      <c r="N246" s="38">
        <f>データ!E246</f>
        <v>13</v>
      </c>
      <c r="O246" s="38" t="s">
        <v>1024</v>
      </c>
      <c r="P246" s="38" t="s">
        <v>1319</v>
      </c>
      <c r="Q246" s="38" t="str">
        <f>データ!F246</f>
        <v>突</v>
      </c>
      <c r="R246" s="38" t="s">
        <v>1024</v>
      </c>
      <c r="S246" s="38" t="s">
        <v>1319</v>
      </c>
      <c r="T246" s="39">
        <f>データ!G246</f>
        <v>16466</v>
      </c>
      <c r="U246" s="40" t="s">
        <v>1024</v>
      </c>
      <c r="V246" s="40" t="s">
        <v>1319</v>
      </c>
      <c r="W246" s="39">
        <f>データ!H246</f>
        <v>5629</v>
      </c>
      <c r="X246" s="40" t="s">
        <v>1024</v>
      </c>
      <c r="Y246" s="40" t="s">
        <v>1319</v>
      </c>
      <c r="Z246" s="39">
        <f>データ!I246</f>
        <v>6214</v>
      </c>
      <c r="AA246" s="40" t="s">
        <v>1024</v>
      </c>
      <c r="AB246" s="40" t="s">
        <v>1322</v>
      </c>
      <c r="AC246" s="39" t="str">
        <f>データ!J246</f>
        <v>SS-</v>
      </c>
      <c r="AD246" s="38" t="s">
        <v>1024</v>
      </c>
      <c r="AE246" s="40" t="s">
        <v>1323</v>
      </c>
      <c r="AF246" s="39">
        <f>データ!K246</f>
        <v>28309</v>
      </c>
      <c r="AG246" s="40" t="s">
        <v>1024</v>
      </c>
      <c r="AH246" s="40" t="s">
        <v>1324</v>
      </c>
      <c r="AI246" s="39" t="str">
        <f>データ!L246</f>
        <v xml:space="preserve">蒼突の叡智 </v>
      </c>
      <c r="AJ246" s="10" t="s">
        <v>1113</v>
      </c>
      <c r="AK246" s="39" t="str">
        <f>データ!M246</f>
        <v>味方突属性の攻撃力と防御力をUP[中]</v>
      </c>
      <c r="AL246" s="10" t="s">
        <v>1024</v>
      </c>
      <c r="AM246" s="40" t="s">
        <v>1325</v>
      </c>
      <c r="AN246" s="39" t="str">
        <f>データ!N246</f>
        <v>-</v>
      </c>
      <c r="AO246" s="10" t="s">
        <v>1113</v>
      </c>
      <c r="AP246" s="39" t="str">
        <f>データ!O246</f>
        <v>　</v>
      </c>
      <c r="AQ246" s="41" t="s">
        <v>1024</v>
      </c>
      <c r="AR246" s="40" t="s">
        <v>1324</v>
      </c>
      <c r="AS246" s="39" t="str">
        <f>データ!P246</f>
        <v>アサルト</v>
      </c>
      <c r="AT246" s="10" t="s">
        <v>1113</v>
      </c>
      <c r="AU246" s="39" t="str">
        <f>データ!Q246</f>
        <v>パーティ全体の攻撃力が小UP(3分間)</v>
      </c>
      <c r="AV246" s="10" t="s">
        <v>1024</v>
      </c>
      <c r="AW246" s="40" t="s">
        <v>1324</v>
      </c>
      <c r="AX246" s="39" t="str">
        <f>データ!R246</f>
        <v>-</v>
      </c>
      <c r="AY246" s="10" t="s">
        <v>1113</v>
      </c>
      <c r="AZ246" s="39" t="str">
        <f>データ!S246</f>
        <v>　</v>
      </c>
      <c r="BA246" s="41" t="s">
        <v>1024</v>
      </c>
      <c r="BB246" s="40" t="s">
        <v>1319</v>
      </c>
      <c r="BC246" s="39" t="str">
        <f>データ!T246</f>
        <v>-</v>
      </c>
      <c r="BD246" s="41" t="s">
        <v>1024</v>
      </c>
      <c r="BE246" s="40" t="s">
        <v>1320</v>
      </c>
      <c r="BF246" s="39" t="str">
        <f>データ!U246</f>
        <v>-</v>
      </c>
      <c r="BG246" s="41" t="s">
        <v>1024</v>
      </c>
      <c r="BH246" s="40" t="s">
        <v>1319</v>
      </c>
      <c r="BI246" s="39" t="str">
        <f>データ!V246</f>
        <v>Deemoコラボ／メダル</v>
      </c>
      <c r="BJ246" s="41" t="s">
        <v>1024</v>
      </c>
      <c r="BK246" s="10" t="s">
        <v>1019</v>
      </c>
    </row>
    <row r="247" spans="1:63" x14ac:dyDescent="0.15">
      <c r="A247" s="10" t="s">
        <v>1016</v>
      </c>
      <c r="B247" s="10" t="s">
        <v>1454</v>
      </c>
      <c r="C247" s="38" t="str">
        <f>"./images/thumbnail/"&amp;データ!B247&amp;".jpg"</f>
        <v>./images/thumbnail/1435.jpg</v>
      </c>
      <c r="D247" s="38" t="s">
        <v>1455</v>
      </c>
      <c r="E247" s="38" t="str">
        <f>"./images/thumbnail/"&amp;データ!B247&amp;".jpg"</f>
        <v>./images/thumbnail/1435.jpg</v>
      </c>
      <c r="F247" s="38" t="s">
        <v>1116</v>
      </c>
      <c r="G247" s="38" t="s">
        <v>1319</v>
      </c>
      <c r="H247" s="38" t="str">
        <f>データ!C247</f>
        <v>ノリス</v>
      </c>
      <c r="I247" s="38" t="s">
        <v>1024</v>
      </c>
      <c r="J247" s="38" t="s">
        <v>1320</v>
      </c>
      <c r="K247" s="38" t="str">
        <f>データ!D247</f>
        <v>UR</v>
      </c>
      <c r="L247" s="38" t="s">
        <v>1024</v>
      </c>
      <c r="M247" s="38" t="s">
        <v>1321</v>
      </c>
      <c r="N247" s="38">
        <f>データ!E247</f>
        <v>14</v>
      </c>
      <c r="O247" s="38" t="s">
        <v>1024</v>
      </c>
      <c r="P247" s="38" t="s">
        <v>1319</v>
      </c>
      <c r="Q247" s="38" t="str">
        <f>データ!F247</f>
        <v>斬</v>
      </c>
      <c r="R247" s="38" t="s">
        <v>1024</v>
      </c>
      <c r="S247" s="38" t="s">
        <v>1319</v>
      </c>
      <c r="T247" s="39">
        <f>データ!G247</f>
        <v>18117</v>
      </c>
      <c r="U247" s="40" t="s">
        <v>1024</v>
      </c>
      <c r="V247" s="40" t="s">
        <v>1319</v>
      </c>
      <c r="W247" s="39">
        <f>データ!H247</f>
        <v>7525</v>
      </c>
      <c r="X247" s="40" t="s">
        <v>1024</v>
      </c>
      <c r="Y247" s="40" t="s">
        <v>1319</v>
      </c>
      <c r="Z247" s="39">
        <f>データ!I247</f>
        <v>6331</v>
      </c>
      <c r="AA247" s="40" t="s">
        <v>1024</v>
      </c>
      <c r="AB247" s="40" t="s">
        <v>1322</v>
      </c>
      <c r="AC247" s="39" t="str">
        <f>データ!J247</f>
        <v>S</v>
      </c>
      <c r="AD247" s="38" t="s">
        <v>1024</v>
      </c>
      <c r="AE247" s="40" t="s">
        <v>1323</v>
      </c>
      <c r="AF247" s="39">
        <f>データ!K247</f>
        <v>31973</v>
      </c>
      <c r="AG247" s="40" t="s">
        <v>1024</v>
      </c>
      <c r="AH247" s="40" t="s">
        <v>1324</v>
      </c>
      <c r="AI247" s="39" t="str">
        <f>データ!L247</f>
        <v>対紫の突風／煌</v>
      </c>
      <c r="AJ247" s="10" t="s">
        <v>1113</v>
      </c>
      <c r="AK247" s="39" t="str">
        <f>データ!M247</f>
        <v>打に強く遠に弱い縦一列攻撃[特大]</v>
      </c>
      <c r="AL247" s="10" t="s">
        <v>1024</v>
      </c>
      <c r="AM247" s="40" t="s">
        <v>1325</v>
      </c>
      <c r="AN247" s="39" t="str">
        <f>データ!N247</f>
        <v>-</v>
      </c>
      <c r="AO247" s="10" t="s">
        <v>1113</v>
      </c>
      <c r="AP247" s="39" t="str">
        <f>データ!O247</f>
        <v>　</v>
      </c>
      <c r="AQ247" s="41" t="s">
        <v>1024</v>
      </c>
      <c r="AR247" s="40" t="s">
        <v>1324</v>
      </c>
      <c r="AS247" s="39" t="str">
        <f>データ!P247</f>
        <v>シャドウ／真</v>
      </c>
      <c r="AT247" s="10" t="s">
        <v>1113</v>
      </c>
      <c r="AU247" s="39" t="str">
        <f>データ!Q247</f>
        <v>バトル時の強襲CB率が中UP(3分間)</v>
      </c>
      <c r="AV247" s="10" t="s">
        <v>1024</v>
      </c>
      <c r="AW247" s="40" t="s">
        <v>1324</v>
      </c>
      <c r="AX247" s="39" t="str">
        <f>データ!R247</f>
        <v>-</v>
      </c>
      <c r="AY247" s="10" t="s">
        <v>1113</v>
      </c>
      <c r="AZ247" s="39" t="str">
        <f>データ!S247</f>
        <v>　</v>
      </c>
      <c r="BA247" s="41" t="s">
        <v>1024</v>
      </c>
      <c r="BB247" s="40" t="s">
        <v>1319</v>
      </c>
      <c r="BC247" s="39" t="str">
        <f>データ!T247</f>
        <v>-</v>
      </c>
      <c r="BD247" s="41" t="s">
        <v>1024</v>
      </c>
      <c r="BE247" s="40" t="s">
        <v>1320</v>
      </c>
      <c r="BF247" s="39" t="str">
        <f>データ!U247</f>
        <v>-</v>
      </c>
      <c r="BG247" s="41" t="s">
        <v>1024</v>
      </c>
      <c r="BH247" s="40" t="s">
        <v>1319</v>
      </c>
      <c r="BI247" s="39" t="str">
        <f>データ!V247</f>
        <v>ポーカー</v>
      </c>
      <c r="BJ247" s="41" t="s">
        <v>1024</v>
      </c>
      <c r="BK247" s="10" t="s">
        <v>1019</v>
      </c>
    </row>
    <row r="248" spans="1:63" x14ac:dyDescent="0.15">
      <c r="A248" s="10" t="s">
        <v>1016</v>
      </c>
      <c r="B248" s="10" t="s">
        <v>1454</v>
      </c>
      <c r="C248" s="38" t="str">
        <f>"./images/thumbnail/"&amp;データ!B248&amp;".jpg"</f>
        <v>./images/thumbnail/1439.jpg</v>
      </c>
      <c r="D248" s="38" t="s">
        <v>1455</v>
      </c>
      <c r="E248" s="38" t="str">
        <f>"./images/thumbnail/"&amp;データ!B248&amp;".jpg"</f>
        <v>./images/thumbnail/1439.jpg</v>
      </c>
      <c r="F248" s="38" t="s">
        <v>1116</v>
      </c>
      <c r="G248" s="38" t="s">
        <v>1319</v>
      </c>
      <c r="H248" s="38" t="str">
        <f>データ!C248</f>
        <v>セネト</v>
      </c>
      <c r="I248" s="38" t="s">
        <v>1024</v>
      </c>
      <c r="J248" s="38" t="s">
        <v>1320</v>
      </c>
      <c r="K248" s="38" t="str">
        <f>データ!D248</f>
        <v>SSR</v>
      </c>
      <c r="L248" s="38" t="s">
        <v>1024</v>
      </c>
      <c r="M248" s="38" t="s">
        <v>1321</v>
      </c>
      <c r="N248" s="38">
        <f>データ!E248</f>
        <v>13</v>
      </c>
      <c r="O248" s="38" t="s">
        <v>1024</v>
      </c>
      <c r="P248" s="38" t="s">
        <v>1319</v>
      </c>
      <c r="Q248" s="38" t="str">
        <f>データ!F248</f>
        <v>斬</v>
      </c>
      <c r="R248" s="38" t="s">
        <v>1024</v>
      </c>
      <c r="S248" s="38" t="s">
        <v>1319</v>
      </c>
      <c r="T248" s="39">
        <f>データ!G248</f>
        <v>16872</v>
      </c>
      <c r="U248" s="40" t="s">
        <v>1024</v>
      </c>
      <c r="V248" s="40" t="s">
        <v>1319</v>
      </c>
      <c r="W248" s="39">
        <f>データ!H248</f>
        <v>7573</v>
      </c>
      <c r="X248" s="40" t="s">
        <v>1024</v>
      </c>
      <c r="Y248" s="40" t="s">
        <v>1319</v>
      </c>
      <c r="Z248" s="39">
        <f>データ!I248</f>
        <v>5278</v>
      </c>
      <c r="AA248" s="40" t="s">
        <v>1024</v>
      </c>
      <c r="AB248" s="40" t="s">
        <v>1322</v>
      </c>
      <c r="AC248" s="39" t="str">
        <f>データ!J248</f>
        <v>A+</v>
      </c>
      <c r="AD248" s="38" t="s">
        <v>1024</v>
      </c>
      <c r="AE248" s="40" t="s">
        <v>1323</v>
      </c>
      <c r="AF248" s="39">
        <f>データ!K248</f>
        <v>29723</v>
      </c>
      <c r="AG248" s="40" t="s">
        <v>1024</v>
      </c>
      <c r="AH248" s="40" t="s">
        <v>1324</v>
      </c>
      <c r="AI248" s="39" t="str">
        <f>データ!L248</f>
        <v>神威</v>
      </c>
      <c r="AJ248" s="10" t="s">
        <v>1113</v>
      </c>
      <c r="AK248" s="39" t="str">
        <f>データ!M248</f>
        <v>自分の攻撃力をUP[特大]</v>
      </c>
      <c r="AL248" s="10" t="s">
        <v>1024</v>
      </c>
      <c r="AM248" s="40" t="s">
        <v>1325</v>
      </c>
      <c r="AN248" s="39" t="str">
        <f>データ!N248</f>
        <v>-</v>
      </c>
      <c r="AO248" s="10" t="s">
        <v>1113</v>
      </c>
      <c r="AP248" s="39" t="str">
        <f>データ!O248</f>
        <v>　</v>
      </c>
      <c r="AQ248" s="41" t="s">
        <v>1024</v>
      </c>
      <c r="AR248" s="40" t="s">
        <v>1324</v>
      </c>
      <c r="AS248" s="39" t="str">
        <f>データ!P248</f>
        <v>エース／真</v>
      </c>
      <c r="AT248" s="10" t="s">
        <v>1113</v>
      </c>
      <c r="AU248" s="39" t="str">
        <f>データ!Q248</f>
        <v>パーティ全体の攻・防が中UP(3分間)</v>
      </c>
      <c r="AV248" s="10" t="s">
        <v>1024</v>
      </c>
      <c r="AW248" s="40" t="s">
        <v>1324</v>
      </c>
      <c r="AX248" s="39" t="str">
        <f>データ!R248</f>
        <v>-</v>
      </c>
      <c r="AY248" s="10" t="s">
        <v>1113</v>
      </c>
      <c r="AZ248" s="39" t="str">
        <f>データ!S248</f>
        <v>　</v>
      </c>
      <c r="BA248" s="41" t="s">
        <v>1024</v>
      </c>
      <c r="BB248" s="40" t="s">
        <v>1319</v>
      </c>
      <c r="BC248" s="39" t="str">
        <f>データ!T248</f>
        <v>-</v>
      </c>
      <c r="BD248" s="41" t="s">
        <v>1024</v>
      </c>
      <c r="BE248" s="40" t="s">
        <v>1320</v>
      </c>
      <c r="BF248" s="39" t="str">
        <f>データ!U248</f>
        <v>-</v>
      </c>
      <c r="BG248" s="41" t="s">
        <v>1024</v>
      </c>
      <c r="BH248" s="40" t="s">
        <v>1319</v>
      </c>
      <c r="BI248" s="39" t="str">
        <f>データ!V248</f>
        <v>常設</v>
      </c>
      <c r="BJ248" s="41" t="s">
        <v>1024</v>
      </c>
      <c r="BK248" s="10" t="s">
        <v>1019</v>
      </c>
    </row>
    <row r="249" spans="1:63" x14ac:dyDescent="0.15">
      <c r="A249" s="10" t="s">
        <v>1016</v>
      </c>
      <c r="B249" s="10" t="s">
        <v>1454</v>
      </c>
      <c r="C249" s="38" t="str">
        <f>"./images/thumbnail/"&amp;データ!B249&amp;".jpg"</f>
        <v>./images/thumbnail/1441.jpg</v>
      </c>
      <c r="D249" s="38" t="s">
        <v>1455</v>
      </c>
      <c r="E249" s="38" t="str">
        <f>"./images/thumbnail/"&amp;データ!B249&amp;".jpg"</f>
        <v>./images/thumbnail/1441.jpg</v>
      </c>
      <c r="F249" s="38" t="s">
        <v>1116</v>
      </c>
      <c r="G249" s="38" t="s">
        <v>1319</v>
      </c>
      <c r="H249" s="38" t="str">
        <f>データ!C249</f>
        <v>ティナ</v>
      </c>
      <c r="I249" s="38" t="s">
        <v>1024</v>
      </c>
      <c r="J249" s="38" t="s">
        <v>1320</v>
      </c>
      <c r="K249" s="38" t="str">
        <f>データ!D249</f>
        <v>SSR</v>
      </c>
      <c r="L249" s="38" t="s">
        <v>1024</v>
      </c>
      <c r="M249" s="38" t="s">
        <v>1321</v>
      </c>
      <c r="N249" s="38">
        <f>データ!E249</f>
        <v>13</v>
      </c>
      <c r="O249" s="38" t="s">
        <v>1024</v>
      </c>
      <c r="P249" s="38" t="s">
        <v>1319</v>
      </c>
      <c r="Q249" s="38" t="str">
        <f>データ!F249</f>
        <v>突</v>
      </c>
      <c r="R249" s="38" t="s">
        <v>1024</v>
      </c>
      <c r="S249" s="38" t="s">
        <v>1319</v>
      </c>
      <c r="T249" s="39">
        <f>データ!G249</f>
        <v>17159</v>
      </c>
      <c r="U249" s="40" t="s">
        <v>1024</v>
      </c>
      <c r="V249" s="40" t="s">
        <v>1319</v>
      </c>
      <c r="W249" s="39">
        <f>データ!H249</f>
        <v>5562</v>
      </c>
      <c r="X249" s="40" t="s">
        <v>1024</v>
      </c>
      <c r="Y249" s="40" t="s">
        <v>1319</v>
      </c>
      <c r="Z249" s="39">
        <f>データ!I249</f>
        <v>5355</v>
      </c>
      <c r="AA249" s="40" t="s">
        <v>1024</v>
      </c>
      <c r="AB249" s="40" t="s">
        <v>1322</v>
      </c>
      <c r="AC249" s="39" t="str">
        <f>データ!J249</f>
        <v>SS1</v>
      </c>
      <c r="AD249" s="38" t="s">
        <v>1024</v>
      </c>
      <c r="AE249" s="40" t="s">
        <v>1323</v>
      </c>
      <c r="AF249" s="39">
        <f>データ!K249</f>
        <v>28076</v>
      </c>
      <c r="AG249" s="40" t="s">
        <v>1024</v>
      </c>
      <c r="AH249" s="40" t="s">
        <v>1324</v>
      </c>
      <c r="AI249" s="39" t="str">
        <f>データ!L249</f>
        <v>癒やしの光／絶</v>
      </c>
      <c r="AJ249" s="10" t="s">
        <v>1113</v>
      </c>
      <c r="AK249" s="39" t="str">
        <f>データ!M249</f>
        <v>最もダメージが多い味方1人のHP回復[大]</v>
      </c>
      <c r="AL249" s="10" t="s">
        <v>1024</v>
      </c>
      <c r="AM249" s="40" t="s">
        <v>1325</v>
      </c>
      <c r="AN249" s="39" t="str">
        <f>データ!N249</f>
        <v>-</v>
      </c>
      <c r="AO249" s="10" t="s">
        <v>1113</v>
      </c>
      <c r="AP249" s="39" t="str">
        <f>データ!O249</f>
        <v>　</v>
      </c>
      <c r="AQ249" s="41" t="s">
        <v>1024</v>
      </c>
      <c r="AR249" s="40" t="s">
        <v>1324</v>
      </c>
      <c r="AS249" s="39" t="str">
        <f>データ!P249</f>
        <v>リザレクション／真</v>
      </c>
      <c r="AT249" s="10" t="s">
        <v>1113</v>
      </c>
      <c r="AU249" s="39" t="str">
        <f>データ!Q249</f>
        <v>中確率でパーティ全員を復帰(全滅時のみ使用可)</v>
      </c>
      <c r="AV249" s="10" t="s">
        <v>1024</v>
      </c>
      <c r="AW249" s="40" t="s">
        <v>1324</v>
      </c>
      <c r="AX249" s="39" t="str">
        <f>データ!R249</f>
        <v>-</v>
      </c>
      <c r="AY249" s="10" t="s">
        <v>1113</v>
      </c>
      <c r="AZ249" s="39" t="str">
        <f>データ!S249</f>
        <v>　</v>
      </c>
      <c r="BA249" s="41" t="s">
        <v>1024</v>
      </c>
      <c r="BB249" s="40" t="s">
        <v>1319</v>
      </c>
      <c r="BC249" s="39" t="str">
        <f>データ!T249</f>
        <v>-</v>
      </c>
      <c r="BD249" s="41" t="s">
        <v>1024</v>
      </c>
      <c r="BE249" s="40" t="s">
        <v>1320</v>
      </c>
      <c r="BF249" s="39" t="str">
        <f>データ!U249</f>
        <v>-</v>
      </c>
      <c r="BG249" s="41" t="s">
        <v>1024</v>
      </c>
      <c r="BH249" s="40" t="s">
        <v>1319</v>
      </c>
      <c r="BI249" s="39" t="str">
        <f>データ!V249</f>
        <v>常設</v>
      </c>
      <c r="BJ249" s="41" t="s">
        <v>1024</v>
      </c>
      <c r="BK249" s="10" t="s">
        <v>1019</v>
      </c>
    </row>
    <row r="250" spans="1:63" x14ac:dyDescent="0.15">
      <c r="A250" s="10" t="s">
        <v>1016</v>
      </c>
      <c r="B250" s="10" t="s">
        <v>1454</v>
      </c>
      <c r="C250" s="38" t="str">
        <f>"./images/thumbnail/"&amp;データ!B250&amp;".jpg"</f>
        <v>./images/thumbnail/1443.jpg</v>
      </c>
      <c r="D250" s="38" t="s">
        <v>1455</v>
      </c>
      <c r="E250" s="38" t="str">
        <f>"./images/thumbnail/"&amp;データ!B250&amp;".jpg"</f>
        <v>./images/thumbnail/1443.jpg</v>
      </c>
      <c r="F250" s="38" t="s">
        <v>1116</v>
      </c>
      <c r="G250" s="38" t="s">
        <v>1319</v>
      </c>
      <c r="H250" s="38" t="str">
        <f>データ!C250</f>
        <v>エックハルト</v>
      </c>
      <c r="I250" s="38" t="s">
        <v>1024</v>
      </c>
      <c r="J250" s="38" t="s">
        <v>1320</v>
      </c>
      <c r="K250" s="38" t="str">
        <f>データ!D250</f>
        <v>SSR</v>
      </c>
      <c r="L250" s="38" t="s">
        <v>1024</v>
      </c>
      <c r="M250" s="38" t="s">
        <v>1321</v>
      </c>
      <c r="N250" s="38">
        <f>データ!E250</f>
        <v>13</v>
      </c>
      <c r="O250" s="38" t="s">
        <v>1024</v>
      </c>
      <c r="P250" s="38" t="s">
        <v>1319</v>
      </c>
      <c r="Q250" s="38" t="str">
        <f>データ!F250</f>
        <v>打</v>
      </c>
      <c r="R250" s="38" t="s">
        <v>1024</v>
      </c>
      <c r="S250" s="38" t="s">
        <v>1319</v>
      </c>
      <c r="T250" s="39">
        <f>データ!G250</f>
        <v>23085</v>
      </c>
      <c r="U250" s="40" t="s">
        <v>1024</v>
      </c>
      <c r="V250" s="40" t="s">
        <v>1319</v>
      </c>
      <c r="W250" s="39">
        <f>データ!H250</f>
        <v>5118</v>
      </c>
      <c r="X250" s="40" t="s">
        <v>1024</v>
      </c>
      <c r="Y250" s="40" t="s">
        <v>1319</v>
      </c>
      <c r="Z250" s="39">
        <f>データ!I250</f>
        <v>6995</v>
      </c>
      <c r="AA250" s="40" t="s">
        <v>1024</v>
      </c>
      <c r="AB250" s="40" t="s">
        <v>1322</v>
      </c>
      <c r="AC250" s="39" t="str">
        <f>データ!J250</f>
        <v>A-</v>
      </c>
      <c r="AD250" s="38" t="s">
        <v>1024</v>
      </c>
      <c r="AE250" s="40" t="s">
        <v>1323</v>
      </c>
      <c r="AF250" s="39">
        <f>データ!K250</f>
        <v>35198</v>
      </c>
      <c r="AG250" s="40" t="s">
        <v>1024</v>
      </c>
      <c r="AH250" s="40" t="s">
        <v>1324</v>
      </c>
      <c r="AI250" s="39" t="str">
        <f>データ!L250</f>
        <v>地幻光の交叉線／絶</v>
      </c>
      <c r="AJ250" s="10" t="s">
        <v>1113</v>
      </c>
      <c r="AK250" s="39" t="str">
        <f>データ!M250</f>
        <v>X字型攻撃[大]自分の防御力UP[大]</v>
      </c>
      <c r="AL250" s="10" t="s">
        <v>1024</v>
      </c>
      <c r="AM250" s="40" t="s">
        <v>1325</v>
      </c>
      <c r="AN250" s="39" t="str">
        <f>データ!N250</f>
        <v>-</v>
      </c>
      <c r="AO250" s="10" t="s">
        <v>1113</v>
      </c>
      <c r="AP250" s="39" t="str">
        <f>データ!O250</f>
        <v>　</v>
      </c>
      <c r="AQ250" s="41" t="s">
        <v>1024</v>
      </c>
      <c r="AR250" s="40" t="s">
        <v>1324</v>
      </c>
      <c r="AS250" s="39" t="str">
        <f>データ!P250</f>
        <v>カウンター／真</v>
      </c>
      <c r="AT250" s="10" t="s">
        <v>1113</v>
      </c>
      <c r="AU250" s="39" t="str">
        <f>データ!Q250</f>
        <v>迎撃時にパーティ全体の攻・防が中UP(3分間)</v>
      </c>
      <c r="AV250" s="10" t="s">
        <v>1024</v>
      </c>
      <c r="AW250" s="40" t="s">
        <v>1324</v>
      </c>
      <c r="AX250" s="39" t="str">
        <f>データ!R250</f>
        <v>-</v>
      </c>
      <c r="AY250" s="10" t="s">
        <v>1113</v>
      </c>
      <c r="AZ250" s="39" t="str">
        <f>データ!S250</f>
        <v>　</v>
      </c>
      <c r="BA250" s="41" t="s">
        <v>1024</v>
      </c>
      <c r="BB250" s="40" t="s">
        <v>1319</v>
      </c>
      <c r="BC250" s="39" t="str">
        <f>データ!T250</f>
        <v>-</v>
      </c>
      <c r="BD250" s="41" t="s">
        <v>1024</v>
      </c>
      <c r="BE250" s="40" t="s">
        <v>1320</v>
      </c>
      <c r="BF250" s="39" t="str">
        <f>データ!U250</f>
        <v>-</v>
      </c>
      <c r="BG250" s="41" t="s">
        <v>1024</v>
      </c>
      <c r="BH250" s="40" t="s">
        <v>1319</v>
      </c>
      <c r="BI250" s="39" t="str">
        <f>データ!V250</f>
        <v>常設</v>
      </c>
      <c r="BJ250" s="41" t="s">
        <v>1024</v>
      </c>
      <c r="BK250" s="10" t="s">
        <v>1019</v>
      </c>
    </row>
    <row r="251" spans="1:63" x14ac:dyDescent="0.15">
      <c r="A251" s="10" t="s">
        <v>1016</v>
      </c>
      <c r="B251" s="10" t="s">
        <v>1454</v>
      </c>
      <c r="C251" s="38" t="str">
        <f>"./images/thumbnail/"&amp;データ!B251&amp;".jpg"</f>
        <v>./images/thumbnail/1445.jpg</v>
      </c>
      <c r="D251" s="38" t="s">
        <v>1455</v>
      </c>
      <c r="E251" s="38" t="str">
        <f>"./images/thumbnail/"&amp;データ!B251&amp;".jpg"</f>
        <v>./images/thumbnail/1445.jpg</v>
      </c>
      <c r="F251" s="38" t="s">
        <v>1116</v>
      </c>
      <c r="G251" s="38" t="s">
        <v>1319</v>
      </c>
      <c r="H251" s="38" t="str">
        <f>データ!C251</f>
        <v>ラクロワ</v>
      </c>
      <c r="I251" s="38" t="s">
        <v>1024</v>
      </c>
      <c r="J251" s="38" t="s">
        <v>1320</v>
      </c>
      <c r="K251" s="38" t="str">
        <f>データ!D251</f>
        <v>UR</v>
      </c>
      <c r="L251" s="38" t="s">
        <v>1024</v>
      </c>
      <c r="M251" s="38" t="s">
        <v>1321</v>
      </c>
      <c r="N251" s="38">
        <f>データ!E251</f>
        <v>14</v>
      </c>
      <c r="O251" s="38" t="s">
        <v>1024</v>
      </c>
      <c r="P251" s="38" t="s">
        <v>1319</v>
      </c>
      <c r="Q251" s="38" t="str">
        <f>データ!F251</f>
        <v>遠</v>
      </c>
      <c r="R251" s="38" t="s">
        <v>1024</v>
      </c>
      <c r="S251" s="38" t="s">
        <v>1319</v>
      </c>
      <c r="T251" s="39">
        <f>データ!G251</f>
        <v>21158</v>
      </c>
      <c r="U251" s="40" t="s">
        <v>1024</v>
      </c>
      <c r="V251" s="40" t="s">
        <v>1319</v>
      </c>
      <c r="W251" s="39">
        <f>データ!H251</f>
        <v>6264</v>
      </c>
      <c r="X251" s="40" t="s">
        <v>1024</v>
      </c>
      <c r="Y251" s="40" t="s">
        <v>1319</v>
      </c>
      <c r="Z251" s="39">
        <f>データ!I251</f>
        <v>5523</v>
      </c>
      <c r="AA251" s="40" t="s">
        <v>1024</v>
      </c>
      <c r="AB251" s="40" t="s">
        <v>1322</v>
      </c>
      <c r="AC251" s="39" t="str">
        <f>データ!J251</f>
        <v>S+</v>
      </c>
      <c r="AD251" s="38" t="s">
        <v>1024</v>
      </c>
      <c r="AE251" s="40" t="s">
        <v>1323</v>
      </c>
      <c r="AF251" s="39">
        <f>データ!K251</f>
        <v>32945</v>
      </c>
      <c r="AG251" s="40" t="s">
        <v>1024</v>
      </c>
      <c r="AH251" s="40" t="s">
        <v>1324</v>
      </c>
      <c r="AI251" s="39" t="str">
        <f>データ!L251</f>
        <v>対蒼の薙風／煌</v>
      </c>
      <c r="AJ251" s="10" t="s">
        <v>1113</v>
      </c>
      <c r="AK251" s="39" t="str">
        <f>データ!M251</f>
        <v>突に強く斬に弱い横一列攻撃[特大]</v>
      </c>
      <c r="AL251" s="10" t="s">
        <v>1024</v>
      </c>
      <c r="AM251" s="40" t="s">
        <v>1325</v>
      </c>
      <c r="AN251" s="39" t="str">
        <f>データ!N251</f>
        <v>-</v>
      </c>
      <c r="AO251" s="10" t="s">
        <v>1113</v>
      </c>
      <c r="AP251" s="39" t="str">
        <f>データ!O251</f>
        <v>　</v>
      </c>
      <c r="AQ251" s="41" t="s">
        <v>1024</v>
      </c>
      <c r="AR251" s="40" t="s">
        <v>1324</v>
      </c>
      <c r="AS251" s="39" t="str">
        <f>データ!P251</f>
        <v>シャドウ／真</v>
      </c>
      <c r="AT251" s="10" t="s">
        <v>1113</v>
      </c>
      <c r="AU251" s="39" t="str">
        <f>データ!Q251</f>
        <v>バトル時の強襲CB率が中UP(3分間)</v>
      </c>
      <c r="AV251" s="10" t="s">
        <v>1024</v>
      </c>
      <c r="AW251" s="40" t="s">
        <v>1324</v>
      </c>
      <c r="AX251" s="39" t="str">
        <f>データ!R251</f>
        <v>-</v>
      </c>
      <c r="AY251" s="10" t="s">
        <v>1113</v>
      </c>
      <c r="AZ251" s="39" t="str">
        <f>データ!S251</f>
        <v>　</v>
      </c>
      <c r="BA251" s="41" t="s">
        <v>1024</v>
      </c>
      <c r="BB251" s="40" t="s">
        <v>1319</v>
      </c>
      <c r="BC251" s="39" t="str">
        <f>データ!T251</f>
        <v>-</v>
      </c>
      <c r="BD251" s="41" t="s">
        <v>1024</v>
      </c>
      <c r="BE251" s="40" t="s">
        <v>1320</v>
      </c>
      <c r="BF251" s="39" t="str">
        <f>データ!U251</f>
        <v>-</v>
      </c>
      <c r="BG251" s="41" t="s">
        <v>1024</v>
      </c>
      <c r="BH251" s="40" t="s">
        <v>1319</v>
      </c>
      <c r="BI251" s="39" t="str">
        <f>データ!V251</f>
        <v>常設</v>
      </c>
      <c r="BJ251" s="41" t="s">
        <v>1024</v>
      </c>
      <c r="BK251" s="10" t="s">
        <v>1019</v>
      </c>
    </row>
    <row r="252" spans="1:63" x14ac:dyDescent="0.15">
      <c r="A252" s="10" t="s">
        <v>1016</v>
      </c>
      <c r="B252" s="10" t="s">
        <v>1454</v>
      </c>
      <c r="C252" s="38" t="str">
        <f>"./images/thumbnail/"&amp;データ!B252&amp;".jpg"</f>
        <v>./images/thumbnail/1445_a.jpg</v>
      </c>
      <c r="D252" s="38" t="s">
        <v>1455</v>
      </c>
      <c r="E252" s="38" t="str">
        <f>"./images/thumbnail/"&amp;データ!B252&amp;".jpg"</f>
        <v>./images/thumbnail/1445_a.jpg</v>
      </c>
      <c r="F252" s="38" t="s">
        <v>1116</v>
      </c>
      <c r="G252" s="38" t="s">
        <v>1319</v>
      </c>
      <c r="H252" s="38" t="str">
        <f>データ!C252</f>
        <v>ラクロワ</v>
      </c>
      <c r="I252" s="38" t="s">
        <v>1024</v>
      </c>
      <c r="J252" s="38" t="s">
        <v>1320</v>
      </c>
      <c r="K252" s="38" t="str">
        <f>データ!D252</f>
        <v>UR</v>
      </c>
      <c r="L252" s="38" t="s">
        <v>1024</v>
      </c>
      <c r="M252" s="38" t="s">
        <v>1321</v>
      </c>
      <c r="N252" s="38">
        <f>データ!E252</f>
        <v>14</v>
      </c>
      <c r="O252" s="38" t="s">
        <v>1024</v>
      </c>
      <c r="P252" s="38" t="s">
        <v>1319</v>
      </c>
      <c r="Q252" s="38" t="str">
        <f>データ!F252</f>
        <v>遠</v>
      </c>
      <c r="R252" s="38" t="s">
        <v>1024</v>
      </c>
      <c r="S252" s="38" t="s">
        <v>1319</v>
      </c>
      <c r="T252" s="39">
        <f>データ!G252</f>
        <v>27500</v>
      </c>
      <c r="U252" s="40" t="s">
        <v>1024</v>
      </c>
      <c r="V252" s="40" t="s">
        <v>1319</v>
      </c>
      <c r="W252" s="39">
        <f>データ!H252</f>
        <v>8700</v>
      </c>
      <c r="X252" s="40" t="s">
        <v>1024</v>
      </c>
      <c r="Y252" s="40" t="s">
        <v>1319</v>
      </c>
      <c r="Z252" s="39">
        <f>データ!I252</f>
        <v>8064</v>
      </c>
      <c r="AA252" s="40" t="s">
        <v>1024</v>
      </c>
      <c r="AB252" s="40" t="s">
        <v>1322</v>
      </c>
      <c r="AC252" s="39" t="str">
        <f>データ!J252</f>
        <v>SS1</v>
      </c>
      <c r="AD252" s="38" t="s">
        <v>1024</v>
      </c>
      <c r="AE252" s="40" t="s">
        <v>1323</v>
      </c>
      <c r="AF252" s="39">
        <f>データ!K252</f>
        <v>44264</v>
      </c>
      <c r="AG252" s="40" t="s">
        <v>1024</v>
      </c>
      <c r="AH252" s="40" t="s">
        <v>1324</v>
      </c>
      <c r="AI252" s="39" t="str">
        <f>データ!L252</f>
        <v>対蒼の薙風／煌＋</v>
      </c>
      <c r="AJ252" s="10" t="s">
        <v>1113</v>
      </c>
      <c r="AK252" s="39" t="str">
        <f>データ!M252</f>
        <v>突に強く斬に弱い横一列攻撃[超極大]</v>
      </c>
      <c r="AL252" s="10" t="s">
        <v>1024</v>
      </c>
      <c r="AM252" s="40" t="s">
        <v>1325</v>
      </c>
      <c r="AN252" s="39" t="str">
        <f>データ!N252</f>
        <v>-</v>
      </c>
      <c r="AO252" s="10" t="s">
        <v>1113</v>
      </c>
      <c r="AP252" s="39" t="str">
        <f>データ!O252</f>
        <v>　</v>
      </c>
      <c r="AQ252" s="41" t="s">
        <v>1024</v>
      </c>
      <c r="AR252" s="40" t="s">
        <v>1324</v>
      </c>
      <c r="AS252" s="39" t="str">
        <f>データ!P252</f>
        <v>シャドウ／真</v>
      </c>
      <c r="AT252" s="10" t="s">
        <v>1113</v>
      </c>
      <c r="AU252" s="39" t="str">
        <f>データ!Q252</f>
        <v>バトル時の強襲CB率が中UP(3分間)</v>
      </c>
      <c r="AV252" s="10" t="s">
        <v>1024</v>
      </c>
      <c r="AW252" s="40" t="s">
        <v>1324</v>
      </c>
      <c r="AX252" s="39" t="str">
        <f>データ!R252</f>
        <v>-</v>
      </c>
      <c r="AY252" s="10" t="s">
        <v>1113</v>
      </c>
      <c r="AZ252" s="39" t="str">
        <f>データ!S252</f>
        <v>　</v>
      </c>
      <c r="BA252" s="41" t="s">
        <v>1024</v>
      </c>
      <c r="BB252" s="40" t="s">
        <v>1319</v>
      </c>
      <c r="BC252" s="39" t="str">
        <f>データ!T252</f>
        <v>-</v>
      </c>
      <c r="BD252" s="41" t="s">
        <v>1024</v>
      </c>
      <c r="BE252" s="40" t="s">
        <v>1320</v>
      </c>
      <c r="BF252" s="39" t="str">
        <f>データ!U252</f>
        <v>-</v>
      </c>
      <c r="BG252" s="41" t="s">
        <v>1024</v>
      </c>
      <c r="BH252" s="40" t="s">
        <v>1319</v>
      </c>
      <c r="BI252" s="39" t="str">
        <f>データ!V252</f>
        <v>精鋭化ユニット</v>
      </c>
      <c r="BJ252" s="41" t="s">
        <v>1024</v>
      </c>
      <c r="BK252" s="10" t="s">
        <v>1019</v>
      </c>
    </row>
    <row r="253" spans="1:63" x14ac:dyDescent="0.15">
      <c r="A253" s="10" t="s">
        <v>1016</v>
      </c>
      <c r="B253" s="10" t="s">
        <v>1454</v>
      </c>
      <c r="C253" s="38" t="str">
        <f>"./images/thumbnail/"&amp;データ!B253&amp;".jpg"</f>
        <v>./images/thumbnail/1445_b.jpg</v>
      </c>
      <c r="D253" s="38" t="s">
        <v>1455</v>
      </c>
      <c r="E253" s="38" t="str">
        <f>"./images/thumbnail/"&amp;データ!B253&amp;".jpg"</f>
        <v>./images/thumbnail/1445_b.jpg</v>
      </c>
      <c r="F253" s="38" t="s">
        <v>1116</v>
      </c>
      <c r="G253" s="38" t="s">
        <v>1319</v>
      </c>
      <c r="H253" s="38" t="str">
        <f>データ!C253</f>
        <v>ラクロワ</v>
      </c>
      <c r="I253" s="38" t="s">
        <v>1024</v>
      </c>
      <c r="J253" s="38" t="s">
        <v>1320</v>
      </c>
      <c r="K253" s="38" t="str">
        <f>データ!D253</f>
        <v>UR</v>
      </c>
      <c r="L253" s="38" t="s">
        <v>1024</v>
      </c>
      <c r="M253" s="38" t="s">
        <v>1321</v>
      </c>
      <c r="N253" s="38">
        <f>データ!E253</f>
        <v>14</v>
      </c>
      <c r="O253" s="38" t="s">
        <v>1024</v>
      </c>
      <c r="P253" s="38" t="s">
        <v>1319</v>
      </c>
      <c r="Q253" s="38" t="str">
        <f>データ!F253</f>
        <v>遠</v>
      </c>
      <c r="R253" s="38" t="s">
        <v>1024</v>
      </c>
      <c r="S253" s="38" t="s">
        <v>1319</v>
      </c>
      <c r="T253" s="39">
        <f>データ!G253</f>
        <v>25400</v>
      </c>
      <c r="U253" s="40" t="s">
        <v>1024</v>
      </c>
      <c r="V253" s="40" t="s">
        <v>1319</v>
      </c>
      <c r="W253" s="39">
        <f>データ!H253</f>
        <v>8385</v>
      </c>
      <c r="X253" s="40" t="s">
        <v>1024</v>
      </c>
      <c r="Y253" s="40" t="s">
        <v>1319</v>
      </c>
      <c r="Z253" s="39">
        <f>データ!I253</f>
        <v>7518</v>
      </c>
      <c r="AA253" s="40" t="s">
        <v>1024</v>
      </c>
      <c r="AB253" s="40" t="s">
        <v>1322</v>
      </c>
      <c r="AC253" s="39" t="str">
        <f>データ!J253</f>
        <v>SS1</v>
      </c>
      <c r="AD253" s="38" t="s">
        <v>1024</v>
      </c>
      <c r="AE253" s="40" t="s">
        <v>1323</v>
      </c>
      <c r="AF253" s="39">
        <f>データ!K253</f>
        <v>41303</v>
      </c>
      <c r="AG253" s="40" t="s">
        <v>1024</v>
      </c>
      <c r="AH253" s="40" t="s">
        <v>1324</v>
      </c>
      <c r="AI253" s="39" t="str">
        <f>データ!L253</f>
        <v>対蒼の薙風／煌</v>
      </c>
      <c r="AJ253" s="10" t="s">
        <v>1113</v>
      </c>
      <c r="AK253" s="39" t="str">
        <f>データ!M253</f>
        <v>突に強く斬に弱い横一列攻撃[特大]</v>
      </c>
      <c r="AL253" s="10" t="s">
        <v>1024</v>
      </c>
      <c r="AM253" s="40" t="s">
        <v>1325</v>
      </c>
      <c r="AN253" s="39" t="str">
        <f>データ!N253</f>
        <v>-</v>
      </c>
      <c r="AO253" s="10" t="s">
        <v>1113</v>
      </c>
      <c r="AP253" s="39" t="str">
        <f>データ!O253</f>
        <v>　</v>
      </c>
      <c r="AQ253" s="41" t="s">
        <v>1024</v>
      </c>
      <c r="AR253" s="40" t="s">
        <v>1324</v>
      </c>
      <c r="AS253" s="39" t="str">
        <f>データ!P253</f>
        <v>未来への道標</v>
      </c>
      <c r="AT253" s="10" t="s">
        <v>1113</v>
      </c>
      <c r="AU253" s="39" t="str">
        <f>データ!Q253</f>
        <v>バトル時の強襲CB率が特大UP(5分間)</v>
      </c>
      <c r="AV253" s="10" t="s">
        <v>1024</v>
      </c>
      <c r="AW253" s="40" t="s">
        <v>1324</v>
      </c>
      <c r="AX253" s="39" t="str">
        <f>データ!R253</f>
        <v>-</v>
      </c>
      <c r="AY253" s="10" t="s">
        <v>1113</v>
      </c>
      <c r="AZ253" s="39" t="str">
        <f>データ!S253</f>
        <v>　</v>
      </c>
      <c r="BA253" s="41" t="s">
        <v>1024</v>
      </c>
      <c r="BB253" s="40" t="s">
        <v>1319</v>
      </c>
      <c r="BC253" s="39" t="str">
        <f>データ!T253</f>
        <v>-</v>
      </c>
      <c r="BD253" s="41" t="s">
        <v>1024</v>
      </c>
      <c r="BE253" s="40" t="s">
        <v>1320</v>
      </c>
      <c r="BF253" s="39" t="str">
        <f>データ!U253</f>
        <v>-</v>
      </c>
      <c r="BG253" s="41" t="s">
        <v>1024</v>
      </c>
      <c r="BH253" s="40" t="s">
        <v>1319</v>
      </c>
      <c r="BI253" s="39" t="str">
        <f>データ!V253</f>
        <v>精鋭化ユニット</v>
      </c>
      <c r="BJ253" s="41" t="s">
        <v>1024</v>
      </c>
      <c r="BK253" s="10" t="s">
        <v>1019</v>
      </c>
    </row>
    <row r="254" spans="1:63" x14ac:dyDescent="0.15">
      <c r="A254" s="10" t="s">
        <v>1016</v>
      </c>
      <c r="B254" s="10" t="s">
        <v>1454</v>
      </c>
      <c r="C254" s="38" t="str">
        <f>"./images/thumbnail/"&amp;データ!B254&amp;".jpg"</f>
        <v>./images/thumbnail/1446.jpg</v>
      </c>
      <c r="D254" s="38" t="s">
        <v>1455</v>
      </c>
      <c r="E254" s="38" t="str">
        <f>"./images/thumbnail/"&amp;データ!B254&amp;".jpg"</f>
        <v>./images/thumbnail/1446.jpg</v>
      </c>
      <c r="F254" s="38" t="s">
        <v>1116</v>
      </c>
      <c r="G254" s="38" t="s">
        <v>1319</v>
      </c>
      <c r="H254" s="38" t="str">
        <f>データ!C254</f>
        <v>オディロン</v>
      </c>
      <c r="I254" s="38" t="s">
        <v>1024</v>
      </c>
      <c r="J254" s="38" t="s">
        <v>1320</v>
      </c>
      <c r="K254" s="38" t="str">
        <f>データ!D254</f>
        <v>SSR</v>
      </c>
      <c r="L254" s="38" t="s">
        <v>1024</v>
      </c>
      <c r="M254" s="38" t="s">
        <v>1321</v>
      </c>
      <c r="N254" s="38">
        <f>データ!E254</f>
        <v>13</v>
      </c>
      <c r="O254" s="38" t="s">
        <v>1024</v>
      </c>
      <c r="P254" s="38" t="s">
        <v>1319</v>
      </c>
      <c r="Q254" s="38" t="str">
        <f>データ!F254</f>
        <v>打</v>
      </c>
      <c r="R254" s="38" t="s">
        <v>1024</v>
      </c>
      <c r="S254" s="38" t="s">
        <v>1319</v>
      </c>
      <c r="T254" s="39">
        <f>データ!G254</f>
        <v>19823</v>
      </c>
      <c r="U254" s="40" t="s">
        <v>1024</v>
      </c>
      <c r="V254" s="40" t="s">
        <v>1319</v>
      </c>
      <c r="W254" s="39">
        <f>データ!H254</f>
        <v>5246</v>
      </c>
      <c r="X254" s="40" t="s">
        <v>1024</v>
      </c>
      <c r="Y254" s="40" t="s">
        <v>1319</v>
      </c>
      <c r="Z254" s="39">
        <f>データ!I254</f>
        <v>7986</v>
      </c>
      <c r="AA254" s="40" t="s">
        <v>1024</v>
      </c>
      <c r="AB254" s="40" t="s">
        <v>1322</v>
      </c>
      <c r="AC254" s="39" t="str">
        <f>データ!J254</f>
        <v>A-</v>
      </c>
      <c r="AD254" s="38" t="s">
        <v>1024</v>
      </c>
      <c r="AE254" s="40" t="s">
        <v>1323</v>
      </c>
      <c r="AF254" s="39">
        <f>データ!K254</f>
        <v>33055</v>
      </c>
      <c r="AG254" s="40" t="s">
        <v>1024</v>
      </c>
      <c r="AH254" s="40" t="s">
        <v>1324</v>
      </c>
      <c r="AI254" s="39" t="str">
        <f>データ!L254</f>
        <v>打鋭の四連星</v>
      </c>
      <c r="AJ254" s="10" t="s">
        <v>1113</v>
      </c>
      <c r="AK254" s="39" t="str">
        <f>データ!M254</f>
        <v>ﾗﾝﾀﾞﾑで1～4連撃。攻撃毎に与ﾀﾞﾒ2倍[低確率]</v>
      </c>
      <c r="AL254" s="38" t="s">
        <v>1024</v>
      </c>
      <c r="AM254" s="40" t="s">
        <v>1325</v>
      </c>
      <c r="AN254" s="39" t="str">
        <f>データ!N254</f>
        <v>-</v>
      </c>
      <c r="AO254" s="10" t="s">
        <v>1113</v>
      </c>
      <c r="AP254" s="39" t="str">
        <f>データ!O254</f>
        <v>　</v>
      </c>
      <c r="AQ254" s="41" t="s">
        <v>1024</v>
      </c>
      <c r="AR254" s="40" t="s">
        <v>1324</v>
      </c>
      <c r="AS254" s="39" t="str">
        <f>データ!P254</f>
        <v>プロヴォーク／絶</v>
      </c>
      <c r="AT254" s="10" t="s">
        <v>1113</v>
      </c>
      <c r="AU254" s="39" t="str">
        <f>データ!Q254</f>
        <v>攻撃される確率が大UP(3分間)</v>
      </c>
      <c r="AV254" s="10" t="s">
        <v>1024</v>
      </c>
      <c r="AW254" s="40" t="s">
        <v>1324</v>
      </c>
      <c r="AX254" s="39" t="str">
        <f>データ!R254</f>
        <v>-</v>
      </c>
      <c r="AY254" s="10" t="s">
        <v>1113</v>
      </c>
      <c r="AZ254" s="39" t="str">
        <f>データ!S254</f>
        <v>　</v>
      </c>
      <c r="BA254" s="41" t="s">
        <v>1024</v>
      </c>
      <c r="BB254" s="40" t="s">
        <v>1319</v>
      </c>
      <c r="BC254" s="39" t="str">
        <f>データ!T254</f>
        <v>-</v>
      </c>
      <c r="BD254" s="41" t="s">
        <v>1024</v>
      </c>
      <c r="BE254" s="40" t="s">
        <v>1320</v>
      </c>
      <c r="BF254" s="39" t="str">
        <f>データ!U254</f>
        <v>-</v>
      </c>
      <c r="BG254" s="41" t="s">
        <v>1024</v>
      </c>
      <c r="BH254" s="40" t="s">
        <v>1319</v>
      </c>
      <c r="BI254" s="39" t="str">
        <f>データ!V254</f>
        <v>グラン</v>
      </c>
      <c r="BJ254" s="41" t="s">
        <v>1024</v>
      </c>
      <c r="BK254" s="10" t="s">
        <v>1019</v>
      </c>
    </row>
    <row r="255" spans="1:63" x14ac:dyDescent="0.15">
      <c r="A255" s="10" t="s">
        <v>1016</v>
      </c>
      <c r="B255" s="10" t="s">
        <v>1454</v>
      </c>
      <c r="C255" s="38" t="str">
        <f>"./images/thumbnail/"&amp;データ!B255&amp;".jpg"</f>
        <v>./images/thumbnail/1447.jpg</v>
      </c>
      <c r="D255" s="38" t="s">
        <v>1455</v>
      </c>
      <c r="E255" s="38" t="str">
        <f>"./images/thumbnail/"&amp;データ!B255&amp;".jpg"</f>
        <v>./images/thumbnail/1447.jpg</v>
      </c>
      <c r="F255" s="38" t="s">
        <v>1116</v>
      </c>
      <c r="G255" s="38" t="s">
        <v>1319</v>
      </c>
      <c r="H255" s="38" t="str">
        <f>データ!C255</f>
        <v>マリユス＆クー</v>
      </c>
      <c r="I255" s="38" t="s">
        <v>1024</v>
      </c>
      <c r="J255" s="38" t="s">
        <v>1320</v>
      </c>
      <c r="K255" s="38" t="str">
        <f>データ!D255</f>
        <v>SSR</v>
      </c>
      <c r="L255" s="38" t="s">
        <v>1024</v>
      </c>
      <c r="M255" s="38" t="s">
        <v>1321</v>
      </c>
      <c r="N255" s="38">
        <f>データ!E255</f>
        <v>12</v>
      </c>
      <c r="O255" s="38" t="s">
        <v>1024</v>
      </c>
      <c r="P255" s="38" t="s">
        <v>1319</v>
      </c>
      <c r="Q255" s="38" t="str">
        <f>データ!F255</f>
        <v>斬</v>
      </c>
      <c r="R255" s="38" t="s">
        <v>1024</v>
      </c>
      <c r="S255" s="38" t="s">
        <v>1319</v>
      </c>
      <c r="T255" s="39">
        <f>データ!G255</f>
        <v>15802</v>
      </c>
      <c r="U255" s="40" t="s">
        <v>1024</v>
      </c>
      <c r="V255" s="40" t="s">
        <v>1319</v>
      </c>
      <c r="W255" s="39">
        <f>データ!H255</f>
        <v>6325</v>
      </c>
      <c r="X255" s="40" t="s">
        <v>1024</v>
      </c>
      <c r="Y255" s="40" t="s">
        <v>1319</v>
      </c>
      <c r="Z255" s="39">
        <f>データ!I255</f>
        <v>5046</v>
      </c>
      <c r="AA255" s="40" t="s">
        <v>1024</v>
      </c>
      <c r="AB255" s="40" t="s">
        <v>1322</v>
      </c>
      <c r="AC255" s="39" t="str">
        <f>データ!J255</f>
        <v>A+</v>
      </c>
      <c r="AD255" s="38" t="s">
        <v>1024</v>
      </c>
      <c r="AE255" s="40" t="s">
        <v>1323</v>
      </c>
      <c r="AF255" s="39">
        <f>データ!K255</f>
        <v>27173</v>
      </c>
      <c r="AG255" s="40" t="s">
        <v>1024</v>
      </c>
      <c r="AH255" s="40" t="s">
        <v>1324</v>
      </c>
      <c r="AI255" s="39" t="str">
        <f>データ!L255</f>
        <v>覇道</v>
      </c>
      <c r="AJ255" s="10" t="s">
        <v>1113</v>
      </c>
      <c r="AK255" s="39" t="str">
        <f>データ!M255</f>
        <v>自分の攻撃力をUP[大]</v>
      </c>
      <c r="AL255" s="10" t="s">
        <v>1024</v>
      </c>
      <c r="AM255" s="40" t="s">
        <v>1325</v>
      </c>
      <c r="AN255" s="39" t="str">
        <f>データ!N255</f>
        <v>-</v>
      </c>
      <c r="AO255" s="10" t="s">
        <v>1113</v>
      </c>
      <c r="AP255" s="39" t="str">
        <f>データ!O255</f>
        <v>　</v>
      </c>
      <c r="AQ255" s="41" t="s">
        <v>1024</v>
      </c>
      <c r="AR255" s="40" t="s">
        <v>1324</v>
      </c>
      <c r="AS255" s="39" t="str">
        <f>データ!P255</f>
        <v>ヒール／真</v>
      </c>
      <c r="AT255" s="10" t="s">
        <v>1113</v>
      </c>
      <c r="AU255" s="39" t="str">
        <f>データ!Q255</f>
        <v>生存ユニットのHPを中回復</v>
      </c>
      <c r="AV255" s="10" t="s">
        <v>1024</v>
      </c>
      <c r="AW255" s="40" t="s">
        <v>1324</v>
      </c>
      <c r="AX255" s="39" t="str">
        <f>データ!R255</f>
        <v>-</v>
      </c>
      <c r="AY255" s="10" t="s">
        <v>1113</v>
      </c>
      <c r="AZ255" s="39" t="str">
        <f>データ!S255</f>
        <v>　</v>
      </c>
      <c r="BA255" s="41" t="s">
        <v>1024</v>
      </c>
      <c r="BB255" s="40" t="s">
        <v>1319</v>
      </c>
      <c r="BC255" s="39" t="str">
        <f>データ!T255</f>
        <v>-</v>
      </c>
      <c r="BD255" s="41" t="s">
        <v>1024</v>
      </c>
      <c r="BE255" s="40" t="s">
        <v>1320</v>
      </c>
      <c r="BF255" s="39" t="str">
        <f>データ!U255</f>
        <v>-</v>
      </c>
      <c r="BG255" s="41" t="s">
        <v>1024</v>
      </c>
      <c r="BH255" s="40" t="s">
        <v>1319</v>
      </c>
      <c r="BI255" s="39" t="str">
        <f>データ!V255</f>
        <v>セガフェス記念イベント</v>
      </c>
      <c r="BJ255" s="41" t="s">
        <v>1024</v>
      </c>
      <c r="BK255" s="10" t="s">
        <v>1019</v>
      </c>
    </row>
    <row r="256" spans="1:63" x14ac:dyDescent="0.15">
      <c r="A256" s="10" t="s">
        <v>1016</v>
      </c>
      <c r="B256" s="10" t="s">
        <v>1454</v>
      </c>
      <c r="C256" s="38" t="str">
        <f>"./images/thumbnail/"&amp;データ!B256&amp;".jpg"</f>
        <v>./images/thumbnail/1449.jpg</v>
      </c>
      <c r="D256" s="38" t="s">
        <v>1455</v>
      </c>
      <c r="E256" s="38" t="str">
        <f>"./images/thumbnail/"&amp;データ!B256&amp;".jpg"</f>
        <v>./images/thumbnail/1449.jpg</v>
      </c>
      <c r="F256" s="38" t="s">
        <v>1116</v>
      </c>
      <c r="G256" s="38" t="s">
        <v>1319</v>
      </c>
      <c r="H256" s="38" t="str">
        <f>データ!C256</f>
        <v>セウェルス</v>
      </c>
      <c r="I256" s="38" t="s">
        <v>1024</v>
      </c>
      <c r="J256" s="38" t="s">
        <v>1320</v>
      </c>
      <c r="K256" s="38" t="str">
        <f>データ!D256</f>
        <v>SSR</v>
      </c>
      <c r="L256" s="38" t="s">
        <v>1024</v>
      </c>
      <c r="M256" s="38" t="s">
        <v>1321</v>
      </c>
      <c r="N256" s="38">
        <f>データ!E256</f>
        <v>12</v>
      </c>
      <c r="O256" s="38" t="s">
        <v>1024</v>
      </c>
      <c r="P256" s="38" t="s">
        <v>1319</v>
      </c>
      <c r="Q256" s="38" t="str">
        <f>データ!F256</f>
        <v>打</v>
      </c>
      <c r="R256" s="38" t="s">
        <v>1024</v>
      </c>
      <c r="S256" s="38" t="s">
        <v>1319</v>
      </c>
      <c r="T256" s="39">
        <f>データ!G256</f>
        <v>18032</v>
      </c>
      <c r="U256" s="40" t="s">
        <v>1024</v>
      </c>
      <c r="V256" s="40" t="s">
        <v>1319</v>
      </c>
      <c r="W256" s="39">
        <f>データ!H256</f>
        <v>5674</v>
      </c>
      <c r="X256" s="40" t="s">
        <v>1024</v>
      </c>
      <c r="Y256" s="40" t="s">
        <v>1319</v>
      </c>
      <c r="Z256" s="39">
        <f>データ!I256</f>
        <v>6441</v>
      </c>
      <c r="AA256" s="40" t="s">
        <v>1024</v>
      </c>
      <c r="AB256" s="40" t="s">
        <v>1322</v>
      </c>
      <c r="AC256" s="39" t="str">
        <f>データ!J256</f>
        <v>A-</v>
      </c>
      <c r="AD256" s="38" t="s">
        <v>1024</v>
      </c>
      <c r="AE256" s="40" t="s">
        <v>1323</v>
      </c>
      <c r="AF256" s="39">
        <f>データ!K256</f>
        <v>30147</v>
      </c>
      <c r="AG256" s="40" t="s">
        <v>1024</v>
      </c>
      <c r="AH256" s="40" t="s">
        <v>1324</v>
      </c>
      <c r="AI256" s="39" t="str">
        <f>データ!L256</f>
        <v>紫打の聖護</v>
      </c>
      <c r="AJ256" s="10" t="s">
        <v>1113</v>
      </c>
      <c r="AK256" s="39" t="str">
        <f>データ!M256</f>
        <v>味方打属性の防御力をUP[大]</v>
      </c>
      <c r="AL256" s="10" t="s">
        <v>1024</v>
      </c>
      <c r="AM256" s="40" t="s">
        <v>1325</v>
      </c>
      <c r="AN256" s="39" t="str">
        <f>データ!N256</f>
        <v>-</v>
      </c>
      <c r="AO256" s="10" t="s">
        <v>1113</v>
      </c>
      <c r="AP256" s="39" t="str">
        <f>データ!O256</f>
        <v>　</v>
      </c>
      <c r="AQ256" s="41" t="s">
        <v>1024</v>
      </c>
      <c r="AR256" s="40" t="s">
        <v>1324</v>
      </c>
      <c r="AS256" s="39" t="str">
        <f>データ!P256</f>
        <v>ポイントライズ／真</v>
      </c>
      <c r="AT256" s="10" t="s">
        <v>1113</v>
      </c>
      <c r="AU256" s="39" t="str">
        <f>データ!Q256</f>
        <v>獲得する騎士団戦スコアが中アップ(バトル3回)</v>
      </c>
      <c r="AV256" s="10" t="s">
        <v>1024</v>
      </c>
      <c r="AW256" s="40" t="s">
        <v>1324</v>
      </c>
      <c r="AX256" s="39" t="str">
        <f>データ!R256</f>
        <v>-</v>
      </c>
      <c r="AY256" s="10" t="s">
        <v>1113</v>
      </c>
      <c r="AZ256" s="39" t="str">
        <f>データ!S256</f>
        <v>　</v>
      </c>
      <c r="BA256" s="41" t="s">
        <v>1024</v>
      </c>
      <c r="BB256" s="40" t="s">
        <v>1319</v>
      </c>
      <c r="BC256" s="39" t="str">
        <f>データ!T256</f>
        <v>-</v>
      </c>
      <c r="BD256" s="41" t="s">
        <v>1024</v>
      </c>
      <c r="BE256" s="40" t="s">
        <v>1320</v>
      </c>
      <c r="BF256" s="39" t="str">
        <f>データ!U256</f>
        <v>-</v>
      </c>
      <c r="BG256" s="41" t="s">
        <v>1024</v>
      </c>
      <c r="BH256" s="40" t="s">
        <v>1319</v>
      </c>
      <c r="BI256" s="39" t="str">
        <f>データ!V256</f>
        <v>第6回統一報酬</v>
      </c>
      <c r="BJ256" s="41" t="s">
        <v>1024</v>
      </c>
      <c r="BK256" s="10" t="s">
        <v>1019</v>
      </c>
    </row>
    <row r="257" spans="1:63" x14ac:dyDescent="0.15">
      <c r="A257" s="10" t="s">
        <v>1016</v>
      </c>
      <c r="B257" s="10" t="s">
        <v>1454</v>
      </c>
      <c r="C257" s="38" t="str">
        <f>"./images/thumbnail/"&amp;データ!B257&amp;".jpg"</f>
        <v>./images/thumbnail/1450.jpg</v>
      </c>
      <c r="D257" s="38" t="s">
        <v>1455</v>
      </c>
      <c r="E257" s="38" t="str">
        <f>"./images/thumbnail/"&amp;データ!B257&amp;".jpg"</f>
        <v>./images/thumbnail/1450.jpg</v>
      </c>
      <c r="F257" s="38" t="s">
        <v>1116</v>
      </c>
      <c r="G257" s="38" t="s">
        <v>1319</v>
      </c>
      <c r="H257" s="38" t="str">
        <f>データ!C257</f>
        <v>セウェルス</v>
      </c>
      <c r="I257" s="38" t="s">
        <v>1024</v>
      </c>
      <c r="J257" s="38" t="s">
        <v>1320</v>
      </c>
      <c r="K257" s="38" t="str">
        <f>データ!D257</f>
        <v>SSR</v>
      </c>
      <c r="L257" s="38" t="s">
        <v>1024</v>
      </c>
      <c r="M257" s="38" t="s">
        <v>1321</v>
      </c>
      <c r="N257" s="38">
        <f>データ!E257</f>
        <v>13</v>
      </c>
      <c r="O257" s="38" t="s">
        <v>1024</v>
      </c>
      <c r="P257" s="38" t="s">
        <v>1319</v>
      </c>
      <c r="Q257" s="38" t="str">
        <f>データ!F257</f>
        <v>打</v>
      </c>
      <c r="R257" s="38" t="s">
        <v>1024</v>
      </c>
      <c r="S257" s="38" t="s">
        <v>1319</v>
      </c>
      <c r="T257" s="39">
        <f>データ!G257</f>
        <v>19664</v>
      </c>
      <c r="U257" s="40" t="s">
        <v>1024</v>
      </c>
      <c r="V257" s="40" t="s">
        <v>1319</v>
      </c>
      <c r="W257" s="39">
        <f>データ!H257</f>
        <v>6143</v>
      </c>
      <c r="X257" s="40" t="s">
        <v>1024</v>
      </c>
      <c r="Y257" s="40" t="s">
        <v>1319</v>
      </c>
      <c r="Z257" s="39">
        <f>データ!I257</f>
        <v>6989</v>
      </c>
      <c r="AA257" s="40" t="s">
        <v>1024</v>
      </c>
      <c r="AB257" s="40" t="s">
        <v>1322</v>
      </c>
      <c r="AC257" s="39" t="str">
        <f>データ!J257</f>
        <v>A-</v>
      </c>
      <c r="AD257" s="38" t="s">
        <v>1024</v>
      </c>
      <c r="AE257" s="40" t="s">
        <v>1323</v>
      </c>
      <c r="AF257" s="39">
        <f>データ!K257</f>
        <v>32796</v>
      </c>
      <c r="AG257" s="40" t="s">
        <v>1024</v>
      </c>
      <c r="AH257" s="40" t="s">
        <v>1324</v>
      </c>
      <c r="AI257" s="39" t="str">
        <f>データ!L257</f>
        <v>紫打の聖護</v>
      </c>
      <c r="AJ257" s="10" t="s">
        <v>1113</v>
      </c>
      <c r="AK257" s="39" t="str">
        <f>データ!M257</f>
        <v>味方打属性の防御力をUP[大]</v>
      </c>
      <c r="AL257" s="10" t="s">
        <v>1024</v>
      </c>
      <c r="AM257" s="40" t="s">
        <v>1325</v>
      </c>
      <c r="AN257" s="39" t="str">
        <f>データ!N257</f>
        <v>-</v>
      </c>
      <c r="AO257" s="10" t="s">
        <v>1113</v>
      </c>
      <c r="AP257" s="39" t="str">
        <f>データ!O257</f>
        <v>　</v>
      </c>
      <c r="AQ257" s="41" t="s">
        <v>1024</v>
      </c>
      <c r="AR257" s="40" t="s">
        <v>1324</v>
      </c>
      <c r="AS257" s="39" t="str">
        <f>データ!P257</f>
        <v>ポイントライズ／真</v>
      </c>
      <c r="AT257" s="10" t="s">
        <v>1113</v>
      </c>
      <c r="AU257" s="39" t="str">
        <f>データ!Q257</f>
        <v>獲得する騎士団戦スコアが中アップ(バトル3回)</v>
      </c>
      <c r="AV257" s="10" t="s">
        <v>1024</v>
      </c>
      <c r="AW257" s="40" t="s">
        <v>1324</v>
      </c>
      <c r="AX257" s="39" t="str">
        <f>データ!R257</f>
        <v>-</v>
      </c>
      <c r="AY257" s="10" t="s">
        <v>1113</v>
      </c>
      <c r="AZ257" s="39" t="str">
        <f>データ!S257</f>
        <v>　</v>
      </c>
      <c r="BA257" s="41" t="s">
        <v>1024</v>
      </c>
      <c r="BB257" s="40" t="s">
        <v>1319</v>
      </c>
      <c r="BC257" s="39" t="str">
        <f>データ!T257</f>
        <v>-</v>
      </c>
      <c r="BD257" s="41" t="s">
        <v>1024</v>
      </c>
      <c r="BE257" s="40" t="s">
        <v>1320</v>
      </c>
      <c r="BF257" s="39" t="str">
        <f>データ!U257</f>
        <v>-</v>
      </c>
      <c r="BG257" s="41" t="s">
        <v>1024</v>
      </c>
      <c r="BH257" s="40" t="s">
        <v>1319</v>
      </c>
      <c r="BI257" s="39" t="str">
        <f>データ!V257</f>
        <v>第6回統一報酬</v>
      </c>
      <c r="BJ257" s="41" t="s">
        <v>1024</v>
      </c>
      <c r="BK257" s="10" t="s">
        <v>1019</v>
      </c>
    </row>
    <row r="258" spans="1:63" x14ac:dyDescent="0.15">
      <c r="A258" s="10" t="s">
        <v>1016</v>
      </c>
      <c r="B258" s="10" t="s">
        <v>1454</v>
      </c>
      <c r="C258" s="38" t="str">
        <f>"./images/thumbnail/"&amp;データ!B258&amp;".jpg"</f>
        <v>./images/thumbnail/1451.jpg</v>
      </c>
      <c r="D258" s="38" t="s">
        <v>1455</v>
      </c>
      <c r="E258" s="38" t="str">
        <f>"./images/thumbnail/"&amp;データ!B258&amp;".jpg"</f>
        <v>./images/thumbnail/1451.jpg</v>
      </c>
      <c r="F258" s="38" t="s">
        <v>1116</v>
      </c>
      <c r="G258" s="38" t="s">
        <v>1319</v>
      </c>
      <c r="H258" s="38" t="str">
        <f>データ!C258</f>
        <v>セウェルス</v>
      </c>
      <c r="I258" s="38" t="s">
        <v>1024</v>
      </c>
      <c r="J258" s="38" t="s">
        <v>1320</v>
      </c>
      <c r="K258" s="38" t="str">
        <f>データ!D258</f>
        <v>UR</v>
      </c>
      <c r="L258" s="38" t="s">
        <v>1024</v>
      </c>
      <c r="M258" s="38" t="s">
        <v>1321</v>
      </c>
      <c r="N258" s="38">
        <f>データ!E258</f>
        <v>14</v>
      </c>
      <c r="O258" s="38" t="s">
        <v>1024</v>
      </c>
      <c r="P258" s="38" t="s">
        <v>1319</v>
      </c>
      <c r="Q258" s="38" t="str">
        <f>データ!F258</f>
        <v>打</v>
      </c>
      <c r="R258" s="38" t="s">
        <v>1024</v>
      </c>
      <c r="S258" s="38" t="s">
        <v>1319</v>
      </c>
      <c r="T258" s="39">
        <f>データ!G258</f>
        <v>22251</v>
      </c>
      <c r="U258" s="40" t="s">
        <v>1024</v>
      </c>
      <c r="V258" s="40" t="s">
        <v>1319</v>
      </c>
      <c r="W258" s="39">
        <f>データ!H258</f>
        <v>7017</v>
      </c>
      <c r="X258" s="40" t="s">
        <v>1024</v>
      </c>
      <c r="Y258" s="40" t="s">
        <v>1319</v>
      </c>
      <c r="Z258" s="39">
        <f>データ!I258</f>
        <v>8197</v>
      </c>
      <c r="AA258" s="40" t="s">
        <v>1024</v>
      </c>
      <c r="AB258" s="40" t="s">
        <v>1322</v>
      </c>
      <c r="AC258" s="39" t="str">
        <f>データ!J258</f>
        <v>A+</v>
      </c>
      <c r="AD258" s="38" t="s">
        <v>1024</v>
      </c>
      <c r="AE258" s="40" t="s">
        <v>1323</v>
      </c>
      <c r="AF258" s="39">
        <f>データ!K258</f>
        <v>37465</v>
      </c>
      <c r="AG258" s="40" t="s">
        <v>1024</v>
      </c>
      <c r="AH258" s="40" t="s">
        <v>1324</v>
      </c>
      <c r="AI258" s="39" t="str">
        <f>データ!L258</f>
        <v>紫打の神護</v>
      </c>
      <c r="AJ258" s="10" t="s">
        <v>1113</v>
      </c>
      <c r="AK258" s="39" t="str">
        <f>データ!M258</f>
        <v>味方打属性の防御力をUP[特大]</v>
      </c>
      <c r="AL258" s="10" t="s">
        <v>1024</v>
      </c>
      <c r="AM258" s="40" t="s">
        <v>1325</v>
      </c>
      <c r="AN258" s="39" t="str">
        <f>データ!N258</f>
        <v>-</v>
      </c>
      <c r="AO258" s="10" t="s">
        <v>1113</v>
      </c>
      <c r="AP258" s="39" t="str">
        <f>データ!O258</f>
        <v>　</v>
      </c>
      <c r="AQ258" s="41" t="s">
        <v>1024</v>
      </c>
      <c r="AR258" s="40" t="s">
        <v>1324</v>
      </c>
      <c r="AS258" s="39" t="str">
        <f>データ!P258</f>
        <v>ポイントライズ／絶</v>
      </c>
      <c r="AT258" s="10" t="s">
        <v>1113</v>
      </c>
      <c r="AU258" s="39" t="str">
        <f>データ!Q258</f>
        <v>獲得する騎士団戦スコアが大アップ(バトル3回)</v>
      </c>
      <c r="AV258" s="10" t="s">
        <v>1024</v>
      </c>
      <c r="AW258" s="40" t="s">
        <v>1324</v>
      </c>
      <c r="AX258" s="39" t="str">
        <f>データ!R258</f>
        <v>-</v>
      </c>
      <c r="AY258" s="10" t="s">
        <v>1113</v>
      </c>
      <c r="AZ258" s="39" t="str">
        <f>データ!S258</f>
        <v>　</v>
      </c>
      <c r="BA258" s="41" t="s">
        <v>1024</v>
      </c>
      <c r="BB258" s="40" t="s">
        <v>1319</v>
      </c>
      <c r="BC258" s="39" t="str">
        <f>データ!T258</f>
        <v>-</v>
      </c>
      <c r="BD258" s="41" t="s">
        <v>1024</v>
      </c>
      <c r="BE258" s="40" t="s">
        <v>1320</v>
      </c>
      <c r="BF258" s="39" t="str">
        <f>データ!U258</f>
        <v>-</v>
      </c>
      <c r="BG258" s="41" t="s">
        <v>1024</v>
      </c>
      <c r="BH258" s="40" t="s">
        <v>1319</v>
      </c>
      <c r="BI258" s="39" t="str">
        <f>データ!V258</f>
        <v>第6回統一報酬</v>
      </c>
      <c r="BJ258" s="41" t="s">
        <v>1024</v>
      </c>
      <c r="BK258" s="10" t="s">
        <v>1019</v>
      </c>
    </row>
    <row r="259" spans="1:63" x14ac:dyDescent="0.15">
      <c r="A259" s="10" t="s">
        <v>1016</v>
      </c>
      <c r="B259" s="10" t="s">
        <v>1454</v>
      </c>
      <c r="C259" s="38" t="str">
        <f>"./images/thumbnail/"&amp;データ!B259&amp;".jpg"</f>
        <v>./images/thumbnail/1453.jpg</v>
      </c>
      <c r="D259" s="38" t="s">
        <v>1455</v>
      </c>
      <c r="E259" s="38" t="str">
        <f>"./images/thumbnail/"&amp;データ!B259&amp;".jpg"</f>
        <v>./images/thumbnail/1453.jpg</v>
      </c>
      <c r="F259" s="38" t="s">
        <v>1116</v>
      </c>
      <c r="G259" s="38" t="s">
        <v>1319</v>
      </c>
      <c r="H259" s="38" t="str">
        <f>データ!C259</f>
        <v>リップス</v>
      </c>
      <c r="I259" s="38" t="s">
        <v>1024</v>
      </c>
      <c r="J259" s="38" t="s">
        <v>1320</v>
      </c>
      <c r="K259" s="38" t="str">
        <f>データ!D259</f>
        <v>SSR</v>
      </c>
      <c r="L259" s="38" t="s">
        <v>1024</v>
      </c>
      <c r="M259" s="38" t="s">
        <v>1321</v>
      </c>
      <c r="N259" s="38">
        <f>データ!E259</f>
        <v>13</v>
      </c>
      <c r="O259" s="38" t="s">
        <v>1024</v>
      </c>
      <c r="P259" s="38" t="s">
        <v>1319</v>
      </c>
      <c r="Q259" s="38" t="str">
        <f>データ!F259</f>
        <v>斬</v>
      </c>
      <c r="R259" s="38" t="s">
        <v>1024</v>
      </c>
      <c r="S259" s="38" t="s">
        <v>1319</v>
      </c>
      <c r="T259" s="39">
        <f>データ!G259</f>
        <v>18123</v>
      </c>
      <c r="U259" s="40" t="s">
        <v>1024</v>
      </c>
      <c r="V259" s="40" t="s">
        <v>1319</v>
      </c>
      <c r="W259" s="39">
        <f>データ!H259</f>
        <v>7073</v>
      </c>
      <c r="X259" s="40" t="s">
        <v>1024</v>
      </c>
      <c r="Y259" s="40" t="s">
        <v>1319</v>
      </c>
      <c r="Z259" s="39">
        <f>データ!I259</f>
        <v>5018</v>
      </c>
      <c r="AA259" s="40" t="s">
        <v>1024</v>
      </c>
      <c r="AB259" s="40" t="s">
        <v>1322</v>
      </c>
      <c r="AC259" s="39" t="str">
        <f>データ!J259</f>
        <v>A+</v>
      </c>
      <c r="AD259" s="38" t="s">
        <v>1024</v>
      </c>
      <c r="AE259" s="40" t="s">
        <v>1323</v>
      </c>
      <c r="AF259" s="39">
        <f>データ!K259</f>
        <v>30214</v>
      </c>
      <c r="AG259" s="40" t="s">
        <v>1024</v>
      </c>
      <c r="AH259" s="40" t="s">
        <v>1324</v>
      </c>
      <c r="AI259" s="39" t="str">
        <f>データ!L259</f>
        <v>対紫の薙風／絶</v>
      </c>
      <c r="AJ259" s="10" t="s">
        <v>1113</v>
      </c>
      <c r="AK259" s="39" t="str">
        <f>データ!M259</f>
        <v>打に強く遠に弱い横一列攻撃[大]</v>
      </c>
      <c r="AL259" s="10" t="s">
        <v>1024</v>
      </c>
      <c r="AM259" s="40" t="s">
        <v>1325</v>
      </c>
      <c r="AN259" s="39" t="str">
        <f>データ!N259</f>
        <v>-</v>
      </c>
      <c r="AO259" s="10" t="s">
        <v>1113</v>
      </c>
      <c r="AP259" s="39" t="str">
        <f>データ!O259</f>
        <v>　</v>
      </c>
      <c r="AQ259" s="41" t="s">
        <v>1024</v>
      </c>
      <c r="AR259" s="40" t="s">
        <v>1324</v>
      </c>
      <c r="AS259" s="39" t="str">
        <f>データ!P259</f>
        <v>ポイントライズ／真</v>
      </c>
      <c r="AT259" s="10" t="s">
        <v>1113</v>
      </c>
      <c r="AU259" s="39" t="str">
        <f>データ!Q259</f>
        <v>獲得する騎士団戦スコアが中アップ(バトル3回)</v>
      </c>
      <c r="AV259" s="10" t="s">
        <v>1024</v>
      </c>
      <c r="AW259" s="40" t="s">
        <v>1324</v>
      </c>
      <c r="AX259" s="39" t="str">
        <f>データ!R259</f>
        <v>-</v>
      </c>
      <c r="AY259" s="10" t="s">
        <v>1113</v>
      </c>
      <c r="AZ259" s="39" t="str">
        <f>データ!S259</f>
        <v>　</v>
      </c>
      <c r="BA259" s="41" t="s">
        <v>1024</v>
      </c>
      <c r="BB259" s="40" t="s">
        <v>1319</v>
      </c>
      <c r="BC259" s="39" t="str">
        <f>データ!T259</f>
        <v>-</v>
      </c>
      <c r="BD259" s="41" t="s">
        <v>1024</v>
      </c>
      <c r="BE259" s="40" t="s">
        <v>1320</v>
      </c>
      <c r="BF259" s="39" t="str">
        <f>データ!U259</f>
        <v>-</v>
      </c>
      <c r="BG259" s="41" t="s">
        <v>1024</v>
      </c>
      <c r="BH259" s="40" t="s">
        <v>1319</v>
      </c>
      <c r="BI259" s="39" t="str">
        <f>データ!V259</f>
        <v>常設</v>
      </c>
      <c r="BJ259" s="41" t="s">
        <v>1024</v>
      </c>
      <c r="BK259" s="10" t="s">
        <v>1019</v>
      </c>
    </row>
    <row r="260" spans="1:63" x14ac:dyDescent="0.15">
      <c r="A260" s="10" t="s">
        <v>1016</v>
      </c>
      <c r="B260" s="10" t="s">
        <v>1454</v>
      </c>
      <c r="C260" s="38" t="str">
        <f>"./images/thumbnail/"&amp;データ!B260&amp;".jpg"</f>
        <v>./images/thumbnail/1455.jpg</v>
      </c>
      <c r="D260" s="38" t="s">
        <v>1455</v>
      </c>
      <c r="E260" s="38" t="str">
        <f>"./images/thumbnail/"&amp;データ!B260&amp;".jpg"</f>
        <v>./images/thumbnail/1455.jpg</v>
      </c>
      <c r="F260" s="38" t="s">
        <v>1116</v>
      </c>
      <c r="G260" s="38" t="s">
        <v>1319</v>
      </c>
      <c r="H260" s="38" t="str">
        <f>データ!C260</f>
        <v>ペネロペ</v>
      </c>
      <c r="I260" s="38" t="s">
        <v>1024</v>
      </c>
      <c r="J260" s="38" t="s">
        <v>1320</v>
      </c>
      <c r="K260" s="38" t="str">
        <f>データ!D260</f>
        <v>SSR</v>
      </c>
      <c r="L260" s="38" t="s">
        <v>1024</v>
      </c>
      <c r="M260" s="38" t="s">
        <v>1321</v>
      </c>
      <c r="N260" s="38">
        <f>データ!E260</f>
        <v>13</v>
      </c>
      <c r="O260" s="38" t="s">
        <v>1024</v>
      </c>
      <c r="P260" s="38" t="s">
        <v>1319</v>
      </c>
      <c r="Q260" s="38" t="str">
        <f>データ!F260</f>
        <v>突</v>
      </c>
      <c r="R260" s="38" t="s">
        <v>1024</v>
      </c>
      <c r="S260" s="38" t="s">
        <v>1319</v>
      </c>
      <c r="T260" s="39">
        <f>データ!G260</f>
        <v>18640</v>
      </c>
      <c r="U260" s="40" t="s">
        <v>1024</v>
      </c>
      <c r="V260" s="40" t="s">
        <v>1319</v>
      </c>
      <c r="W260" s="39">
        <f>データ!H260</f>
        <v>5548</v>
      </c>
      <c r="X260" s="40" t="s">
        <v>1024</v>
      </c>
      <c r="Y260" s="40" t="s">
        <v>1319</v>
      </c>
      <c r="Z260" s="39">
        <f>データ!I260</f>
        <v>5749</v>
      </c>
      <c r="AA260" s="40" t="s">
        <v>1024</v>
      </c>
      <c r="AB260" s="40" t="s">
        <v>1322</v>
      </c>
      <c r="AC260" s="39" t="str">
        <f>データ!J260</f>
        <v>SS-</v>
      </c>
      <c r="AD260" s="38" t="s">
        <v>1024</v>
      </c>
      <c r="AE260" s="40" t="s">
        <v>1323</v>
      </c>
      <c r="AF260" s="39">
        <f>データ!K260</f>
        <v>29937</v>
      </c>
      <c r="AG260" s="40" t="s">
        <v>1024</v>
      </c>
      <c r="AH260" s="40" t="s">
        <v>1324</v>
      </c>
      <c r="AI260" s="39" t="str">
        <f>データ!L260</f>
        <v>覇道消滅／光芒</v>
      </c>
      <c r="AJ260" s="10" t="s">
        <v>1113</v>
      </c>
      <c r="AK260" s="39" t="str">
        <f>データ!M260</f>
        <v>敵全体の攻撃力をDOWN[大]</v>
      </c>
      <c r="AL260" s="10" t="s">
        <v>1024</v>
      </c>
      <c r="AM260" s="40" t="s">
        <v>1325</v>
      </c>
      <c r="AN260" s="39" t="str">
        <f>データ!N260</f>
        <v>-</v>
      </c>
      <c r="AO260" s="10" t="s">
        <v>1113</v>
      </c>
      <c r="AP260" s="39" t="str">
        <f>データ!O260</f>
        <v>　</v>
      </c>
      <c r="AQ260" s="41" t="s">
        <v>1024</v>
      </c>
      <c r="AR260" s="40" t="s">
        <v>1324</v>
      </c>
      <c r="AS260" s="39" t="str">
        <f>データ!P260</f>
        <v>アクセラレーター／真</v>
      </c>
      <c r="AT260" s="10" t="s">
        <v>1113</v>
      </c>
      <c r="AU260" s="39" t="str">
        <f>データ!Q260</f>
        <v>パーティ全体の速度が中UP(3分間)</v>
      </c>
      <c r="AV260" s="10" t="s">
        <v>1024</v>
      </c>
      <c r="AW260" s="40" t="s">
        <v>1324</v>
      </c>
      <c r="AX260" s="39" t="str">
        <f>データ!R260</f>
        <v>-</v>
      </c>
      <c r="AY260" s="10" t="s">
        <v>1113</v>
      </c>
      <c r="AZ260" s="39" t="str">
        <f>データ!S260</f>
        <v>　</v>
      </c>
      <c r="BA260" s="41" t="s">
        <v>1024</v>
      </c>
      <c r="BB260" s="40" t="s">
        <v>1319</v>
      </c>
      <c r="BC260" s="39" t="str">
        <f>データ!T260</f>
        <v>-</v>
      </c>
      <c r="BD260" s="41" t="s">
        <v>1024</v>
      </c>
      <c r="BE260" s="40" t="s">
        <v>1320</v>
      </c>
      <c r="BF260" s="39" t="str">
        <f>データ!U260</f>
        <v>-</v>
      </c>
      <c r="BG260" s="41" t="s">
        <v>1024</v>
      </c>
      <c r="BH260" s="40" t="s">
        <v>1319</v>
      </c>
      <c r="BI260" s="39" t="str">
        <f>データ!V260</f>
        <v>常設</v>
      </c>
      <c r="BJ260" s="41" t="s">
        <v>1024</v>
      </c>
      <c r="BK260" s="10" t="s">
        <v>1019</v>
      </c>
    </row>
    <row r="261" spans="1:63" x14ac:dyDescent="0.15">
      <c r="A261" s="10" t="s">
        <v>1016</v>
      </c>
      <c r="B261" s="10" t="s">
        <v>1454</v>
      </c>
      <c r="C261" s="38" t="str">
        <f>"./images/thumbnail/"&amp;データ!B261&amp;".jpg"</f>
        <v>./images/thumbnail/1457.jpg</v>
      </c>
      <c r="D261" s="38" t="s">
        <v>1455</v>
      </c>
      <c r="E261" s="38" t="str">
        <f>"./images/thumbnail/"&amp;データ!B261&amp;".jpg"</f>
        <v>./images/thumbnail/1457.jpg</v>
      </c>
      <c r="F261" s="38" t="s">
        <v>1116</v>
      </c>
      <c r="G261" s="38" t="s">
        <v>1319</v>
      </c>
      <c r="H261" s="38" t="str">
        <f>データ!C261</f>
        <v>ベルトラン</v>
      </c>
      <c r="I261" s="38" t="s">
        <v>1024</v>
      </c>
      <c r="J261" s="38" t="s">
        <v>1320</v>
      </c>
      <c r="K261" s="38" t="str">
        <f>データ!D261</f>
        <v>UR</v>
      </c>
      <c r="L261" s="38" t="s">
        <v>1024</v>
      </c>
      <c r="M261" s="38" t="s">
        <v>1321</v>
      </c>
      <c r="N261" s="38">
        <f>データ!E261</f>
        <v>14</v>
      </c>
      <c r="O261" s="38" t="s">
        <v>1024</v>
      </c>
      <c r="P261" s="38" t="s">
        <v>1319</v>
      </c>
      <c r="Q261" s="38" t="str">
        <f>データ!F261</f>
        <v>打</v>
      </c>
      <c r="R261" s="38" t="s">
        <v>1024</v>
      </c>
      <c r="S261" s="38" t="s">
        <v>1319</v>
      </c>
      <c r="T261" s="39">
        <f>データ!G261</f>
        <v>20684</v>
      </c>
      <c r="U261" s="40" t="s">
        <v>1024</v>
      </c>
      <c r="V261" s="40" t="s">
        <v>1319</v>
      </c>
      <c r="W261" s="39">
        <f>データ!H261</f>
        <v>6790</v>
      </c>
      <c r="X261" s="40" t="s">
        <v>1024</v>
      </c>
      <c r="Y261" s="40" t="s">
        <v>1319</v>
      </c>
      <c r="Z261" s="39">
        <f>データ!I261</f>
        <v>9088</v>
      </c>
      <c r="AA261" s="40" t="s">
        <v>1024</v>
      </c>
      <c r="AB261" s="40" t="s">
        <v>1322</v>
      </c>
      <c r="AC261" s="39" t="str">
        <f>データ!J261</f>
        <v>A+</v>
      </c>
      <c r="AD261" s="38" t="s">
        <v>1024</v>
      </c>
      <c r="AE261" s="40" t="s">
        <v>1323</v>
      </c>
      <c r="AF261" s="39">
        <f>データ!K261</f>
        <v>36562</v>
      </c>
      <c r="AG261" s="40" t="s">
        <v>1024</v>
      </c>
      <c r="AH261" s="40" t="s">
        <v>1324</v>
      </c>
      <c r="AI261" s="39" t="str">
        <f>データ!L261</f>
        <v>幻光の交叉線／煌</v>
      </c>
      <c r="AJ261" s="10" t="s">
        <v>1113</v>
      </c>
      <c r="AK261" s="39" t="str">
        <f>データ!M261</f>
        <v>X字型に攻撃[特大]</v>
      </c>
      <c r="AL261" s="10" t="s">
        <v>1024</v>
      </c>
      <c r="AM261" s="40" t="s">
        <v>1325</v>
      </c>
      <c r="AN261" s="39" t="str">
        <f>データ!N261</f>
        <v>-</v>
      </c>
      <c r="AO261" s="10" t="s">
        <v>1113</v>
      </c>
      <c r="AP261" s="39" t="str">
        <f>データ!O261</f>
        <v>　</v>
      </c>
      <c r="AQ261" s="41" t="s">
        <v>1024</v>
      </c>
      <c r="AR261" s="40" t="s">
        <v>1324</v>
      </c>
      <c r="AS261" s="39" t="str">
        <f>データ!P261</f>
        <v>アサルト／絶</v>
      </c>
      <c r="AT261" s="10" t="s">
        <v>1113</v>
      </c>
      <c r="AU261" s="39" t="str">
        <f>データ!Q261</f>
        <v>パーティ全体の攻撃力が大UP(3分間)</v>
      </c>
      <c r="AV261" s="10" t="s">
        <v>1024</v>
      </c>
      <c r="AW261" s="40" t="s">
        <v>1324</v>
      </c>
      <c r="AX261" s="39" t="str">
        <f>データ!R261</f>
        <v>-</v>
      </c>
      <c r="AY261" s="10" t="s">
        <v>1113</v>
      </c>
      <c r="AZ261" s="39" t="str">
        <f>データ!S261</f>
        <v>　</v>
      </c>
      <c r="BA261" s="41" t="s">
        <v>1024</v>
      </c>
      <c r="BB261" s="40" t="s">
        <v>1319</v>
      </c>
      <c r="BC261" s="39" t="str">
        <f>データ!T261</f>
        <v>-</v>
      </c>
      <c r="BD261" s="41" t="s">
        <v>1024</v>
      </c>
      <c r="BE261" s="40" t="s">
        <v>1320</v>
      </c>
      <c r="BF261" s="39" t="str">
        <f>データ!U261</f>
        <v>-</v>
      </c>
      <c r="BG261" s="41" t="s">
        <v>1024</v>
      </c>
      <c r="BH261" s="40" t="s">
        <v>1319</v>
      </c>
      <c r="BI261" s="39" t="str">
        <f>データ!V261</f>
        <v>常設</v>
      </c>
      <c r="BJ261" s="41" t="s">
        <v>1024</v>
      </c>
      <c r="BK261" s="10" t="s">
        <v>1019</v>
      </c>
    </row>
    <row r="262" spans="1:63" x14ac:dyDescent="0.15">
      <c r="A262" s="10" t="s">
        <v>1016</v>
      </c>
      <c r="B262" s="10" t="s">
        <v>1454</v>
      </c>
      <c r="C262" s="38" t="str">
        <f>"./images/thumbnail/"&amp;データ!B262&amp;".jpg"</f>
        <v>./images/thumbnail/1457_a.jpg</v>
      </c>
      <c r="D262" s="38" t="s">
        <v>1455</v>
      </c>
      <c r="E262" s="38" t="str">
        <f>"./images/thumbnail/"&amp;データ!B262&amp;".jpg"</f>
        <v>./images/thumbnail/1457_a.jpg</v>
      </c>
      <c r="F262" s="38" t="s">
        <v>1116</v>
      </c>
      <c r="G262" s="38" t="s">
        <v>1319</v>
      </c>
      <c r="H262" s="38" t="str">
        <f>データ!C262</f>
        <v>ベルトラン</v>
      </c>
      <c r="I262" s="38" t="s">
        <v>1024</v>
      </c>
      <c r="J262" s="38" t="s">
        <v>1320</v>
      </c>
      <c r="K262" s="38" t="str">
        <f>データ!D262</f>
        <v>UR</v>
      </c>
      <c r="L262" s="38" t="s">
        <v>1024</v>
      </c>
      <c r="M262" s="38" t="s">
        <v>1321</v>
      </c>
      <c r="N262" s="38">
        <f>データ!E262</f>
        <v>14</v>
      </c>
      <c r="O262" s="38" t="s">
        <v>1024</v>
      </c>
      <c r="P262" s="38" t="s">
        <v>1319</v>
      </c>
      <c r="Q262" s="38" t="str">
        <f>データ!F262</f>
        <v>打</v>
      </c>
      <c r="R262" s="38" t="s">
        <v>1024</v>
      </c>
      <c r="S262" s="38" t="s">
        <v>1319</v>
      </c>
      <c r="T262" s="39">
        <f>データ!G262</f>
        <v>29168</v>
      </c>
      <c r="U262" s="40" t="s">
        <v>1024</v>
      </c>
      <c r="V262" s="40" t="s">
        <v>1319</v>
      </c>
      <c r="W262" s="39">
        <f>データ!H262</f>
        <v>9037</v>
      </c>
      <c r="X262" s="40" t="s">
        <v>1024</v>
      </c>
      <c r="Y262" s="40" t="s">
        <v>1319</v>
      </c>
      <c r="Z262" s="39">
        <f>データ!I262</f>
        <v>12721</v>
      </c>
      <c r="AA262" s="40" t="s">
        <v>1024</v>
      </c>
      <c r="AB262" s="40" t="s">
        <v>1322</v>
      </c>
      <c r="AC262" s="39" t="str">
        <f>データ!J262</f>
        <v>SS-</v>
      </c>
      <c r="AD262" s="38" t="s">
        <v>1024</v>
      </c>
      <c r="AE262" s="40" t="s">
        <v>1323</v>
      </c>
      <c r="AF262" s="39">
        <f>データ!K262</f>
        <v>50926</v>
      </c>
      <c r="AG262" s="40" t="s">
        <v>1024</v>
      </c>
      <c r="AH262" s="40" t="s">
        <v>1324</v>
      </c>
      <c r="AI262" s="39" t="str">
        <f>データ!L262</f>
        <v>幻光の交叉線／煌＋</v>
      </c>
      <c r="AJ262" s="10" t="s">
        <v>1113</v>
      </c>
      <c r="AK262" s="39" t="str">
        <f>データ!M262</f>
        <v>X字型に攻撃[超極大]</v>
      </c>
      <c r="AL262" s="10" t="s">
        <v>1024</v>
      </c>
      <c r="AM262" s="40" t="s">
        <v>1325</v>
      </c>
      <c r="AN262" s="39" t="str">
        <f>データ!N262</f>
        <v>-</v>
      </c>
      <c r="AO262" s="10" t="s">
        <v>1113</v>
      </c>
      <c r="AP262" s="39" t="str">
        <f>データ!O262</f>
        <v>　</v>
      </c>
      <c r="AQ262" s="41" t="s">
        <v>1024</v>
      </c>
      <c r="AR262" s="40" t="s">
        <v>1324</v>
      </c>
      <c r="AS262" s="39" t="str">
        <f>データ!P262</f>
        <v>アサルト／絶</v>
      </c>
      <c r="AT262" s="10" t="s">
        <v>1113</v>
      </c>
      <c r="AU262" s="39" t="str">
        <f>データ!Q262</f>
        <v>パーティ全体の攻撃力が大UP(3分間)</v>
      </c>
      <c r="AV262" s="10" t="s">
        <v>1024</v>
      </c>
      <c r="AW262" s="40" t="s">
        <v>1324</v>
      </c>
      <c r="AX262" s="39" t="str">
        <f>データ!R262</f>
        <v>-</v>
      </c>
      <c r="AY262" s="10" t="s">
        <v>1113</v>
      </c>
      <c r="AZ262" s="39" t="str">
        <f>データ!S262</f>
        <v>　</v>
      </c>
      <c r="BA262" s="41" t="s">
        <v>1024</v>
      </c>
      <c r="BB262" s="40" t="s">
        <v>1319</v>
      </c>
      <c r="BC262" s="39" t="str">
        <f>データ!T262</f>
        <v>-</v>
      </c>
      <c r="BD262" s="41" t="s">
        <v>1024</v>
      </c>
      <c r="BE262" s="40" t="s">
        <v>1320</v>
      </c>
      <c r="BF262" s="39" t="str">
        <f>データ!U262</f>
        <v>-</v>
      </c>
      <c r="BG262" s="41" t="s">
        <v>1024</v>
      </c>
      <c r="BH262" s="40" t="s">
        <v>1319</v>
      </c>
      <c r="BI262" s="39" t="str">
        <f>データ!V262</f>
        <v>精鋭化ユニット</v>
      </c>
      <c r="BJ262" s="41" t="s">
        <v>1024</v>
      </c>
      <c r="BK262" s="10" t="s">
        <v>1019</v>
      </c>
    </row>
    <row r="263" spans="1:63" x14ac:dyDescent="0.15">
      <c r="A263" s="10" t="s">
        <v>1016</v>
      </c>
      <c r="B263" s="10" t="s">
        <v>1454</v>
      </c>
      <c r="C263" s="38" t="str">
        <f>"./images/thumbnail/"&amp;データ!B263&amp;".jpg"</f>
        <v>./images/thumbnail/1457_b.jpg</v>
      </c>
      <c r="D263" s="38" t="s">
        <v>1455</v>
      </c>
      <c r="E263" s="38" t="str">
        <f>"./images/thumbnail/"&amp;データ!B263&amp;".jpg"</f>
        <v>./images/thumbnail/1457_b.jpg</v>
      </c>
      <c r="F263" s="38" t="s">
        <v>1116</v>
      </c>
      <c r="G263" s="38" t="s">
        <v>1319</v>
      </c>
      <c r="H263" s="38" t="str">
        <f>データ!C263</f>
        <v>ベルトラン</v>
      </c>
      <c r="I263" s="38" t="s">
        <v>1024</v>
      </c>
      <c r="J263" s="38" t="s">
        <v>1320</v>
      </c>
      <c r="K263" s="38" t="str">
        <f>データ!D263</f>
        <v>UR</v>
      </c>
      <c r="L263" s="38" t="s">
        <v>1024</v>
      </c>
      <c r="M263" s="38" t="s">
        <v>1321</v>
      </c>
      <c r="N263" s="38">
        <f>データ!E263</f>
        <v>14</v>
      </c>
      <c r="O263" s="38" t="s">
        <v>1024</v>
      </c>
      <c r="P263" s="38" t="s">
        <v>1319</v>
      </c>
      <c r="Q263" s="38" t="str">
        <f>データ!F263</f>
        <v>打</v>
      </c>
      <c r="R263" s="38" t="s">
        <v>1024</v>
      </c>
      <c r="S263" s="38" t="s">
        <v>1319</v>
      </c>
      <c r="T263" s="39">
        <f>データ!G263</f>
        <v>28139</v>
      </c>
      <c r="U263" s="40" t="s">
        <v>1024</v>
      </c>
      <c r="V263" s="40" t="s">
        <v>1319</v>
      </c>
      <c r="W263" s="39">
        <f>データ!H263</f>
        <v>8701</v>
      </c>
      <c r="X263" s="40" t="s">
        <v>1024</v>
      </c>
      <c r="Y263" s="40" t="s">
        <v>1319</v>
      </c>
      <c r="Z263" s="39">
        <f>データ!I263</f>
        <v>12259</v>
      </c>
      <c r="AA263" s="40" t="s">
        <v>1024</v>
      </c>
      <c r="AB263" s="40" t="s">
        <v>1322</v>
      </c>
      <c r="AC263" s="39" t="str">
        <f>データ!J263</f>
        <v>SS-</v>
      </c>
      <c r="AD263" s="38" t="s">
        <v>1024</v>
      </c>
      <c r="AE263" s="40" t="s">
        <v>1323</v>
      </c>
      <c r="AF263" s="39">
        <f>データ!K263</f>
        <v>49099</v>
      </c>
      <c r="AG263" s="40" t="s">
        <v>1024</v>
      </c>
      <c r="AH263" s="40" t="s">
        <v>1324</v>
      </c>
      <c r="AI263" s="39" t="str">
        <f>データ!L263</f>
        <v>幻光の交叉線／煌</v>
      </c>
      <c r="AJ263" s="10" t="s">
        <v>1113</v>
      </c>
      <c r="AK263" s="39" t="str">
        <f>データ!M263</f>
        <v>X字型に攻撃[特大]</v>
      </c>
      <c r="AL263" s="38" t="s">
        <v>1024</v>
      </c>
      <c r="AM263" s="40" t="s">
        <v>1325</v>
      </c>
      <c r="AN263" s="39" t="str">
        <f>データ!N263</f>
        <v>-</v>
      </c>
      <c r="AO263" s="10" t="s">
        <v>1113</v>
      </c>
      <c r="AP263" s="39" t="str">
        <f>データ!O263</f>
        <v>　</v>
      </c>
      <c r="AQ263" s="41" t="s">
        <v>1024</v>
      </c>
      <c r="AR263" s="40" t="s">
        <v>1324</v>
      </c>
      <c r="AS263" s="39" t="str">
        <f>データ!P263</f>
        <v>激憤の斧闘神</v>
      </c>
      <c r="AT263" s="10" t="s">
        <v>1113</v>
      </c>
      <c r="AU263" s="39" t="str">
        <f>データ!Q263</f>
        <v>パーティ全体の攻撃力が極大UP(5分間)</v>
      </c>
      <c r="AV263" s="10" t="s">
        <v>1024</v>
      </c>
      <c r="AW263" s="40" t="s">
        <v>1324</v>
      </c>
      <c r="AX263" s="39" t="str">
        <f>データ!R263</f>
        <v>-</v>
      </c>
      <c r="AY263" s="10" t="s">
        <v>1113</v>
      </c>
      <c r="AZ263" s="39" t="str">
        <f>データ!S263</f>
        <v>　</v>
      </c>
      <c r="BA263" s="41" t="s">
        <v>1024</v>
      </c>
      <c r="BB263" s="40" t="s">
        <v>1319</v>
      </c>
      <c r="BC263" s="39" t="str">
        <f>データ!T263</f>
        <v>-</v>
      </c>
      <c r="BD263" s="41" t="s">
        <v>1024</v>
      </c>
      <c r="BE263" s="40" t="s">
        <v>1320</v>
      </c>
      <c r="BF263" s="39" t="str">
        <f>データ!U263</f>
        <v>-</v>
      </c>
      <c r="BG263" s="41" t="s">
        <v>1024</v>
      </c>
      <c r="BH263" s="40" t="s">
        <v>1319</v>
      </c>
      <c r="BI263" s="39" t="str">
        <f>データ!V263</f>
        <v>精鋭化ユニット</v>
      </c>
      <c r="BJ263" s="41" t="s">
        <v>1024</v>
      </c>
      <c r="BK263" s="10" t="s">
        <v>1019</v>
      </c>
    </row>
    <row r="264" spans="1:63" x14ac:dyDescent="0.15">
      <c r="A264" s="10" t="s">
        <v>1016</v>
      </c>
      <c r="B264" s="10" t="s">
        <v>1454</v>
      </c>
      <c r="C264" s="38" t="str">
        <f>"./images/thumbnail/"&amp;データ!B264&amp;".jpg"</f>
        <v>./images/thumbnail/1459.jpg</v>
      </c>
      <c r="D264" s="38" t="s">
        <v>1455</v>
      </c>
      <c r="E264" s="38" t="str">
        <f>"./images/thumbnail/"&amp;データ!B264&amp;".jpg"</f>
        <v>./images/thumbnail/1459.jpg</v>
      </c>
      <c r="F264" s="38" t="s">
        <v>1116</v>
      </c>
      <c r="G264" s="38" t="s">
        <v>1319</v>
      </c>
      <c r="H264" s="38" t="str">
        <f>データ!C264</f>
        <v>デルトロ</v>
      </c>
      <c r="I264" s="38" t="s">
        <v>1024</v>
      </c>
      <c r="J264" s="38" t="s">
        <v>1320</v>
      </c>
      <c r="K264" s="38" t="str">
        <f>データ!D264</f>
        <v>SSR</v>
      </c>
      <c r="L264" s="38" t="s">
        <v>1024</v>
      </c>
      <c r="M264" s="38" t="s">
        <v>1321</v>
      </c>
      <c r="N264" s="38">
        <f>データ!E264</f>
        <v>13</v>
      </c>
      <c r="O264" s="38" t="s">
        <v>1024</v>
      </c>
      <c r="P264" s="38" t="s">
        <v>1319</v>
      </c>
      <c r="Q264" s="38" t="str">
        <f>データ!F264</f>
        <v>遠</v>
      </c>
      <c r="R264" s="38" t="s">
        <v>1024</v>
      </c>
      <c r="S264" s="38" t="s">
        <v>1319</v>
      </c>
      <c r="T264" s="39">
        <f>データ!G264</f>
        <v>18885</v>
      </c>
      <c r="U264" s="40" t="s">
        <v>1024</v>
      </c>
      <c r="V264" s="40" t="s">
        <v>1319</v>
      </c>
      <c r="W264" s="39">
        <f>データ!H264</f>
        <v>6590</v>
      </c>
      <c r="X264" s="40" t="s">
        <v>1024</v>
      </c>
      <c r="Y264" s="40" t="s">
        <v>1319</v>
      </c>
      <c r="Z264" s="39">
        <f>データ!I264</f>
        <v>4301</v>
      </c>
      <c r="AA264" s="40" t="s">
        <v>1024</v>
      </c>
      <c r="AB264" s="40" t="s">
        <v>1322</v>
      </c>
      <c r="AC264" s="39" t="str">
        <f>データ!J264</f>
        <v>S-</v>
      </c>
      <c r="AD264" s="38" t="s">
        <v>1024</v>
      </c>
      <c r="AE264" s="40" t="s">
        <v>1323</v>
      </c>
      <c r="AF264" s="39">
        <f>データ!K264</f>
        <v>29776</v>
      </c>
      <c r="AG264" s="40" t="s">
        <v>1024</v>
      </c>
      <c r="AH264" s="40" t="s">
        <v>1324</v>
      </c>
      <c r="AI264" s="39" t="str">
        <f>データ!L264</f>
        <v>浄化の一撃</v>
      </c>
      <c r="AJ264" s="10" t="s">
        <v>1113</v>
      </c>
      <c r="AK264" s="39" t="str">
        <f>データ!M264</f>
        <v>単体固定ﾀﾞﾒｰｼﾞ+ｽﾃｰﾀｽDOWN解除</v>
      </c>
      <c r="AL264" s="10" t="s">
        <v>1024</v>
      </c>
      <c r="AM264" s="40" t="s">
        <v>1325</v>
      </c>
      <c r="AN264" s="39" t="str">
        <f>データ!N264</f>
        <v>-</v>
      </c>
      <c r="AO264" s="10" t="s">
        <v>1113</v>
      </c>
      <c r="AP264" s="39" t="str">
        <f>データ!O264</f>
        <v>　</v>
      </c>
      <c r="AQ264" s="41" t="s">
        <v>1024</v>
      </c>
      <c r="AR264" s="40" t="s">
        <v>1324</v>
      </c>
      <c r="AS264" s="39" t="str">
        <f>データ!P264</f>
        <v>オラクル／真</v>
      </c>
      <c r="AT264" s="10" t="s">
        <v>1113</v>
      </c>
      <c r="AU264" s="39" t="str">
        <f>データ!Q264</f>
        <v>パーティ全体のスキル発動率が中UP(3分間)</v>
      </c>
      <c r="AV264" s="10" t="s">
        <v>1024</v>
      </c>
      <c r="AW264" s="40" t="s">
        <v>1324</v>
      </c>
      <c r="AX264" s="39" t="str">
        <f>データ!R264</f>
        <v>-</v>
      </c>
      <c r="AY264" s="10" t="s">
        <v>1113</v>
      </c>
      <c r="AZ264" s="39" t="str">
        <f>データ!S264</f>
        <v>　</v>
      </c>
      <c r="BA264" s="41" t="s">
        <v>1024</v>
      </c>
      <c r="BB264" s="40" t="s">
        <v>1319</v>
      </c>
      <c r="BC264" s="39" t="str">
        <f>データ!T264</f>
        <v>-</v>
      </c>
      <c r="BD264" s="41" t="s">
        <v>1024</v>
      </c>
      <c r="BE264" s="40" t="s">
        <v>1320</v>
      </c>
      <c r="BF264" s="39" t="str">
        <f>データ!U264</f>
        <v>-</v>
      </c>
      <c r="BG264" s="41" t="s">
        <v>1024</v>
      </c>
      <c r="BH264" s="40" t="s">
        <v>1319</v>
      </c>
      <c r="BI264" s="39" t="str">
        <f>データ!V264</f>
        <v>常設</v>
      </c>
      <c r="BJ264" s="41" t="s">
        <v>1024</v>
      </c>
      <c r="BK264" s="10" t="s">
        <v>1019</v>
      </c>
    </row>
    <row r="265" spans="1:63" x14ac:dyDescent="0.15">
      <c r="A265" s="10" t="s">
        <v>1016</v>
      </c>
      <c r="B265" s="10" t="s">
        <v>1454</v>
      </c>
      <c r="C265" s="38" t="str">
        <f>"./images/thumbnail/"&amp;データ!B265&amp;".jpg"</f>
        <v>./images/thumbnail/1464.jpg</v>
      </c>
      <c r="D265" s="38" t="s">
        <v>1455</v>
      </c>
      <c r="E265" s="38" t="str">
        <f>"./images/thumbnail/"&amp;データ!B265&amp;".jpg"</f>
        <v>./images/thumbnail/1464.jpg</v>
      </c>
      <c r="F265" s="38" t="s">
        <v>1116</v>
      </c>
      <c r="G265" s="38" t="s">
        <v>1319</v>
      </c>
      <c r="H265" s="38" t="str">
        <f>データ!C265</f>
        <v>ブラン</v>
      </c>
      <c r="I265" s="38" t="s">
        <v>1024</v>
      </c>
      <c r="J265" s="38" t="s">
        <v>1320</v>
      </c>
      <c r="K265" s="38" t="str">
        <f>データ!D265</f>
        <v>SSR</v>
      </c>
      <c r="L265" s="38" t="s">
        <v>1024</v>
      </c>
      <c r="M265" s="38" t="s">
        <v>1321</v>
      </c>
      <c r="N265" s="38">
        <f>データ!E265</f>
        <v>13</v>
      </c>
      <c r="O265" s="38" t="s">
        <v>1024</v>
      </c>
      <c r="P265" s="38" t="s">
        <v>1319</v>
      </c>
      <c r="Q265" s="38" t="str">
        <f>データ!F265</f>
        <v>斬</v>
      </c>
      <c r="R265" s="38" t="s">
        <v>1024</v>
      </c>
      <c r="S265" s="38" t="s">
        <v>1319</v>
      </c>
      <c r="T265" s="39">
        <f>データ!G265</f>
        <v>17485</v>
      </c>
      <c r="U265" s="40" t="s">
        <v>1024</v>
      </c>
      <c r="V265" s="40" t="s">
        <v>1319</v>
      </c>
      <c r="W265" s="39">
        <f>データ!H265</f>
        <v>6824</v>
      </c>
      <c r="X265" s="40" t="s">
        <v>1024</v>
      </c>
      <c r="Y265" s="40" t="s">
        <v>1319</v>
      </c>
      <c r="Z265" s="39">
        <f>データ!I265</f>
        <v>5071</v>
      </c>
      <c r="AA265" s="40" t="s">
        <v>1024</v>
      </c>
      <c r="AB265" s="40" t="s">
        <v>1322</v>
      </c>
      <c r="AC265" s="39" t="str">
        <f>データ!J265</f>
        <v>A+</v>
      </c>
      <c r="AD265" s="38" t="s">
        <v>1024</v>
      </c>
      <c r="AE265" s="40" t="s">
        <v>1323</v>
      </c>
      <c r="AF265" s="39">
        <f>データ!K265</f>
        <v>29380</v>
      </c>
      <c r="AG265" s="40" t="s">
        <v>1024</v>
      </c>
      <c r="AH265" s="40" t="s">
        <v>1324</v>
      </c>
      <c r="AI265" s="39" t="str">
        <f>データ!L265</f>
        <v>地雷幻の一撃／絶</v>
      </c>
      <c r="AJ265" s="10" t="s">
        <v>1113</v>
      </c>
      <c r="AK265" s="39" t="str">
        <f>データ!M265</f>
        <v>敵単体攻撃[大]自分の防御力UP[大]</v>
      </c>
      <c r="AL265" s="10" t="s">
        <v>1024</v>
      </c>
      <c r="AM265" s="40" t="s">
        <v>1325</v>
      </c>
      <c r="AN265" s="39" t="str">
        <f>データ!N265</f>
        <v>-</v>
      </c>
      <c r="AO265" s="10" t="s">
        <v>1113</v>
      </c>
      <c r="AP265" s="39" t="str">
        <f>データ!O265</f>
        <v>　</v>
      </c>
      <c r="AQ265" s="41" t="s">
        <v>1024</v>
      </c>
      <c r="AR265" s="40" t="s">
        <v>1324</v>
      </c>
      <c r="AS265" s="39" t="str">
        <f>データ!P265</f>
        <v>ジャガーノート／真</v>
      </c>
      <c r="AT265" s="10" t="s">
        <v>1113</v>
      </c>
      <c r="AU265" s="39" t="str">
        <f>データ!Q265</f>
        <v>バトルで敵を全滅するとBPが中回復(バトル3回)</v>
      </c>
      <c r="AV265" s="10" t="s">
        <v>1024</v>
      </c>
      <c r="AW265" s="40" t="s">
        <v>1324</v>
      </c>
      <c r="AX265" s="39" t="str">
        <f>データ!R265</f>
        <v>-</v>
      </c>
      <c r="AY265" s="10" t="s">
        <v>1113</v>
      </c>
      <c r="AZ265" s="39" t="str">
        <f>データ!S265</f>
        <v>　</v>
      </c>
      <c r="BA265" s="41" t="s">
        <v>1024</v>
      </c>
      <c r="BB265" s="40" t="s">
        <v>1319</v>
      </c>
      <c r="BC265" s="39" t="str">
        <f>データ!T265</f>
        <v>-</v>
      </c>
      <c r="BD265" s="41" t="s">
        <v>1024</v>
      </c>
      <c r="BE265" s="40" t="s">
        <v>1320</v>
      </c>
      <c r="BF265" s="39" t="str">
        <f>データ!U265</f>
        <v>-</v>
      </c>
      <c r="BG265" s="41" t="s">
        <v>1024</v>
      </c>
      <c r="BH265" s="40" t="s">
        <v>1319</v>
      </c>
      <c r="BI265" s="39" t="str">
        <f>データ!V265</f>
        <v>魔女の追憶イベ</v>
      </c>
      <c r="BJ265" s="41" t="s">
        <v>1024</v>
      </c>
      <c r="BK265" s="10" t="s">
        <v>1019</v>
      </c>
    </row>
    <row r="266" spans="1:63" x14ac:dyDescent="0.15">
      <c r="A266" s="10" t="s">
        <v>1016</v>
      </c>
      <c r="B266" s="10" t="s">
        <v>1454</v>
      </c>
      <c r="C266" s="38" t="str">
        <f>"./images/thumbnail/"&amp;データ!B266&amp;".jpg"</f>
        <v>./images/thumbnail/1466.jpg</v>
      </c>
      <c r="D266" s="38" t="s">
        <v>1455</v>
      </c>
      <c r="E266" s="38" t="str">
        <f>"./images/thumbnail/"&amp;データ!B266&amp;".jpg"</f>
        <v>./images/thumbnail/1466.jpg</v>
      </c>
      <c r="F266" s="38" t="s">
        <v>1116</v>
      </c>
      <c r="G266" s="38" t="s">
        <v>1319</v>
      </c>
      <c r="H266" s="38" t="str">
        <f>データ!C266</f>
        <v>ティッキー</v>
      </c>
      <c r="I266" s="38" t="s">
        <v>1024</v>
      </c>
      <c r="J266" s="38" t="s">
        <v>1320</v>
      </c>
      <c r="K266" s="38" t="str">
        <f>データ!D266</f>
        <v>SSR</v>
      </c>
      <c r="L266" s="38" t="s">
        <v>1024</v>
      </c>
      <c r="M266" s="38" t="s">
        <v>1321</v>
      </c>
      <c r="N266" s="38">
        <f>データ!E266</f>
        <v>13</v>
      </c>
      <c r="O266" s="38" t="s">
        <v>1024</v>
      </c>
      <c r="P266" s="38" t="s">
        <v>1319</v>
      </c>
      <c r="Q266" s="38" t="str">
        <f>データ!F266</f>
        <v>突</v>
      </c>
      <c r="R266" s="38" t="s">
        <v>1024</v>
      </c>
      <c r="S266" s="38" t="s">
        <v>1319</v>
      </c>
      <c r="T266" s="39">
        <f>データ!G266</f>
        <v>16597</v>
      </c>
      <c r="U266" s="40" t="s">
        <v>1024</v>
      </c>
      <c r="V266" s="40" t="s">
        <v>1319</v>
      </c>
      <c r="W266" s="39">
        <f>データ!H266</f>
        <v>5828</v>
      </c>
      <c r="X266" s="40" t="s">
        <v>1024</v>
      </c>
      <c r="Y266" s="40" t="s">
        <v>1319</v>
      </c>
      <c r="Z266" s="39">
        <f>データ!I266</f>
        <v>5787</v>
      </c>
      <c r="AA266" s="40" t="s">
        <v>1024</v>
      </c>
      <c r="AB266" s="40" t="s">
        <v>1322</v>
      </c>
      <c r="AC266" s="39" t="str">
        <f>データ!J266</f>
        <v>SS-</v>
      </c>
      <c r="AD266" s="38" t="s">
        <v>1024</v>
      </c>
      <c r="AE266" s="40" t="s">
        <v>1323</v>
      </c>
      <c r="AF266" s="39">
        <f>データ!K266</f>
        <v>28212</v>
      </c>
      <c r="AG266" s="40" t="s">
        <v>1024</v>
      </c>
      <c r="AH266" s="40" t="s">
        <v>1324</v>
      </c>
      <c r="AI266" s="39" t="str">
        <f>データ!L266</f>
        <v>破天の四連撃／真</v>
      </c>
      <c r="AJ266" s="10" t="s">
        <v>1113</v>
      </c>
      <c r="AK266" s="39" t="str">
        <f>データ!M266</f>
        <v>ランダムで4連固定ダメージ[中]</v>
      </c>
      <c r="AL266" s="10" t="s">
        <v>1024</v>
      </c>
      <c r="AM266" s="40" t="s">
        <v>1325</v>
      </c>
      <c r="AN266" s="39" t="str">
        <f>データ!N266</f>
        <v>-</v>
      </c>
      <c r="AO266" s="10" t="s">
        <v>1113</v>
      </c>
      <c r="AP266" s="39" t="str">
        <f>データ!O266</f>
        <v>　</v>
      </c>
      <c r="AQ266" s="41" t="s">
        <v>1024</v>
      </c>
      <c r="AR266" s="40" t="s">
        <v>1324</v>
      </c>
      <c r="AS266" s="39" t="str">
        <f>データ!P266</f>
        <v>リザレクション／真</v>
      </c>
      <c r="AT266" s="10" t="s">
        <v>1113</v>
      </c>
      <c r="AU266" s="39" t="str">
        <f>データ!Q266</f>
        <v>中確率でパーティ全員を復帰(全滅時のみ使用可)</v>
      </c>
      <c r="AV266" s="10" t="s">
        <v>1024</v>
      </c>
      <c r="AW266" s="40" t="s">
        <v>1324</v>
      </c>
      <c r="AX266" s="39" t="str">
        <f>データ!R266</f>
        <v>-</v>
      </c>
      <c r="AY266" s="10" t="s">
        <v>1113</v>
      </c>
      <c r="AZ266" s="39" t="str">
        <f>データ!S266</f>
        <v>　</v>
      </c>
      <c r="BA266" s="41" t="s">
        <v>1024</v>
      </c>
      <c r="BB266" s="40" t="s">
        <v>1319</v>
      </c>
      <c r="BC266" s="39" t="str">
        <f>データ!T266</f>
        <v>-</v>
      </c>
      <c r="BD266" s="41" t="s">
        <v>1024</v>
      </c>
      <c r="BE266" s="40" t="s">
        <v>1320</v>
      </c>
      <c r="BF266" s="39" t="str">
        <f>データ!U266</f>
        <v>-</v>
      </c>
      <c r="BG266" s="41" t="s">
        <v>1024</v>
      </c>
      <c r="BH266" s="40" t="s">
        <v>1319</v>
      </c>
      <c r="BI266" s="39" t="str">
        <f>データ!V266</f>
        <v>メダル</v>
      </c>
      <c r="BJ266" s="41" t="s">
        <v>1024</v>
      </c>
      <c r="BK266" s="10" t="s">
        <v>1019</v>
      </c>
    </row>
    <row r="267" spans="1:63" x14ac:dyDescent="0.15">
      <c r="A267" s="10" t="s">
        <v>1016</v>
      </c>
      <c r="B267" s="10" t="s">
        <v>1454</v>
      </c>
      <c r="C267" s="38" t="str">
        <f>"./images/thumbnail/"&amp;データ!B267&amp;".jpg"</f>
        <v>./images/thumbnail/1468.jpg</v>
      </c>
      <c r="D267" s="38" t="s">
        <v>1455</v>
      </c>
      <c r="E267" s="38" t="str">
        <f>"./images/thumbnail/"&amp;データ!B267&amp;".jpg"</f>
        <v>./images/thumbnail/1468.jpg</v>
      </c>
      <c r="F267" s="38" t="s">
        <v>1116</v>
      </c>
      <c r="G267" s="38" t="s">
        <v>1319</v>
      </c>
      <c r="H267" s="38" t="str">
        <f>データ!C267</f>
        <v>ルギス</v>
      </c>
      <c r="I267" s="38" t="s">
        <v>1024</v>
      </c>
      <c r="J267" s="38" t="s">
        <v>1320</v>
      </c>
      <c r="K267" s="38" t="str">
        <f>データ!D267</f>
        <v>UR</v>
      </c>
      <c r="L267" s="38" t="s">
        <v>1024</v>
      </c>
      <c r="M267" s="38" t="s">
        <v>1321</v>
      </c>
      <c r="N267" s="38">
        <f>データ!E267</f>
        <v>14</v>
      </c>
      <c r="O267" s="38" t="s">
        <v>1024</v>
      </c>
      <c r="P267" s="38" t="s">
        <v>1319</v>
      </c>
      <c r="Q267" s="38" t="str">
        <f>データ!F267</f>
        <v>斬</v>
      </c>
      <c r="R267" s="38" t="s">
        <v>1024</v>
      </c>
      <c r="S267" s="38" t="s">
        <v>1319</v>
      </c>
      <c r="T267" s="39">
        <f>データ!G267</f>
        <v>17359</v>
      </c>
      <c r="U267" s="40" t="s">
        <v>1024</v>
      </c>
      <c r="V267" s="40" t="s">
        <v>1319</v>
      </c>
      <c r="W267" s="39">
        <f>データ!H267</f>
        <v>7981</v>
      </c>
      <c r="X267" s="40" t="s">
        <v>1024</v>
      </c>
      <c r="Y267" s="40" t="s">
        <v>1319</v>
      </c>
      <c r="Z267" s="39">
        <f>データ!I267</f>
        <v>6292</v>
      </c>
      <c r="AA267" s="40" t="s">
        <v>1024</v>
      </c>
      <c r="AB267" s="40" t="s">
        <v>1322</v>
      </c>
      <c r="AC267" s="39" t="str">
        <f>データ!J267</f>
        <v>S</v>
      </c>
      <c r="AD267" s="38" t="s">
        <v>1024</v>
      </c>
      <c r="AE267" s="40" t="s">
        <v>1323</v>
      </c>
      <c r="AF267" s="39">
        <f>データ!K267</f>
        <v>31632</v>
      </c>
      <c r="AG267" s="40" t="s">
        <v>1024</v>
      </c>
      <c r="AH267" s="40" t="s">
        <v>1324</v>
      </c>
      <c r="AI267" s="39" t="str">
        <f>データ!L267</f>
        <v>孤狼絶吼</v>
      </c>
      <c r="AJ267" s="10" t="s">
        <v>1113</v>
      </c>
      <c r="AK267" s="39" t="str">
        <f>データ!M267</f>
        <v>X字型攻撃[特大]自分の攻撃力UP[特大]</v>
      </c>
      <c r="AL267" s="10" t="s">
        <v>1024</v>
      </c>
      <c r="AM267" s="40" t="s">
        <v>1325</v>
      </c>
      <c r="AN267" s="39" t="str">
        <f>データ!N267</f>
        <v>-</v>
      </c>
      <c r="AO267" s="10" t="s">
        <v>1113</v>
      </c>
      <c r="AP267" s="39" t="str">
        <f>データ!O267</f>
        <v>　</v>
      </c>
      <c r="AQ267" s="41" t="s">
        <v>1024</v>
      </c>
      <c r="AR267" s="40" t="s">
        <v>1324</v>
      </c>
      <c r="AS267" s="39" t="str">
        <f>データ!P267</f>
        <v>エース／絶</v>
      </c>
      <c r="AT267" s="10" t="s">
        <v>1113</v>
      </c>
      <c r="AU267" s="39" t="str">
        <f>データ!Q267</f>
        <v>パーティ全体の攻・防が大UP(3分間)</v>
      </c>
      <c r="AV267" s="10" t="s">
        <v>1024</v>
      </c>
      <c r="AW267" s="40" t="s">
        <v>1324</v>
      </c>
      <c r="AX267" s="39" t="str">
        <f>データ!R267</f>
        <v>-</v>
      </c>
      <c r="AY267" s="10" t="s">
        <v>1113</v>
      </c>
      <c r="AZ267" s="39" t="str">
        <f>データ!S267</f>
        <v>　</v>
      </c>
      <c r="BA267" s="41" t="s">
        <v>1024</v>
      </c>
      <c r="BB267" s="40" t="s">
        <v>1319</v>
      </c>
      <c r="BC267" s="39" t="str">
        <f>データ!T267</f>
        <v>-</v>
      </c>
      <c r="BD267" s="41" t="s">
        <v>1024</v>
      </c>
      <c r="BE267" s="40" t="s">
        <v>1320</v>
      </c>
      <c r="BF267" s="39" t="str">
        <f>データ!U267</f>
        <v>-</v>
      </c>
      <c r="BG267" s="41" t="s">
        <v>1024</v>
      </c>
      <c r="BH267" s="40" t="s">
        <v>1319</v>
      </c>
      <c r="BI267" s="39" t="str">
        <f>データ!V267</f>
        <v>常設</v>
      </c>
      <c r="BJ267" s="41" t="s">
        <v>1024</v>
      </c>
      <c r="BK267" s="10" t="s">
        <v>1019</v>
      </c>
    </row>
    <row r="268" spans="1:63" x14ac:dyDescent="0.15">
      <c r="A268" s="10" t="s">
        <v>1016</v>
      </c>
      <c r="B268" s="10" t="s">
        <v>1454</v>
      </c>
      <c r="C268" s="38" t="str">
        <f>"./images/thumbnail/"&amp;データ!B268&amp;".jpg"</f>
        <v>./images/thumbnail/1470.jpg</v>
      </c>
      <c r="D268" s="38" t="s">
        <v>1455</v>
      </c>
      <c r="E268" s="38" t="str">
        <f>"./images/thumbnail/"&amp;データ!B268&amp;".jpg"</f>
        <v>./images/thumbnail/1470.jpg</v>
      </c>
      <c r="F268" s="38" t="s">
        <v>1116</v>
      </c>
      <c r="G268" s="38" t="s">
        <v>1319</v>
      </c>
      <c r="H268" s="38" t="str">
        <f>データ!C268</f>
        <v>テレジア</v>
      </c>
      <c r="I268" s="38" t="s">
        <v>1024</v>
      </c>
      <c r="J268" s="38" t="s">
        <v>1320</v>
      </c>
      <c r="K268" s="38" t="str">
        <f>データ!D268</f>
        <v>UR</v>
      </c>
      <c r="L268" s="38" t="s">
        <v>1024</v>
      </c>
      <c r="M268" s="38" t="s">
        <v>1321</v>
      </c>
      <c r="N268" s="38">
        <f>データ!E268</f>
        <v>14</v>
      </c>
      <c r="O268" s="38" t="s">
        <v>1024</v>
      </c>
      <c r="P268" s="38" t="s">
        <v>1319</v>
      </c>
      <c r="Q268" s="38" t="str">
        <f>データ!F268</f>
        <v>突</v>
      </c>
      <c r="R268" s="38" t="s">
        <v>1024</v>
      </c>
      <c r="S268" s="38" t="s">
        <v>1319</v>
      </c>
      <c r="T268" s="39">
        <f>データ!G268</f>
        <v>19292</v>
      </c>
      <c r="U268" s="40" t="s">
        <v>1024</v>
      </c>
      <c r="V268" s="40" t="s">
        <v>1319</v>
      </c>
      <c r="W268" s="39">
        <f>データ!H268</f>
        <v>5722</v>
      </c>
      <c r="X268" s="40" t="s">
        <v>1024</v>
      </c>
      <c r="Y268" s="40" t="s">
        <v>1319</v>
      </c>
      <c r="Z268" s="39">
        <f>データ!I268</f>
        <v>7207</v>
      </c>
      <c r="AA268" s="40" t="s">
        <v>1024</v>
      </c>
      <c r="AB268" s="40" t="s">
        <v>1322</v>
      </c>
      <c r="AC268" s="39" t="str">
        <f>データ!J268</f>
        <v>SS+</v>
      </c>
      <c r="AD268" s="38" t="s">
        <v>1024</v>
      </c>
      <c r="AE268" s="40" t="s">
        <v>1323</v>
      </c>
      <c r="AF268" s="39">
        <f>データ!K268</f>
        <v>32221</v>
      </c>
      <c r="AG268" s="40" t="s">
        <v>1024</v>
      </c>
      <c r="AH268" s="40" t="s">
        <v>1324</v>
      </c>
      <c r="AI268" s="39" t="str">
        <f>データ!L268</f>
        <v>覆滅の焔</v>
      </c>
      <c r="AJ268" s="10" t="s">
        <v>1113</v>
      </c>
      <c r="AK268" s="39" t="str">
        <f>データ!M268</f>
        <v>敵全体に攻撃[特大]</v>
      </c>
      <c r="AL268" s="10" t="s">
        <v>1024</v>
      </c>
      <c r="AM268" s="40" t="s">
        <v>1325</v>
      </c>
      <c r="AN268" s="39" t="str">
        <f>データ!N268</f>
        <v>-</v>
      </c>
      <c r="AO268" s="10" t="s">
        <v>1113</v>
      </c>
      <c r="AP268" s="39" t="str">
        <f>データ!O268</f>
        <v>　</v>
      </c>
      <c r="AQ268" s="41" t="s">
        <v>1024</v>
      </c>
      <c r="AR268" s="40" t="s">
        <v>1324</v>
      </c>
      <c r="AS268" s="39" t="str">
        <f>データ!P268</f>
        <v>オラクル／絶</v>
      </c>
      <c r="AT268" s="10" t="s">
        <v>1113</v>
      </c>
      <c r="AU268" s="39" t="str">
        <f>データ!Q268</f>
        <v>パーティ全体のスキル発動率が大UP(3分間)</v>
      </c>
      <c r="AV268" s="10" t="s">
        <v>1024</v>
      </c>
      <c r="AW268" s="40" t="s">
        <v>1324</v>
      </c>
      <c r="AX268" s="39" t="str">
        <f>データ!R268</f>
        <v>-</v>
      </c>
      <c r="AY268" s="10" t="s">
        <v>1113</v>
      </c>
      <c r="AZ268" s="39" t="str">
        <f>データ!S268</f>
        <v>　</v>
      </c>
      <c r="BA268" s="41" t="s">
        <v>1024</v>
      </c>
      <c r="BB268" s="40" t="s">
        <v>1319</v>
      </c>
      <c r="BC268" s="39" t="str">
        <f>データ!T268</f>
        <v>-</v>
      </c>
      <c r="BD268" s="41" t="s">
        <v>1024</v>
      </c>
      <c r="BE268" s="40" t="s">
        <v>1320</v>
      </c>
      <c r="BF268" s="39" t="str">
        <f>データ!U268</f>
        <v>-</v>
      </c>
      <c r="BG268" s="41" t="s">
        <v>1024</v>
      </c>
      <c r="BH268" s="40" t="s">
        <v>1319</v>
      </c>
      <c r="BI268" s="39" t="str">
        <f>データ!V268</f>
        <v>常設</v>
      </c>
      <c r="BJ268" s="41" t="s">
        <v>1024</v>
      </c>
      <c r="BK268" s="10" t="s">
        <v>1019</v>
      </c>
    </row>
    <row r="269" spans="1:63" x14ac:dyDescent="0.15">
      <c r="A269" s="10" t="s">
        <v>1016</v>
      </c>
      <c r="B269" s="10" t="s">
        <v>1454</v>
      </c>
      <c r="C269" s="38" t="str">
        <f>"./images/thumbnail/"&amp;データ!B269&amp;".jpg"</f>
        <v>./images/thumbnail/1472.jpg</v>
      </c>
      <c r="D269" s="38" t="s">
        <v>1455</v>
      </c>
      <c r="E269" s="38" t="str">
        <f>"./images/thumbnail/"&amp;データ!B269&amp;".jpg"</f>
        <v>./images/thumbnail/1472.jpg</v>
      </c>
      <c r="F269" s="38" t="s">
        <v>1116</v>
      </c>
      <c r="G269" s="38" t="s">
        <v>1319</v>
      </c>
      <c r="H269" s="38" t="str">
        <f>データ!C269</f>
        <v>ロイ</v>
      </c>
      <c r="I269" s="38" t="s">
        <v>1024</v>
      </c>
      <c r="J269" s="38" t="s">
        <v>1320</v>
      </c>
      <c r="K269" s="38" t="str">
        <f>データ!D269</f>
        <v>SSR</v>
      </c>
      <c r="L269" s="38" t="s">
        <v>1024</v>
      </c>
      <c r="M269" s="38" t="s">
        <v>1321</v>
      </c>
      <c r="N269" s="38">
        <f>データ!E269</f>
        <v>13</v>
      </c>
      <c r="O269" s="38" t="s">
        <v>1024</v>
      </c>
      <c r="P269" s="38" t="s">
        <v>1319</v>
      </c>
      <c r="Q269" s="38" t="str">
        <f>データ!F269</f>
        <v>遠</v>
      </c>
      <c r="R269" s="38" t="s">
        <v>1024</v>
      </c>
      <c r="S269" s="38" t="s">
        <v>1319</v>
      </c>
      <c r="T269" s="39">
        <f>データ!G269</f>
        <v>17251</v>
      </c>
      <c r="U269" s="40" t="s">
        <v>1024</v>
      </c>
      <c r="V269" s="40" t="s">
        <v>1319</v>
      </c>
      <c r="W269" s="39">
        <f>データ!H269</f>
        <v>6019</v>
      </c>
      <c r="X269" s="40" t="s">
        <v>1024</v>
      </c>
      <c r="Y269" s="40" t="s">
        <v>1319</v>
      </c>
      <c r="Z269" s="39">
        <f>データ!I269</f>
        <v>4955</v>
      </c>
      <c r="AA269" s="40" t="s">
        <v>1024</v>
      </c>
      <c r="AB269" s="40" t="s">
        <v>1322</v>
      </c>
      <c r="AC269" s="39" t="str">
        <f>データ!J269</f>
        <v>S-</v>
      </c>
      <c r="AD269" s="38" t="s">
        <v>1024</v>
      </c>
      <c r="AE269" s="40" t="s">
        <v>1323</v>
      </c>
      <c r="AF269" s="39">
        <f>データ!K269</f>
        <v>28225</v>
      </c>
      <c r="AG269" s="40" t="s">
        <v>1024</v>
      </c>
      <c r="AH269" s="40" t="s">
        <v>1324</v>
      </c>
      <c r="AI269" s="39" t="str">
        <f>データ!L269</f>
        <v xml:space="preserve">地幻射の五連撃 </v>
      </c>
      <c r="AJ269" s="10" t="s">
        <v>1113</v>
      </c>
      <c r="AK269" s="39" t="str">
        <f>データ!M269</f>
        <v>ランダムで5連続攻撃[小]自分の防御力UP[小]</v>
      </c>
      <c r="AL269" s="10" t="s">
        <v>1024</v>
      </c>
      <c r="AM269" s="40" t="s">
        <v>1325</v>
      </c>
      <c r="AN269" s="39" t="str">
        <f>データ!N269</f>
        <v>-</v>
      </c>
      <c r="AO269" s="10" t="s">
        <v>1113</v>
      </c>
      <c r="AP269" s="39" t="str">
        <f>データ!O269</f>
        <v>　</v>
      </c>
      <c r="AQ269" s="41" t="s">
        <v>1024</v>
      </c>
      <c r="AR269" s="40" t="s">
        <v>1324</v>
      </c>
      <c r="AS269" s="39" t="str">
        <f>データ!P269</f>
        <v>アサルトオーダー</v>
      </c>
      <c r="AT269" s="10" t="s">
        <v>1113</v>
      </c>
      <c r="AU269" s="39" t="str">
        <f>データ!Q269</f>
        <v>騎士団全体の攻撃力が小UP(3分間)</v>
      </c>
      <c r="AV269" s="10" t="s">
        <v>1024</v>
      </c>
      <c r="AW269" s="40" t="s">
        <v>1324</v>
      </c>
      <c r="AX269" s="39" t="str">
        <f>データ!R269</f>
        <v>-</v>
      </c>
      <c r="AY269" s="10" t="s">
        <v>1113</v>
      </c>
      <c r="AZ269" s="39" t="str">
        <f>データ!S269</f>
        <v>　</v>
      </c>
      <c r="BA269" s="41" t="s">
        <v>1024</v>
      </c>
      <c r="BB269" s="40" t="s">
        <v>1319</v>
      </c>
      <c r="BC269" s="39" t="str">
        <f>データ!T269</f>
        <v>-</v>
      </c>
      <c r="BD269" s="41" t="s">
        <v>1024</v>
      </c>
      <c r="BE269" s="40" t="s">
        <v>1320</v>
      </c>
      <c r="BF269" s="39" t="str">
        <f>データ!U269</f>
        <v>-</v>
      </c>
      <c r="BG269" s="41" t="s">
        <v>1024</v>
      </c>
      <c r="BH269" s="40" t="s">
        <v>1319</v>
      </c>
      <c r="BI269" s="39" t="str">
        <f>データ!V269</f>
        <v>常設</v>
      </c>
      <c r="BJ269" s="41" t="s">
        <v>1024</v>
      </c>
      <c r="BK269" s="10" t="s">
        <v>1019</v>
      </c>
    </row>
    <row r="270" spans="1:63" x14ac:dyDescent="0.15">
      <c r="A270" s="10" t="s">
        <v>1016</v>
      </c>
      <c r="B270" s="10" t="s">
        <v>1454</v>
      </c>
      <c r="C270" s="38" t="str">
        <f>"./images/thumbnail/"&amp;データ!B270&amp;".jpg"</f>
        <v>./images/thumbnail/1474.jpg</v>
      </c>
      <c r="D270" s="38" t="s">
        <v>1455</v>
      </c>
      <c r="E270" s="38" t="str">
        <f>"./images/thumbnail/"&amp;データ!B270&amp;".jpg"</f>
        <v>./images/thumbnail/1474.jpg</v>
      </c>
      <c r="F270" s="38" t="s">
        <v>1116</v>
      </c>
      <c r="G270" s="38" t="s">
        <v>1319</v>
      </c>
      <c r="H270" s="38" t="str">
        <f>データ!C270</f>
        <v>サリア</v>
      </c>
      <c r="I270" s="38" t="s">
        <v>1024</v>
      </c>
      <c r="J270" s="38" t="s">
        <v>1320</v>
      </c>
      <c r="K270" s="38" t="str">
        <f>データ!D270</f>
        <v>SSR</v>
      </c>
      <c r="L270" s="38" t="s">
        <v>1024</v>
      </c>
      <c r="M270" s="38" t="s">
        <v>1321</v>
      </c>
      <c r="N270" s="38">
        <f>データ!E270</f>
        <v>13</v>
      </c>
      <c r="O270" s="38" t="s">
        <v>1024</v>
      </c>
      <c r="P270" s="38" t="s">
        <v>1319</v>
      </c>
      <c r="Q270" s="38" t="str">
        <f>データ!F270</f>
        <v>遠</v>
      </c>
      <c r="R270" s="38" t="s">
        <v>1024</v>
      </c>
      <c r="S270" s="38" t="s">
        <v>1319</v>
      </c>
      <c r="T270" s="39">
        <f>データ!G270</f>
        <v>16463</v>
      </c>
      <c r="U270" s="40" t="s">
        <v>1024</v>
      </c>
      <c r="V270" s="40" t="s">
        <v>1319</v>
      </c>
      <c r="W270" s="39">
        <f>データ!H270</f>
        <v>6782</v>
      </c>
      <c r="X270" s="40" t="s">
        <v>1024</v>
      </c>
      <c r="Y270" s="40" t="s">
        <v>1319</v>
      </c>
      <c r="Z270" s="39">
        <f>データ!I270</f>
        <v>4635</v>
      </c>
      <c r="AA270" s="40" t="s">
        <v>1024</v>
      </c>
      <c r="AB270" s="40" t="s">
        <v>1322</v>
      </c>
      <c r="AC270" s="39" t="str">
        <f>データ!J270</f>
        <v>S-</v>
      </c>
      <c r="AD270" s="38" t="s">
        <v>1024</v>
      </c>
      <c r="AE270" s="40" t="s">
        <v>1323</v>
      </c>
      <c r="AF270" s="39">
        <f>データ!K270</f>
        <v>27880</v>
      </c>
      <c r="AG270" s="40" t="s">
        <v>1024</v>
      </c>
      <c r="AH270" s="40" t="s">
        <v>1324</v>
      </c>
      <c r="AI270" s="39" t="str">
        <f>データ!L270</f>
        <v>暗闇の言霊／絶</v>
      </c>
      <c r="AJ270" s="10" t="s">
        <v>1113</v>
      </c>
      <c r="AK270" s="39" t="str">
        <f>データ!M270</f>
        <v>一定確率で敵を暗闇状態にする[高確率]</v>
      </c>
      <c r="AL270" s="10" t="s">
        <v>1024</v>
      </c>
      <c r="AM270" s="40" t="s">
        <v>1325</v>
      </c>
      <c r="AN270" s="39" t="str">
        <f>データ!N270</f>
        <v>-</v>
      </c>
      <c r="AO270" s="10" t="s">
        <v>1113</v>
      </c>
      <c r="AP270" s="39" t="str">
        <f>データ!O270</f>
        <v>　</v>
      </c>
      <c r="AQ270" s="41" t="s">
        <v>1024</v>
      </c>
      <c r="AR270" s="40" t="s">
        <v>1324</v>
      </c>
      <c r="AS270" s="39" t="str">
        <f>データ!P270</f>
        <v>ステルス／真</v>
      </c>
      <c r="AT270" s="10" t="s">
        <v>1113</v>
      </c>
      <c r="AU270" s="39" t="str">
        <f>データ!Q270</f>
        <v>強襲CBの発生確率・強襲時獲得ポイント中UP(3回)</v>
      </c>
      <c r="AV270" s="10" t="s">
        <v>1024</v>
      </c>
      <c r="AW270" s="40" t="s">
        <v>1324</v>
      </c>
      <c r="AX270" s="39" t="str">
        <f>データ!R270</f>
        <v>-</v>
      </c>
      <c r="AY270" s="10" t="s">
        <v>1113</v>
      </c>
      <c r="AZ270" s="39" t="str">
        <f>データ!S270</f>
        <v>　</v>
      </c>
      <c r="BA270" s="41" t="s">
        <v>1024</v>
      </c>
      <c r="BB270" s="40" t="s">
        <v>1319</v>
      </c>
      <c r="BC270" s="39" t="str">
        <f>データ!T270</f>
        <v>-</v>
      </c>
      <c r="BD270" s="41" t="s">
        <v>1024</v>
      </c>
      <c r="BE270" s="40" t="s">
        <v>1320</v>
      </c>
      <c r="BF270" s="39" t="str">
        <f>データ!U270</f>
        <v>-</v>
      </c>
      <c r="BG270" s="41" t="s">
        <v>1024</v>
      </c>
      <c r="BH270" s="40" t="s">
        <v>1319</v>
      </c>
      <c r="BI270" s="39" t="str">
        <f>データ!V270</f>
        <v>常設</v>
      </c>
      <c r="BJ270" s="41" t="s">
        <v>1024</v>
      </c>
      <c r="BK270" s="10" t="s">
        <v>1019</v>
      </c>
    </row>
    <row r="271" spans="1:63" x14ac:dyDescent="0.15">
      <c r="A271" s="10" t="s">
        <v>1016</v>
      </c>
      <c r="B271" s="10" t="s">
        <v>1454</v>
      </c>
      <c r="C271" s="38" t="str">
        <f>"./images/thumbnail/"&amp;データ!B271&amp;".jpg"</f>
        <v>./images/thumbnail/1476.jpg</v>
      </c>
      <c r="D271" s="38" t="s">
        <v>1455</v>
      </c>
      <c r="E271" s="38" t="str">
        <f>"./images/thumbnail/"&amp;データ!B271&amp;".jpg"</f>
        <v>./images/thumbnail/1476.jpg</v>
      </c>
      <c r="F271" s="38" t="s">
        <v>1116</v>
      </c>
      <c r="G271" s="38" t="s">
        <v>1319</v>
      </c>
      <c r="H271" s="38" t="str">
        <f>データ!C271</f>
        <v>エルヴァ</v>
      </c>
      <c r="I271" s="38" t="s">
        <v>1024</v>
      </c>
      <c r="J271" s="38" t="s">
        <v>1320</v>
      </c>
      <c r="K271" s="38" t="str">
        <f>データ!D271</f>
        <v>SSR</v>
      </c>
      <c r="L271" s="38" t="s">
        <v>1024</v>
      </c>
      <c r="M271" s="38" t="s">
        <v>1321</v>
      </c>
      <c r="N271" s="38">
        <f>データ!E271</f>
        <v>13</v>
      </c>
      <c r="O271" s="38" t="s">
        <v>1024</v>
      </c>
      <c r="P271" s="38" t="s">
        <v>1319</v>
      </c>
      <c r="Q271" s="38" t="str">
        <f>データ!F271</f>
        <v>斬</v>
      </c>
      <c r="R271" s="38" t="s">
        <v>1024</v>
      </c>
      <c r="S271" s="38" t="s">
        <v>1319</v>
      </c>
      <c r="T271" s="39">
        <f>データ!G271</f>
        <v>15933</v>
      </c>
      <c r="U271" s="40" t="s">
        <v>1024</v>
      </c>
      <c r="V271" s="40" t="s">
        <v>1319</v>
      </c>
      <c r="W271" s="39">
        <f>データ!H271</f>
        <v>7326</v>
      </c>
      <c r="X271" s="40" t="s">
        <v>1024</v>
      </c>
      <c r="Y271" s="40" t="s">
        <v>1319</v>
      </c>
      <c r="Z271" s="39">
        <f>データ!I271</f>
        <v>5284</v>
      </c>
      <c r="AA271" s="40" t="s">
        <v>1024</v>
      </c>
      <c r="AB271" s="40" t="s">
        <v>1322</v>
      </c>
      <c r="AC271" s="39" t="str">
        <f>データ!J271</f>
        <v>A+</v>
      </c>
      <c r="AD271" s="38" t="s">
        <v>1024</v>
      </c>
      <c r="AE271" s="40" t="s">
        <v>1323</v>
      </c>
      <c r="AF271" s="39">
        <f>データ!K271</f>
        <v>28543</v>
      </c>
      <c r="AG271" s="40" t="s">
        <v>1024</v>
      </c>
      <c r="AH271" s="40" t="s">
        <v>1324</v>
      </c>
      <c r="AI271" s="39" t="str">
        <f>データ!L271</f>
        <v>猛毒の言霊／絶</v>
      </c>
      <c r="AJ271" s="10" t="s">
        <v>1113</v>
      </c>
      <c r="AK271" s="39" t="str">
        <f>データ!M271</f>
        <v>一定確率で敵を猛毒状態にする[高確率]</v>
      </c>
      <c r="AL271" s="10" t="s">
        <v>1024</v>
      </c>
      <c r="AM271" s="40" t="s">
        <v>1325</v>
      </c>
      <c r="AN271" s="39" t="str">
        <f>データ!N271</f>
        <v>-</v>
      </c>
      <c r="AO271" s="10" t="s">
        <v>1113</v>
      </c>
      <c r="AP271" s="39" t="str">
        <f>データ!O271</f>
        <v>　</v>
      </c>
      <c r="AQ271" s="41" t="s">
        <v>1024</v>
      </c>
      <c r="AR271" s="40" t="s">
        <v>1324</v>
      </c>
      <c r="AS271" s="39" t="str">
        <f>データ!P271</f>
        <v>カーズ</v>
      </c>
      <c r="AT271" s="10" t="s">
        <v>1113</v>
      </c>
      <c r="AU271" s="39" t="str">
        <f>データ!Q271</f>
        <v>対戦騎士団全体のスキル発動率が小DOWN(3分間)</v>
      </c>
      <c r="AV271" s="10" t="s">
        <v>1024</v>
      </c>
      <c r="AW271" s="40" t="s">
        <v>1324</v>
      </c>
      <c r="AX271" s="39" t="str">
        <f>データ!R271</f>
        <v>-</v>
      </c>
      <c r="AY271" s="10" t="s">
        <v>1113</v>
      </c>
      <c r="AZ271" s="39" t="str">
        <f>データ!S271</f>
        <v>　</v>
      </c>
      <c r="BA271" s="41" t="s">
        <v>1024</v>
      </c>
      <c r="BB271" s="40" t="s">
        <v>1319</v>
      </c>
      <c r="BC271" s="39" t="str">
        <f>データ!T271</f>
        <v>-</v>
      </c>
      <c r="BD271" s="41" t="s">
        <v>1024</v>
      </c>
      <c r="BE271" s="40" t="s">
        <v>1320</v>
      </c>
      <c r="BF271" s="39" t="str">
        <f>データ!U271</f>
        <v>-</v>
      </c>
      <c r="BG271" s="41" t="s">
        <v>1024</v>
      </c>
      <c r="BH271" s="40" t="s">
        <v>1319</v>
      </c>
      <c r="BI271" s="39" t="str">
        <f>データ!V271</f>
        <v>常設</v>
      </c>
      <c r="BJ271" s="41" t="s">
        <v>1024</v>
      </c>
      <c r="BK271" s="10" t="s">
        <v>1019</v>
      </c>
    </row>
    <row r="272" spans="1:63" x14ac:dyDescent="0.15">
      <c r="A272" s="10" t="s">
        <v>1016</v>
      </c>
      <c r="B272" s="10" t="s">
        <v>1454</v>
      </c>
      <c r="C272" s="38" t="str">
        <f>"./images/thumbnail/"&amp;データ!B272&amp;".jpg"</f>
        <v>./images/thumbnail/1478.jpg</v>
      </c>
      <c r="D272" s="38" t="s">
        <v>1455</v>
      </c>
      <c r="E272" s="38" t="str">
        <f>"./images/thumbnail/"&amp;データ!B272&amp;".jpg"</f>
        <v>./images/thumbnail/1478.jpg</v>
      </c>
      <c r="F272" s="38" t="s">
        <v>1116</v>
      </c>
      <c r="G272" s="38" t="s">
        <v>1319</v>
      </c>
      <c r="H272" s="38" t="str">
        <f>データ!C272</f>
        <v>カティア</v>
      </c>
      <c r="I272" s="38" t="s">
        <v>1024</v>
      </c>
      <c r="J272" s="38" t="s">
        <v>1320</v>
      </c>
      <c r="K272" s="38" t="str">
        <f>データ!D272</f>
        <v>SSR</v>
      </c>
      <c r="L272" s="38" t="s">
        <v>1024</v>
      </c>
      <c r="M272" s="38" t="s">
        <v>1321</v>
      </c>
      <c r="N272" s="38">
        <f>データ!E272</f>
        <v>13</v>
      </c>
      <c r="O272" s="38" t="s">
        <v>1024</v>
      </c>
      <c r="P272" s="38" t="s">
        <v>1319</v>
      </c>
      <c r="Q272" s="38" t="str">
        <f>データ!F272</f>
        <v>斬</v>
      </c>
      <c r="R272" s="38" t="s">
        <v>1024</v>
      </c>
      <c r="S272" s="38" t="s">
        <v>1319</v>
      </c>
      <c r="T272" s="39">
        <f>データ!G272</f>
        <v>16329</v>
      </c>
      <c r="U272" s="40" t="s">
        <v>1024</v>
      </c>
      <c r="V272" s="40" t="s">
        <v>1319</v>
      </c>
      <c r="W272" s="39">
        <f>データ!H272</f>
        <v>7514</v>
      </c>
      <c r="X272" s="40" t="s">
        <v>1024</v>
      </c>
      <c r="Y272" s="40" t="s">
        <v>1319</v>
      </c>
      <c r="Z272" s="39">
        <f>データ!I272</f>
        <v>5149</v>
      </c>
      <c r="AA272" s="40" t="s">
        <v>1024</v>
      </c>
      <c r="AB272" s="40" t="s">
        <v>1322</v>
      </c>
      <c r="AC272" s="39" t="str">
        <f>データ!J272</f>
        <v>A+</v>
      </c>
      <c r="AD272" s="38" t="s">
        <v>1024</v>
      </c>
      <c r="AE272" s="40" t="s">
        <v>1323</v>
      </c>
      <c r="AF272" s="39">
        <f>データ!K272</f>
        <v>28992</v>
      </c>
      <c r="AG272" s="40" t="s">
        <v>1024</v>
      </c>
      <c r="AH272" s="40" t="s">
        <v>1324</v>
      </c>
      <c r="AI272" s="39" t="str">
        <f>データ!L272</f>
        <v>地焔幻の一閃／絶</v>
      </c>
      <c r="AJ272" s="10" t="s">
        <v>1113</v>
      </c>
      <c r="AK272" s="39" t="str">
        <f>データ!M272</f>
        <v>横一列攻撃[大]自分の防御力UP[大]</v>
      </c>
      <c r="AL272" s="10" t="s">
        <v>1024</v>
      </c>
      <c r="AM272" s="40" t="s">
        <v>1325</v>
      </c>
      <c r="AN272" s="39" t="str">
        <f>データ!N272</f>
        <v>-</v>
      </c>
      <c r="AO272" s="10" t="s">
        <v>1113</v>
      </c>
      <c r="AP272" s="39" t="str">
        <f>データ!O272</f>
        <v>　</v>
      </c>
      <c r="AQ272" s="41" t="s">
        <v>1024</v>
      </c>
      <c r="AR272" s="40" t="s">
        <v>1324</v>
      </c>
      <c r="AS272" s="39" t="str">
        <f>データ!P272</f>
        <v>エースオーダー</v>
      </c>
      <c r="AT272" s="10" t="s">
        <v>1113</v>
      </c>
      <c r="AU272" s="39" t="str">
        <f>データ!Q272</f>
        <v>騎士団全体の攻・防が小UP(3分間)</v>
      </c>
      <c r="AV272" s="10" t="s">
        <v>1024</v>
      </c>
      <c r="AW272" s="40" t="s">
        <v>1324</v>
      </c>
      <c r="AX272" s="39" t="str">
        <f>データ!R272</f>
        <v>-</v>
      </c>
      <c r="AY272" s="10" t="s">
        <v>1113</v>
      </c>
      <c r="AZ272" s="39" t="str">
        <f>データ!S272</f>
        <v>　</v>
      </c>
      <c r="BA272" s="41" t="s">
        <v>1024</v>
      </c>
      <c r="BB272" s="40" t="s">
        <v>1319</v>
      </c>
      <c r="BC272" s="39" t="str">
        <f>データ!T272</f>
        <v>-</v>
      </c>
      <c r="BD272" s="41" t="s">
        <v>1024</v>
      </c>
      <c r="BE272" s="40" t="s">
        <v>1320</v>
      </c>
      <c r="BF272" s="39" t="str">
        <f>データ!U272</f>
        <v>-</v>
      </c>
      <c r="BG272" s="41" t="s">
        <v>1024</v>
      </c>
      <c r="BH272" s="40" t="s">
        <v>1319</v>
      </c>
      <c r="BI272" s="39" t="str">
        <f>データ!V272</f>
        <v>覇者の塔</v>
      </c>
      <c r="BJ272" s="41" t="s">
        <v>1024</v>
      </c>
      <c r="BK272" s="10" t="s">
        <v>1019</v>
      </c>
    </row>
    <row r="273" spans="1:63" x14ac:dyDescent="0.15">
      <c r="A273" s="10" t="s">
        <v>1016</v>
      </c>
      <c r="B273" s="10" t="s">
        <v>1454</v>
      </c>
      <c r="C273" s="38" t="str">
        <f>"./images/thumbnail/"&amp;データ!B273&amp;".jpg"</f>
        <v>./images/thumbnail/1480.jpg</v>
      </c>
      <c r="D273" s="38" t="s">
        <v>1455</v>
      </c>
      <c r="E273" s="38" t="str">
        <f>"./images/thumbnail/"&amp;データ!B273&amp;".jpg"</f>
        <v>./images/thumbnail/1480.jpg</v>
      </c>
      <c r="F273" s="38" t="s">
        <v>1116</v>
      </c>
      <c r="G273" s="38" t="s">
        <v>1319</v>
      </c>
      <c r="H273" s="38" t="str">
        <f>データ!C273</f>
        <v>イルメリ</v>
      </c>
      <c r="I273" s="38" t="s">
        <v>1024</v>
      </c>
      <c r="J273" s="38" t="s">
        <v>1320</v>
      </c>
      <c r="K273" s="38" t="str">
        <f>データ!D273</f>
        <v>SSR</v>
      </c>
      <c r="L273" s="38" t="s">
        <v>1024</v>
      </c>
      <c r="M273" s="38" t="s">
        <v>1321</v>
      </c>
      <c r="N273" s="38">
        <f>データ!E273</f>
        <v>13</v>
      </c>
      <c r="O273" s="38" t="s">
        <v>1024</v>
      </c>
      <c r="P273" s="38" t="s">
        <v>1319</v>
      </c>
      <c r="Q273" s="38" t="str">
        <f>データ!F273</f>
        <v>斬</v>
      </c>
      <c r="R273" s="38" t="s">
        <v>1024</v>
      </c>
      <c r="S273" s="38" t="s">
        <v>1319</v>
      </c>
      <c r="T273" s="39">
        <f>データ!G273</f>
        <v>17717</v>
      </c>
      <c r="U273" s="40" t="s">
        <v>1024</v>
      </c>
      <c r="V273" s="40" t="s">
        <v>1319</v>
      </c>
      <c r="W273" s="39">
        <f>データ!H273</f>
        <v>8023</v>
      </c>
      <c r="X273" s="40" t="s">
        <v>1024</v>
      </c>
      <c r="Y273" s="40" t="s">
        <v>1319</v>
      </c>
      <c r="Z273" s="39">
        <f>データ!I273</f>
        <v>4598</v>
      </c>
      <c r="AA273" s="40" t="s">
        <v>1024</v>
      </c>
      <c r="AB273" s="40" t="s">
        <v>1322</v>
      </c>
      <c r="AC273" s="39" t="str">
        <f>データ!J273</f>
        <v>A+</v>
      </c>
      <c r="AD273" s="38" t="s">
        <v>1024</v>
      </c>
      <c r="AE273" s="40" t="s">
        <v>1323</v>
      </c>
      <c r="AF273" s="39">
        <f>データ!K273</f>
        <v>30338</v>
      </c>
      <c r="AG273" s="40" t="s">
        <v>1024</v>
      </c>
      <c r="AH273" s="40" t="s">
        <v>1324</v>
      </c>
      <c r="AI273" s="39" t="str">
        <f>データ!L273</f>
        <v>対紫の突風／絶</v>
      </c>
      <c r="AJ273" s="10" t="s">
        <v>1113</v>
      </c>
      <c r="AK273" s="39" t="str">
        <f>データ!M273</f>
        <v>打に強く遠に弱い縦一列攻撃[大]</v>
      </c>
      <c r="AL273" s="10" t="s">
        <v>1024</v>
      </c>
      <c r="AM273" s="40" t="s">
        <v>1325</v>
      </c>
      <c r="AN273" s="39" t="str">
        <f>データ!N273</f>
        <v>-</v>
      </c>
      <c r="AO273" s="10" t="s">
        <v>1113</v>
      </c>
      <c r="AP273" s="39" t="str">
        <f>データ!O273</f>
        <v>　</v>
      </c>
      <c r="AQ273" s="41" t="s">
        <v>1024</v>
      </c>
      <c r="AR273" s="40" t="s">
        <v>1324</v>
      </c>
      <c r="AS273" s="39" t="str">
        <f>データ!P273</f>
        <v>アサルト／真</v>
      </c>
      <c r="AT273" s="10" t="s">
        <v>1113</v>
      </c>
      <c r="AU273" s="39" t="str">
        <f>データ!Q273</f>
        <v>パーティ全体の攻撃力が中UP(3分間)</v>
      </c>
      <c r="AV273" s="10" t="s">
        <v>1024</v>
      </c>
      <c r="AW273" s="40" t="s">
        <v>1324</v>
      </c>
      <c r="AX273" s="39" t="str">
        <f>データ!R273</f>
        <v>-</v>
      </c>
      <c r="AY273" s="10" t="s">
        <v>1113</v>
      </c>
      <c r="AZ273" s="39" t="str">
        <f>データ!S273</f>
        <v>　</v>
      </c>
      <c r="BA273" s="41" t="s">
        <v>1024</v>
      </c>
      <c r="BB273" s="40" t="s">
        <v>1319</v>
      </c>
      <c r="BC273" s="39" t="str">
        <f>データ!T273</f>
        <v>-</v>
      </c>
      <c r="BD273" s="41" t="s">
        <v>1024</v>
      </c>
      <c r="BE273" s="40" t="s">
        <v>1320</v>
      </c>
      <c r="BF273" s="39" t="str">
        <f>データ!U273</f>
        <v>-</v>
      </c>
      <c r="BG273" s="41" t="s">
        <v>1024</v>
      </c>
      <c r="BH273" s="40" t="s">
        <v>1319</v>
      </c>
      <c r="BI273" s="39" t="str">
        <f>データ!V273</f>
        <v>ガチャイベ</v>
      </c>
      <c r="BJ273" s="41" t="s">
        <v>1024</v>
      </c>
      <c r="BK273" s="10" t="s">
        <v>1019</v>
      </c>
    </row>
    <row r="274" spans="1:63" x14ac:dyDescent="0.15">
      <c r="A274" s="10" t="s">
        <v>1016</v>
      </c>
      <c r="B274" s="10" t="s">
        <v>1454</v>
      </c>
      <c r="C274" s="38" t="str">
        <f>"./images/thumbnail/"&amp;データ!B274&amp;".jpg"</f>
        <v>./images/thumbnail/1482.jpg</v>
      </c>
      <c r="D274" s="38" t="s">
        <v>1455</v>
      </c>
      <c r="E274" s="38" t="str">
        <f>"./images/thumbnail/"&amp;データ!B274&amp;".jpg"</f>
        <v>./images/thumbnail/1482.jpg</v>
      </c>
      <c r="F274" s="38" t="s">
        <v>1116</v>
      </c>
      <c r="G274" s="38" t="s">
        <v>1319</v>
      </c>
      <c r="H274" s="38" t="str">
        <f>データ!C274</f>
        <v>シーラ</v>
      </c>
      <c r="I274" s="38" t="s">
        <v>1024</v>
      </c>
      <c r="J274" s="38" t="s">
        <v>1320</v>
      </c>
      <c r="K274" s="38" t="str">
        <f>データ!D274</f>
        <v>UR</v>
      </c>
      <c r="L274" s="38" t="s">
        <v>1024</v>
      </c>
      <c r="M274" s="38" t="s">
        <v>1321</v>
      </c>
      <c r="N274" s="38">
        <f>データ!E274</f>
        <v>14</v>
      </c>
      <c r="O274" s="38" t="s">
        <v>1024</v>
      </c>
      <c r="P274" s="38" t="s">
        <v>1319</v>
      </c>
      <c r="Q274" s="38" t="str">
        <f>データ!F274</f>
        <v>突</v>
      </c>
      <c r="R274" s="38" t="s">
        <v>1024</v>
      </c>
      <c r="S274" s="38" t="s">
        <v>1319</v>
      </c>
      <c r="T274" s="39">
        <f>データ!G274</f>
        <v>19529</v>
      </c>
      <c r="U274" s="40" t="s">
        <v>1024</v>
      </c>
      <c r="V274" s="40" t="s">
        <v>1319</v>
      </c>
      <c r="W274" s="39">
        <f>データ!H274</f>
        <v>5811</v>
      </c>
      <c r="X274" s="40" t="s">
        <v>1024</v>
      </c>
      <c r="Y274" s="40" t="s">
        <v>1319</v>
      </c>
      <c r="Z274" s="39">
        <f>データ!I274</f>
        <v>7128</v>
      </c>
      <c r="AA274" s="40" t="s">
        <v>1024</v>
      </c>
      <c r="AB274" s="40" t="s">
        <v>1322</v>
      </c>
      <c r="AC274" s="39" t="str">
        <f>データ!J274</f>
        <v>SS+</v>
      </c>
      <c r="AD274" s="38" t="s">
        <v>1024</v>
      </c>
      <c r="AE274" s="40" t="s">
        <v>1323</v>
      </c>
      <c r="AF274" s="39">
        <f>データ!K274</f>
        <v>32468</v>
      </c>
      <c r="AG274" s="40" t="s">
        <v>1024</v>
      </c>
      <c r="AH274" s="40" t="s">
        <v>1324</v>
      </c>
      <c r="AI274" s="39" t="str">
        <f>データ!L274</f>
        <v>焔幻の一閃／煌</v>
      </c>
      <c r="AJ274" s="10" t="s">
        <v>1113</v>
      </c>
      <c r="AK274" s="39" t="str">
        <f>データ!M274</f>
        <v>横一列に攻撃[特大]</v>
      </c>
      <c r="AL274" s="38" t="s">
        <v>1024</v>
      </c>
      <c r="AM274" s="40" t="s">
        <v>1325</v>
      </c>
      <c r="AN274" s="39" t="str">
        <f>データ!N274</f>
        <v>-</v>
      </c>
      <c r="AO274" s="10" t="s">
        <v>1113</v>
      </c>
      <c r="AP274" s="39" t="str">
        <f>データ!O274</f>
        <v>　</v>
      </c>
      <c r="AQ274" s="41" t="s">
        <v>1024</v>
      </c>
      <c r="AR274" s="40" t="s">
        <v>1324</v>
      </c>
      <c r="AS274" s="39" t="str">
        <f>データ!P274</f>
        <v>ランページ／絶</v>
      </c>
      <c r="AT274" s="10" t="s">
        <v>1113</v>
      </c>
      <c r="AU274" s="39" t="str">
        <f>データ!Q274</f>
        <v>バトルで獲得する騎士団戦スコアが大アップ(3分間)</v>
      </c>
      <c r="AV274" s="10" t="s">
        <v>1024</v>
      </c>
      <c r="AW274" s="40" t="s">
        <v>1324</v>
      </c>
      <c r="AX274" s="39" t="str">
        <f>データ!R274</f>
        <v>-</v>
      </c>
      <c r="AY274" s="10" t="s">
        <v>1113</v>
      </c>
      <c r="AZ274" s="39" t="str">
        <f>データ!S274</f>
        <v>　</v>
      </c>
      <c r="BA274" s="41" t="s">
        <v>1024</v>
      </c>
      <c r="BB274" s="40" t="s">
        <v>1319</v>
      </c>
      <c r="BC274" s="39" t="str">
        <f>データ!T274</f>
        <v>-</v>
      </c>
      <c r="BD274" s="41" t="s">
        <v>1024</v>
      </c>
      <c r="BE274" s="40" t="s">
        <v>1320</v>
      </c>
      <c r="BF274" s="39" t="str">
        <f>データ!U274</f>
        <v>-</v>
      </c>
      <c r="BG274" s="41" t="s">
        <v>1024</v>
      </c>
      <c r="BH274" s="40" t="s">
        <v>1319</v>
      </c>
      <c r="BI274" s="39" t="str">
        <f>データ!V274</f>
        <v>ガチャイベ</v>
      </c>
      <c r="BJ274" s="41" t="s">
        <v>1024</v>
      </c>
      <c r="BK274" s="10" t="s">
        <v>1019</v>
      </c>
    </row>
    <row r="275" spans="1:63" x14ac:dyDescent="0.15">
      <c r="A275" s="10" t="s">
        <v>1016</v>
      </c>
      <c r="B275" s="10" t="s">
        <v>1454</v>
      </c>
      <c r="C275" s="38" t="str">
        <f>"./images/thumbnail/"&amp;データ!B275&amp;".jpg"</f>
        <v>./images/thumbnail/1484.jpg</v>
      </c>
      <c r="D275" s="38" t="s">
        <v>1455</v>
      </c>
      <c r="E275" s="38" t="str">
        <f>"./images/thumbnail/"&amp;データ!B275&amp;".jpg"</f>
        <v>./images/thumbnail/1484.jpg</v>
      </c>
      <c r="F275" s="38" t="s">
        <v>1116</v>
      </c>
      <c r="G275" s="38" t="s">
        <v>1319</v>
      </c>
      <c r="H275" s="38" t="str">
        <f>データ!C275</f>
        <v>カリーネ</v>
      </c>
      <c r="I275" s="38" t="s">
        <v>1024</v>
      </c>
      <c r="J275" s="38" t="s">
        <v>1320</v>
      </c>
      <c r="K275" s="38" t="str">
        <f>データ!D275</f>
        <v>UR</v>
      </c>
      <c r="L275" s="38" t="s">
        <v>1024</v>
      </c>
      <c r="M275" s="38" t="s">
        <v>1321</v>
      </c>
      <c r="N275" s="38">
        <f>データ!E275</f>
        <v>14</v>
      </c>
      <c r="O275" s="38" t="s">
        <v>1024</v>
      </c>
      <c r="P275" s="38" t="s">
        <v>1319</v>
      </c>
      <c r="Q275" s="38" t="str">
        <f>データ!F275</f>
        <v>打</v>
      </c>
      <c r="R275" s="38" t="s">
        <v>1024</v>
      </c>
      <c r="S275" s="38" t="s">
        <v>1319</v>
      </c>
      <c r="T275" s="39">
        <f>データ!G275</f>
        <v>22832</v>
      </c>
      <c r="U275" s="40" t="s">
        <v>1024</v>
      </c>
      <c r="V275" s="40" t="s">
        <v>1319</v>
      </c>
      <c r="W275" s="39">
        <f>データ!H275</f>
        <v>6523</v>
      </c>
      <c r="X275" s="40" t="s">
        <v>1024</v>
      </c>
      <c r="Y275" s="40" t="s">
        <v>1319</v>
      </c>
      <c r="Z275" s="39">
        <f>データ!I275</f>
        <v>8640</v>
      </c>
      <c r="AA275" s="40" t="s">
        <v>1024</v>
      </c>
      <c r="AB275" s="40" t="s">
        <v>1322</v>
      </c>
      <c r="AC275" s="39" t="str">
        <f>データ!J275</f>
        <v>A+</v>
      </c>
      <c r="AD275" s="38" t="s">
        <v>1024</v>
      </c>
      <c r="AE275" s="40" t="s">
        <v>1323</v>
      </c>
      <c r="AF275" s="39">
        <f>データ!K275</f>
        <v>37995</v>
      </c>
      <c r="AG275" s="40" t="s">
        <v>1024</v>
      </c>
      <c r="AH275" s="40" t="s">
        <v>1324</v>
      </c>
      <c r="AI275" s="39" t="str">
        <f>データ!L275</f>
        <v>癒やしの光／煌</v>
      </c>
      <c r="AJ275" s="10" t="s">
        <v>1113</v>
      </c>
      <c r="AK275" s="39" t="str">
        <f>データ!M275</f>
        <v>最もダメージが多い味方1人のHP回復[特大]</v>
      </c>
      <c r="AL275" s="10" t="s">
        <v>1024</v>
      </c>
      <c r="AM275" s="40" t="s">
        <v>1325</v>
      </c>
      <c r="AN275" s="39" t="str">
        <f>データ!N275</f>
        <v>-</v>
      </c>
      <c r="AO275" s="10" t="s">
        <v>1113</v>
      </c>
      <c r="AP275" s="39" t="str">
        <f>データ!O275</f>
        <v>　</v>
      </c>
      <c r="AQ275" s="41" t="s">
        <v>1024</v>
      </c>
      <c r="AR275" s="40" t="s">
        <v>1324</v>
      </c>
      <c r="AS275" s="39" t="str">
        <f>データ!P275</f>
        <v>ポイントライズ／絶</v>
      </c>
      <c r="AT275" s="10" t="s">
        <v>1113</v>
      </c>
      <c r="AU275" s="39" t="str">
        <f>データ!Q275</f>
        <v>獲得する騎士団戦スコアが大アップ(バトル3回)</v>
      </c>
      <c r="AV275" s="10" t="s">
        <v>1024</v>
      </c>
      <c r="AW275" s="40" t="s">
        <v>1324</v>
      </c>
      <c r="AX275" s="39" t="str">
        <f>データ!R275</f>
        <v>-</v>
      </c>
      <c r="AY275" s="10" t="s">
        <v>1113</v>
      </c>
      <c r="AZ275" s="39" t="str">
        <f>データ!S275</f>
        <v>　</v>
      </c>
      <c r="BA275" s="41" t="s">
        <v>1024</v>
      </c>
      <c r="BB275" s="40" t="s">
        <v>1319</v>
      </c>
      <c r="BC275" s="39" t="str">
        <f>データ!T275</f>
        <v>-</v>
      </c>
      <c r="BD275" s="41" t="s">
        <v>1024</v>
      </c>
      <c r="BE275" s="40" t="s">
        <v>1320</v>
      </c>
      <c r="BF275" s="39" t="str">
        <f>データ!U275</f>
        <v>-</v>
      </c>
      <c r="BG275" s="41" t="s">
        <v>1024</v>
      </c>
      <c r="BH275" s="40" t="s">
        <v>1319</v>
      </c>
      <c r="BI275" s="39" t="str">
        <f>データ!V275</f>
        <v>ガチャイベ</v>
      </c>
      <c r="BJ275" s="41" t="s">
        <v>1024</v>
      </c>
      <c r="BK275" s="10" t="s">
        <v>1019</v>
      </c>
    </row>
    <row r="276" spans="1:63" x14ac:dyDescent="0.15">
      <c r="A276" s="10" t="s">
        <v>1016</v>
      </c>
      <c r="B276" s="10" t="s">
        <v>1454</v>
      </c>
      <c r="C276" s="38" t="str">
        <f>"./images/thumbnail/"&amp;データ!B276&amp;".jpg"</f>
        <v>./images/thumbnail/1486.jpg</v>
      </c>
      <c r="D276" s="38" t="s">
        <v>1455</v>
      </c>
      <c r="E276" s="38" t="str">
        <f>"./images/thumbnail/"&amp;データ!B276&amp;".jpg"</f>
        <v>./images/thumbnail/1486.jpg</v>
      </c>
      <c r="F276" s="38" t="s">
        <v>1116</v>
      </c>
      <c r="G276" s="38" t="s">
        <v>1319</v>
      </c>
      <c r="H276" s="38" t="str">
        <f>データ!C276</f>
        <v>カオル</v>
      </c>
      <c r="I276" s="38" t="s">
        <v>1024</v>
      </c>
      <c r="J276" s="38" t="s">
        <v>1320</v>
      </c>
      <c r="K276" s="38" t="str">
        <f>データ!D276</f>
        <v>SSR</v>
      </c>
      <c r="L276" s="38" t="s">
        <v>1024</v>
      </c>
      <c r="M276" s="38" t="s">
        <v>1321</v>
      </c>
      <c r="N276" s="38">
        <f>データ!E276</f>
        <v>13</v>
      </c>
      <c r="O276" s="38" t="s">
        <v>1024</v>
      </c>
      <c r="P276" s="38" t="s">
        <v>1319</v>
      </c>
      <c r="Q276" s="38" t="str">
        <f>データ!F276</f>
        <v>遠</v>
      </c>
      <c r="R276" s="38" t="s">
        <v>1024</v>
      </c>
      <c r="S276" s="38" t="s">
        <v>1319</v>
      </c>
      <c r="T276" s="39">
        <f>データ!G276</f>
        <v>16352</v>
      </c>
      <c r="U276" s="40" t="s">
        <v>1024</v>
      </c>
      <c r="V276" s="40" t="s">
        <v>1319</v>
      </c>
      <c r="W276" s="39">
        <f>データ!H276</f>
        <v>6555</v>
      </c>
      <c r="X276" s="40" t="s">
        <v>1024</v>
      </c>
      <c r="Y276" s="40" t="s">
        <v>1319</v>
      </c>
      <c r="Z276" s="39">
        <f>データ!I276</f>
        <v>4967</v>
      </c>
      <c r="AA276" s="40" t="s">
        <v>1024</v>
      </c>
      <c r="AB276" s="40" t="s">
        <v>1322</v>
      </c>
      <c r="AC276" s="39" t="str">
        <f>データ!J276</f>
        <v>S-</v>
      </c>
      <c r="AD276" s="38" t="s">
        <v>1024</v>
      </c>
      <c r="AE276" s="40" t="s">
        <v>1323</v>
      </c>
      <c r="AF276" s="39">
        <f>データ!K276</f>
        <v>27874</v>
      </c>
      <c r="AG276" s="40" t="s">
        <v>1024</v>
      </c>
      <c r="AH276" s="40" t="s">
        <v>1324</v>
      </c>
      <c r="AI276" s="39" t="str">
        <f>データ!L276</f>
        <v>神護</v>
      </c>
      <c r="AJ276" s="10" t="s">
        <v>1113</v>
      </c>
      <c r="AK276" s="39" t="str">
        <f>データ!M276</f>
        <v>自分の防御力をUP[特大]</v>
      </c>
      <c r="AL276" s="10" t="s">
        <v>1024</v>
      </c>
      <c r="AM276" s="40" t="s">
        <v>1325</v>
      </c>
      <c r="AN276" s="39" t="str">
        <f>データ!N276</f>
        <v>-</v>
      </c>
      <c r="AO276" s="10" t="s">
        <v>1113</v>
      </c>
      <c r="AP276" s="39" t="str">
        <f>データ!O276</f>
        <v>　</v>
      </c>
      <c r="AQ276" s="41" t="s">
        <v>1024</v>
      </c>
      <c r="AR276" s="40" t="s">
        <v>1324</v>
      </c>
      <c r="AS276" s="39" t="str">
        <f>データ!P276</f>
        <v>アクセラレーター／真</v>
      </c>
      <c r="AT276" s="10" t="s">
        <v>1113</v>
      </c>
      <c r="AU276" s="39" t="str">
        <f>データ!Q276</f>
        <v>パーティ全体の速度が中UP(3分間)</v>
      </c>
      <c r="AV276" s="10" t="s">
        <v>1024</v>
      </c>
      <c r="AW276" s="40" t="s">
        <v>1324</v>
      </c>
      <c r="AX276" s="39" t="str">
        <f>データ!R276</f>
        <v>-</v>
      </c>
      <c r="AY276" s="10" t="s">
        <v>1113</v>
      </c>
      <c r="AZ276" s="39" t="str">
        <f>データ!S276</f>
        <v>　</v>
      </c>
      <c r="BA276" s="41" t="s">
        <v>1024</v>
      </c>
      <c r="BB276" s="40" t="s">
        <v>1319</v>
      </c>
      <c r="BC276" s="39" t="str">
        <f>データ!T276</f>
        <v>-</v>
      </c>
      <c r="BD276" s="41" t="s">
        <v>1024</v>
      </c>
      <c r="BE276" s="40" t="s">
        <v>1320</v>
      </c>
      <c r="BF276" s="39" t="str">
        <f>データ!U276</f>
        <v>-</v>
      </c>
      <c r="BG276" s="41" t="s">
        <v>1024</v>
      </c>
      <c r="BH276" s="40" t="s">
        <v>1319</v>
      </c>
      <c r="BI276" s="39" t="str">
        <f>データ!V276</f>
        <v>ガチャイベ</v>
      </c>
      <c r="BJ276" s="41" t="s">
        <v>1024</v>
      </c>
      <c r="BK276" s="10" t="s">
        <v>1019</v>
      </c>
    </row>
    <row r="277" spans="1:63" x14ac:dyDescent="0.15">
      <c r="A277" s="10" t="s">
        <v>1016</v>
      </c>
      <c r="B277" s="10" t="s">
        <v>1454</v>
      </c>
      <c r="C277" s="38" t="str">
        <f>"./images/thumbnail/"&amp;データ!B277&amp;".jpg"</f>
        <v>./images/thumbnail/1489.jpg</v>
      </c>
      <c r="D277" s="38" t="s">
        <v>1455</v>
      </c>
      <c r="E277" s="38" t="str">
        <f>"./images/thumbnail/"&amp;データ!B277&amp;".jpg"</f>
        <v>./images/thumbnail/1489.jpg</v>
      </c>
      <c r="F277" s="38" t="s">
        <v>1116</v>
      </c>
      <c r="G277" s="38" t="s">
        <v>1319</v>
      </c>
      <c r="H277" s="38" t="str">
        <f>データ!C277</f>
        <v>カルラ</v>
      </c>
      <c r="I277" s="38" t="s">
        <v>1024</v>
      </c>
      <c r="J277" s="38" t="s">
        <v>1320</v>
      </c>
      <c r="K277" s="38" t="str">
        <f>データ!D277</f>
        <v>SSR</v>
      </c>
      <c r="L277" s="38" t="s">
        <v>1024</v>
      </c>
      <c r="M277" s="38" t="s">
        <v>1321</v>
      </c>
      <c r="N277" s="38">
        <f>データ!E277</f>
        <v>13</v>
      </c>
      <c r="O277" s="38" t="s">
        <v>1024</v>
      </c>
      <c r="P277" s="38" t="s">
        <v>1319</v>
      </c>
      <c r="Q277" s="38" t="str">
        <f>データ!F277</f>
        <v>遠</v>
      </c>
      <c r="R277" s="38" t="s">
        <v>1024</v>
      </c>
      <c r="S277" s="38" t="s">
        <v>1319</v>
      </c>
      <c r="T277" s="39">
        <f>データ!G277</f>
        <v>16437</v>
      </c>
      <c r="U277" s="40" t="s">
        <v>1024</v>
      </c>
      <c r="V277" s="40" t="s">
        <v>1319</v>
      </c>
      <c r="W277" s="39">
        <f>データ!H277</f>
        <v>5732</v>
      </c>
      <c r="X277" s="40" t="s">
        <v>1024</v>
      </c>
      <c r="Y277" s="40" t="s">
        <v>1319</v>
      </c>
      <c r="Z277" s="39">
        <f>データ!I277</f>
        <v>5189</v>
      </c>
      <c r="AA277" s="40" t="s">
        <v>1024</v>
      </c>
      <c r="AB277" s="40" t="s">
        <v>1322</v>
      </c>
      <c r="AC277" s="39" t="str">
        <f>データ!J277</f>
        <v>S-</v>
      </c>
      <c r="AD277" s="38" t="s">
        <v>1024</v>
      </c>
      <c r="AE277" s="40" t="s">
        <v>1323</v>
      </c>
      <c r="AF277" s="39">
        <f>データ!K277</f>
        <v>27358</v>
      </c>
      <c r="AG277" s="40" t="s">
        <v>1024</v>
      </c>
      <c r="AH277" s="40" t="s">
        <v>1324</v>
      </c>
      <c r="AI277" s="39" t="str">
        <f>データ!L277</f>
        <v>破界の包囲陣／絶</v>
      </c>
      <c r="AJ277" s="10" t="s">
        <v>1113</v>
      </c>
      <c r="AK277" s="39" t="str">
        <f>データ!M277</f>
        <v>敵全体に固定ダメージ[大]</v>
      </c>
      <c r="AL277" s="10" t="s">
        <v>1024</v>
      </c>
      <c r="AM277" s="40" t="s">
        <v>1325</v>
      </c>
      <c r="AN277" s="39" t="str">
        <f>データ!N277</f>
        <v>-</v>
      </c>
      <c r="AO277" s="10" t="s">
        <v>1113</v>
      </c>
      <c r="AP277" s="39" t="str">
        <f>データ!O277</f>
        <v>　</v>
      </c>
      <c r="AQ277" s="41" t="s">
        <v>1024</v>
      </c>
      <c r="AR277" s="40" t="s">
        <v>1324</v>
      </c>
      <c r="AS277" s="39" t="str">
        <f>データ!P277</f>
        <v>プロヴォーク／真</v>
      </c>
      <c r="AT277" s="10" t="s">
        <v>1113</v>
      </c>
      <c r="AU277" s="39" t="str">
        <f>データ!Q277</f>
        <v>攻撃される確率が中UP(3分間)</v>
      </c>
      <c r="AV277" s="10" t="s">
        <v>1024</v>
      </c>
      <c r="AW277" s="40" t="s">
        <v>1324</v>
      </c>
      <c r="AX277" s="39" t="str">
        <f>データ!R277</f>
        <v>-</v>
      </c>
      <c r="AY277" s="10" t="s">
        <v>1113</v>
      </c>
      <c r="AZ277" s="39" t="str">
        <f>データ!S277</f>
        <v>　</v>
      </c>
      <c r="BA277" s="41" t="s">
        <v>1024</v>
      </c>
      <c r="BB277" s="40" t="s">
        <v>1319</v>
      </c>
      <c r="BC277" s="39" t="str">
        <f>データ!T277</f>
        <v>-</v>
      </c>
      <c r="BD277" s="41" t="s">
        <v>1024</v>
      </c>
      <c r="BE277" s="40" t="s">
        <v>1320</v>
      </c>
      <c r="BF277" s="39" t="str">
        <f>データ!U277</f>
        <v>-</v>
      </c>
      <c r="BG277" s="41" t="s">
        <v>1024</v>
      </c>
      <c r="BH277" s="40" t="s">
        <v>1319</v>
      </c>
      <c r="BI277" s="39" t="str">
        <f>データ!V277</f>
        <v>マゴニア</v>
      </c>
      <c r="BJ277" s="41" t="s">
        <v>1024</v>
      </c>
      <c r="BK277" s="10" t="s">
        <v>1019</v>
      </c>
    </row>
    <row r="278" spans="1:63" x14ac:dyDescent="0.15">
      <c r="A278" s="10" t="s">
        <v>1016</v>
      </c>
      <c r="B278" s="10" t="s">
        <v>1454</v>
      </c>
      <c r="C278" s="38" t="str">
        <f>"./images/thumbnail/"&amp;データ!B278&amp;".jpg"</f>
        <v>./images/thumbnail/1490.jpg</v>
      </c>
      <c r="D278" s="38" t="s">
        <v>1455</v>
      </c>
      <c r="E278" s="38" t="str">
        <f>"./images/thumbnail/"&amp;データ!B278&amp;".jpg"</f>
        <v>./images/thumbnail/1490.jpg</v>
      </c>
      <c r="F278" s="38" t="s">
        <v>1116</v>
      </c>
      <c r="G278" s="38" t="s">
        <v>1319</v>
      </c>
      <c r="H278" s="38" t="str">
        <f>データ!C278</f>
        <v>アーデルハイド</v>
      </c>
      <c r="I278" s="38" t="s">
        <v>1024</v>
      </c>
      <c r="J278" s="38" t="s">
        <v>1320</v>
      </c>
      <c r="K278" s="38" t="str">
        <f>データ!D278</f>
        <v>UR</v>
      </c>
      <c r="L278" s="38" t="s">
        <v>1024</v>
      </c>
      <c r="M278" s="38" t="s">
        <v>1321</v>
      </c>
      <c r="N278" s="38">
        <f>データ!E278</f>
        <v>14</v>
      </c>
      <c r="O278" s="38" t="s">
        <v>1024</v>
      </c>
      <c r="P278" s="38" t="s">
        <v>1319</v>
      </c>
      <c r="Q278" s="38" t="str">
        <f>データ!F278</f>
        <v>突</v>
      </c>
      <c r="R278" s="38" t="s">
        <v>1024</v>
      </c>
      <c r="S278" s="38" t="s">
        <v>1319</v>
      </c>
      <c r="T278" s="39">
        <f>データ!G278</f>
        <v>21885</v>
      </c>
      <c r="U278" s="40" t="s">
        <v>1024</v>
      </c>
      <c r="V278" s="40" t="s">
        <v>1319</v>
      </c>
      <c r="W278" s="39">
        <f>データ!H278</f>
        <v>5526</v>
      </c>
      <c r="X278" s="40" t="s">
        <v>1024</v>
      </c>
      <c r="Y278" s="40" t="s">
        <v>1319</v>
      </c>
      <c r="Z278" s="39">
        <f>データ!I278</f>
        <v>6706</v>
      </c>
      <c r="AA278" s="40" t="s">
        <v>1024</v>
      </c>
      <c r="AB278" s="40" t="s">
        <v>1322</v>
      </c>
      <c r="AC278" s="39" t="str">
        <f>データ!J278</f>
        <v>SS+</v>
      </c>
      <c r="AD278" s="38" t="s">
        <v>1024</v>
      </c>
      <c r="AE278" s="40" t="s">
        <v>1323</v>
      </c>
      <c r="AF278" s="39">
        <f>データ!K278</f>
        <v>34117</v>
      </c>
      <c r="AG278" s="40" t="s">
        <v>1024</v>
      </c>
      <c r="AH278" s="40" t="s">
        <v>1324</v>
      </c>
      <c r="AI278" s="39" t="str">
        <f>データ!L278</f>
        <v>蒼突の神威</v>
      </c>
      <c r="AJ278" s="10" t="s">
        <v>1113</v>
      </c>
      <c r="AK278" s="39" t="str">
        <f>データ!M278</f>
        <v>味方突属性の攻撃力をUP[特大]</v>
      </c>
      <c r="AL278" s="10" t="s">
        <v>1024</v>
      </c>
      <c r="AM278" s="40" t="s">
        <v>1325</v>
      </c>
      <c r="AN278" s="39" t="str">
        <f>データ!N278</f>
        <v>-</v>
      </c>
      <c r="AO278" s="10" t="s">
        <v>1113</v>
      </c>
      <c r="AP278" s="39" t="str">
        <f>データ!O278</f>
        <v>　</v>
      </c>
      <c r="AQ278" s="41" t="s">
        <v>1024</v>
      </c>
      <c r="AR278" s="40" t="s">
        <v>1324</v>
      </c>
      <c r="AS278" s="39" t="str">
        <f>データ!P278</f>
        <v>バーサク／真</v>
      </c>
      <c r="AT278" s="10" t="s">
        <v>1113</v>
      </c>
      <c r="AU278" s="39" t="str">
        <f>データ!Q278</f>
        <v>強襲が発生無効、バトル時に攻・防中UP(3分間)</v>
      </c>
      <c r="AV278" s="10" t="s">
        <v>1024</v>
      </c>
      <c r="AW278" s="40" t="s">
        <v>1324</v>
      </c>
      <c r="AX278" s="39" t="str">
        <f>データ!R278</f>
        <v>-</v>
      </c>
      <c r="AY278" s="10" t="s">
        <v>1113</v>
      </c>
      <c r="AZ278" s="39" t="str">
        <f>データ!S278</f>
        <v>　</v>
      </c>
      <c r="BA278" s="41" t="s">
        <v>1024</v>
      </c>
      <c r="BB278" s="40" t="s">
        <v>1319</v>
      </c>
      <c r="BC278" s="39" t="str">
        <f>データ!T278</f>
        <v>-</v>
      </c>
      <c r="BD278" s="41" t="s">
        <v>1024</v>
      </c>
      <c r="BE278" s="40" t="s">
        <v>1320</v>
      </c>
      <c r="BF278" s="39" t="str">
        <f>データ!U278</f>
        <v>-</v>
      </c>
      <c r="BG278" s="41" t="s">
        <v>1024</v>
      </c>
      <c r="BH278" s="40" t="s">
        <v>1319</v>
      </c>
      <c r="BI278" s="39" t="str">
        <f>データ!V278</f>
        <v>ガチャイベ</v>
      </c>
      <c r="BJ278" s="41" t="s">
        <v>1024</v>
      </c>
      <c r="BK278" s="10" t="s">
        <v>1019</v>
      </c>
    </row>
    <row r="279" spans="1:63" x14ac:dyDescent="0.15">
      <c r="A279" s="10" t="s">
        <v>1016</v>
      </c>
      <c r="B279" s="10" t="s">
        <v>1454</v>
      </c>
      <c r="C279" s="38" t="str">
        <f>"./images/thumbnail/"&amp;データ!B279&amp;".jpg"</f>
        <v>./images/thumbnail/1490_a.jpg</v>
      </c>
      <c r="D279" s="38" t="s">
        <v>1455</v>
      </c>
      <c r="E279" s="38" t="str">
        <f>"./images/thumbnail/"&amp;データ!B279&amp;".jpg"</f>
        <v>./images/thumbnail/1490_a.jpg</v>
      </c>
      <c r="F279" s="38" t="s">
        <v>1116</v>
      </c>
      <c r="G279" s="38" t="s">
        <v>1319</v>
      </c>
      <c r="H279" s="38" t="str">
        <f>データ!C279</f>
        <v>アーデルハイド</v>
      </c>
      <c r="I279" s="38" t="s">
        <v>1024</v>
      </c>
      <c r="J279" s="38" t="s">
        <v>1320</v>
      </c>
      <c r="K279" s="38" t="str">
        <f>データ!D279</f>
        <v>UR</v>
      </c>
      <c r="L279" s="38" t="s">
        <v>1024</v>
      </c>
      <c r="M279" s="38" t="s">
        <v>1321</v>
      </c>
      <c r="N279" s="38">
        <f>データ!E279</f>
        <v>14</v>
      </c>
      <c r="O279" s="38" t="s">
        <v>1024</v>
      </c>
      <c r="P279" s="38" t="s">
        <v>1319</v>
      </c>
      <c r="Q279" s="38" t="str">
        <f>データ!F279</f>
        <v>突</v>
      </c>
      <c r="R279" s="38" t="s">
        <v>1024</v>
      </c>
      <c r="S279" s="38" t="s">
        <v>1319</v>
      </c>
      <c r="T279" s="39">
        <f>データ!G279</f>
        <v>29319</v>
      </c>
      <c r="U279" s="40" t="s">
        <v>1024</v>
      </c>
      <c r="V279" s="40" t="s">
        <v>1319</v>
      </c>
      <c r="W279" s="39">
        <f>データ!H279</f>
        <v>7731</v>
      </c>
      <c r="X279" s="40" t="s">
        <v>1024</v>
      </c>
      <c r="Y279" s="40" t="s">
        <v>1319</v>
      </c>
      <c r="Z279" s="39">
        <f>データ!I279</f>
        <v>10402</v>
      </c>
      <c r="AA279" s="40" t="s">
        <v>1024</v>
      </c>
      <c r="AB279" s="40" t="s">
        <v>1322</v>
      </c>
      <c r="AC279" s="39" t="str">
        <f>データ!J279</f>
        <v>SS4</v>
      </c>
      <c r="AD279" s="38" t="s">
        <v>1024</v>
      </c>
      <c r="AE279" s="40" t="s">
        <v>1323</v>
      </c>
      <c r="AF279" s="39">
        <f>データ!K279</f>
        <v>47452</v>
      </c>
      <c r="AG279" s="40" t="s">
        <v>1024</v>
      </c>
      <c r="AH279" s="40" t="s">
        <v>1324</v>
      </c>
      <c r="AI279" s="39" t="str">
        <f>データ!L279</f>
        <v>蒼突の神威＋</v>
      </c>
      <c r="AJ279" s="10" t="s">
        <v>1113</v>
      </c>
      <c r="AK279" s="39" t="str">
        <f>データ!M279</f>
        <v>味方突属性の攻撃力をUP[超特大]</v>
      </c>
      <c r="AL279" s="10" t="s">
        <v>1024</v>
      </c>
      <c r="AM279" s="40" t="s">
        <v>1325</v>
      </c>
      <c r="AN279" s="39" t="str">
        <f>データ!N279</f>
        <v>-</v>
      </c>
      <c r="AO279" s="10" t="s">
        <v>1113</v>
      </c>
      <c r="AP279" s="39" t="str">
        <f>データ!O279</f>
        <v>　</v>
      </c>
      <c r="AQ279" s="41" t="s">
        <v>1024</v>
      </c>
      <c r="AR279" s="40" t="s">
        <v>1324</v>
      </c>
      <c r="AS279" s="39" t="str">
        <f>データ!P279</f>
        <v>バーサク／真</v>
      </c>
      <c r="AT279" s="10" t="s">
        <v>1113</v>
      </c>
      <c r="AU279" s="39" t="str">
        <f>データ!Q279</f>
        <v>強襲が発生無効、バトル時に攻・防中UP(3分間)</v>
      </c>
      <c r="AV279" s="10" t="s">
        <v>1024</v>
      </c>
      <c r="AW279" s="40" t="s">
        <v>1324</v>
      </c>
      <c r="AX279" s="39" t="str">
        <f>データ!R279</f>
        <v>-</v>
      </c>
      <c r="AY279" s="10" t="s">
        <v>1113</v>
      </c>
      <c r="AZ279" s="39" t="str">
        <f>データ!S279</f>
        <v>　</v>
      </c>
      <c r="BA279" s="41" t="s">
        <v>1024</v>
      </c>
      <c r="BB279" s="40" t="s">
        <v>1319</v>
      </c>
      <c r="BC279" s="39" t="str">
        <f>データ!T279</f>
        <v>-</v>
      </c>
      <c r="BD279" s="41" t="s">
        <v>1024</v>
      </c>
      <c r="BE279" s="40" t="s">
        <v>1320</v>
      </c>
      <c r="BF279" s="39" t="str">
        <f>データ!U279</f>
        <v>-</v>
      </c>
      <c r="BG279" s="41" t="s">
        <v>1024</v>
      </c>
      <c r="BH279" s="40" t="s">
        <v>1319</v>
      </c>
      <c r="BI279" s="39" t="str">
        <f>データ!V279</f>
        <v>精鋭化ユニット</v>
      </c>
      <c r="BJ279" s="41" t="s">
        <v>1024</v>
      </c>
      <c r="BK279" s="10" t="s">
        <v>1019</v>
      </c>
    </row>
    <row r="280" spans="1:63" x14ac:dyDescent="0.15">
      <c r="A280" s="10" t="s">
        <v>1016</v>
      </c>
      <c r="B280" s="10" t="s">
        <v>1454</v>
      </c>
      <c r="C280" s="38" t="str">
        <f>"./images/thumbnail/"&amp;データ!B280&amp;".jpg"</f>
        <v>./images/thumbnail/1490_b.jpg</v>
      </c>
      <c r="D280" s="38" t="s">
        <v>1455</v>
      </c>
      <c r="E280" s="38" t="str">
        <f>"./images/thumbnail/"&amp;データ!B280&amp;".jpg"</f>
        <v>./images/thumbnail/1490_b.jpg</v>
      </c>
      <c r="F280" s="38" t="s">
        <v>1116</v>
      </c>
      <c r="G280" s="38" t="s">
        <v>1319</v>
      </c>
      <c r="H280" s="38" t="str">
        <f>データ!C280</f>
        <v>アーデルハイド</v>
      </c>
      <c r="I280" s="38" t="s">
        <v>1024</v>
      </c>
      <c r="J280" s="38" t="s">
        <v>1320</v>
      </c>
      <c r="K280" s="38" t="str">
        <f>データ!D280</f>
        <v>UR</v>
      </c>
      <c r="L280" s="38" t="s">
        <v>1024</v>
      </c>
      <c r="M280" s="38" t="s">
        <v>1321</v>
      </c>
      <c r="N280" s="38">
        <f>データ!E280</f>
        <v>14</v>
      </c>
      <c r="O280" s="38" t="s">
        <v>1024</v>
      </c>
      <c r="P280" s="38" t="s">
        <v>1319</v>
      </c>
      <c r="Q280" s="38" t="str">
        <f>データ!F280</f>
        <v>突</v>
      </c>
      <c r="R280" s="38" t="s">
        <v>1024</v>
      </c>
      <c r="S280" s="38" t="s">
        <v>1319</v>
      </c>
      <c r="T280" s="39">
        <f>データ!G280</f>
        <v>28227</v>
      </c>
      <c r="U280" s="40" t="s">
        <v>1024</v>
      </c>
      <c r="V280" s="40" t="s">
        <v>1319</v>
      </c>
      <c r="W280" s="39">
        <f>データ!H280</f>
        <v>7458</v>
      </c>
      <c r="X280" s="40" t="s">
        <v>1024</v>
      </c>
      <c r="Y280" s="40" t="s">
        <v>1319</v>
      </c>
      <c r="Z280" s="39">
        <f>データ!I280</f>
        <v>10066</v>
      </c>
      <c r="AA280" s="40" t="s">
        <v>1024</v>
      </c>
      <c r="AB280" s="40" t="s">
        <v>1322</v>
      </c>
      <c r="AC280" s="39" t="str">
        <f>データ!J280</f>
        <v>SS4</v>
      </c>
      <c r="AD280" s="38" t="s">
        <v>1024</v>
      </c>
      <c r="AE280" s="40" t="s">
        <v>1323</v>
      </c>
      <c r="AF280" s="39">
        <f>データ!K280</f>
        <v>45751</v>
      </c>
      <c r="AG280" s="40" t="s">
        <v>1024</v>
      </c>
      <c r="AH280" s="40" t="s">
        <v>1324</v>
      </c>
      <c r="AI280" s="39" t="str">
        <f>データ!L280</f>
        <v>蒼突の神威</v>
      </c>
      <c r="AJ280" s="10" t="s">
        <v>1113</v>
      </c>
      <c r="AK280" s="39" t="str">
        <f>データ!M280</f>
        <v>味方突属性の攻撃力をUP[特大]</v>
      </c>
      <c r="AL280" s="10" t="s">
        <v>1024</v>
      </c>
      <c r="AM280" s="40" t="s">
        <v>1325</v>
      </c>
      <c r="AN280" s="39" t="str">
        <f>データ!N280</f>
        <v>-</v>
      </c>
      <c r="AO280" s="10" t="s">
        <v>1113</v>
      </c>
      <c r="AP280" s="39" t="str">
        <f>データ!O280</f>
        <v>　</v>
      </c>
      <c r="AQ280" s="41" t="s">
        <v>1024</v>
      </c>
      <c r="AR280" s="40" t="s">
        <v>1324</v>
      </c>
      <c r="AS280" s="39" t="str">
        <f>データ!P280</f>
        <v>新年の朝暉</v>
      </c>
      <c r="AT280" s="10" t="s">
        <v>1113</v>
      </c>
      <c r="AU280" s="39" t="str">
        <f>データ!Q280</f>
        <v>強襲が発生無効、バトル時に攻・防特大UP(5分間)</v>
      </c>
      <c r="AV280" s="10" t="s">
        <v>1024</v>
      </c>
      <c r="AW280" s="40" t="s">
        <v>1324</v>
      </c>
      <c r="AX280" s="39" t="str">
        <f>データ!R280</f>
        <v>-</v>
      </c>
      <c r="AY280" s="10" t="s">
        <v>1113</v>
      </c>
      <c r="AZ280" s="39" t="str">
        <f>データ!S280</f>
        <v>　</v>
      </c>
      <c r="BA280" s="41" t="s">
        <v>1024</v>
      </c>
      <c r="BB280" s="40" t="s">
        <v>1319</v>
      </c>
      <c r="BC280" s="39" t="str">
        <f>データ!T280</f>
        <v>-</v>
      </c>
      <c r="BD280" s="41" t="s">
        <v>1024</v>
      </c>
      <c r="BE280" s="40" t="s">
        <v>1320</v>
      </c>
      <c r="BF280" s="39" t="str">
        <f>データ!U280</f>
        <v>-</v>
      </c>
      <c r="BG280" s="41" t="s">
        <v>1024</v>
      </c>
      <c r="BH280" s="40" t="s">
        <v>1319</v>
      </c>
      <c r="BI280" s="39" t="str">
        <f>データ!V280</f>
        <v>精鋭化ユニット</v>
      </c>
      <c r="BJ280" s="41" t="s">
        <v>1024</v>
      </c>
      <c r="BK280" s="10" t="s">
        <v>1019</v>
      </c>
    </row>
    <row r="281" spans="1:63" x14ac:dyDescent="0.15">
      <c r="A281" s="10" t="s">
        <v>1016</v>
      </c>
      <c r="B281" s="10" t="s">
        <v>1454</v>
      </c>
      <c r="C281" s="38" t="str">
        <f>"./images/thumbnail/"&amp;データ!B281&amp;".jpg"</f>
        <v>./images/thumbnail/1491.jpg</v>
      </c>
      <c r="D281" s="38" t="s">
        <v>1455</v>
      </c>
      <c r="E281" s="38" t="str">
        <f>"./images/thumbnail/"&amp;データ!B281&amp;".jpg"</f>
        <v>./images/thumbnail/1491.jpg</v>
      </c>
      <c r="F281" s="38" t="s">
        <v>1116</v>
      </c>
      <c r="G281" s="38" t="s">
        <v>1319</v>
      </c>
      <c r="H281" s="38" t="str">
        <f>データ!C281</f>
        <v>フォルテ</v>
      </c>
      <c r="I281" s="38" t="s">
        <v>1024</v>
      </c>
      <c r="J281" s="38" t="s">
        <v>1320</v>
      </c>
      <c r="K281" s="38" t="str">
        <f>データ!D281</f>
        <v>UR</v>
      </c>
      <c r="L281" s="38" t="s">
        <v>1024</v>
      </c>
      <c r="M281" s="38" t="s">
        <v>1321</v>
      </c>
      <c r="N281" s="38">
        <f>データ!E281</f>
        <v>14</v>
      </c>
      <c r="O281" s="38" t="s">
        <v>1024</v>
      </c>
      <c r="P281" s="38" t="s">
        <v>1319</v>
      </c>
      <c r="Q281" s="38" t="str">
        <f>データ!F281</f>
        <v>遠</v>
      </c>
      <c r="R281" s="38" t="s">
        <v>1024</v>
      </c>
      <c r="S281" s="38" t="s">
        <v>1319</v>
      </c>
      <c r="T281" s="39">
        <f>データ!G281</f>
        <v>18045</v>
      </c>
      <c r="U281" s="40" t="s">
        <v>1024</v>
      </c>
      <c r="V281" s="40" t="s">
        <v>1319</v>
      </c>
      <c r="W281" s="39">
        <f>データ!H281</f>
        <v>6298</v>
      </c>
      <c r="X281" s="40" t="s">
        <v>1024</v>
      </c>
      <c r="Y281" s="40" t="s">
        <v>1319</v>
      </c>
      <c r="Z281" s="39">
        <f>データ!I281</f>
        <v>6477</v>
      </c>
      <c r="AA281" s="40" t="s">
        <v>1024</v>
      </c>
      <c r="AB281" s="40" t="s">
        <v>1322</v>
      </c>
      <c r="AC281" s="39" t="str">
        <f>データ!J281</f>
        <v>S+</v>
      </c>
      <c r="AD281" s="38" t="s">
        <v>1024</v>
      </c>
      <c r="AE281" s="40" t="s">
        <v>1323</v>
      </c>
      <c r="AF281" s="39">
        <f>データ!K281</f>
        <v>30820</v>
      </c>
      <c r="AG281" s="40" t="s">
        <v>1024</v>
      </c>
      <c r="AH281" s="40" t="s">
        <v>1324</v>
      </c>
      <c r="AI281" s="39" t="str">
        <f>データ!L281</f>
        <v>暗闇の言霊／煌</v>
      </c>
      <c r="AJ281" s="10" t="s">
        <v>1113</v>
      </c>
      <c r="AK281" s="39" t="str">
        <f>データ!M281</f>
        <v>一定確率で敵を暗闇状態にする[超高確率]</v>
      </c>
      <c r="AL281" s="10" t="s">
        <v>1024</v>
      </c>
      <c r="AM281" s="40" t="s">
        <v>1325</v>
      </c>
      <c r="AN281" s="39" t="str">
        <f>データ!N281</f>
        <v>-</v>
      </c>
      <c r="AO281" s="10" t="s">
        <v>1113</v>
      </c>
      <c r="AP281" s="39" t="str">
        <f>データ!O281</f>
        <v>　</v>
      </c>
      <c r="AQ281" s="41" t="s">
        <v>1024</v>
      </c>
      <c r="AR281" s="40" t="s">
        <v>1324</v>
      </c>
      <c r="AS281" s="39" t="str">
        <f>データ!P281</f>
        <v>ジャガーノート／絶</v>
      </c>
      <c r="AT281" s="10" t="s">
        <v>1113</v>
      </c>
      <c r="AU281" s="39" t="str">
        <f>データ!Q281</f>
        <v>バトルで敵を全滅するとBPが大回復(バトル3回)</v>
      </c>
      <c r="AV281" s="10" t="s">
        <v>1024</v>
      </c>
      <c r="AW281" s="40" t="s">
        <v>1324</v>
      </c>
      <c r="AX281" s="39" t="str">
        <f>データ!R281</f>
        <v>-</v>
      </c>
      <c r="AY281" s="10" t="s">
        <v>1113</v>
      </c>
      <c r="AZ281" s="39" t="str">
        <f>データ!S281</f>
        <v>　</v>
      </c>
      <c r="BA281" s="41" t="s">
        <v>1024</v>
      </c>
      <c r="BB281" s="40" t="s">
        <v>1319</v>
      </c>
      <c r="BC281" s="39" t="str">
        <f>データ!T281</f>
        <v>-</v>
      </c>
      <c r="BD281" s="41" t="s">
        <v>1024</v>
      </c>
      <c r="BE281" s="40" t="s">
        <v>1320</v>
      </c>
      <c r="BF281" s="39" t="str">
        <f>データ!U281</f>
        <v>-</v>
      </c>
      <c r="BG281" s="41" t="s">
        <v>1024</v>
      </c>
      <c r="BH281" s="40" t="s">
        <v>1319</v>
      </c>
      <c r="BI281" s="39" t="str">
        <f>データ!V281</f>
        <v>ガチャイベ</v>
      </c>
      <c r="BJ281" s="41" t="s">
        <v>1024</v>
      </c>
      <c r="BK281" s="10" t="s">
        <v>1019</v>
      </c>
    </row>
    <row r="282" spans="1:63" x14ac:dyDescent="0.15">
      <c r="A282" s="10" t="s">
        <v>1016</v>
      </c>
      <c r="B282" s="10" t="s">
        <v>1454</v>
      </c>
      <c r="C282" s="38" t="str">
        <f>"./images/thumbnail/"&amp;データ!B282&amp;".jpg"</f>
        <v>./images/thumbnail/1492.jpg</v>
      </c>
      <c r="D282" s="38" t="s">
        <v>1455</v>
      </c>
      <c r="E282" s="38" t="str">
        <f>"./images/thumbnail/"&amp;データ!B282&amp;".jpg"</f>
        <v>./images/thumbnail/1492.jpg</v>
      </c>
      <c r="F282" s="38" t="s">
        <v>1116</v>
      </c>
      <c r="G282" s="38" t="s">
        <v>1319</v>
      </c>
      <c r="H282" s="38" t="str">
        <f>データ!C282</f>
        <v>フェルゼン</v>
      </c>
      <c r="I282" s="38" t="s">
        <v>1024</v>
      </c>
      <c r="J282" s="38" t="s">
        <v>1320</v>
      </c>
      <c r="K282" s="38" t="str">
        <f>データ!D282</f>
        <v>SSR</v>
      </c>
      <c r="L282" s="38" t="s">
        <v>1024</v>
      </c>
      <c r="M282" s="38" t="s">
        <v>1321</v>
      </c>
      <c r="N282" s="38">
        <f>データ!E282</f>
        <v>13</v>
      </c>
      <c r="O282" s="38" t="s">
        <v>1024</v>
      </c>
      <c r="P282" s="38" t="s">
        <v>1319</v>
      </c>
      <c r="Q282" s="38" t="str">
        <f>データ!F282</f>
        <v>斬</v>
      </c>
      <c r="R282" s="38" t="s">
        <v>1024</v>
      </c>
      <c r="S282" s="38" t="s">
        <v>1319</v>
      </c>
      <c r="T282" s="39">
        <f>データ!G282</f>
        <v>15700</v>
      </c>
      <c r="U282" s="40" t="s">
        <v>1024</v>
      </c>
      <c r="V282" s="40" t="s">
        <v>1319</v>
      </c>
      <c r="W282" s="39">
        <f>データ!H282</f>
        <v>7227</v>
      </c>
      <c r="X282" s="40" t="s">
        <v>1024</v>
      </c>
      <c r="Y282" s="40" t="s">
        <v>1319</v>
      </c>
      <c r="Z282" s="39">
        <f>データ!I282</f>
        <v>5347</v>
      </c>
      <c r="AA282" s="40" t="s">
        <v>1024</v>
      </c>
      <c r="AB282" s="40" t="s">
        <v>1322</v>
      </c>
      <c r="AC282" s="39" t="str">
        <f>データ!J282</f>
        <v>A+</v>
      </c>
      <c r="AD282" s="38" t="s">
        <v>1024</v>
      </c>
      <c r="AE282" s="40" t="s">
        <v>1323</v>
      </c>
      <c r="AF282" s="39">
        <f>データ!K282</f>
        <v>28274</v>
      </c>
      <c r="AG282" s="40" t="s">
        <v>1024</v>
      </c>
      <c r="AH282" s="40" t="s">
        <v>1324</v>
      </c>
      <c r="AI282" s="39" t="str">
        <f>データ!L282</f>
        <v>猛毒の言霊／絶</v>
      </c>
      <c r="AJ282" s="10" t="s">
        <v>1113</v>
      </c>
      <c r="AK282" s="39" t="str">
        <f>データ!M282</f>
        <v>一定確率で敵を猛毒状態にする[高確率]</v>
      </c>
      <c r="AL282" s="10" t="s">
        <v>1024</v>
      </c>
      <c r="AM282" s="40" t="s">
        <v>1325</v>
      </c>
      <c r="AN282" s="39" t="str">
        <f>データ!N282</f>
        <v>-</v>
      </c>
      <c r="AO282" s="10" t="s">
        <v>1113</v>
      </c>
      <c r="AP282" s="39" t="str">
        <f>データ!O282</f>
        <v>　</v>
      </c>
      <c r="AQ282" s="41" t="s">
        <v>1024</v>
      </c>
      <c r="AR282" s="40" t="s">
        <v>1324</v>
      </c>
      <c r="AS282" s="39" t="str">
        <f>データ!P282</f>
        <v>ヒール／真斬紅</v>
      </c>
      <c r="AT282" s="10" t="s">
        <v>1113</v>
      </c>
      <c r="AU282" s="39" t="str">
        <f>データ!Q282</f>
        <v>斬属性の生存ユニットのHPを高確率で全回復</v>
      </c>
      <c r="AV282" s="10" t="s">
        <v>1024</v>
      </c>
      <c r="AW282" s="40" t="s">
        <v>1324</v>
      </c>
      <c r="AX282" s="39" t="str">
        <f>データ!R282</f>
        <v>-</v>
      </c>
      <c r="AY282" s="10" t="s">
        <v>1113</v>
      </c>
      <c r="AZ282" s="39" t="str">
        <f>データ!S282</f>
        <v>　</v>
      </c>
      <c r="BA282" s="41" t="s">
        <v>1024</v>
      </c>
      <c r="BB282" s="40" t="s">
        <v>1319</v>
      </c>
      <c r="BC282" s="39" t="str">
        <f>データ!T282</f>
        <v>-</v>
      </c>
      <c r="BD282" s="41" t="s">
        <v>1024</v>
      </c>
      <c r="BE282" s="40" t="s">
        <v>1320</v>
      </c>
      <c r="BF282" s="39" t="str">
        <f>データ!U282</f>
        <v>-</v>
      </c>
      <c r="BG282" s="41" t="s">
        <v>1024</v>
      </c>
      <c r="BH282" s="40" t="s">
        <v>1319</v>
      </c>
      <c r="BI282" s="39" t="str">
        <f>データ!V282</f>
        <v>誓いイベ</v>
      </c>
      <c r="BJ282" s="41" t="s">
        <v>1024</v>
      </c>
      <c r="BK282" s="10" t="s">
        <v>1019</v>
      </c>
    </row>
    <row r="283" spans="1:63" x14ac:dyDescent="0.15">
      <c r="A283" s="10" t="s">
        <v>1016</v>
      </c>
      <c r="B283" s="10" t="s">
        <v>1454</v>
      </c>
      <c r="C283" s="38" t="str">
        <f>"./images/thumbnail/"&amp;データ!B283&amp;".jpg"</f>
        <v>./images/thumbnail/1494.jpg</v>
      </c>
      <c r="D283" s="38" t="s">
        <v>1455</v>
      </c>
      <c r="E283" s="38" t="str">
        <f>"./images/thumbnail/"&amp;データ!B283&amp;".jpg"</f>
        <v>./images/thumbnail/1494.jpg</v>
      </c>
      <c r="F283" s="38" t="s">
        <v>1116</v>
      </c>
      <c r="G283" s="38" t="s">
        <v>1319</v>
      </c>
      <c r="H283" s="38" t="str">
        <f>データ!C283</f>
        <v>アラム</v>
      </c>
      <c r="I283" s="38" t="s">
        <v>1024</v>
      </c>
      <c r="J283" s="38" t="s">
        <v>1320</v>
      </c>
      <c r="K283" s="38" t="str">
        <f>データ!D283</f>
        <v>SSR</v>
      </c>
      <c r="L283" s="38" t="s">
        <v>1024</v>
      </c>
      <c r="M283" s="38" t="s">
        <v>1321</v>
      </c>
      <c r="N283" s="38">
        <f>データ!E283</f>
        <v>13</v>
      </c>
      <c r="O283" s="38" t="s">
        <v>1024</v>
      </c>
      <c r="P283" s="38" t="s">
        <v>1319</v>
      </c>
      <c r="Q283" s="38" t="str">
        <f>データ!F283</f>
        <v>斬</v>
      </c>
      <c r="R283" s="38" t="s">
        <v>1024</v>
      </c>
      <c r="S283" s="38" t="s">
        <v>1319</v>
      </c>
      <c r="T283" s="39">
        <f>データ!G283</f>
        <v>16877</v>
      </c>
      <c r="U283" s="40" t="s">
        <v>1024</v>
      </c>
      <c r="V283" s="40" t="s">
        <v>1319</v>
      </c>
      <c r="W283" s="39">
        <f>データ!H283</f>
        <v>7758</v>
      </c>
      <c r="X283" s="40" t="s">
        <v>1024</v>
      </c>
      <c r="Y283" s="40" t="s">
        <v>1319</v>
      </c>
      <c r="Z283" s="39">
        <f>データ!I283</f>
        <v>4760</v>
      </c>
      <c r="AA283" s="40" t="s">
        <v>1024</v>
      </c>
      <c r="AB283" s="40" t="s">
        <v>1322</v>
      </c>
      <c r="AC283" s="39" t="str">
        <f>データ!J283</f>
        <v>A+</v>
      </c>
      <c r="AD283" s="38" t="s">
        <v>1024</v>
      </c>
      <c r="AE283" s="40" t="s">
        <v>1323</v>
      </c>
      <c r="AF283" s="39">
        <f>データ!K283</f>
        <v>29395</v>
      </c>
      <c r="AG283" s="40" t="s">
        <v>1024</v>
      </c>
      <c r="AH283" s="40" t="s">
        <v>1324</v>
      </c>
      <c r="AI283" s="39" t="str">
        <f>データ!L283</f>
        <v>地魔幻の閃光／絶</v>
      </c>
      <c r="AJ283" s="10" t="s">
        <v>1113</v>
      </c>
      <c r="AK283" s="39" t="str">
        <f>データ!M283</f>
        <v>縦一列に攻撃[大]自分の防御力UP[大]</v>
      </c>
      <c r="AL283" s="10" t="s">
        <v>1024</v>
      </c>
      <c r="AM283" s="40" t="s">
        <v>1325</v>
      </c>
      <c r="AN283" s="39" t="str">
        <f>データ!N283</f>
        <v>-</v>
      </c>
      <c r="AO283" s="10" t="s">
        <v>1113</v>
      </c>
      <c r="AP283" s="39" t="str">
        <f>データ!O283</f>
        <v>　</v>
      </c>
      <c r="AQ283" s="41" t="s">
        <v>1024</v>
      </c>
      <c r="AR283" s="40" t="s">
        <v>1324</v>
      </c>
      <c r="AS283" s="39" t="str">
        <f>データ!P283</f>
        <v>アクセラレーター／真</v>
      </c>
      <c r="AT283" s="10" t="s">
        <v>1113</v>
      </c>
      <c r="AU283" s="39" t="str">
        <f>データ!Q283</f>
        <v>パーティ全体の速度が中UP(3分間)</v>
      </c>
      <c r="AV283" s="10" t="s">
        <v>1024</v>
      </c>
      <c r="AW283" s="40" t="s">
        <v>1324</v>
      </c>
      <c r="AX283" s="39" t="str">
        <f>データ!R283</f>
        <v>-</v>
      </c>
      <c r="AY283" s="10" t="s">
        <v>1113</v>
      </c>
      <c r="AZ283" s="39" t="str">
        <f>データ!S283</f>
        <v>　</v>
      </c>
      <c r="BA283" s="41" t="s">
        <v>1024</v>
      </c>
      <c r="BB283" s="40" t="s">
        <v>1319</v>
      </c>
      <c r="BC283" s="39" t="str">
        <f>データ!T283</f>
        <v>-</v>
      </c>
      <c r="BD283" s="41" t="s">
        <v>1024</v>
      </c>
      <c r="BE283" s="40" t="s">
        <v>1320</v>
      </c>
      <c r="BF283" s="39" t="str">
        <f>データ!U283</f>
        <v>-</v>
      </c>
      <c r="BG283" s="41" t="s">
        <v>1024</v>
      </c>
      <c r="BH283" s="40" t="s">
        <v>1319</v>
      </c>
      <c r="BI283" s="39" t="str">
        <f>データ!V283</f>
        <v>チェインクロニクルコラボ</v>
      </c>
      <c r="BJ283" s="41" t="s">
        <v>1024</v>
      </c>
      <c r="BK283" s="10" t="s">
        <v>1019</v>
      </c>
    </row>
    <row r="284" spans="1:63" x14ac:dyDescent="0.15">
      <c r="A284" s="10" t="s">
        <v>1016</v>
      </c>
      <c r="B284" s="10" t="s">
        <v>1454</v>
      </c>
      <c r="C284" s="38" t="str">
        <f>"./images/thumbnail/"&amp;データ!B284&amp;".jpg"</f>
        <v>./images/thumbnail/1496.jpg</v>
      </c>
      <c r="D284" s="38" t="s">
        <v>1455</v>
      </c>
      <c r="E284" s="38" t="str">
        <f>"./images/thumbnail/"&amp;データ!B284&amp;".jpg"</f>
        <v>./images/thumbnail/1496.jpg</v>
      </c>
      <c r="F284" s="38" t="s">
        <v>1116</v>
      </c>
      <c r="G284" s="38" t="s">
        <v>1319</v>
      </c>
      <c r="H284" s="38" t="str">
        <f>データ!C284</f>
        <v>ユーリ</v>
      </c>
      <c r="I284" s="38" t="s">
        <v>1024</v>
      </c>
      <c r="J284" s="38" t="s">
        <v>1320</v>
      </c>
      <c r="K284" s="38" t="str">
        <f>データ!D284</f>
        <v>SSR</v>
      </c>
      <c r="L284" s="38" t="s">
        <v>1024</v>
      </c>
      <c r="M284" s="38" t="s">
        <v>1321</v>
      </c>
      <c r="N284" s="38">
        <f>データ!E284</f>
        <v>12</v>
      </c>
      <c r="O284" s="38" t="s">
        <v>1024</v>
      </c>
      <c r="P284" s="38" t="s">
        <v>1319</v>
      </c>
      <c r="Q284" s="38" t="str">
        <f>データ!F284</f>
        <v>斬</v>
      </c>
      <c r="R284" s="38" t="s">
        <v>1024</v>
      </c>
      <c r="S284" s="38" t="s">
        <v>1319</v>
      </c>
      <c r="T284" s="39">
        <f>データ!G284</f>
        <v>14922</v>
      </c>
      <c r="U284" s="40" t="s">
        <v>1024</v>
      </c>
      <c r="V284" s="40" t="s">
        <v>1319</v>
      </c>
      <c r="W284" s="39">
        <f>データ!H284</f>
        <v>6862</v>
      </c>
      <c r="X284" s="40" t="s">
        <v>1024</v>
      </c>
      <c r="Y284" s="40" t="s">
        <v>1319</v>
      </c>
      <c r="Z284" s="39">
        <f>データ!I284</f>
        <v>4893</v>
      </c>
      <c r="AA284" s="40" t="s">
        <v>1024</v>
      </c>
      <c r="AB284" s="40" t="s">
        <v>1322</v>
      </c>
      <c r="AC284" s="39" t="str">
        <f>データ!J284</f>
        <v>A+</v>
      </c>
      <c r="AD284" s="38" t="s">
        <v>1024</v>
      </c>
      <c r="AE284" s="40" t="s">
        <v>1323</v>
      </c>
      <c r="AF284" s="39">
        <f>データ!K284</f>
        <v>26677</v>
      </c>
      <c r="AG284" s="40" t="s">
        <v>1024</v>
      </c>
      <c r="AH284" s="40" t="s">
        <v>1324</v>
      </c>
      <c r="AI284" s="39" t="str">
        <f>データ!L284</f>
        <v>覇道</v>
      </c>
      <c r="AJ284" s="10" t="s">
        <v>1113</v>
      </c>
      <c r="AK284" s="39" t="str">
        <f>データ!M284</f>
        <v>自分の攻撃力をUP[大]</v>
      </c>
      <c r="AL284" s="10" t="s">
        <v>1024</v>
      </c>
      <c r="AM284" s="40" t="s">
        <v>1325</v>
      </c>
      <c r="AN284" s="39" t="str">
        <f>データ!N284</f>
        <v>-</v>
      </c>
      <c r="AO284" s="10" t="s">
        <v>1113</v>
      </c>
      <c r="AP284" s="39" t="str">
        <f>データ!O284</f>
        <v>　</v>
      </c>
      <c r="AQ284" s="41" t="s">
        <v>1024</v>
      </c>
      <c r="AR284" s="40" t="s">
        <v>1324</v>
      </c>
      <c r="AS284" s="39" t="str">
        <f>データ!P284</f>
        <v>フォースオブウィッシュ／真</v>
      </c>
      <c r="AT284" s="10" t="s">
        <v>1113</v>
      </c>
      <c r="AU284" s="39" t="str">
        <f>データ!Q284</f>
        <v>騎士団全員のBPを中回復</v>
      </c>
      <c r="AV284" s="10" t="s">
        <v>1024</v>
      </c>
      <c r="AW284" s="40" t="s">
        <v>1324</v>
      </c>
      <c r="AX284" s="39" t="str">
        <f>データ!R284</f>
        <v>-</v>
      </c>
      <c r="AY284" s="10" t="s">
        <v>1113</v>
      </c>
      <c r="AZ284" s="39" t="str">
        <f>データ!S284</f>
        <v>　</v>
      </c>
      <c r="BA284" s="41" t="s">
        <v>1024</v>
      </c>
      <c r="BB284" s="40" t="s">
        <v>1319</v>
      </c>
      <c r="BC284" s="39" t="str">
        <f>データ!T284</f>
        <v>-</v>
      </c>
      <c r="BD284" s="41" t="s">
        <v>1024</v>
      </c>
      <c r="BE284" s="40" t="s">
        <v>1320</v>
      </c>
      <c r="BF284" s="39" t="str">
        <f>データ!U284</f>
        <v>-</v>
      </c>
      <c r="BG284" s="41" t="s">
        <v>1024</v>
      </c>
      <c r="BH284" s="40" t="s">
        <v>1319</v>
      </c>
      <c r="BI284" s="39" t="str">
        <f>データ!V284</f>
        <v>チェインクロニクルコラボ</v>
      </c>
      <c r="BJ284" s="41" t="s">
        <v>1024</v>
      </c>
      <c r="BK284" s="10" t="s">
        <v>1019</v>
      </c>
    </row>
    <row r="285" spans="1:63" x14ac:dyDescent="0.15">
      <c r="A285" s="10" t="s">
        <v>1016</v>
      </c>
      <c r="B285" s="10" t="s">
        <v>1454</v>
      </c>
      <c r="C285" s="38" t="str">
        <f>"./images/thumbnail/"&amp;データ!B285&amp;".jpg"</f>
        <v>./images/thumbnail/1497.jpg</v>
      </c>
      <c r="D285" s="38" t="s">
        <v>1455</v>
      </c>
      <c r="E285" s="38" t="str">
        <f>"./images/thumbnail/"&amp;データ!B285&amp;".jpg"</f>
        <v>./images/thumbnail/1497.jpg</v>
      </c>
      <c r="F285" s="38" t="s">
        <v>1116</v>
      </c>
      <c r="G285" s="38" t="s">
        <v>1319</v>
      </c>
      <c r="H285" s="38" t="str">
        <f>データ!C285</f>
        <v>ユーリ</v>
      </c>
      <c r="I285" s="38" t="s">
        <v>1024</v>
      </c>
      <c r="J285" s="38" t="s">
        <v>1320</v>
      </c>
      <c r="K285" s="38" t="str">
        <f>データ!D285</f>
        <v>UR</v>
      </c>
      <c r="L285" s="38" t="s">
        <v>1024</v>
      </c>
      <c r="M285" s="38" t="s">
        <v>1321</v>
      </c>
      <c r="N285" s="38">
        <f>データ!E285</f>
        <v>14</v>
      </c>
      <c r="O285" s="38" t="s">
        <v>1024</v>
      </c>
      <c r="P285" s="38" t="s">
        <v>1319</v>
      </c>
      <c r="Q285" s="38" t="str">
        <f>データ!F285</f>
        <v>斬</v>
      </c>
      <c r="R285" s="38" t="s">
        <v>1024</v>
      </c>
      <c r="S285" s="38" t="s">
        <v>1319</v>
      </c>
      <c r="T285" s="39">
        <f>データ!G285</f>
        <v>17283</v>
      </c>
      <c r="U285" s="40" t="s">
        <v>1024</v>
      </c>
      <c r="V285" s="40" t="s">
        <v>1319</v>
      </c>
      <c r="W285" s="39">
        <f>データ!H285</f>
        <v>7955</v>
      </c>
      <c r="X285" s="40" t="s">
        <v>1024</v>
      </c>
      <c r="Y285" s="40" t="s">
        <v>1319</v>
      </c>
      <c r="Z285" s="39">
        <f>データ!I285</f>
        <v>6309</v>
      </c>
      <c r="AA285" s="40" t="s">
        <v>1024</v>
      </c>
      <c r="AB285" s="40" t="s">
        <v>1322</v>
      </c>
      <c r="AC285" s="39" t="str">
        <f>データ!J285</f>
        <v>S</v>
      </c>
      <c r="AD285" s="38" t="s">
        <v>1024</v>
      </c>
      <c r="AE285" s="40" t="s">
        <v>1323</v>
      </c>
      <c r="AF285" s="39">
        <f>データ!K285</f>
        <v>31547</v>
      </c>
      <c r="AG285" s="40" t="s">
        <v>1024</v>
      </c>
      <c r="AH285" s="40" t="s">
        <v>1324</v>
      </c>
      <c r="AI285" s="39" t="str">
        <f>データ!L285</f>
        <v>焔幻の一閃／煌</v>
      </c>
      <c r="AJ285" s="10" t="s">
        <v>1113</v>
      </c>
      <c r="AK285" s="39" t="str">
        <f>データ!M285</f>
        <v>横一列に攻撃[特大]</v>
      </c>
      <c r="AL285" s="10" t="s">
        <v>1024</v>
      </c>
      <c r="AM285" s="40" t="s">
        <v>1325</v>
      </c>
      <c r="AN285" s="39" t="str">
        <f>データ!N285</f>
        <v>-</v>
      </c>
      <c r="AO285" s="10" t="s">
        <v>1113</v>
      </c>
      <c r="AP285" s="39" t="str">
        <f>データ!O285</f>
        <v>　</v>
      </c>
      <c r="AQ285" s="41" t="s">
        <v>1024</v>
      </c>
      <c r="AR285" s="40" t="s">
        <v>1324</v>
      </c>
      <c r="AS285" s="39" t="str">
        <f>データ!P285</f>
        <v>エース／絶</v>
      </c>
      <c r="AT285" s="10" t="s">
        <v>1113</v>
      </c>
      <c r="AU285" s="39" t="str">
        <f>データ!Q285</f>
        <v>パーティ全体の攻・防が大UP(3分間)</v>
      </c>
      <c r="AV285" s="10" t="s">
        <v>1024</v>
      </c>
      <c r="AW285" s="40" t="s">
        <v>1324</v>
      </c>
      <c r="AX285" s="39" t="str">
        <f>データ!R285</f>
        <v>-</v>
      </c>
      <c r="AY285" s="10" t="s">
        <v>1113</v>
      </c>
      <c r="AZ285" s="39" t="str">
        <f>データ!S285</f>
        <v>　</v>
      </c>
      <c r="BA285" s="41" t="s">
        <v>1024</v>
      </c>
      <c r="BB285" s="40" t="s">
        <v>1319</v>
      </c>
      <c r="BC285" s="39" t="str">
        <f>データ!T285</f>
        <v>-</v>
      </c>
      <c r="BD285" s="41" t="s">
        <v>1024</v>
      </c>
      <c r="BE285" s="40" t="s">
        <v>1320</v>
      </c>
      <c r="BF285" s="39" t="str">
        <f>データ!U285</f>
        <v>-</v>
      </c>
      <c r="BG285" s="41" t="s">
        <v>1024</v>
      </c>
      <c r="BH285" s="40" t="s">
        <v>1319</v>
      </c>
      <c r="BI285" s="39" t="str">
        <f>データ!V285</f>
        <v>チェインクロニクルコラボ</v>
      </c>
      <c r="BJ285" s="41" t="s">
        <v>1024</v>
      </c>
      <c r="BK285" s="10" t="s">
        <v>1019</v>
      </c>
    </row>
    <row r="286" spans="1:63" x14ac:dyDescent="0.15">
      <c r="A286" s="10" t="s">
        <v>1016</v>
      </c>
      <c r="B286" s="10" t="s">
        <v>1454</v>
      </c>
      <c r="C286" s="38" t="str">
        <f>"./images/thumbnail/"&amp;データ!B286&amp;".jpg"</f>
        <v>./images/thumbnail/1499.jpg</v>
      </c>
      <c r="D286" s="38" t="s">
        <v>1455</v>
      </c>
      <c r="E286" s="38" t="str">
        <f>"./images/thumbnail/"&amp;データ!B286&amp;".jpg"</f>
        <v>./images/thumbnail/1499.jpg</v>
      </c>
      <c r="F286" s="38" t="s">
        <v>1116</v>
      </c>
      <c r="G286" s="38" t="s">
        <v>1319</v>
      </c>
      <c r="H286" s="38" t="str">
        <f>データ!C286</f>
        <v>ユリアナ</v>
      </c>
      <c r="I286" s="38" t="s">
        <v>1024</v>
      </c>
      <c r="J286" s="38" t="s">
        <v>1320</v>
      </c>
      <c r="K286" s="38" t="str">
        <f>データ!D286</f>
        <v>SSR</v>
      </c>
      <c r="L286" s="38" t="s">
        <v>1024</v>
      </c>
      <c r="M286" s="38" t="s">
        <v>1321</v>
      </c>
      <c r="N286" s="38">
        <f>データ!E286</f>
        <v>13</v>
      </c>
      <c r="O286" s="38" t="s">
        <v>1024</v>
      </c>
      <c r="P286" s="38" t="s">
        <v>1319</v>
      </c>
      <c r="Q286" s="38" t="str">
        <f>データ!F286</f>
        <v>斬</v>
      </c>
      <c r="R286" s="38" t="s">
        <v>1024</v>
      </c>
      <c r="S286" s="38" t="s">
        <v>1319</v>
      </c>
      <c r="T286" s="39">
        <f>データ!G286</f>
        <v>14544</v>
      </c>
      <c r="U286" s="40" t="s">
        <v>1024</v>
      </c>
      <c r="V286" s="40" t="s">
        <v>1319</v>
      </c>
      <c r="W286" s="39">
        <f>データ!H286</f>
        <v>7679</v>
      </c>
      <c r="X286" s="40" t="s">
        <v>1024</v>
      </c>
      <c r="Y286" s="40" t="s">
        <v>1319</v>
      </c>
      <c r="Z286" s="39">
        <f>データ!I286</f>
        <v>5536</v>
      </c>
      <c r="AA286" s="40" t="s">
        <v>1024</v>
      </c>
      <c r="AB286" s="40" t="s">
        <v>1322</v>
      </c>
      <c r="AC286" s="39" t="str">
        <f>データ!J286</f>
        <v>A+</v>
      </c>
      <c r="AD286" s="38" t="s">
        <v>1024</v>
      </c>
      <c r="AE286" s="40" t="s">
        <v>1323</v>
      </c>
      <c r="AF286" s="39">
        <f>データ!K286</f>
        <v>27759</v>
      </c>
      <c r="AG286" s="40" t="s">
        <v>1024</v>
      </c>
      <c r="AH286" s="40" t="s">
        <v>1324</v>
      </c>
      <c r="AI286" s="39" t="str">
        <f>データ!L286</f>
        <v>斬紅の聖護</v>
      </c>
      <c r="AJ286" s="10" t="s">
        <v>1113</v>
      </c>
      <c r="AK286" s="39" t="str">
        <f>データ!M286</f>
        <v>味方斬属性の防御力をUP[大]</v>
      </c>
      <c r="AL286" s="10" t="s">
        <v>1024</v>
      </c>
      <c r="AM286" s="40" t="s">
        <v>1325</v>
      </c>
      <c r="AN286" s="39" t="str">
        <f>データ!N286</f>
        <v>-</v>
      </c>
      <c r="AO286" s="10" t="s">
        <v>1113</v>
      </c>
      <c r="AP286" s="39" t="str">
        <f>データ!O286</f>
        <v>　</v>
      </c>
      <c r="AQ286" s="41" t="s">
        <v>1024</v>
      </c>
      <c r="AR286" s="40" t="s">
        <v>1324</v>
      </c>
      <c r="AS286" s="39" t="str">
        <f>データ!P286</f>
        <v>アサルトオーダー</v>
      </c>
      <c r="AT286" s="10" t="s">
        <v>1113</v>
      </c>
      <c r="AU286" s="39" t="str">
        <f>データ!Q286</f>
        <v>騎士団全体の攻撃力が小UP(3分間)</v>
      </c>
      <c r="AV286" s="10" t="s">
        <v>1024</v>
      </c>
      <c r="AW286" s="40" t="s">
        <v>1324</v>
      </c>
      <c r="AX286" s="39" t="str">
        <f>データ!R286</f>
        <v>-</v>
      </c>
      <c r="AY286" s="10" t="s">
        <v>1113</v>
      </c>
      <c r="AZ286" s="39" t="str">
        <f>データ!S286</f>
        <v>　</v>
      </c>
      <c r="BA286" s="41" t="s">
        <v>1024</v>
      </c>
      <c r="BB286" s="40" t="s">
        <v>1319</v>
      </c>
      <c r="BC286" s="39" t="str">
        <f>データ!T286</f>
        <v>-</v>
      </c>
      <c r="BD286" s="41" t="s">
        <v>1024</v>
      </c>
      <c r="BE286" s="40" t="s">
        <v>1320</v>
      </c>
      <c r="BF286" s="39" t="str">
        <f>データ!U286</f>
        <v>-</v>
      </c>
      <c r="BG286" s="41" t="s">
        <v>1024</v>
      </c>
      <c r="BH286" s="40" t="s">
        <v>1319</v>
      </c>
      <c r="BI286" s="39" t="str">
        <f>データ!V286</f>
        <v>チェインクロニクルコラボ</v>
      </c>
      <c r="BJ286" s="41" t="s">
        <v>1024</v>
      </c>
      <c r="BK286" s="10" t="s">
        <v>1019</v>
      </c>
    </row>
    <row r="287" spans="1:63" x14ac:dyDescent="0.15">
      <c r="A287" s="10" t="s">
        <v>1016</v>
      </c>
      <c r="B287" s="10" t="s">
        <v>1454</v>
      </c>
      <c r="C287" s="38" t="str">
        <f>"./images/thumbnail/"&amp;データ!B287&amp;".jpg"</f>
        <v>./images/thumbnail/1501.jpg</v>
      </c>
      <c r="D287" s="38" t="s">
        <v>1455</v>
      </c>
      <c r="E287" s="38" t="str">
        <f>"./images/thumbnail/"&amp;データ!B287&amp;".jpg"</f>
        <v>./images/thumbnail/1501.jpg</v>
      </c>
      <c r="F287" s="38" t="s">
        <v>1116</v>
      </c>
      <c r="G287" s="38" t="s">
        <v>1319</v>
      </c>
      <c r="H287" s="38" t="str">
        <f>データ!C287</f>
        <v>フィーナ</v>
      </c>
      <c r="I287" s="38" t="s">
        <v>1024</v>
      </c>
      <c r="J287" s="38" t="s">
        <v>1320</v>
      </c>
      <c r="K287" s="38" t="str">
        <f>データ!D287</f>
        <v>UR</v>
      </c>
      <c r="L287" s="38" t="s">
        <v>1024</v>
      </c>
      <c r="M287" s="38" t="s">
        <v>1321</v>
      </c>
      <c r="N287" s="38">
        <f>データ!E287</f>
        <v>14</v>
      </c>
      <c r="O287" s="38" t="s">
        <v>1024</v>
      </c>
      <c r="P287" s="38" t="s">
        <v>1319</v>
      </c>
      <c r="Q287" s="38" t="str">
        <f>データ!F287</f>
        <v>遠</v>
      </c>
      <c r="R287" s="38" t="s">
        <v>1024</v>
      </c>
      <c r="S287" s="38" t="s">
        <v>1319</v>
      </c>
      <c r="T287" s="39">
        <f>データ!G287</f>
        <v>19187</v>
      </c>
      <c r="U287" s="40" t="s">
        <v>1024</v>
      </c>
      <c r="V287" s="40" t="s">
        <v>1319</v>
      </c>
      <c r="W287" s="39">
        <f>データ!H287</f>
        <v>6697</v>
      </c>
      <c r="X287" s="40" t="s">
        <v>1024</v>
      </c>
      <c r="Y287" s="40" t="s">
        <v>1319</v>
      </c>
      <c r="Z287" s="39">
        <f>データ!I287</f>
        <v>5782</v>
      </c>
      <c r="AA287" s="40" t="s">
        <v>1024</v>
      </c>
      <c r="AB287" s="40" t="s">
        <v>1322</v>
      </c>
      <c r="AC287" s="39" t="str">
        <f>データ!J287</f>
        <v>S+</v>
      </c>
      <c r="AD287" s="38" t="s">
        <v>1024</v>
      </c>
      <c r="AE287" s="40" t="s">
        <v>1323</v>
      </c>
      <c r="AF287" s="39">
        <f>データ!K287</f>
        <v>31666</v>
      </c>
      <c r="AG287" s="40" t="s">
        <v>1024</v>
      </c>
      <c r="AH287" s="40" t="s">
        <v>1324</v>
      </c>
      <c r="AI287" s="39" t="str">
        <f>データ!L287</f>
        <v>幻瞑の包囲陣／煌</v>
      </c>
      <c r="AJ287" s="10" t="s">
        <v>1113</v>
      </c>
      <c r="AK287" s="39" t="str">
        <f>データ!M287</f>
        <v>敵全体に攻撃[特大]</v>
      </c>
      <c r="AL287" s="38" t="s">
        <v>1024</v>
      </c>
      <c r="AM287" s="40" t="s">
        <v>1325</v>
      </c>
      <c r="AN287" s="39" t="str">
        <f>データ!N287</f>
        <v>-</v>
      </c>
      <c r="AO287" s="10" t="s">
        <v>1113</v>
      </c>
      <c r="AP287" s="39" t="str">
        <f>データ!O287</f>
        <v>　</v>
      </c>
      <c r="AQ287" s="41" t="s">
        <v>1024</v>
      </c>
      <c r="AR287" s="40" t="s">
        <v>1324</v>
      </c>
      <c r="AS287" s="39" t="str">
        <f>データ!P287</f>
        <v>フォートレス／絶</v>
      </c>
      <c r="AT287" s="10" t="s">
        <v>1113</v>
      </c>
      <c r="AU287" s="39" t="str">
        <f>データ!Q287</f>
        <v>パーティ全体の防御力が大UP(3分間)</v>
      </c>
      <c r="AV287" s="10" t="s">
        <v>1024</v>
      </c>
      <c r="AW287" s="40" t="s">
        <v>1324</v>
      </c>
      <c r="AX287" s="39" t="str">
        <f>データ!R287</f>
        <v>-</v>
      </c>
      <c r="AY287" s="10" t="s">
        <v>1113</v>
      </c>
      <c r="AZ287" s="39" t="str">
        <f>データ!S287</f>
        <v>　</v>
      </c>
      <c r="BA287" s="41" t="s">
        <v>1024</v>
      </c>
      <c r="BB287" s="40" t="s">
        <v>1319</v>
      </c>
      <c r="BC287" s="39" t="str">
        <f>データ!T287</f>
        <v>-</v>
      </c>
      <c r="BD287" s="41" t="s">
        <v>1024</v>
      </c>
      <c r="BE287" s="40" t="s">
        <v>1320</v>
      </c>
      <c r="BF287" s="39" t="str">
        <f>データ!U287</f>
        <v>-</v>
      </c>
      <c r="BG287" s="41" t="s">
        <v>1024</v>
      </c>
      <c r="BH287" s="40" t="s">
        <v>1319</v>
      </c>
      <c r="BI287" s="39" t="str">
        <f>データ!V287</f>
        <v>チェインクロニクルコラボ</v>
      </c>
      <c r="BJ287" s="41" t="s">
        <v>1024</v>
      </c>
      <c r="BK287" s="10" t="s">
        <v>1019</v>
      </c>
    </row>
    <row r="288" spans="1:63" x14ac:dyDescent="0.15">
      <c r="A288" s="10" t="s">
        <v>1016</v>
      </c>
      <c r="B288" s="10" t="s">
        <v>1454</v>
      </c>
      <c r="C288" s="38" t="str">
        <f>"./images/thumbnail/"&amp;データ!B288&amp;".jpg"</f>
        <v>./images/thumbnail/1503.jpg</v>
      </c>
      <c r="D288" s="38" t="s">
        <v>1455</v>
      </c>
      <c r="E288" s="38" t="str">
        <f>"./images/thumbnail/"&amp;データ!B288&amp;".jpg"</f>
        <v>./images/thumbnail/1503.jpg</v>
      </c>
      <c r="F288" s="38" t="s">
        <v>1116</v>
      </c>
      <c r="G288" s="38" t="s">
        <v>1319</v>
      </c>
      <c r="H288" s="38" t="str">
        <f>データ!C288</f>
        <v>ヴェルナー</v>
      </c>
      <c r="I288" s="38" t="s">
        <v>1024</v>
      </c>
      <c r="J288" s="38" t="s">
        <v>1320</v>
      </c>
      <c r="K288" s="38" t="str">
        <f>データ!D288</f>
        <v>SSR</v>
      </c>
      <c r="L288" s="38" t="s">
        <v>1024</v>
      </c>
      <c r="M288" s="38" t="s">
        <v>1321</v>
      </c>
      <c r="N288" s="38">
        <f>データ!E288</f>
        <v>13</v>
      </c>
      <c r="O288" s="38" t="s">
        <v>1024</v>
      </c>
      <c r="P288" s="38" t="s">
        <v>1319</v>
      </c>
      <c r="Q288" s="38" t="str">
        <f>データ!F288</f>
        <v>遠</v>
      </c>
      <c r="R288" s="38" t="s">
        <v>1024</v>
      </c>
      <c r="S288" s="38" t="s">
        <v>1319</v>
      </c>
      <c r="T288" s="39">
        <f>データ!G288</f>
        <v>16320</v>
      </c>
      <c r="U288" s="40" t="s">
        <v>1024</v>
      </c>
      <c r="V288" s="40" t="s">
        <v>1319</v>
      </c>
      <c r="W288" s="39">
        <f>データ!H288</f>
        <v>6709</v>
      </c>
      <c r="X288" s="40" t="s">
        <v>1024</v>
      </c>
      <c r="Y288" s="40" t="s">
        <v>1319</v>
      </c>
      <c r="Z288" s="39">
        <f>データ!I288</f>
        <v>4685</v>
      </c>
      <c r="AA288" s="40" t="s">
        <v>1024</v>
      </c>
      <c r="AB288" s="40" t="s">
        <v>1322</v>
      </c>
      <c r="AC288" s="39" t="str">
        <f>データ!J288</f>
        <v>S-</v>
      </c>
      <c r="AD288" s="38" t="s">
        <v>1024</v>
      </c>
      <c r="AE288" s="40" t="s">
        <v>1323</v>
      </c>
      <c r="AF288" s="39">
        <f>データ!K288</f>
        <v>27714</v>
      </c>
      <c r="AG288" s="40" t="s">
        <v>1024</v>
      </c>
      <c r="AH288" s="40" t="s">
        <v>1324</v>
      </c>
      <c r="AI288" s="39" t="str">
        <f>データ!L288</f>
        <v>天焔幻の一閃／絶</v>
      </c>
      <c r="AJ288" s="10" t="s">
        <v>1113</v>
      </c>
      <c r="AK288" s="39" t="str">
        <f>データ!M288</f>
        <v>横一列攻撃[大]自分の攻撃力UP[大]</v>
      </c>
      <c r="AL288" s="10" t="s">
        <v>1024</v>
      </c>
      <c r="AM288" s="40" t="s">
        <v>1325</v>
      </c>
      <c r="AN288" s="39" t="str">
        <f>データ!N288</f>
        <v>-</v>
      </c>
      <c r="AO288" s="10" t="s">
        <v>1113</v>
      </c>
      <c r="AP288" s="39" t="str">
        <f>データ!O288</f>
        <v>　</v>
      </c>
      <c r="AQ288" s="41" t="s">
        <v>1024</v>
      </c>
      <c r="AR288" s="40" t="s">
        <v>1324</v>
      </c>
      <c r="AS288" s="39" t="str">
        <f>データ!P288</f>
        <v>カーズ</v>
      </c>
      <c r="AT288" s="10" t="s">
        <v>1113</v>
      </c>
      <c r="AU288" s="39" t="str">
        <f>データ!Q288</f>
        <v>対戦騎士団全体のスキル発動率が小DOWN(3分間)</v>
      </c>
      <c r="AV288" s="10" t="s">
        <v>1024</v>
      </c>
      <c r="AW288" s="40" t="s">
        <v>1324</v>
      </c>
      <c r="AX288" s="39" t="str">
        <f>データ!R288</f>
        <v>-</v>
      </c>
      <c r="AY288" s="10" t="s">
        <v>1113</v>
      </c>
      <c r="AZ288" s="39" t="str">
        <f>データ!S288</f>
        <v>　</v>
      </c>
      <c r="BA288" s="41" t="s">
        <v>1024</v>
      </c>
      <c r="BB288" s="40" t="s">
        <v>1319</v>
      </c>
      <c r="BC288" s="39" t="str">
        <f>データ!T288</f>
        <v>-</v>
      </c>
      <c r="BD288" s="41" t="s">
        <v>1024</v>
      </c>
      <c r="BE288" s="40" t="s">
        <v>1320</v>
      </c>
      <c r="BF288" s="39" t="str">
        <f>データ!U288</f>
        <v>-</v>
      </c>
      <c r="BG288" s="41" t="s">
        <v>1024</v>
      </c>
      <c r="BH288" s="40" t="s">
        <v>1319</v>
      </c>
      <c r="BI288" s="39" t="str">
        <f>データ!V288</f>
        <v>チェインクロニクルコラボ</v>
      </c>
      <c r="BJ288" s="41" t="s">
        <v>1024</v>
      </c>
      <c r="BK288" s="10" t="s">
        <v>1019</v>
      </c>
    </row>
    <row r="289" spans="1:63" x14ac:dyDescent="0.15">
      <c r="A289" s="10" t="s">
        <v>1016</v>
      </c>
      <c r="B289" s="10" t="s">
        <v>1454</v>
      </c>
      <c r="C289" s="38" t="str">
        <f>"./images/thumbnail/"&amp;データ!B289&amp;".jpg"</f>
        <v>./images/thumbnail/1505.jpg</v>
      </c>
      <c r="D289" s="38" t="s">
        <v>1455</v>
      </c>
      <c r="E289" s="38" t="str">
        <f>"./images/thumbnail/"&amp;データ!B289&amp;".jpg"</f>
        <v>./images/thumbnail/1505.jpg</v>
      </c>
      <c r="F289" s="38" t="s">
        <v>1116</v>
      </c>
      <c r="G289" s="38" t="s">
        <v>1319</v>
      </c>
      <c r="H289" s="38" t="str">
        <f>データ!C289</f>
        <v>ジゼル</v>
      </c>
      <c r="I289" s="38" t="s">
        <v>1024</v>
      </c>
      <c r="J289" s="38" t="s">
        <v>1320</v>
      </c>
      <c r="K289" s="38" t="str">
        <f>データ!D289</f>
        <v>UR</v>
      </c>
      <c r="L289" s="38" t="s">
        <v>1024</v>
      </c>
      <c r="M289" s="38" t="s">
        <v>1321</v>
      </c>
      <c r="N289" s="38">
        <f>データ!E289</f>
        <v>14</v>
      </c>
      <c r="O289" s="38" t="s">
        <v>1024</v>
      </c>
      <c r="P289" s="38" t="s">
        <v>1319</v>
      </c>
      <c r="Q289" s="38" t="str">
        <f>データ!F289</f>
        <v>突</v>
      </c>
      <c r="R289" s="38" t="s">
        <v>1024</v>
      </c>
      <c r="S289" s="38" t="s">
        <v>1319</v>
      </c>
      <c r="T289" s="39">
        <f>データ!G289</f>
        <v>22006</v>
      </c>
      <c r="U289" s="40" t="s">
        <v>1024</v>
      </c>
      <c r="V289" s="40" t="s">
        <v>1319</v>
      </c>
      <c r="W289" s="39">
        <f>データ!H289</f>
        <v>5557</v>
      </c>
      <c r="X289" s="40" t="s">
        <v>1024</v>
      </c>
      <c r="Y289" s="40" t="s">
        <v>1319</v>
      </c>
      <c r="Z289" s="39">
        <f>データ!I289</f>
        <v>6672</v>
      </c>
      <c r="AA289" s="40" t="s">
        <v>1024</v>
      </c>
      <c r="AB289" s="40" t="s">
        <v>1322</v>
      </c>
      <c r="AC289" s="39" t="str">
        <f>データ!J289</f>
        <v>SS+</v>
      </c>
      <c r="AD289" s="38" t="s">
        <v>1024</v>
      </c>
      <c r="AE289" s="40" t="s">
        <v>1323</v>
      </c>
      <c r="AF289" s="39">
        <f>データ!K289</f>
        <v>34235</v>
      </c>
      <c r="AG289" s="40" t="s">
        <v>1024</v>
      </c>
      <c r="AH289" s="40" t="s">
        <v>1324</v>
      </c>
      <c r="AI289" s="39" t="str">
        <f>データ!L289</f>
        <v>対紫の薙風／煌</v>
      </c>
      <c r="AJ289" s="10" t="s">
        <v>1113</v>
      </c>
      <c r="AK289" s="39" t="str">
        <f>データ!M289</f>
        <v>打に強く遠に弱い横一列攻撃[特大]</v>
      </c>
      <c r="AL289" s="10" t="s">
        <v>1024</v>
      </c>
      <c r="AM289" s="40" t="s">
        <v>1325</v>
      </c>
      <c r="AN289" s="39" t="str">
        <f>データ!N289</f>
        <v>-</v>
      </c>
      <c r="AO289" s="10" t="s">
        <v>1113</v>
      </c>
      <c r="AP289" s="39" t="str">
        <f>データ!O289</f>
        <v>　</v>
      </c>
      <c r="AQ289" s="41" t="s">
        <v>1024</v>
      </c>
      <c r="AR289" s="40" t="s">
        <v>1324</v>
      </c>
      <c r="AS289" s="39" t="str">
        <f>データ!P289</f>
        <v>バーサク／真</v>
      </c>
      <c r="AT289" s="10" t="s">
        <v>1113</v>
      </c>
      <c r="AU289" s="39" t="str">
        <f>データ!Q289</f>
        <v>強襲が発生無効、バトル時に攻・防中UP(3分間)</v>
      </c>
      <c r="AV289" s="10" t="s">
        <v>1024</v>
      </c>
      <c r="AW289" s="40" t="s">
        <v>1324</v>
      </c>
      <c r="AX289" s="39" t="str">
        <f>データ!R289</f>
        <v>-</v>
      </c>
      <c r="AY289" s="10" t="s">
        <v>1113</v>
      </c>
      <c r="AZ289" s="39" t="str">
        <f>データ!S289</f>
        <v>　</v>
      </c>
      <c r="BA289" s="41" t="s">
        <v>1024</v>
      </c>
      <c r="BB289" s="40" t="s">
        <v>1319</v>
      </c>
      <c r="BC289" s="39" t="str">
        <f>データ!T289</f>
        <v>-</v>
      </c>
      <c r="BD289" s="41" t="s">
        <v>1024</v>
      </c>
      <c r="BE289" s="40" t="s">
        <v>1320</v>
      </c>
      <c r="BF289" s="39" t="str">
        <f>データ!U289</f>
        <v>-</v>
      </c>
      <c r="BG289" s="41" t="s">
        <v>1024</v>
      </c>
      <c r="BH289" s="40" t="s">
        <v>1319</v>
      </c>
      <c r="BI289" s="39" t="str">
        <f>データ!V289</f>
        <v>ポーカー</v>
      </c>
      <c r="BJ289" s="41" t="s">
        <v>1024</v>
      </c>
      <c r="BK289" s="10" t="s">
        <v>1019</v>
      </c>
    </row>
    <row r="290" spans="1:63" x14ac:dyDescent="0.15">
      <c r="A290" s="10" t="s">
        <v>1016</v>
      </c>
      <c r="B290" s="10" t="s">
        <v>1454</v>
      </c>
      <c r="C290" s="38" t="str">
        <f>"./images/thumbnail/"&amp;データ!B290&amp;".jpg"</f>
        <v>./images/thumbnail/1507.jpg</v>
      </c>
      <c r="D290" s="38" t="s">
        <v>1455</v>
      </c>
      <c r="E290" s="38" t="str">
        <f>"./images/thumbnail/"&amp;データ!B290&amp;".jpg"</f>
        <v>./images/thumbnail/1507.jpg</v>
      </c>
      <c r="F290" s="38" t="s">
        <v>1116</v>
      </c>
      <c r="G290" s="38" t="s">
        <v>1319</v>
      </c>
      <c r="H290" s="38" t="str">
        <f>データ!C290</f>
        <v>アーデルハイド</v>
      </c>
      <c r="I290" s="38" t="s">
        <v>1024</v>
      </c>
      <c r="J290" s="38" t="s">
        <v>1320</v>
      </c>
      <c r="K290" s="38" t="str">
        <f>データ!D290</f>
        <v>SSR</v>
      </c>
      <c r="L290" s="38" t="s">
        <v>1024</v>
      </c>
      <c r="M290" s="38" t="s">
        <v>1321</v>
      </c>
      <c r="N290" s="38">
        <f>データ!E290</f>
        <v>12</v>
      </c>
      <c r="O290" s="38" t="s">
        <v>1024</v>
      </c>
      <c r="P290" s="38" t="s">
        <v>1319</v>
      </c>
      <c r="Q290" s="38" t="str">
        <f>データ!F290</f>
        <v>突</v>
      </c>
      <c r="R290" s="38" t="s">
        <v>1024</v>
      </c>
      <c r="S290" s="38" t="s">
        <v>1319</v>
      </c>
      <c r="T290" s="39">
        <f>データ!G290</f>
        <v>15636</v>
      </c>
      <c r="U290" s="40" t="s">
        <v>1024</v>
      </c>
      <c r="V290" s="40" t="s">
        <v>1319</v>
      </c>
      <c r="W290" s="39">
        <f>データ!H290</f>
        <v>5346</v>
      </c>
      <c r="X290" s="40" t="s">
        <v>1024</v>
      </c>
      <c r="Y290" s="40" t="s">
        <v>1319</v>
      </c>
      <c r="Z290" s="39">
        <f>データ!I290</f>
        <v>5656</v>
      </c>
      <c r="AA290" s="40" t="s">
        <v>1024</v>
      </c>
      <c r="AB290" s="40" t="s">
        <v>1322</v>
      </c>
      <c r="AC290" s="39" t="str">
        <f>データ!J290</f>
        <v>SS-</v>
      </c>
      <c r="AD290" s="38" t="s">
        <v>1024</v>
      </c>
      <c r="AE290" s="40" t="s">
        <v>1323</v>
      </c>
      <c r="AF290" s="39">
        <f>データ!K290</f>
        <v>26638</v>
      </c>
      <c r="AG290" s="40" t="s">
        <v>1024</v>
      </c>
      <c r="AH290" s="40" t="s">
        <v>1324</v>
      </c>
      <c r="AI290" s="39" t="str">
        <f>データ!L290</f>
        <v>魔幻の閃光／絶</v>
      </c>
      <c r="AJ290" s="10" t="s">
        <v>1113</v>
      </c>
      <c r="AK290" s="39" t="str">
        <f>データ!M290</f>
        <v>縦一列に攻撃[大]</v>
      </c>
      <c r="AL290" s="10" t="s">
        <v>1024</v>
      </c>
      <c r="AM290" s="40" t="s">
        <v>1325</v>
      </c>
      <c r="AN290" s="39" t="str">
        <f>データ!N290</f>
        <v>-</v>
      </c>
      <c r="AO290" s="10" t="s">
        <v>1113</v>
      </c>
      <c r="AP290" s="39" t="str">
        <f>データ!O290</f>
        <v>　</v>
      </c>
      <c r="AQ290" s="41" t="s">
        <v>1024</v>
      </c>
      <c r="AR290" s="40" t="s">
        <v>1324</v>
      </c>
      <c r="AS290" s="39" t="str">
        <f>データ!P290</f>
        <v>ジャガーノート／真</v>
      </c>
      <c r="AT290" s="10" t="s">
        <v>1113</v>
      </c>
      <c r="AU290" s="39" t="str">
        <f>データ!Q290</f>
        <v>バトルで敵を全滅するとBPが中回復(バトル3回)</v>
      </c>
      <c r="AV290" s="10" t="s">
        <v>1024</v>
      </c>
      <c r="AW290" s="40" t="s">
        <v>1324</v>
      </c>
      <c r="AX290" s="39" t="str">
        <f>データ!R290</f>
        <v>-</v>
      </c>
      <c r="AY290" s="10" t="s">
        <v>1113</v>
      </c>
      <c r="AZ290" s="39" t="str">
        <f>データ!S290</f>
        <v>　</v>
      </c>
      <c r="BA290" s="41" t="s">
        <v>1024</v>
      </c>
      <c r="BB290" s="40" t="s">
        <v>1319</v>
      </c>
      <c r="BC290" s="39" t="str">
        <f>データ!T290</f>
        <v>-</v>
      </c>
      <c r="BD290" s="41" t="s">
        <v>1024</v>
      </c>
      <c r="BE290" s="40" t="s">
        <v>1320</v>
      </c>
      <c r="BF290" s="39" t="str">
        <f>データ!U290</f>
        <v>-</v>
      </c>
      <c r="BG290" s="41" t="s">
        <v>1024</v>
      </c>
      <c r="BH290" s="40" t="s">
        <v>1319</v>
      </c>
      <c r="BI290" s="39" t="str">
        <f>データ!V290</f>
        <v>第7回統一報酬</v>
      </c>
      <c r="BJ290" s="41" t="s">
        <v>1024</v>
      </c>
      <c r="BK290" s="10" t="s">
        <v>1019</v>
      </c>
    </row>
    <row r="291" spans="1:63" x14ac:dyDescent="0.15">
      <c r="A291" s="10" t="s">
        <v>1016</v>
      </c>
      <c r="B291" s="10" t="s">
        <v>1454</v>
      </c>
      <c r="C291" s="38" t="str">
        <f>"./images/thumbnail/"&amp;データ!B291&amp;".jpg"</f>
        <v>./images/thumbnail/1508.jpg</v>
      </c>
      <c r="D291" s="38" t="s">
        <v>1455</v>
      </c>
      <c r="E291" s="38" t="str">
        <f>"./images/thumbnail/"&amp;データ!B291&amp;".jpg"</f>
        <v>./images/thumbnail/1508.jpg</v>
      </c>
      <c r="F291" s="38" t="s">
        <v>1116</v>
      </c>
      <c r="G291" s="38" t="s">
        <v>1319</v>
      </c>
      <c r="H291" s="38" t="str">
        <f>データ!C291</f>
        <v>アーデルハイド</v>
      </c>
      <c r="I291" s="38" t="s">
        <v>1024</v>
      </c>
      <c r="J291" s="38" t="s">
        <v>1320</v>
      </c>
      <c r="K291" s="38" t="str">
        <f>データ!D291</f>
        <v>SSR</v>
      </c>
      <c r="L291" s="38" t="s">
        <v>1024</v>
      </c>
      <c r="M291" s="38" t="s">
        <v>1321</v>
      </c>
      <c r="N291" s="38">
        <f>データ!E291</f>
        <v>13</v>
      </c>
      <c r="O291" s="38" t="s">
        <v>1024</v>
      </c>
      <c r="P291" s="38" t="s">
        <v>1319</v>
      </c>
      <c r="Q291" s="38" t="str">
        <f>データ!F291</f>
        <v>突</v>
      </c>
      <c r="R291" s="38" t="s">
        <v>1024</v>
      </c>
      <c r="S291" s="38" t="s">
        <v>1319</v>
      </c>
      <c r="T291" s="39">
        <f>データ!G291</f>
        <v>15954</v>
      </c>
      <c r="U291" s="40" t="s">
        <v>1024</v>
      </c>
      <c r="V291" s="40" t="s">
        <v>1319</v>
      </c>
      <c r="W291" s="39">
        <f>データ!H291</f>
        <v>5453</v>
      </c>
      <c r="X291" s="40" t="s">
        <v>1024</v>
      </c>
      <c r="Y291" s="40" t="s">
        <v>1319</v>
      </c>
      <c r="Z291" s="39">
        <f>データ!I291</f>
        <v>6414</v>
      </c>
      <c r="AA291" s="40" t="s">
        <v>1024</v>
      </c>
      <c r="AB291" s="40" t="s">
        <v>1322</v>
      </c>
      <c r="AC291" s="39" t="str">
        <f>データ!J291</f>
        <v>SS-</v>
      </c>
      <c r="AD291" s="38" t="s">
        <v>1024</v>
      </c>
      <c r="AE291" s="40" t="s">
        <v>1323</v>
      </c>
      <c r="AF291" s="39">
        <f>データ!K291</f>
        <v>27821</v>
      </c>
      <c r="AG291" s="40" t="s">
        <v>1024</v>
      </c>
      <c r="AH291" s="40" t="s">
        <v>1324</v>
      </c>
      <c r="AI291" s="39" t="str">
        <f>データ!L291</f>
        <v>魔幻の閃光／絶</v>
      </c>
      <c r="AJ291" s="10" t="s">
        <v>1113</v>
      </c>
      <c r="AK291" s="39" t="str">
        <f>データ!M291</f>
        <v>縦一列に攻撃[大]</v>
      </c>
      <c r="AL291" s="10" t="s">
        <v>1024</v>
      </c>
      <c r="AM291" s="40" t="s">
        <v>1325</v>
      </c>
      <c r="AN291" s="39" t="str">
        <f>データ!N291</f>
        <v>-</v>
      </c>
      <c r="AO291" s="10" t="s">
        <v>1113</v>
      </c>
      <c r="AP291" s="39" t="str">
        <f>データ!O291</f>
        <v>　</v>
      </c>
      <c r="AQ291" s="41" t="s">
        <v>1024</v>
      </c>
      <c r="AR291" s="40" t="s">
        <v>1324</v>
      </c>
      <c r="AS291" s="39" t="str">
        <f>データ!P291</f>
        <v>ジャガーノート／真</v>
      </c>
      <c r="AT291" s="10" t="s">
        <v>1113</v>
      </c>
      <c r="AU291" s="39" t="str">
        <f>データ!Q291</f>
        <v>バトルで敵を全滅するとBPが中回復(バトル3回)</v>
      </c>
      <c r="AV291" s="10" t="s">
        <v>1024</v>
      </c>
      <c r="AW291" s="40" t="s">
        <v>1324</v>
      </c>
      <c r="AX291" s="39" t="str">
        <f>データ!R291</f>
        <v>-</v>
      </c>
      <c r="AY291" s="10" t="s">
        <v>1113</v>
      </c>
      <c r="AZ291" s="39" t="str">
        <f>データ!S291</f>
        <v>　</v>
      </c>
      <c r="BA291" s="41" t="s">
        <v>1024</v>
      </c>
      <c r="BB291" s="40" t="s">
        <v>1319</v>
      </c>
      <c r="BC291" s="39" t="str">
        <f>データ!T291</f>
        <v>-</v>
      </c>
      <c r="BD291" s="41" t="s">
        <v>1024</v>
      </c>
      <c r="BE291" s="40" t="s">
        <v>1320</v>
      </c>
      <c r="BF291" s="39" t="str">
        <f>データ!U291</f>
        <v>-</v>
      </c>
      <c r="BG291" s="41" t="s">
        <v>1024</v>
      </c>
      <c r="BH291" s="40" t="s">
        <v>1319</v>
      </c>
      <c r="BI291" s="39" t="str">
        <f>データ!V291</f>
        <v>第7回統一報酬</v>
      </c>
      <c r="BJ291" s="41" t="s">
        <v>1024</v>
      </c>
      <c r="BK291" s="10" t="s">
        <v>1019</v>
      </c>
    </row>
    <row r="292" spans="1:63" x14ac:dyDescent="0.15">
      <c r="A292" s="10" t="s">
        <v>1016</v>
      </c>
      <c r="B292" s="10" t="s">
        <v>1454</v>
      </c>
      <c r="C292" s="38" t="str">
        <f>"./images/thumbnail/"&amp;データ!B292&amp;".jpg"</f>
        <v>./images/thumbnail/1509.jpg</v>
      </c>
      <c r="D292" s="38" t="s">
        <v>1455</v>
      </c>
      <c r="E292" s="38" t="str">
        <f>"./images/thumbnail/"&amp;データ!B292&amp;".jpg"</f>
        <v>./images/thumbnail/1509.jpg</v>
      </c>
      <c r="F292" s="38" t="s">
        <v>1116</v>
      </c>
      <c r="G292" s="38" t="s">
        <v>1319</v>
      </c>
      <c r="H292" s="38" t="str">
        <f>データ!C292</f>
        <v>アーデルハイド</v>
      </c>
      <c r="I292" s="38" t="s">
        <v>1024</v>
      </c>
      <c r="J292" s="38" t="s">
        <v>1320</v>
      </c>
      <c r="K292" s="38" t="str">
        <f>データ!D292</f>
        <v>UR</v>
      </c>
      <c r="L292" s="38" t="s">
        <v>1024</v>
      </c>
      <c r="M292" s="38" t="s">
        <v>1321</v>
      </c>
      <c r="N292" s="38">
        <f>データ!E292</f>
        <v>14</v>
      </c>
      <c r="O292" s="38" t="s">
        <v>1024</v>
      </c>
      <c r="P292" s="38" t="s">
        <v>1319</v>
      </c>
      <c r="Q292" s="38" t="str">
        <f>データ!F292</f>
        <v>突</v>
      </c>
      <c r="R292" s="38" t="s">
        <v>1024</v>
      </c>
      <c r="S292" s="38" t="s">
        <v>1319</v>
      </c>
      <c r="T292" s="39">
        <f>データ!G292</f>
        <v>17582</v>
      </c>
      <c r="U292" s="40" t="s">
        <v>1024</v>
      </c>
      <c r="V292" s="40" t="s">
        <v>1319</v>
      </c>
      <c r="W292" s="39">
        <f>データ!H292</f>
        <v>6035</v>
      </c>
      <c r="X292" s="40" t="s">
        <v>1024</v>
      </c>
      <c r="Y292" s="40" t="s">
        <v>1319</v>
      </c>
      <c r="Z292" s="39">
        <f>データ!I292</f>
        <v>7517</v>
      </c>
      <c r="AA292" s="40" t="s">
        <v>1024</v>
      </c>
      <c r="AB292" s="40" t="s">
        <v>1322</v>
      </c>
      <c r="AC292" s="39" t="str">
        <f>データ!J292</f>
        <v>SS+</v>
      </c>
      <c r="AD292" s="38" t="s">
        <v>1024</v>
      </c>
      <c r="AE292" s="40" t="s">
        <v>1323</v>
      </c>
      <c r="AF292" s="39">
        <f>データ!K292</f>
        <v>31134</v>
      </c>
      <c r="AG292" s="40" t="s">
        <v>1024</v>
      </c>
      <c r="AH292" s="40" t="s">
        <v>1324</v>
      </c>
      <c r="AI292" s="39" t="str">
        <f>データ!L292</f>
        <v>魔幻の閃光／煌</v>
      </c>
      <c r="AJ292" s="10" t="s">
        <v>1113</v>
      </c>
      <c r="AK292" s="39" t="str">
        <f>データ!M292</f>
        <v>縦一列に攻撃[特大]</v>
      </c>
      <c r="AL292" s="10" t="s">
        <v>1024</v>
      </c>
      <c r="AM292" s="40" t="s">
        <v>1325</v>
      </c>
      <c r="AN292" s="39" t="str">
        <f>データ!N292</f>
        <v>-</v>
      </c>
      <c r="AO292" s="10" t="s">
        <v>1113</v>
      </c>
      <c r="AP292" s="39" t="str">
        <f>データ!O292</f>
        <v>　</v>
      </c>
      <c r="AQ292" s="41" t="s">
        <v>1024</v>
      </c>
      <c r="AR292" s="40" t="s">
        <v>1324</v>
      </c>
      <c r="AS292" s="39" t="str">
        <f>データ!P292</f>
        <v>ジャガーノート／絶</v>
      </c>
      <c r="AT292" s="10" t="s">
        <v>1113</v>
      </c>
      <c r="AU292" s="39" t="str">
        <f>データ!Q292</f>
        <v>バトルで敵を全滅するとBPが大回復(バトル3回)</v>
      </c>
      <c r="AV292" s="10" t="s">
        <v>1024</v>
      </c>
      <c r="AW292" s="40" t="s">
        <v>1324</v>
      </c>
      <c r="AX292" s="39" t="str">
        <f>データ!R292</f>
        <v>-</v>
      </c>
      <c r="AY292" s="10" t="s">
        <v>1113</v>
      </c>
      <c r="AZ292" s="39" t="str">
        <f>データ!S292</f>
        <v>　</v>
      </c>
      <c r="BA292" s="41" t="s">
        <v>1024</v>
      </c>
      <c r="BB292" s="40" t="s">
        <v>1319</v>
      </c>
      <c r="BC292" s="39" t="str">
        <f>データ!T292</f>
        <v>-</v>
      </c>
      <c r="BD292" s="41" t="s">
        <v>1024</v>
      </c>
      <c r="BE292" s="40" t="s">
        <v>1320</v>
      </c>
      <c r="BF292" s="39" t="str">
        <f>データ!U292</f>
        <v>-</v>
      </c>
      <c r="BG292" s="41" t="s">
        <v>1024</v>
      </c>
      <c r="BH292" s="40" t="s">
        <v>1319</v>
      </c>
      <c r="BI292" s="39" t="str">
        <f>データ!V292</f>
        <v>第7回統一報酬</v>
      </c>
      <c r="BJ292" s="41" t="s">
        <v>1024</v>
      </c>
      <c r="BK292" s="10" t="s">
        <v>1019</v>
      </c>
    </row>
    <row r="293" spans="1:63" x14ac:dyDescent="0.15">
      <c r="A293" s="10" t="s">
        <v>1016</v>
      </c>
      <c r="B293" s="10" t="s">
        <v>1454</v>
      </c>
      <c r="C293" s="38" t="str">
        <f>"./images/thumbnail/"&amp;データ!B293&amp;".jpg"</f>
        <v>./images/thumbnail/1510.jpg</v>
      </c>
      <c r="D293" s="38" t="s">
        <v>1455</v>
      </c>
      <c r="E293" s="38" t="str">
        <f>"./images/thumbnail/"&amp;データ!B293&amp;".jpg"</f>
        <v>./images/thumbnail/1510.jpg</v>
      </c>
      <c r="F293" s="38" t="s">
        <v>1116</v>
      </c>
      <c r="G293" s="38" t="s">
        <v>1319</v>
      </c>
      <c r="H293" s="38" t="str">
        <f>データ!C293</f>
        <v>主人公</v>
      </c>
      <c r="I293" s="38" t="s">
        <v>1024</v>
      </c>
      <c r="J293" s="38" t="s">
        <v>1320</v>
      </c>
      <c r="K293" s="38" t="str">
        <f>データ!D293</f>
        <v>SSR</v>
      </c>
      <c r="L293" s="38" t="s">
        <v>1024</v>
      </c>
      <c r="M293" s="38" t="s">
        <v>1321</v>
      </c>
      <c r="N293" s="38">
        <f>データ!E293</f>
        <v>0</v>
      </c>
      <c r="O293" s="38" t="s">
        <v>1024</v>
      </c>
      <c r="P293" s="38" t="s">
        <v>1319</v>
      </c>
      <c r="Q293" s="38" t="str">
        <f>データ!F293</f>
        <v>斬</v>
      </c>
      <c r="R293" s="38" t="s">
        <v>1024</v>
      </c>
      <c r="S293" s="38" t="s">
        <v>1319</v>
      </c>
      <c r="T293" s="39">
        <f>データ!G293</f>
        <v>13997</v>
      </c>
      <c r="U293" s="40" t="s">
        <v>1024</v>
      </c>
      <c r="V293" s="40" t="s">
        <v>1319</v>
      </c>
      <c r="W293" s="39">
        <f>データ!H293</f>
        <v>6430</v>
      </c>
      <c r="X293" s="40" t="s">
        <v>1024</v>
      </c>
      <c r="Y293" s="40" t="s">
        <v>1319</v>
      </c>
      <c r="Z293" s="39">
        <f>データ!I293</f>
        <v>5202</v>
      </c>
      <c r="AA293" s="40" t="s">
        <v>1024</v>
      </c>
      <c r="AB293" s="40" t="s">
        <v>1322</v>
      </c>
      <c r="AC293" s="39" t="str">
        <f>データ!J293</f>
        <v>A+</v>
      </c>
      <c r="AD293" s="38" t="s">
        <v>1024</v>
      </c>
      <c r="AE293" s="40" t="s">
        <v>1323</v>
      </c>
      <c r="AF293" s="39">
        <f>データ!K293</f>
        <v>25629</v>
      </c>
      <c r="AG293" s="40" t="s">
        <v>1024</v>
      </c>
      <c r="AH293" s="40" t="s">
        <v>1324</v>
      </c>
      <c r="AI293" s="39" t="str">
        <f>データ!L293</f>
        <v>幻氷の縦十字／絶</v>
      </c>
      <c r="AJ293" s="10" t="s">
        <v>1113</v>
      </c>
      <c r="AK293" s="39" t="str">
        <f>データ!M293</f>
        <v>十字型に攻撃[大]</v>
      </c>
      <c r="AL293" s="10" t="s">
        <v>1024</v>
      </c>
      <c r="AM293" s="40" t="s">
        <v>1325</v>
      </c>
      <c r="AN293" s="39" t="str">
        <f>データ!N293</f>
        <v>-</v>
      </c>
      <c r="AO293" s="10" t="s">
        <v>1113</v>
      </c>
      <c r="AP293" s="39" t="str">
        <f>データ!O293</f>
        <v>　</v>
      </c>
      <c r="AQ293" s="41" t="s">
        <v>1024</v>
      </c>
      <c r="AR293" s="40" t="s">
        <v>1324</v>
      </c>
      <c r="AS293" s="39" t="str">
        <f>データ!P293</f>
        <v>フォースオブウィッシュ／絶</v>
      </c>
      <c r="AT293" s="10" t="s">
        <v>1113</v>
      </c>
      <c r="AU293" s="39" t="str">
        <f>データ!Q293</f>
        <v>騎士団全員のBPを大回復</v>
      </c>
      <c r="AV293" s="10" t="s">
        <v>1024</v>
      </c>
      <c r="AW293" s="40" t="s">
        <v>1324</v>
      </c>
      <c r="AX293" s="39" t="str">
        <f>データ!R293</f>
        <v>-</v>
      </c>
      <c r="AY293" s="10" t="s">
        <v>1113</v>
      </c>
      <c r="AZ293" s="39" t="str">
        <f>データ!S293</f>
        <v>　</v>
      </c>
      <c r="BA293" s="41" t="s">
        <v>1024</v>
      </c>
      <c r="BB293" s="40" t="s">
        <v>1319</v>
      </c>
      <c r="BC293" s="39" t="str">
        <f>データ!T293</f>
        <v>-</v>
      </c>
      <c r="BD293" s="41" t="s">
        <v>1024</v>
      </c>
      <c r="BE293" s="40" t="s">
        <v>1320</v>
      </c>
      <c r="BF293" s="39" t="str">
        <f>データ!U293</f>
        <v>-</v>
      </c>
      <c r="BG293" s="41" t="s">
        <v>1024</v>
      </c>
      <c r="BH293" s="40" t="s">
        <v>1319</v>
      </c>
      <c r="BI293" s="39" t="str">
        <f>データ!V293</f>
        <v>オルタンシア伝3部報酬</v>
      </c>
      <c r="BJ293" s="41" t="s">
        <v>1024</v>
      </c>
      <c r="BK293" s="10" t="s">
        <v>1019</v>
      </c>
    </row>
    <row r="294" spans="1:63" x14ac:dyDescent="0.15">
      <c r="A294" s="10" t="s">
        <v>1016</v>
      </c>
      <c r="B294" s="10" t="s">
        <v>1454</v>
      </c>
      <c r="C294" s="38" t="str">
        <f>"./images/thumbnail/"&amp;データ!B294&amp;".jpg"</f>
        <v>./images/thumbnail/1512.jpg</v>
      </c>
      <c r="D294" s="38" t="s">
        <v>1455</v>
      </c>
      <c r="E294" s="38" t="str">
        <f>"./images/thumbnail/"&amp;データ!B294&amp;".jpg"</f>
        <v>./images/thumbnail/1512.jpg</v>
      </c>
      <c r="F294" s="38" t="s">
        <v>1116</v>
      </c>
      <c r="G294" s="38" t="s">
        <v>1319</v>
      </c>
      <c r="H294" s="38" t="str">
        <f>データ!C294</f>
        <v>リリアン</v>
      </c>
      <c r="I294" s="38" t="s">
        <v>1024</v>
      </c>
      <c r="J294" s="38" t="s">
        <v>1320</v>
      </c>
      <c r="K294" s="38" t="str">
        <f>データ!D294</f>
        <v>SSR</v>
      </c>
      <c r="L294" s="38" t="s">
        <v>1024</v>
      </c>
      <c r="M294" s="38" t="s">
        <v>1321</v>
      </c>
      <c r="N294" s="38">
        <f>データ!E294</f>
        <v>13</v>
      </c>
      <c r="O294" s="38" t="s">
        <v>1024</v>
      </c>
      <c r="P294" s="38" t="s">
        <v>1319</v>
      </c>
      <c r="Q294" s="38" t="str">
        <f>データ!F294</f>
        <v>斬</v>
      </c>
      <c r="R294" s="38" t="s">
        <v>1024</v>
      </c>
      <c r="S294" s="38" t="s">
        <v>1319</v>
      </c>
      <c r="T294" s="39">
        <f>データ!G294</f>
        <v>16427</v>
      </c>
      <c r="U294" s="40" t="s">
        <v>1024</v>
      </c>
      <c r="V294" s="40" t="s">
        <v>1319</v>
      </c>
      <c r="W294" s="39">
        <f>データ!H294</f>
        <v>7556</v>
      </c>
      <c r="X294" s="40" t="s">
        <v>1024</v>
      </c>
      <c r="Y294" s="40" t="s">
        <v>1319</v>
      </c>
      <c r="Z294" s="39">
        <f>データ!I294</f>
        <v>5107</v>
      </c>
      <c r="AA294" s="40" t="s">
        <v>1024</v>
      </c>
      <c r="AB294" s="40" t="s">
        <v>1322</v>
      </c>
      <c r="AC294" s="39" t="str">
        <f>データ!J294</f>
        <v>A+</v>
      </c>
      <c r="AD294" s="38" t="s">
        <v>1024</v>
      </c>
      <c r="AE294" s="40" t="s">
        <v>1323</v>
      </c>
      <c r="AF294" s="39">
        <f>データ!K294</f>
        <v>29090</v>
      </c>
      <c r="AG294" s="40" t="s">
        <v>1024</v>
      </c>
      <c r="AH294" s="40" t="s">
        <v>1324</v>
      </c>
      <c r="AI294" s="39" t="str">
        <f>データ!L294</f>
        <v>地魔幻の閃光／絶</v>
      </c>
      <c r="AJ294" s="10" t="s">
        <v>1113</v>
      </c>
      <c r="AK294" s="39" t="str">
        <f>データ!M294</f>
        <v>縦一列に攻撃[大]自分の防御力UP[大]</v>
      </c>
      <c r="AL294" s="10" t="s">
        <v>1024</v>
      </c>
      <c r="AM294" s="40" t="s">
        <v>1325</v>
      </c>
      <c r="AN294" s="39" t="str">
        <f>データ!N294</f>
        <v>-</v>
      </c>
      <c r="AO294" s="10" t="s">
        <v>1113</v>
      </c>
      <c r="AP294" s="39" t="str">
        <f>データ!O294</f>
        <v>　</v>
      </c>
      <c r="AQ294" s="41" t="s">
        <v>1024</v>
      </c>
      <c r="AR294" s="40" t="s">
        <v>1324</v>
      </c>
      <c r="AS294" s="39" t="str">
        <f>データ!P294</f>
        <v>シャドウ</v>
      </c>
      <c r="AT294" s="10" t="s">
        <v>1113</v>
      </c>
      <c r="AU294" s="39" t="str">
        <f>データ!Q294</f>
        <v>バトル時の強襲CB率が小UP(3分間)</v>
      </c>
      <c r="AV294" s="10" t="s">
        <v>1024</v>
      </c>
      <c r="AW294" s="40" t="s">
        <v>1324</v>
      </c>
      <c r="AX294" s="39" t="str">
        <f>データ!R294</f>
        <v>-</v>
      </c>
      <c r="AY294" s="10" t="s">
        <v>1113</v>
      </c>
      <c r="AZ294" s="39" t="str">
        <f>データ!S294</f>
        <v>　</v>
      </c>
      <c r="BA294" s="41" t="s">
        <v>1024</v>
      </c>
      <c r="BB294" s="40" t="s">
        <v>1319</v>
      </c>
      <c r="BC294" s="39" t="str">
        <f>データ!T294</f>
        <v>-</v>
      </c>
      <c r="BD294" s="41" t="s">
        <v>1024</v>
      </c>
      <c r="BE294" s="40" t="s">
        <v>1320</v>
      </c>
      <c r="BF294" s="39" t="str">
        <f>データ!U294</f>
        <v>-</v>
      </c>
      <c r="BG294" s="41" t="s">
        <v>1024</v>
      </c>
      <c r="BH294" s="40" t="s">
        <v>1319</v>
      </c>
      <c r="BI294" s="39" t="str">
        <f>データ!V294</f>
        <v>常設</v>
      </c>
      <c r="BJ294" s="41" t="s">
        <v>1024</v>
      </c>
      <c r="BK294" s="10" t="s">
        <v>1019</v>
      </c>
    </row>
    <row r="295" spans="1:63" x14ac:dyDescent="0.15">
      <c r="A295" s="10" t="s">
        <v>1016</v>
      </c>
      <c r="B295" s="10" t="s">
        <v>1454</v>
      </c>
      <c r="C295" s="38" t="str">
        <f>"./images/thumbnail/"&amp;データ!B295&amp;".jpg"</f>
        <v>./images/thumbnail/1514.jpg</v>
      </c>
      <c r="D295" s="38" t="s">
        <v>1455</v>
      </c>
      <c r="E295" s="38" t="str">
        <f>"./images/thumbnail/"&amp;データ!B295&amp;".jpg"</f>
        <v>./images/thumbnail/1514.jpg</v>
      </c>
      <c r="F295" s="38" t="s">
        <v>1116</v>
      </c>
      <c r="G295" s="38" t="s">
        <v>1319</v>
      </c>
      <c r="H295" s="38" t="str">
        <f>データ!C295</f>
        <v>シリル</v>
      </c>
      <c r="I295" s="38" t="s">
        <v>1024</v>
      </c>
      <c r="J295" s="38" t="s">
        <v>1320</v>
      </c>
      <c r="K295" s="38" t="str">
        <f>データ!D295</f>
        <v>SSR</v>
      </c>
      <c r="L295" s="38" t="s">
        <v>1024</v>
      </c>
      <c r="M295" s="38" t="s">
        <v>1321</v>
      </c>
      <c r="N295" s="38">
        <f>データ!E295</f>
        <v>13</v>
      </c>
      <c r="O295" s="38" t="s">
        <v>1024</v>
      </c>
      <c r="P295" s="38" t="s">
        <v>1319</v>
      </c>
      <c r="Q295" s="38" t="str">
        <f>データ!F295</f>
        <v>突</v>
      </c>
      <c r="R295" s="38" t="s">
        <v>1024</v>
      </c>
      <c r="S295" s="38" t="s">
        <v>1319</v>
      </c>
      <c r="T295" s="39">
        <f>データ!G295</f>
        <v>18377</v>
      </c>
      <c r="U295" s="40" t="s">
        <v>1024</v>
      </c>
      <c r="V295" s="40" t="s">
        <v>1319</v>
      </c>
      <c r="W295" s="39">
        <f>データ!H295</f>
        <v>5479</v>
      </c>
      <c r="X295" s="40" t="s">
        <v>1024</v>
      </c>
      <c r="Y295" s="40" t="s">
        <v>1319</v>
      </c>
      <c r="Z295" s="39">
        <f>データ!I295</f>
        <v>5824</v>
      </c>
      <c r="AA295" s="40" t="s">
        <v>1024</v>
      </c>
      <c r="AB295" s="40" t="s">
        <v>1322</v>
      </c>
      <c r="AC295" s="39" t="str">
        <f>データ!J295</f>
        <v>SS-</v>
      </c>
      <c r="AD295" s="38" t="s">
        <v>1024</v>
      </c>
      <c r="AE295" s="40" t="s">
        <v>1323</v>
      </c>
      <c r="AF295" s="39">
        <f>データ!K295</f>
        <v>29680</v>
      </c>
      <c r="AG295" s="40" t="s">
        <v>1024</v>
      </c>
      <c r="AH295" s="40" t="s">
        <v>1324</v>
      </c>
      <c r="AI295" s="39" t="str">
        <f>データ!L295</f>
        <v>地幻神の四連撃／真</v>
      </c>
      <c r="AJ295" s="10" t="s">
        <v>1113</v>
      </c>
      <c r="AK295" s="39" t="str">
        <f>データ!M295</f>
        <v>ランダム4連続攻撃[中]自分の防御力UP[中]</v>
      </c>
      <c r="AL295" s="10" t="s">
        <v>1024</v>
      </c>
      <c r="AM295" s="40" t="s">
        <v>1325</v>
      </c>
      <c r="AN295" s="39" t="str">
        <f>データ!N295</f>
        <v>-</v>
      </c>
      <c r="AO295" s="10" t="s">
        <v>1113</v>
      </c>
      <c r="AP295" s="39" t="str">
        <f>データ!O295</f>
        <v>　</v>
      </c>
      <c r="AQ295" s="41" t="s">
        <v>1024</v>
      </c>
      <c r="AR295" s="40" t="s">
        <v>1324</v>
      </c>
      <c r="AS295" s="39" t="str">
        <f>データ!P295</f>
        <v>エース／真</v>
      </c>
      <c r="AT295" s="10" t="s">
        <v>1113</v>
      </c>
      <c r="AU295" s="39" t="str">
        <f>データ!Q295</f>
        <v>パーティ全体の攻・防が中UP(3分間)</v>
      </c>
      <c r="AV295" s="10" t="s">
        <v>1024</v>
      </c>
      <c r="AW295" s="40" t="s">
        <v>1324</v>
      </c>
      <c r="AX295" s="39" t="str">
        <f>データ!R295</f>
        <v>-</v>
      </c>
      <c r="AY295" s="10" t="s">
        <v>1113</v>
      </c>
      <c r="AZ295" s="39" t="str">
        <f>データ!S295</f>
        <v>　</v>
      </c>
      <c r="BA295" s="41" t="s">
        <v>1024</v>
      </c>
      <c r="BB295" s="40" t="s">
        <v>1319</v>
      </c>
      <c r="BC295" s="39" t="str">
        <f>データ!T295</f>
        <v>-</v>
      </c>
      <c r="BD295" s="41" t="s">
        <v>1024</v>
      </c>
      <c r="BE295" s="40" t="s">
        <v>1320</v>
      </c>
      <c r="BF295" s="39" t="str">
        <f>データ!U295</f>
        <v>-</v>
      </c>
      <c r="BG295" s="41" t="s">
        <v>1024</v>
      </c>
      <c r="BH295" s="40" t="s">
        <v>1319</v>
      </c>
      <c r="BI295" s="39" t="str">
        <f>データ!V295</f>
        <v>常設</v>
      </c>
      <c r="BJ295" s="41" t="s">
        <v>1024</v>
      </c>
      <c r="BK295" s="10" t="s">
        <v>1019</v>
      </c>
    </row>
    <row r="296" spans="1:63" x14ac:dyDescent="0.15">
      <c r="A296" s="10" t="s">
        <v>1016</v>
      </c>
      <c r="B296" s="10" t="s">
        <v>1454</v>
      </c>
      <c r="C296" s="38" t="str">
        <f>"./images/thumbnail/"&amp;データ!B296&amp;".jpg"</f>
        <v>./images/thumbnail/1516.jpg</v>
      </c>
      <c r="D296" s="38" t="s">
        <v>1455</v>
      </c>
      <c r="E296" s="38" t="str">
        <f>"./images/thumbnail/"&amp;データ!B296&amp;".jpg"</f>
        <v>./images/thumbnail/1516.jpg</v>
      </c>
      <c r="F296" s="38" t="s">
        <v>1116</v>
      </c>
      <c r="G296" s="38" t="s">
        <v>1319</v>
      </c>
      <c r="H296" s="38" t="str">
        <f>データ!C296</f>
        <v>イネス</v>
      </c>
      <c r="I296" s="38" t="s">
        <v>1024</v>
      </c>
      <c r="J296" s="38" t="s">
        <v>1320</v>
      </c>
      <c r="K296" s="38" t="str">
        <f>データ!D296</f>
        <v>UR</v>
      </c>
      <c r="L296" s="38" t="s">
        <v>1024</v>
      </c>
      <c r="M296" s="38" t="s">
        <v>1321</v>
      </c>
      <c r="N296" s="38">
        <f>データ!E296</f>
        <v>14</v>
      </c>
      <c r="O296" s="38" t="s">
        <v>1024</v>
      </c>
      <c r="P296" s="38" t="s">
        <v>1319</v>
      </c>
      <c r="Q296" s="38" t="str">
        <f>データ!F296</f>
        <v>打</v>
      </c>
      <c r="R296" s="38" t="s">
        <v>1024</v>
      </c>
      <c r="S296" s="38" t="s">
        <v>1319</v>
      </c>
      <c r="T296" s="39">
        <f>データ!G296</f>
        <v>22954</v>
      </c>
      <c r="U296" s="40" t="s">
        <v>1024</v>
      </c>
      <c r="V296" s="40" t="s">
        <v>1319</v>
      </c>
      <c r="W296" s="39">
        <f>データ!H296</f>
        <v>6559</v>
      </c>
      <c r="X296" s="40" t="s">
        <v>1024</v>
      </c>
      <c r="Y296" s="40" t="s">
        <v>1319</v>
      </c>
      <c r="Z296" s="39">
        <f>データ!I296</f>
        <v>8597</v>
      </c>
      <c r="AA296" s="40" t="s">
        <v>1024</v>
      </c>
      <c r="AB296" s="40" t="s">
        <v>1322</v>
      </c>
      <c r="AC296" s="39" t="str">
        <f>データ!J296</f>
        <v>A+</v>
      </c>
      <c r="AD296" s="38" t="s">
        <v>1024</v>
      </c>
      <c r="AE296" s="40" t="s">
        <v>1323</v>
      </c>
      <c r="AF296" s="39">
        <f>データ!K296</f>
        <v>38110</v>
      </c>
      <c r="AG296" s="40" t="s">
        <v>1024</v>
      </c>
      <c r="AH296" s="40" t="s">
        <v>1324</v>
      </c>
      <c r="AI296" s="39" t="str">
        <f>データ!L296</f>
        <v>紫打の神威</v>
      </c>
      <c r="AJ296" s="10" t="s">
        <v>1113</v>
      </c>
      <c r="AK296" s="39" t="str">
        <f>データ!M296</f>
        <v>味方打属性の攻撃力をUP[特大]</v>
      </c>
      <c r="AL296" s="38" t="s">
        <v>1024</v>
      </c>
      <c r="AM296" s="40" t="s">
        <v>1325</v>
      </c>
      <c r="AN296" s="39" t="str">
        <f>データ!N296</f>
        <v>-</v>
      </c>
      <c r="AO296" s="10" t="s">
        <v>1113</v>
      </c>
      <c r="AP296" s="39" t="str">
        <f>データ!O296</f>
        <v>　</v>
      </c>
      <c r="AQ296" s="41" t="s">
        <v>1024</v>
      </c>
      <c r="AR296" s="40" t="s">
        <v>1324</v>
      </c>
      <c r="AS296" s="39" t="str">
        <f>データ!P296</f>
        <v>ポイントライズ／絶</v>
      </c>
      <c r="AT296" s="10" t="s">
        <v>1113</v>
      </c>
      <c r="AU296" s="39" t="str">
        <f>データ!Q296</f>
        <v>獲得する騎士団戦スコアが大アップ(バトル3回)</v>
      </c>
      <c r="AV296" s="10" t="s">
        <v>1024</v>
      </c>
      <c r="AW296" s="40" t="s">
        <v>1324</v>
      </c>
      <c r="AX296" s="39" t="str">
        <f>データ!R296</f>
        <v>-</v>
      </c>
      <c r="AY296" s="10" t="s">
        <v>1113</v>
      </c>
      <c r="AZ296" s="39" t="str">
        <f>データ!S296</f>
        <v>　</v>
      </c>
      <c r="BA296" s="41" t="s">
        <v>1024</v>
      </c>
      <c r="BB296" s="40" t="s">
        <v>1319</v>
      </c>
      <c r="BC296" s="39" t="str">
        <f>データ!T296</f>
        <v>-</v>
      </c>
      <c r="BD296" s="41" t="s">
        <v>1024</v>
      </c>
      <c r="BE296" s="40" t="s">
        <v>1320</v>
      </c>
      <c r="BF296" s="39" t="str">
        <f>データ!U296</f>
        <v>-</v>
      </c>
      <c r="BG296" s="41" t="s">
        <v>1024</v>
      </c>
      <c r="BH296" s="40" t="s">
        <v>1319</v>
      </c>
      <c r="BI296" s="39" t="str">
        <f>データ!V296</f>
        <v>常設</v>
      </c>
      <c r="BJ296" s="41" t="s">
        <v>1024</v>
      </c>
      <c r="BK296" s="10" t="s">
        <v>1019</v>
      </c>
    </row>
    <row r="297" spans="1:63" x14ac:dyDescent="0.15">
      <c r="A297" s="10" t="s">
        <v>1016</v>
      </c>
      <c r="B297" s="10" t="s">
        <v>1454</v>
      </c>
      <c r="C297" s="38" t="str">
        <f>"./images/thumbnail/"&amp;データ!B297&amp;".jpg"</f>
        <v>./images/thumbnail/1516_a.jpg</v>
      </c>
      <c r="D297" s="38" t="s">
        <v>1455</v>
      </c>
      <c r="E297" s="38" t="str">
        <f>"./images/thumbnail/"&amp;データ!B297&amp;".jpg"</f>
        <v>./images/thumbnail/1516_a.jpg</v>
      </c>
      <c r="F297" s="38" t="s">
        <v>1116</v>
      </c>
      <c r="G297" s="38" t="s">
        <v>1319</v>
      </c>
      <c r="H297" s="38" t="str">
        <f>データ!C297</f>
        <v>イネス</v>
      </c>
      <c r="I297" s="38" t="s">
        <v>1024</v>
      </c>
      <c r="J297" s="38" t="s">
        <v>1320</v>
      </c>
      <c r="K297" s="38" t="str">
        <f>データ!D297</f>
        <v>UR</v>
      </c>
      <c r="L297" s="38" t="s">
        <v>1024</v>
      </c>
      <c r="M297" s="38" t="s">
        <v>1321</v>
      </c>
      <c r="N297" s="38">
        <f>データ!E297</f>
        <v>14</v>
      </c>
      <c r="O297" s="38" t="s">
        <v>1024</v>
      </c>
      <c r="P297" s="38" t="s">
        <v>1319</v>
      </c>
      <c r="Q297" s="38" t="str">
        <f>データ!F297</f>
        <v>打</v>
      </c>
      <c r="R297" s="38" t="s">
        <v>1024</v>
      </c>
      <c r="S297" s="38" t="s">
        <v>1319</v>
      </c>
      <c r="T297" s="39">
        <f>データ!G297</f>
        <v>30997</v>
      </c>
      <c r="U297" s="40" t="s">
        <v>1024</v>
      </c>
      <c r="V297" s="40" t="s">
        <v>1319</v>
      </c>
      <c r="W297" s="39">
        <f>データ!H297</f>
        <v>8848</v>
      </c>
      <c r="X297" s="40" t="s">
        <v>1024</v>
      </c>
      <c r="Y297" s="40" t="s">
        <v>1319</v>
      </c>
      <c r="Z297" s="39">
        <f>データ!I297</f>
        <v>12545</v>
      </c>
      <c r="AA297" s="40" t="s">
        <v>1024</v>
      </c>
      <c r="AB297" s="40" t="s">
        <v>1322</v>
      </c>
      <c r="AC297" s="39" t="str">
        <f>データ!J297</f>
        <v>SS-</v>
      </c>
      <c r="AD297" s="38" t="s">
        <v>1024</v>
      </c>
      <c r="AE297" s="40" t="s">
        <v>1323</v>
      </c>
      <c r="AF297" s="39">
        <f>データ!K297</f>
        <v>52390</v>
      </c>
      <c r="AG297" s="40" t="s">
        <v>1024</v>
      </c>
      <c r="AH297" s="40" t="s">
        <v>1324</v>
      </c>
      <c r="AI297" s="39" t="str">
        <f>データ!L297</f>
        <v>紫打の神威＋</v>
      </c>
      <c r="AJ297" s="10" t="s">
        <v>1113</v>
      </c>
      <c r="AK297" s="39" t="str">
        <f>データ!M297</f>
        <v>味方打属性の攻撃力をUP[超特大]</v>
      </c>
      <c r="AL297" s="10" t="s">
        <v>1024</v>
      </c>
      <c r="AM297" s="40" t="s">
        <v>1325</v>
      </c>
      <c r="AN297" s="39" t="str">
        <f>データ!N297</f>
        <v>-</v>
      </c>
      <c r="AO297" s="10" t="s">
        <v>1113</v>
      </c>
      <c r="AP297" s="39" t="str">
        <f>データ!O297</f>
        <v>　</v>
      </c>
      <c r="AQ297" s="41" t="s">
        <v>1024</v>
      </c>
      <c r="AR297" s="40" t="s">
        <v>1324</v>
      </c>
      <c r="AS297" s="39" t="str">
        <f>データ!P297</f>
        <v>ポイントライズ／絶</v>
      </c>
      <c r="AT297" s="10" t="s">
        <v>1113</v>
      </c>
      <c r="AU297" s="39" t="str">
        <f>データ!Q297</f>
        <v>獲得する騎士団戦スコアが大アップ(バトル3回)</v>
      </c>
      <c r="AV297" s="10" t="s">
        <v>1024</v>
      </c>
      <c r="AW297" s="40" t="s">
        <v>1324</v>
      </c>
      <c r="AX297" s="39" t="str">
        <f>データ!R297</f>
        <v>-</v>
      </c>
      <c r="AY297" s="10" t="s">
        <v>1113</v>
      </c>
      <c r="AZ297" s="39" t="str">
        <f>データ!S297</f>
        <v>　</v>
      </c>
      <c r="BA297" s="41" t="s">
        <v>1024</v>
      </c>
      <c r="BB297" s="40" t="s">
        <v>1319</v>
      </c>
      <c r="BC297" s="39" t="str">
        <f>データ!T297</f>
        <v>-</v>
      </c>
      <c r="BD297" s="41" t="s">
        <v>1024</v>
      </c>
      <c r="BE297" s="40" t="s">
        <v>1320</v>
      </c>
      <c r="BF297" s="39" t="str">
        <f>データ!U297</f>
        <v>-</v>
      </c>
      <c r="BG297" s="41" t="s">
        <v>1024</v>
      </c>
      <c r="BH297" s="40" t="s">
        <v>1319</v>
      </c>
      <c r="BI297" s="39" t="str">
        <f>データ!V297</f>
        <v>精鋭化ユニット</v>
      </c>
      <c r="BJ297" s="41" t="s">
        <v>1024</v>
      </c>
      <c r="BK297" s="10" t="s">
        <v>1019</v>
      </c>
    </row>
    <row r="298" spans="1:63" x14ac:dyDescent="0.15">
      <c r="A298" s="10" t="s">
        <v>1016</v>
      </c>
      <c r="B298" s="10" t="s">
        <v>1454</v>
      </c>
      <c r="C298" s="38" t="str">
        <f>"./images/thumbnail/"&amp;データ!B298&amp;".jpg"</f>
        <v>./images/thumbnail/1516_b.jpg</v>
      </c>
      <c r="D298" s="38" t="s">
        <v>1455</v>
      </c>
      <c r="E298" s="38" t="str">
        <f>"./images/thumbnail/"&amp;データ!B298&amp;".jpg"</f>
        <v>./images/thumbnail/1516_b.jpg</v>
      </c>
      <c r="F298" s="38" t="s">
        <v>1116</v>
      </c>
      <c r="G298" s="38" t="s">
        <v>1319</v>
      </c>
      <c r="H298" s="38" t="str">
        <f>データ!C298</f>
        <v>イネス</v>
      </c>
      <c r="I298" s="38" t="s">
        <v>1024</v>
      </c>
      <c r="J298" s="38" t="s">
        <v>1320</v>
      </c>
      <c r="K298" s="38" t="str">
        <f>データ!D298</f>
        <v>UR</v>
      </c>
      <c r="L298" s="38" t="s">
        <v>1024</v>
      </c>
      <c r="M298" s="38" t="s">
        <v>1321</v>
      </c>
      <c r="N298" s="38">
        <f>データ!E298</f>
        <v>14</v>
      </c>
      <c r="O298" s="38" t="s">
        <v>1024</v>
      </c>
      <c r="P298" s="38" t="s">
        <v>1319</v>
      </c>
      <c r="Q298" s="38" t="str">
        <f>データ!F298</f>
        <v>打</v>
      </c>
      <c r="R298" s="38" t="s">
        <v>1024</v>
      </c>
      <c r="S298" s="38" t="s">
        <v>1319</v>
      </c>
      <c r="T298" s="39">
        <f>データ!G298</f>
        <v>29842</v>
      </c>
      <c r="U298" s="40" t="s">
        <v>1024</v>
      </c>
      <c r="V298" s="40" t="s">
        <v>1319</v>
      </c>
      <c r="W298" s="39">
        <f>データ!H298</f>
        <v>8533</v>
      </c>
      <c r="X298" s="40" t="s">
        <v>1024</v>
      </c>
      <c r="Y298" s="40" t="s">
        <v>1319</v>
      </c>
      <c r="Z298" s="39">
        <f>データ!I298</f>
        <v>12125</v>
      </c>
      <c r="AA298" s="40" t="s">
        <v>1024</v>
      </c>
      <c r="AB298" s="40" t="s">
        <v>1322</v>
      </c>
      <c r="AC298" s="39" t="str">
        <f>データ!J298</f>
        <v>SS-</v>
      </c>
      <c r="AD298" s="38" t="s">
        <v>1024</v>
      </c>
      <c r="AE298" s="40" t="s">
        <v>1323</v>
      </c>
      <c r="AF298" s="39">
        <f>データ!K298</f>
        <v>50500</v>
      </c>
      <c r="AG298" s="40" t="s">
        <v>1024</v>
      </c>
      <c r="AH298" s="40" t="s">
        <v>1324</v>
      </c>
      <c r="AI298" s="39" t="str">
        <f>データ!L298</f>
        <v>紫打の神威</v>
      </c>
      <c r="AJ298" s="10" t="s">
        <v>1113</v>
      </c>
      <c r="AK298" s="39" t="str">
        <f>データ!M298</f>
        <v>味方打属性の攻撃力をUP[特大]</v>
      </c>
      <c r="AL298" s="10" t="s">
        <v>1024</v>
      </c>
      <c r="AM298" s="40" t="s">
        <v>1325</v>
      </c>
      <c r="AN298" s="39" t="str">
        <f>データ!N298</f>
        <v>-</v>
      </c>
      <c r="AO298" s="10" t="s">
        <v>1113</v>
      </c>
      <c r="AP298" s="39" t="str">
        <f>データ!O298</f>
        <v>　</v>
      </c>
      <c r="AQ298" s="41" t="s">
        <v>1024</v>
      </c>
      <c r="AR298" s="40" t="s">
        <v>1324</v>
      </c>
      <c r="AS298" s="39" t="str">
        <f>データ!P298</f>
        <v>連戦必勝</v>
      </c>
      <c r="AT298" s="10" t="s">
        <v>1113</v>
      </c>
      <c r="AU298" s="39" t="str">
        <f>データ!Q298</f>
        <v>獲得する騎士団戦スコアが極大アップ(バトル8回)</v>
      </c>
      <c r="AV298" s="10" t="s">
        <v>1024</v>
      </c>
      <c r="AW298" s="40" t="s">
        <v>1324</v>
      </c>
      <c r="AX298" s="39" t="str">
        <f>データ!R298</f>
        <v>-</v>
      </c>
      <c r="AY298" s="10" t="s">
        <v>1113</v>
      </c>
      <c r="AZ298" s="39" t="str">
        <f>データ!S298</f>
        <v>　</v>
      </c>
      <c r="BA298" s="41" t="s">
        <v>1024</v>
      </c>
      <c r="BB298" s="40" t="s">
        <v>1319</v>
      </c>
      <c r="BC298" s="39" t="str">
        <f>データ!T298</f>
        <v>-</v>
      </c>
      <c r="BD298" s="41" t="s">
        <v>1024</v>
      </c>
      <c r="BE298" s="40" t="s">
        <v>1320</v>
      </c>
      <c r="BF298" s="39" t="str">
        <f>データ!U298</f>
        <v>-</v>
      </c>
      <c r="BG298" s="41" t="s">
        <v>1024</v>
      </c>
      <c r="BH298" s="40" t="s">
        <v>1319</v>
      </c>
      <c r="BI298" s="39" t="str">
        <f>データ!V298</f>
        <v>精鋭化ユニット</v>
      </c>
      <c r="BJ298" s="41" t="s">
        <v>1024</v>
      </c>
      <c r="BK298" s="10" t="s">
        <v>1019</v>
      </c>
    </row>
    <row r="299" spans="1:63" x14ac:dyDescent="0.15">
      <c r="A299" s="10" t="s">
        <v>1016</v>
      </c>
      <c r="B299" s="10" t="s">
        <v>1454</v>
      </c>
      <c r="C299" s="38" t="str">
        <f>"./images/thumbnail/"&amp;データ!B299&amp;".jpg"</f>
        <v>./images/thumbnail/1518.jpg</v>
      </c>
      <c r="D299" s="38" t="s">
        <v>1455</v>
      </c>
      <c r="E299" s="38" t="str">
        <f>"./images/thumbnail/"&amp;データ!B299&amp;".jpg"</f>
        <v>./images/thumbnail/1518.jpg</v>
      </c>
      <c r="F299" s="38" t="s">
        <v>1116</v>
      </c>
      <c r="G299" s="38" t="s">
        <v>1319</v>
      </c>
      <c r="H299" s="38" t="str">
        <f>データ!C299</f>
        <v>テオ</v>
      </c>
      <c r="I299" s="38" t="s">
        <v>1024</v>
      </c>
      <c r="J299" s="38" t="s">
        <v>1320</v>
      </c>
      <c r="K299" s="38" t="str">
        <f>データ!D299</f>
        <v>SSR</v>
      </c>
      <c r="L299" s="38" t="s">
        <v>1024</v>
      </c>
      <c r="M299" s="38" t="s">
        <v>1321</v>
      </c>
      <c r="N299" s="38">
        <f>データ!E299</f>
        <v>13</v>
      </c>
      <c r="O299" s="38" t="s">
        <v>1024</v>
      </c>
      <c r="P299" s="38" t="s">
        <v>1319</v>
      </c>
      <c r="Q299" s="38" t="str">
        <f>データ!F299</f>
        <v>遠</v>
      </c>
      <c r="R299" s="38" t="s">
        <v>1024</v>
      </c>
      <c r="S299" s="38" t="s">
        <v>1319</v>
      </c>
      <c r="T299" s="39">
        <f>データ!G299</f>
        <v>17214</v>
      </c>
      <c r="U299" s="40" t="s">
        <v>1024</v>
      </c>
      <c r="V299" s="40" t="s">
        <v>1319</v>
      </c>
      <c r="W299" s="39">
        <f>データ!H299</f>
        <v>6012</v>
      </c>
      <c r="X299" s="40" t="s">
        <v>1024</v>
      </c>
      <c r="Y299" s="40" t="s">
        <v>1319</v>
      </c>
      <c r="Z299" s="39">
        <f>データ!I299</f>
        <v>4952</v>
      </c>
      <c r="AA299" s="40" t="s">
        <v>1024</v>
      </c>
      <c r="AB299" s="40" t="s">
        <v>1322</v>
      </c>
      <c r="AC299" s="39" t="str">
        <f>データ!J299</f>
        <v>S-</v>
      </c>
      <c r="AD299" s="38" t="s">
        <v>1024</v>
      </c>
      <c r="AE299" s="40" t="s">
        <v>1323</v>
      </c>
      <c r="AF299" s="39">
        <f>データ!K299</f>
        <v>28178</v>
      </c>
      <c r="AG299" s="40" t="s">
        <v>1024</v>
      </c>
      <c r="AH299" s="40" t="s">
        <v>1324</v>
      </c>
      <c r="AI299" s="39" t="str">
        <f>データ!L299</f>
        <v xml:space="preserve">光芒の加護 </v>
      </c>
      <c r="AJ299" s="10" t="s">
        <v>1113</v>
      </c>
      <c r="AK299" s="39" t="str">
        <f>データ!M299</f>
        <v>味方全体の防御力をUP[中]</v>
      </c>
      <c r="AL299" s="10" t="s">
        <v>1024</v>
      </c>
      <c r="AM299" s="40" t="s">
        <v>1325</v>
      </c>
      <c r="AN299" s="39" t="str">
        <f>データ!N299</f>
        <v>-</v>
      </c>
      <c r="AO299" s="10" t="s">
        <v>1113</v>
      </c>
      <c r="AP299" s="39" t="str">
        <f>データ!O299</f>
        <v>　</v>
      </c>
      <c r="AQ299" s="41" t="s">
        <v>1024</v>
      </c>
      <c r="AR299" s="40" t="s">
        <v>1324</v>
      </c>
      <c r="AS299" s="39" t="str">
        <f>データ!P299</f>
        <v>アクセラレーター／真</v>
      </c>
      <c r="AT299" s="10" t="s">
        <v>1113</v>
      </c>
      <c r="AU299" s="39" t="str">
        <f>データ!Q299</f>
        <v>パーティ全体の速度が中UP(3分間)</v>
      </c>
      <c r="AV299" s="10" t="s">
        <v>1024</v>
      </c>
      <c r="AW299" s="40" t="s">
        <v>1324</v>
      </c>
      <c r="AX299" s="39" t="str">
        <f>データ!R299</f>
        <v>-</v>
      </c>
      <c r="AY299" s="10" t="s">
        <v>1113</v>
      </c>
      <c r="AZ299" s="39" t="str">
        <f>データ!S299</f>
        <v>　</v>
      </c>
      <c r="BA299" s="41" t="s">
        <v>1024</v>
      </c>
      <c r="BB299" s="40" t="s">
        <v>1319</v>
      </c>
      <c r="BC299" s="39" t="str">
        <f>データ!T299</f>
        <v>-</v>
      </c>
      <c r="BD299" s="41" t="s">
        <v>1024</v>
      </c>
      <c r="BE299" s="40" t="s">
        <v>1320</v>
      </c>
      <c r="BF299" s="39" t="str">
        <f>データ!U299</f>
        <v>-</v>
      </c>
      <c r="BG299" s="41" t="s">
        <v>1024</v>
      </c>
      <c r="BH299" s="40" t="s">
        <v>1319</v>
      </c>
      <c r="BI299" s="39" t="str">
        <f>データ!V299</f>
        <v>常設</v>
      </c>
      <c r="BJ299" s="41" t="s">
        <v>1024</v>
      </c>
      <c r="BK299" s="10" t="s">
        <v>1019</v>
      </c>
    </row>
    <row r="300" spans="1:63" x14ac:dyDescent="0.15">
      <c r="A300" s="10" t="s">
        <v>1016</v>
      </c>
      <c r="B300" s="10" t="s">
        <v>1454</v>
      </c>
      <c r="C300" s="38" t="str">
        <f>"./images/thumbnail/"&amp;データ!B300&amp;".jpg"</f>
        <v>./images/thumbnail/1519.jpg</v>
      </c>
      <c r="D300" s="38" t="s">
        <v>1455</v>
      </c>
      <c r="E300" s="38" t="str">
        <f>"./images/thumbnail/"&amp;データ!B300&amp;".jpg"</f>
        <v>./images/thumbnail/1519.jpg</v>
      </c>
      <c r="F300" s="38" t="s">
        <v>1116</v>
      </c>
      <c r="G300" s="38" t="s">
        <v>1319</v>
      </c>
      <c r="H300" s="38" t="str">
        <f>データ!C300</f>
        <v>シャンタル</v>
      </c>
      <c r="I300" s="38" t="s">
        <v>1024</v>
      </c>
      <c r="J300" s="38" t="s">
        <v>1320</v>
      </c>
      <c r="K300" s="38" t="str">
        <f>データ!D300</f>
        <v>SSR</v>
      </c>
      <c r="L300" s="38" t="s">
        <v>1024</v>
      </c>
      <c r="M300" s="38" t="s">
        <v>1321</v>
      </c>
      <c r="N300" s="38">
        <f>データ!E300</f>
        <v>13</v>
      </c>
      <c r="O300" s="38" t="s">
        <v>1024</v>
      </c>
      <c r="P300" s="38" t="s">
        <v>1319</v>
      </c>
      <c r="Q300" s="38" t="str">
        <f>データ!F300</f>
        <v>突</v>
      </c>
      <c r="R300" s="38" t="s">
        <v>1024</v>
      </c>
      <c r="S300" s="38" t="s">
        <v>1319</v>
      </c>
      <c r="T300" s="39">
        <f>データ!G300</f>
        <v>17692</v>
      </c>
      <c r="U300" s="40" t="s">
        <v>1024</v>
      </c>
      <c r="V300" s="40" t="s">
        <v>1319</v>
      </c>
      <c r="W300" s="39">
        <f>データ!H300</f>
        <v>5608</v>
      </c>
      <c r="X300" s="40" t="s">
        <v>1024</v>
      </c>
      <c r="Y300" s="40" t="s">
        <v>1319</v>
      </c>
      <c r="Z300" s="39">
        <f>データ!I300</f>
        <v>5392</v>
      </c>
      <c r="AA300" s="40" t="s">
        <v>1024</v>
      </c>
      <c r="AB300" s="40" t="s">
        <v>1322</v>
      </c>
      <c r="AC300" s="39" t="str">
        <f>データ!J300</f>
        <v>SS1</v>
      </c>
      <c r="AD300" s="38" t="s">
        <v>1024</v>
      </c>
      <c r="AE300" s="40" t="s">
        <v>1323</v>
      </c>
      <c r="AF300" s="39">
        <f>データ!K300</f>
        <v>28692</v>
      </c>
      <c r="AG300" s="40" t="s">
        <v>1024</v>
      </c>
      <c r="AH300" s="40" t="s">
        <v>1324</v>
      </c>
      <c r="AI300" s="39" t="str">
        <f>データ!L300</f>
        <v>叡智消滅／光芒</v>
      </c>
      <c r="AJ300" s="10" t="s">
        <v>1113</v>
      </c>
      <c r="AK300" s="39" t="str">
        <f>データ!M300</f>
        <v>敵全体の攻撃力と防御力をDOWN[中]</v>
      </c>
      <c r="AL300" s="10" t="s">
        <v>1024</v>
      </c>
      <c r="AM300" s="40" t="s">
        <v>1325</v>
      </c>
      <c r="AN300" s="39" t="str">
        <f>データ!N300</f>
        <v>-</v>
      </c>
      <c r="AO300" s="10" t="s">
        <v>1113</v>
      </c>
      <c r="AP300" s="39" t="str">
        <f>データ!O300</f>
        <v>　</v>
      </c>
      <c r="AQ300" s="41" t="s">
        <v>1024</v>
      </c>
      <c r="AR300" s="40" t="s">
        <v>1324</v>
      </c>
      <c r="AS300" s="39" t="str">
        <f>データ!P300</f>
        <v>ランページ</v>
      </c>
      <c r="AT300" s="10" t="s">
        <v>1113</v>
      </c>
      <c r="AU300" s="39" t="str">
        <f>データ!Q300</f>
        <v>バトルで獲得する騎士団戦スコアが小アップ(3分間)</v>
      </c>
      <c r="AV300" s="10" t="s">
        <v>1024</v>
      </c>
      <c r="AW300" s="40" t="s">
        <v>1324</v>
      </c>
      <c r="AX300" s="39" t="str">
        <f>データ!R300</f>
        <v>-</v>
      </c>
      <c r="AY300" s="10" t="s">
        <v>1113</v>
      </c>
      <c r="AZ300" s="39" t="str">
        <f>データ!S300</f>
        <v>　</v>
      </c>
      <c r="BA300" s="41" t="s">
        <v>1024</v>
      </c>
      <c r="BB300" s="40" t="s">
        <v>1319</v>
      </c>
      <c r="BC300" s="39" t="str">
        <f>データ!T300</f>
        <v>-</v>
      </c>
      <c r="BD300" s="41" t="s">
        <v>1024</v>
      </c>
      <c r="BE300" s="40" t="s">
        <v>1320</v>
      </c>
      <c r="BF300" s="39" t="str">
        <f>データ!U300</f>
        <v>-</v>
      </c>
      <c r="BG300" s="41" t="s">
        <v>1024</v>
      </c>
      <c r="BH300" s="40" t="s">
        <v>1319</v>
      </c>
      <c r="BI300" s="39" t="str">
        <f>データ!V300</f>
        <v>グラン</v>
      </c>
      <c r="BJ300" s="41" t="s">
        <v>1024</v>
      </c>
      <c r="BK300" s="10" t="s">
        <v>1019</v>
      </c>
    </row>
    <row r="301" spans="1:63" x14ac:dyDescent="0.15">
      <c r="A301" s="10" t="s">
        <v>1016</v>
      </c>
      <c r="B301" s="10" t="s">
        <v>1454</v>
      </c>
      <c r="C301" s="38" t="str">
        <f>"./images/thumbnail/"&amp;データ!B301&amp;".jpg"</f>
        <v>./images/thumbnail/1521.jpg</v>
      </c>
      <c r="D301" s="38" t="s">
        <v>1455</v>
      </c>
      <c r="E301" s="38" t="str">
        <f>"./images/thumbnail/"&amp;データ!B301&amp;".jpg"</f>
        <v>./images/thumbnail/1521.jpg</v>
      </c>
      <c r="F301" s="38" t="s">
        <v>1116</v>
      </c>
      <c r="G301" s="38" t="s">
        <v>1319</v>
      </c>
      <c r="H301" s="38" t="str">
        <f>データ!C301</f>
        <v>ラム</v>
      </c>
      <c r="I301" s="38" t="s">
        <v>1024</v>
      </c>
      <c r="J301" s="38" t="s">
        <v>1320</v>
      </c>
      <c r="K301" s="38" t="str">
        <f>データ!D301</f>
        <v>SSR</v>
      </c>
      <c r="L301" s="38" t="s">
        <v>1024</v>
      </c>
      <c r="M301" s="38" t="s">
        <v>1321</v>
      </c>
      <c r="N301" s="38">
        <f>データ!E301</f>
        <v>13</v>
      </c>
      <c r="O301" s="38" t="s">
        <v>1024</v>
      </c>
      <c r="P301" s="38" t="s">
        <v>1319</v>
      </c>
      <c r="Q301" s="38" t="str">
        <f>データ!F301</f>
        <v>打</v>
      </c>
      <c r="R301" s="38" t="s">
        <v>1024</v>
      </c>
      <c r="S301" s="38" t="s">
        <v>1319</v>
      </c>
      <c r="T301" s="39">
        <f>データ!G301</f>
        <v>19365</v>
      </c>
      <c r="U301" s="40" t="s">
        <v>1024</v>
      </c>
      <c r="V301" s="40" t="s">
        <v>1319</v>
      </c>
      <c r="W301" s="39">
        <f>データ!H301</f>
        <v>5140</v>
      </c>
      <c r="X301" s="40" t="s">
        <v>1024</v>
      </c>
      <c r="Y301" s="40" t="s">
        <v>1319</v>
      </c>
      <c r="Z301" s="39">
        <f>データ!I301</f>
        <v>7733</v>
      </c>
      <c r="AA301" s="40" t="s">
        <v>1024</v>
      </c>
      <c r="AB301" s="40" t="s">
        <v>1322</v>
      </c>
      <c r="AC301" s="39" t="str">
        <f>データ!J301</f>
        <v>A-</v>
      </c>
      <c r="AD301" s="38" t="s">
        <v>1024</v>
      </c>
      <c r="AE301" s="40" t="s">
        <v>1323</v>
      </c>
      <c r="AF301" s="39">
        <f>データ!K301</f>
        <v>32238</v>
      </c>
      <c r="AG301" s="40" t="s">
        <v>1024</v>
      </c>
      <c r="AH301" s="40" t="s">
        <v>1324</v>
      </c>
      <c r="AI301" s="39" t="str">
        <f>データ!L301</f>
        <v>焔幻の一閃／絶</v>
      </c>
      <c r="AJ301" s="10" t="s">
        <v>1113</v>
      </c>
      <c r="AK301" s="39" t="str">
        <f>データ!M301</f>
        <v>横一列に攻撃[大]</v>
      </c>
      <c r="AL301" s="10" t="s">
        <v>1024</v>
      </c>
      <c r="AM301" s="40" t="s">
        <v>1325</v>
      </c>
      <c r="AN301" s="39" t="str">
        <f>データ!N301</f>
        <v>-</v>
      </c>
      <c r="AO301" s="10" t="s">
        <v>1113</v>
      </c>
      <c r="AP301" s="39" t="str">
        <f>データ!O301</f>
        <v>　</v>
      </c>
      <c r="AQ301" s="41" t="s">
        <v>1024</v>
      </c>
      <c r="AR301" s="40" t="s">
        <v>1324</v>
      </c>
      <c r="AS301" s="39" t="str">
        <f>データ!P301</f>
        <v>フォートレス／真</v>
      </c>
      <c r="AT301" s="10" t="s">
        <v>1113</v>
      </c>
      <c r="AU301" s="39" t="str">
        <f>データ!Q301</f>
        <v>パーティ全体の防御力が中UP(3分間)</v>
      </c>
      <c r="AV301" s="10" t="s">
        <v>1024</v>
      </c>
      <c r="AW301" s="40" t="s">
        <v>1324</v>
      </c>
      <c r="AX301" s="39" t="str">
        <f>データ!R301</f>
        <v>-</v>
      </c>
      <c r="AY301" s="10" t="s">
        <v>1113</v>
      </c>
      <c r="AZ301" s="39" t="str">
        <f>データ!S301</f>
        <v>　</v>
      </c>
      <c r="BA301" s="41" t="s">
        <v>1024</v>
      </c>
      <c r="BB301" s="40" t="s">
        <v>1319</v>
      </c>
      <c r="BC301" s="39" t="str">
        <f>データ!T301</f>
        <v>-</v>
      </c>
      <c r="BD301" s="41" t="s">
        <v>1024</v>
      </c>
      <c r="BE301" s="40" t="s">
        <v>1320</v>
      </c>
      <c r="BF301" s="39" t="str">
        <f>データ!U301</f>
        <v>-</v>
      </c>
      <c r="BG301" s="41" t="s">
        <v>1024</v>
      </c>
      <c r="BH301" s="40" t="s">
        <v>1319</v>
      </c>
      <c r="BI301" s="39" t="str">
        <f>データ!V301</f>
        <v>メダル</v>
      </c>
      <c r="BJ301" s="41" t="s">
        <v>1024</v>
      </c>
      <c r="BK301" s="10" t="s">
        <v>1019</v>
      </c>
    </row>
    <row r="302" spans="1:63" x14ac:dyDescent="0.15">
      <c r="A302" s="10" t="s">
        <v>1016</v>
      </c>
      <c r="B302" s="10" t="s">
        <v>1454</v>
      </c>
      <c r="C302" s="38" t="str">
        <f>"./images/thumbnail/"&amp;データ!B302&amp;".jpg"</f>
        <v>./images/thumbnail/1526.jpg</v>
      </c>
      <c r="D302" s="38" t="s">
        <v>1455</v>
      </c>
      <c r="E302" s="38" t="str">
        <f>"./images/thumbnail/"&amp;データ!B302&amp;".jpg"</f>
        <v>./images/thumbnail/1526.jpg</v>
      </c>
      <c r="F302" s="38" t="s">
        <v>1116</v>
      </c>
      <c r="G302" s="38" t="s">
        <v>1319</v>
      </c>
      <c r="H302" s="38" t="str">
        <f>データ!C302</f>
        <v>ヴィオレ</v>
      </c>
      <c r="I302" s="38" t="s">
        <v>1024</v>
      </c>
      <c r="J302" s="38" t="s">
        <v>1320</v>
      </c>
      <c r="K302" s="38" t="str">
        <f>データ!D302</f>
        <v>SSR</v>
      </c>
      <c r="L302" s="38" t="s">
        <v>1024</v>
      </c>
      <c r="M302" s="38" t="s">
        <v>1321</v>
      </c>
      <c r="N302" s="38">
        <f>データ!E302</f>
        <v>13</v>
      </c>
      <c r="O302" s="38" t="s">
        <v>1024</v>
      </c>
      <c r="P302" s="38" t="s">
        <v>1319</v>
      </c>
      <c r="Q302" s="38" t="str">
        <f>データ!F302</f>
        <v>斬</v>
      </c>
      <c r="R302" s="38" t="s">
        <v>1024</v>
      </c>
      <c r="S302" s="38" t="s">
        <v>1319</v>
      </c>
      <c r="T302" s="39">
        <f>データ!G302</f>
        <v>15184</v>
      </c>
      <c r="U302" s="40" t="s">
        <v>1024</v>
      </c>
      <c r="V302" s="40" t="s">
        <v>1319</v>
      </c>
      <c r="W302" s="39">
        <f>データ!H302</f>
        <v>6980</v>
      </c>
      <c r="X302" s="40" t="s">
        <v>1024</v>
      </c>
      <c r="Y302" s="40" t="s">
        <v>1319</v>
      </c>
      <c r="Z302" s="39">
        <f>データ!I302</f>
        <v>5868</v>
      </c>
      <c r="AA302" s="40" t="s">
        <v>1024</v>
      </c>
      <c r="AB302" s="40" t="s">
        <v>1322</v>
      </c>
      <c r="AC302" s="39" t="str">
        <f>データ!J302</f>
        <v>A+</v>
      </c>
      <c r="AD302" s="38" t="s">
        <v>1024</v>
      </c>
      <c r="AE302" s="40" t="s">
        <v>1323</v>
      </c>
      <c r="AF302" s="39">
        <f>データ!K302</f>
        <v>28032</v>
      </c>
      <c r="AG302" s="40" t="s">
        <v>1024</v>
      </c>
      <c r="AH302" s="40" t="s">
        <v>1324</v>
      </c>
      <c r="AI302" s="39" t="str">
        <f>データ!L302</f>
        <v>天雷幻の一撃／絶</v>
      </c>
      <c r="AJ302" s="10" t="s">
        <v>1113</v>
      </c>
      <c r="AK302" s="39" t="str">
        <f>データ!M302</f>
        <v>敵単体攻撃[大]自分の攻撃力UP[大]</v>
      </c>
      <c r="AL302" s="10" t="s">
        <v>1024</v>
      </c>
      <c r="AM302" s="40" t="s">
        <v>1325</v>
      </c>
      <c r="AN302" s="39" t="str">
        <f>データ!N302</f>
        <v>-</v>
      </c>
      <c r="AO302" s="10" t="s">
        <v>1113</v>
      </c>
      <c r="AP302" s="39" t="str">
        <f>データ!O302</f>
        <v>　</v>
      </c>
      <c r="AQ302" s="41" t="s">
        <v>1024</v>
      </c>
      <c r="AR302" s="40" t="s">
        <v>1324</v>
      </c>
      <c r="AS302" s="39" t="str">
        <f>データ!P302</f>
        <v>ハイド／真</v>
      </c>
      <c r="AT302" s="10" t="s">
        <v>1113</v>
      </c>
      <c r="AU302" s="39" t="str">
        <f>データ!Q302</f>
        <v>攻撃される確率が中DOWN(3分間)</v>
      </c>
      <c r="AV302" s="10" t="s">
        <v>1024</v>
      </c>
      <c r="AW302" s="40" t="s">
        <v>1324</v>
      </c>
      <c r="AX302" s="39" t="str">
        <f>データ!R302</f>
        <v>-</v>
      </c>
      <c r="AY302" s="10" t="s">
        <v>1113</v>
      </c>
      <c r="AZ302" s="39" t="str">
        <f>データ!S302</f>
        <v>　</v>
      </c>
      <c r="BA302" s="41" t="s">
        <v>1024</v>
      </c>
      <c r="BB302" s="40" t="s">
        <v>1319</v>
      </c>
      <c r="BC302" s="39" t="str">
        <f>データ!T302</f>
        <v>-</v>
      </c>
      <c r="BD302" s="41" t="s">
        <v>1024</v>
      </c>
      <c r="BE302" s="40" t="s">
        <v>1320</v>
      </c>
      <c r="BF302" s="39" t="str">
        <f>データ!U302</f>
        <v>-</v>
      </c>
      <c r="BG302" s="41" t="s">
        <v>1024</v>
      </c>
      <c r="BH302" s="40" t="s">
        <v>1319</v>
      </c>
      <c r="BI302" s="39" t="str">
        <f>データ!V302</f>
        <v>魔女の追憶イベ</v>
      </c>
      <c r="BJ302" s="41" t="s">
        <v>1024</v>
      </c>
      <c r="BK302" s="10" t="s">
        <v>1019</v>
      </c>
    </row>
    <row r="303" spans="1:63" x14ac:dyDescent="0.15">
      <c r="A303" s="10" t="s">
        <v>1016</v>
      </c>
      <c r="B303" s="10" t="s">
        <v>1454</v>
      </c>
      <c r="C303" s="38" t="str">
        <f>"./images/thumbnail/"&amp;データ!B303&amp;".jpg"</f>
        <v>./images/thumbnail/1528.jpg</v>
      </c>
      <c r="D303" s="38" t="s">
        <v>1455</v>
      </c>
      <c r="E303" s="38" t="str">
        <f>"./images/thumbnail/"&amp;データ!B303&amp;".jpg"</f>
        <v>./images/thumbnail/1528.jpg</v>
      </c>
      <c r="F303" s="38" t="s">
        <v>1116</v>
      </c>
      <c r="G303" s="38" t="s">
        <v>1319</v>
      </c>
      <c r="H303" s="38" t="str">
        <f>データ!C303</f>
        <v>バルザック</v>
      </c>
      <c r="I303" s="38" t="s">
        <v>1024</v>
      </c>
      <c r="J303" s="38" t="s">
        <v>1320</v>
      </c>
      <c r="K303" s="38" t="str">
        <f>データ!D303</f>
        <v>SSR</v>
      </c>
      <c r="L303" s="38" t="s">
        <v>1024</v>
      </c>
      <c r="M303" s="38" t="s">
        <v>1321</v>
      </c>
      <c r="N303" s="38">
        <f>データ!E303</f>
        <v>13</v>
      </c>
      <c r="O303" s="38" t="s">
        <v>1024</v>
      </c>
      <c r="P303" s="38" t="s">
        <v>1319</v>
      </c>
      <c r="Q303" s="38" t="str">
        <f>データ!F303</f>
        <v>斬</v>
      </c>
      <c r="R303" s="38" t="s">
        <v>1024</v>
      </c>
      <c r="S303" s="38" t="s">
        <v>1319</v>
      </c>
      <c r="T303" s="39">
        <f>データ!G303</f>
        <v>16513</v>
      </c>
      <c r="U303" s="40" t="s">
        <v>1024</v>
      </c>
      <c r="V303" s="40" t="s">
        <v>1319</v>
      </c>
      <c r="W303" s="39">
        <f>データ!H303</f>
        <v>7596</v>
      </c>
      <c r="X303" s="40" t="s">
        <v>1024</v>
      </c>
      <c r="Y303" s="40" t="s">
        <v>1319</v>
      </c>
      <c r="Z303" s="39">
        <f>データ!I303</f>
        <v>5087</v>
      </c>
      <c r="AA303" s="40" t="s">
        <v>1024</v>
      </c>
      <c r="AB303" s="40" t="s">
        <v>1322</v>
      </c>
      <c r="AC303" s="39" t="str">
        <f>データ!J303</f>
        <v>A+</v>
      </c>
      <c r="AD303" s="38" t="s">
        <v>1024</v>
      </c>
      <c r="AE303" s="40" t="s">
        <v>1323</v>
      </c>
      <c r="AF303" s="39">
        <f>データ!K303</f>
        <v>29196</v>
      </c>
      <c r="AG303" s="40" t="s">
        <v>1024</v>
      </c>
      <c r="AH303" s="40" t="s">
        <v>1324</v>
      </c>
      <c r="AI303" s="39" t="str">
        <f>データ!L303</f>
        <v>対蒼の薙風／絶</v>
      </c>
      <c r="AJ303" s="10" t="s">
        <v>1113</v>
      </c>
      <c r="AK303" s="39" t="str">
        <f>データ!M303</f>
        <v>突に強く斬に弱い横一列攻撃[大]</v>
      </c>
      <c r="AL303" s="10" t="s">
        <v>1024</v>
      </c>
      <c r="AM303" s="40" t="s">
        <v>1325</v>
      </c>
      <c r="AN303" s="39" t="str">
        <f>データ!N303</f>
        <v>-</v>
      </c>
      <c r="AO303" s="10" t="s">
        <v>1113</v>
      </c>
      <c r="AP303" s="39" t="str">
        <f>データ!O303</f>
        <v>　</v>
      </c>
      <c r="AQ303" s="41" t="s">
        <v>1024</v>
      </c>
      <c r="AR303" s="40" t="s">
        <v>1324</v>
      </c>
      <c r="AS303" s="39" t="str">
        <f>データ!P303</f>
        <v>ステルス／真</v>
      </c>
      <c r="AT303" s="10" t="s">
        <v>1113</v>
      </c>
      <c r="AU303" s="39" t="str">
        <f>データ!Q303</f>
        <v>強襲CBの発生確率・強襲時獲得ポイント中UP(3回)</v>
      </c>
      <c r="AV303" s="10" t="s">
        <v>1024</v>
      </c>
      <c r="AW303" s="40" t="s">
        <v>1324</v>
      </c>
      <c r="AX303" s="39" t="str">
        <f>データ!R303</f>
        <v>-</v>
      </c>
      <c r="AY303" s="10" t="s">
        <v>1113</v>
      </c>
      <c r="AZ303" s="39" t="str">
        <f>データ!S303</f>
        <v>　</v>
      </c>
      <c r="BA303" s="41" t="s">
        <v>1024</v>
      </c>
      <c r="BB303" s="40" t="s">
        <v>1319</v>
      </c>
      <c r="BC303" s="39" t="str">
        <f>データ!T303</f>
        <v>-</v>
      </c>
      <c r="BD303" s="41" t="s">
        <v>1024</v>
      </c>
      <c r="BE303" s="40" t="s">
        <v>1320</v>
      </c>
      <c r="BF303" s="39" t="str">
        <f>データ!U303</f>
        <v>-</v>
      </c>
      <c r="BG303" s="41" t="s">
        <v>1024</v>
      </c>
      <c r="BH303" s="40" t="s">
        <v>1319</v>
      </c>
      <c r="BI303" s="39" t="str">
        <f>データ!V303</f>
        <v>常設</v>
      </c>
      <c r="BJ303" s="41" t="s">
        <v>1024</v>
      </c>
      <c r="BK303" s="10" t="s">
        <v>1019</v>
      </c>
    </row>
    <row r="304" spans="1:63" x14ac:dyDescent="0.15">
      <c r="A304" s="10" t="s">
        <v>1016</v>
      </c>
      <c r="B304" s="10" t="s">
        <v>1454</v>
      </c>
      <c r="C304" s="38" t="str">
        <f>"./images/thumbnail/"&amp;データ!B304&amp;".jpg"</f>
        <v>./images/thumbnail/1530.jpg</v>
      </c>
      <c r="D304" s="38" t="s">
        <v>1455</v>
      </c>
      <c r="E304" s="38" t="str">
        <f>"./images/thumbnail/"&amp;データ!B304&amp;".jpg"</f>
        <v>./images/thumbnail/1530.jpg</v>
      </c>
      <c r="F304" s="38" t="s">
        <v>1116</v>
      </c>
      <c r="G304" s="38" t="s">
        <v>1319</v>
      </c>
      <c r="H304" s="38" t="str">
        <f>データ!C304</f>
        <v>ソニア</v>
      </c>
      <c r="I304" s="38" t="s">
        <v>1024</v>
      </c>
      <c r="J304" s="38" t="s">
        <v>1320</v>
      </c>
      <c r="K304" s="38" t="str">
        <f>データ!D304</f>
        <v>SSR</v>
      </c>
      <c r="L304" s="38" t="s">
        <v>1024</v>
      </c>
      <c r="M304" s="38" t="s">
        <v>1321</v>
      </c>
      <c r="N304" s="38">
        <f>データ!E304</f>
        <v>13</v>
      </c>
      <c r="O304" s="38" t="s">
        <v>1024</v>
      </c>
      <c r="P304" s="38" t="s">
        <v>1319</v>
      </c>
      <c r="Q304" s="38" t="str">
        <f>データ!F304</f>
        <v>突</v>
      </c>
      <c r="R304" s="38" t="s">
        <v>1024</v>
      </c>
      <c r="S304" s="38" t="s">
        <v>1319</v>
      </c>
      <c r="T304" s="39">
        <f>データ!G304</f>
        <v>19467</v>
      </c>
      <c r="U304" s="40" t="s">
        <v>1024</v>
      </c>
      <c r="V304" s="40" t="s">
        <v>1319</v>
      </c>
      <c r="W304" s="39">
        <f>データ!H304</f>
        <v>5791</v>
      </c>
      <c r="X304" s="40" t="s">
        <v>1024</v>
      </c>
      <c r="Y304" s="40" t="s">
        <v>1319</v>
      </c>
      <c r="Z304" s="39">
        <f>データ!I304</f>
        <v>5246</v>
      </c>
      <c r="AA304" s="40" t="s">
        <v>1024</v>
      </c>
      <c r="AB304" s="40" t="s">
        <v>1322</v>
      </c>
      <c r="AC304" s="39" t="str">
        <f>データ!J304</f>
        <v>SS-</v>
      </c>
      <c r="AD304" s="38" t="s">
        <v>1024</v>
      </c>
      <c r="AE304" s="40" t="s">
        <v>1323</v>
      </c>
      <c r="AF304" s="39">
        <f>データ!K304</f>
        <v>30504</v>
      </c>
      <c r="AG304" s="40" t="s">
        <v>1024</v>
      </c>
      <c r="AH304" s="40" t="s">
        <v>1324</v>
      </c>
      <c r="AI304" s="39" t="str">
        <f>データ!L304</f>
        <v>対蒼の突風／絶</v>
      </c>
      <c r="AJ304" s="10" t="s">
        <v>1113</v>
      </c>
      <c r="AK304" s="39" t="str">
        <f>データ!M304</f>
        <v>突に強く斬に弱い縦一列攻撃[大]</v>
      </c>
      <c r="AL304" s="10" t="s">
        <v>1024</v>
      </c>
      <c r="AM304" s="40" t="s">
        <v>1325</v>
      </c>
      <c r="AN304" s="39" t="str">
        <f>データ!N304</f>
        <v>-</v>
      </c>
      <c r="AO304" s="10" t="s">
        <v>1113</v>
      </c>
      <c r="AP304" s="39" t="str">
        <f>データ!O304</f>
        <v>　</v>
      </c>
      <c r="AQ304" s="41" t="s">
        <v>1024</v>
      </c>
      <c r="AR304" s="40" t="s">
        <v>1324</v>
      </c>
      <c r="AS304" s="39" t="str">
        <f>データ!P304</f>
        <v>アサルト／真</v>
      </c>
      <c r="AT304" s="10" t="s">
        <v>1113</v>
      </c>
      <c r="AU304" s="39" t="str">
        <f>データ!Q304</f>
        <v>パーティ全体の攻撃力が中UP(3分間)</v>
      </c>
      <c r="AV304" s="10" t="s">
        <v>1024</v>
      </c>
      <c r="AW304" s="40" t="s">
        <v>1324</v>
      </c>
      <c r="AX304" s="39" t="str">
        <f>データ!R304</f>
        <v>-</v>
      </c>
      <c r="AY304" s="10" t="s">
        <v>1113</v>
      </c>
      <c r="AZ304" s="39" t="str">
        <f>データ!S304</f>
        <v>　</v>
      </c>
      <c r="BA304" s="41" t="s">
        <v>1024</v>
      </c>
      <c r="BB304" s="40" t="s">
        <v>1319</v>
      </c>
      <c r="BC304" s="39" t="str">
        <f>データ!T304</f>
        <v>-</v>
      </c>
      <c r="BD304" s="41" t="s">
        <v>1024</v>
      </c>
      <c r="BE304" s="40" t="s">
        <v>1320</v>
      </c>
      <c r="BF304" s="39" t="str">
        <f>データ!U304</f>
        <v>-</v>
      </c>
      <c r="BG304" s="41" t="s">
        <v>1024</v>
      </c>
      <c r="BH304" s="40" t="s">
        <v>1319</v>
      </c>
      <c r="BI304" s="39" t="str">
        <f>データ!V304</f>
        <v>常設</v>
      </c>
      <c r="BJ304" s="41" t="s">
        <v>1024</v>
      </c>
      <c r="BK304" s="10" t="s">
        <v>1019</v>
      </c>
    </row>
    <row r="305" spans="1:63" x14ac:dyDescent="0.15">
      <c r="A305" s="10" t="s">
        <v>1016</v>
      </c>
      <c r="B305" s="10" t="s">
        <v>1454</v>
      </c>
      <c r="C305" s="38" t="str">
        <f>"./images/thumbnail/"&amp;データ!B305&amp;".jpg"</f>
        <v>./images/thumbnail/1532.jpg</v>
      </c>
      <c r="D305" s="38" t="s">
        <v>1455</v>
      </c>
      <c r="E305" s="38" t="str">
        <f>"./images/thumbnail/"&amp;データ!B305&amp;".jpg"</f>
        <v>./images/thumbnail/1532.jpg</v>
      </c>
      <c r="F305" s="38" t="s">
        <v>1116</v>
      </c>
      <c r="G305" s="38" t="s">
        <v>1319</v>
      </c>
      <c r="H305" s="38" t="str">
        <f>データ!C305</f>
        <v>ディクセン</v>
      </c>
      <c r="I305" s="38" t="s">
        <v>1024</v>
      </c>
      <c r="J305" s="38" t="s">
        <v>1320</v>
      </c>
      <c r="K305" s="38" t="str">
        <f>データ!D305</f>
        <v>SSR</v>
      </c>
      <c r="L305" s="38" t="s">
        <v>1024</v>
      </c>
      <c r="M305" s="38" t="s">
        <v>1321</v>
      </c>
      <c r="N305" s="38">
        <f>データ!E305</f>
        <v>13</v>
      </c>
      <c r="O305" s="38" t="s">
        <v>1024</v>
      </c>
      <c r="P305" s="38" t="s">
        <v>1319</v>
      </c>
      <c r="Q305" s="38" t="str">
        <f>データ!F305</f>
        <v>打</v>
      </c>
      <c r="R305" s="38" t="s">
        <v>1024</v>
      </c>
      <c r="S305" s="38" t="s">
        <v>1319</v>
      </c>
      <c r="T305" s="39">
        <f>データ!G305</f>
        <v>18758</v>
      </c>
      <c r="U305" s="40" t="s">
        <v>1024</v>
      </c>
      <c r="V305" s="40" t="s">
        <v>1319</v>
      </c>
      <c r="W305" s="39">
        <f>データ!H305</f>
        <v>5646</v>
      </c>
      <c r="X305" s="40" t="s">
        <v>1024</v>
      </c>
      <c r="Y305" s="40" t="s">
        <v>1319</v>
      </c>
      <c r="Z305" s="39">
        <f>データ!I305</f>
        <v>7754</v>
      </c>
      <c r="AA305" s="40" t="s">
        <v>1024</v>
      </c>
      <c r="AB305" s="40" t="s">
        <v>1322</v>
      </c>
      <c r="AC305" s="39" t="str">
        <f>データ!J305</f>
        <v>A-</v>
      </c>
      <c r="AD305" s="38" t="s">
        <v>1024</v>
      </c>
      <c r="AE305" s="40" t="s">
        <v>1323</v>
      </c>
      <c r="AF305" s="39">
        <f>データ!K305</f>
        <v>32158</v>
      </c>
      <c r="AG305" s="40" t="s">
        <v>1024</v>
      </c>
      <c r="AH305" s="40" t="s">
        <v>1324</v>
      </c>
      <c r="AI305" s="39" t="str">
        <f>データ!L305</f>
        <v>地焔幻の一閃／絶</v>
      </c>
      <c r="AJ305" s="10" t="s">
        <v>1113</v>
      </c>
      <c r="AK305" s="39" t="str">
        <f>データ!M305</f>
        <v>横一列攻撃[大]自分の防御力UP[大]</v>
      </c>
      <c r="AL305" s="10" t="s">
        <v>1024</v>
      </c>
      <c r="AM305" s="40" t="s">
        <v>1325</v>
      </c>
      <c r="AN305" s="39" t="str">
        <f>データ!N305</f>
        <v>-</v>
      </c>
      <c r="AO305" s="10" t="s">
        <v>1113</v>
      </c>
      <c r="AP305" s="39" t="str">
        <f>データ!O305</f>
        <v>　</v>
      </c>
      <c r="AQ305" s="41" t="s">
        <v>1024</v>
      </c>
      <c r="AR305" s="40" t="s">
        <v>1324</v>
      </c>
      <c r="AS305" s="39" t="str">
        <f>データ!P305</f>
        <v>フォートレスオーダー</v>
      </c>
      <c r="AT305" s="10" t="s">
        <v>1113</v>
      </c>
      <c r="AU305" s="39" t="str">
        <f>データ!Q305</f>
        <v>騎士団全体の防御力が小UP(3分間)</v>
      </c>
      <c r="AV305" s="10" t="s">
        <v>1024</v>
      </c>
      <c r="AW305" s="40" t="s">
        <v>1324</v>
      </c>
      <c r="AX305" s="39" t="str">
        <f>データ!R305</f>
        <v>-</v>
      </c>
      <c r="AY305" s="10" t="s">
        <v>1113</v>
      </c>
      <c r="AZ305" s="39" t="str">
        <f>データ!S305</f>
        <v>　</v>
      </c>
      <c r="BA305" s="41" t="s">
        <v>1024</v>
      </c>
      <c r="BB305" s="40" t="s">
        <v>1319</v>
      </c>
      <c r="BC305" s="39" t="str">
        <f>データ!T305</f>
        <v>-</v>
      </c>
      <c r="BD305" s="41" t="s">
        <v>1024</v>
      </c>
      <c r="BE305" s="40" t="s">
        <v>1320</v>
      </c>
      <c r="BF305" s="39" t="str">
        <f>データ!U305</f>
        <v>-</v>
      </c>
      <c r="BG305" s="41" t="s">
        <v>1024</v>
      </c>
      <c r="BH305" s="40" t="s">
        <v>1319</v>
      </c>
      <c r="BI305" s="39" t="str">
        <f>データ!V305</f>
        <v>常設</v>
      </c>
      <c r="BJ305" s="41" t="s">
        <v>1024</v>
      </c>
      <c r="BK305" s="10" t="s">
        <v>1019</v>
      </c>
    </row>
    <row r="306" spans="1:63" x14ac:dyDescent="0.15">
      <c r="A306" s="10" t="s">
        <v>1016</v>
      </c>
      <c r="B306" s="10" t="s">
        <v>1454</v>
      </c>
      <c r="C306" s="38" t="str">
        <f>"./images/thumbnail/"&amp;データ!B306&amp;".jpg"</f>
        <v>./images/thumbnail/1534.jpg</v>
      </c>
      <c r="D306" s="38" t="s">
        <v>1455</v>
      </c>
      <c r="E306" s="38" t="str">
        <f>"./images/thumbnail/"&amp;データ!B306&amp;".jpg"</f>
        <v>./images/thumbnail/1534.jpg</v>
      </c>
      <c r="F306" s="38" t="s">
        <v>1116</v>
      </c>
      <c r="G306" s="38" t="s">
        <v>1319</v>
      </c>
      <c r="H306" s="38" t="str">
        <f>データ!C306</f>
        <v>ルナ</v>
      </c>
      <c r="I306" s="38" t="s">
        <v>1024</v>
      </c>
      <c r="J306" s="38" t="s">
        <v>1320</v>
      </c>
      <c r="K306" s="38" t="str">
        <f>データ!D306</f>
        <v>UR</v>
      </c>
      <c r="L306" s="38" t="s">
        <v>1024</v>
      </c>
      <c r="M306" s="38" t="s">
        <v>1321</v>
      </c>
      <c r="N306" s="38">
        <f>データ!E306</f>
        <v>14</v>
      </c>
      <c r="O306" s="38" t="s">
        <v>1024</v>
      </c>
      <c r="P306" s="38" t="s">
        <v>1319</v>
      </c>
      <c r="Q306" s="38" t="str">
        <f>データ!F306</f>
        <v>遠</v>
      </c>
      <c r="R306" s="38" t="s">
        <v>1024</v>
      </c>
      <c r="S306" s="38" t="s">
        <v>1319</v>
      </c>
      <c r="T306" s="39">
        <f>データ!G306</f>
        <v>18670</v>
      </c>
      <c r="U306" s="40" t="s">
        <v>1024</v>
      </c>
      <c r="V306" s="40" t="s">
        <v>1319</v>
      </c>
      <c r="W306" s="39">
        <f>データ!H306</f>
        <v>6513</v>
      </c>
      <c r="X306" s="40" t="s">
        <v>1024</v>
      </c>
      <c r="Y306" s="40" t="s">
        <v>1319</v>
      </c>
      <c r="Z306" s="39">
        <f>データ!I306</f>
        <v>5930</v>
      </c>
      <c r="AA306" s="40" t="s">
        <v>1024</v>
      </c>
      <c r="AB306" s="40" t="s">
        <v>1322</v>
      </c>
      <c r="AC306" s="39" t="str">
        <f>データ!J306</f>
        <v>S+</v>
      </c>
      <c r="AD306" s="38" t="s">
        <v>1024</v>
      </c>
      <c r="AE306" s="40" t="s">
        <v>1323</v>
      </c>
      <c r="AF306" s="39">
        <f>データ!K306</f>
        <v>31113</v>
      </c>
      <c r="AG306" s="40" t="s">
        <v>1024</v>
      </c>
      <c r="AH306" s="40" t="s">
        <v>1324</v>
      </c>
      <c r="AI306" s="39" t="str">
        <f>データ!L306</f>
        <v>対翠の交叉線／煌</v>
      </c>
      <c r="AJ306" s="10" t="s">
        <v>1113</v>
      </c>
      <c r="AK306" s="39" t="str">
        <f>データ!M306</f>
        <v>遠に強く打に弱いX字型攻撃[特大]</v>
      </c>
      <c r="AL306" s="10" t="s">
        <v>1024</v>
      </c>
      <c r="AM306" s="40" t="s">
        <v>1325</v>
      </c>
      <c r="AN306" s="39" t="str">
        <f>データ!N306</f>
        <v>-</v>
      </c>
      <c r="AO306" s="10" t="s">
        <v>1113</v>
      </c>
      <c r="AP306" s="39" t="str">
        <f>データ!O306</f>
        <v>　</v>
      </c>
      <c r="AQ306" s="41" t="s">
        <v>1024</v>
      </c>
      <c r="AR306" s="40" t="s">
        <v>1324</v>
      </c>
      <c r="AS306" s="39" t="str">
        <f>データ!P306</f>
        <v>オラクル／絶</v>
      </c>
      <c r="AT306" s="10" t="s">
        <v>1113</v>
      </c>
      <c r="AU306" s="39" t="str">
        <f>データ!Q306</f>
        <v>パーティ全体のスキル発動率が大UP(3分間)</v>
      </c>
      <c r="AV306" s="10" t="s">
        <v>1024</v>
      </c>
      <c r="AW306" s="40" t="s">
        <v>1324</v>
      </c>
      <c r="AX306" s="39" t="str">
        <f>データ!R306</f>
        <v>-</v>
      </c>
      <c r="AY306" s="10" t="s">
        <v>1113</v>
      </c>
      <c r="AZ306" s="39" t="str">
        <f>データ!S306</f>
        <v>　</v>
      </c>
      <c r="BA306" s="41" t="s">
        <v>1024</v>
      </c>
      <c r="BB306" s="40" t="s">
        <v>1319</v>
      </c>
      <c r="BC306" s="39" t="str">
        <f>データ!T306</f>
        <v>-</v>
      </c>
      <c r="BD306" s="41" t="s">
        <v>1024</v>
      </c>
      <c r="BE306" s="40" t="s">
        <v>1320</v>
      </c>
      <c r="BF306" s="39" t="str">
        <f>データ!U306</f>
        <v>-</v>
      </c>
      <c r="BG306" s="41" t="s">
        <v>1024</v>
      </c>
      <c r="BH306" s="40" t="s">
        <v>1319</v>
      </c>
      <c r="BI306" s="39" t="str">
        <f>データ!V306</f>
        <v>常設</v>
      </c>
      <c r="BJ306" s="41" t="s">
        <v>1024</v>
      </c>
      <c r="BK306" s="10" t="s">
        <v>1019</v>
      </c>
    </row>
    <row r="307" spans="1:63" x14ac:dyDescent="0.15">
      <c r="A307" s="10" t="s">
        <v>1016</v>
      </c>
      <c r="B307" s="10" t="s">
        <v>1454</v>
      </c>
      <c r="C307" s="38" t="str">
        <f>"./images/thumbnail/"&amp;データ!B307&amp;".jpg"</f>
        <v>./images/thumbnail/1535.jpg</v>
      </c>
      <c r="D307" s="38" t="s">
        <v>1455</v>
      </c>
      <c r="E307" s="38" t="str">
        <f>"./images/thumbnail/"&amp;データ!B307&amp;".jpg"</f>
        <v>./images/thumbnail/1535.jpg</v>
      </c>
      <c r="F307" s="38" t="s">
        <v>1116</v>
      </c>
      <c r="G307" s="38" t="s">
        <v>1319</v>
      </c>
      <c r="H307" s="38" t="str">
        <f>データ!C307</f>
        <v>ベルナデッタ</v>
      </c>
      <c r="I307" s="38" t="s">
        <v>1024</v>
      </c>
      <c r="J307" s="38" t="s">
        <v>1320</v>
      </c>
      <c r="K307" s="38" t="str">
        <f>データ!D307</f>
        <v>UR</v>
      </c>
      <c r="L307" s="38" t="s">
        <v>1024</v>
      </c>
      <c r="M307" s="38" t="s">
        <v>1321</v>
      </c>
      <c r="N307" s="38">
        <f>データ!E307</f>
        <v>14</v>
      </c>
      <c r="O307" s="38" t="s">
        <v>1024</v>
      </c>
      <c r="P307" s="38" t="s">
        <v>1319</v>
      </c>
      <c r="Q307" s="38" t="str">
        <f>データ!F307</f>
        <v>突</v>
      </c>
      <c r="R307" s="38" t="s">
        <v>1024</v>
      </c>
      <c r="S307" s="38" t="s">
        <v>1319</v>
      </c>
      <c r="T307" s="39">
        <f>データ!G307</f>
        <v>19849</v>
      </c>
      <c r="U307" s="40" t="s">
        <v>1024</v>
      </c>
      <c r="V307" s="40" t="s">
        <v>1319</v>
      </c>
      <c r="W307" s="39">
        <f>データ!H307</f>
        <v>5907</v>
      </c>
      <c r="X307" s="40" t="s">
        <v>1024</v>
      </c>
      <c r="Y307" s="40" t="s">
        <v>1319</v>
      </c>
      <c r="Z307" s="39">
        <f>データ!I307</f>
        <v>7020</v>
      </c>
      <c r="AA307" s="40" t="s">
        <v>1024</v>
      </c>
      <c r="AB307" s="40" t="s">
        <v>1322</v>
      </c>
      <c r="AC307" s="39" t="str">
        <f>データ!J307</f>
        <v>SS+</v>
      </c>
      <c r="AD307" s="38" t="s">
        <v>1024</v>
      </c>
      <c r="AE307" s="40" t="s">
        <v>1323</v>
      </c>
      <c r="AF307" s="39">
        <f>データ!K307</f>
        <v>32776</v>
      </c>
      <c r="AG307" s="40" t="s">
        <v>1024</v>
      </c>
      <c r="AH307" s="40" t="s">
        <v>1324</v>
      </c>
      <c r="AI307" s="39" t="str">
        <f>データ!L307</f>
        <v>解除の一撃／絶</v>
      </c>
      <c r="AJ307" s="10" t="s">
        <v>1113</v>
      </c>
      <c r="AK307" s="39" t="str">
        <f>データ!M307</f>
        <v>単体固定ダメージ[大]+敵ステータスUP解除</v>
      </c>
      <c r="AL307" s="10" t="s">
        <v>1024</v>
      </c>
      <c r="AM307" s="40" t="s">
        <v>1325</v>
      </c>
      <c r="AN307" s="39" t="str">
        <f>データ!N307</f>
        <v>-</v>
      </c>
      <c r="AO307" s="10" t="s">
        <v>1113</v>
      </c>
      <c r="AP307" s="39" t="str">
        <f>データ!O307</f>
        <v>　</v>
      </c>
      <c r="AQ307" s="41" t="s">
        <v>1024</v>
      </c>
      <c r="AR307" s="40" t="s">
        <v>1324</v>
      </c>
      <c r="AS307" s="39" t="str">
        <f>データ!P307</f>
        <v>ランページ／絶</v>
      </c>
      <c r="AT307" s="10" t="s">
        <v>1113</v>
      </c>
      <c r="AU307" s="39" t="str">
        <f>データ!Q307</f>
        <v>バトルで獲得する騎士団戦スコアが大アップ(3分間)</v>
      </c>
      <c r="AV307" s="10" t="s">
        <v>1024</v>
      </c>
      <c r="AW307" s="40" t="s">
        <v>1324</v>
      </c>
      <c r="AX307" s="39" t="str">
        <f>データ!R307</f>
        <v>-</v>
      </c>
      <c r="AY307" s="10" t="s">
        <v>1113</v>
      </c>
      <c r="AZ307" s="39" t="str">
        <f>データ!S307</f>
        <v>　</v>
      </c>
      <c r="BA307" s="41" t="s">
        <v>1024</v>
      </c>
      <c r="BB307" s="40" t="s">
        <v>1319</v>
      </c>
      <c r="BC307" s="39" t="str">
        <f>データ!T307</f>
        <v>-</v>
      </c>
      <c r="BD307" s="41" t="s">
        <v>1024</v>
      </c>
      <c r="BE307" s="40" t="s">
        <v>1320</v>
      </c>
      <c r="BF307" s="39" t="str">
        <f>データ!U307</f>
        <v>-</v>
      </c>
      <c r="BG307" s="41" t="s">
        <v>1024</v>
      </c>
      <c r="BH307" s="40" t="s">
        <v>1319</v>
      </c>
      <c r="BI307" s="39" t="str">
        <f>データ!V307</f>
        <v>ガチャイベ</v>
      </c>
      <c r="BJ307" s="41" t="s">
        <v>1024</v>
      </c>
      <c r="BK307" s="10" t="s">
        <v>1019</v>
      </c>
    </row>
    <row r="308" spans="1:63" x14ac:dyDescent="0.15">
      <c r="A308" s="10" t="s">
        <v>1016</v>
      </c>
      <c r="B308" s="10" t="s">
        <v>1454</v>
      </c>
      <c r="C308" s="38" t="str">
        <f>"./images/thumbnail/"&amp;データ!B308&amp;".jpg"</f>
        <v>./images/thumbnail/1536.jpg</v>
      </c>
      <c r="D308" s="38" t="s">
        <v>1455</v>
      </c>
      <c r="E308" s="38" t="str">
        <f>"./images/thumbnail/"&amp;データ!B308&amp;".jpg"</f>
        <v>./images/thumbnail/1536.jpg</v>
      </c>
      <c r="F308" s="38" t="s">
        <v>1116</v>
      </c>
      <c r="G308" s="38" t="s">
        <v>1319</v>
      </c>
      <c r="H308" s="38" t="str">
        <f>データ!C308</f>
        <v>ノエル</v>
      </c>
      <c r="I308" s="38" t="s">
        <v>1024</v>
      </c>
      <c r="J308" s="38" t="s">
        <v>1320</v>
      </c>
      <c r="K308" s="38" t="str">
        <f>データ!D308</f>
        <v>SSR</v>
      </c>
      <c r="L308" s="38" t="s">
        <v>1024</v>
      </c>
      <c r="M308" s="38" t="s">
        <v>1321</v>
      </c>
      <c r="N308" s="38">
        <f>データ!E308</f>
        <v>13</v>
      </c>
      <c r="O308" s="38" t="s">
        <v>1024</v>
      </c>
      <c r="P308" s="38" t="s">
        <v>1319</v>
      </c>
      <c r="Q308" s="38" t="str">
        <f>データ!F308</f>
        <v>斬</v>
      </c>
      <c r="R308" s="38" t="s">
        <v>1024</v>
      </c>
      <c r="S308" s="38" t="s">
        <v>1319</v>
      </c>
      <c r="T308" s="39">
        <f>データ!G308</f>
        <v>17263</v>
      </c>
      <c r="U308" s="40" t="s">
        <v>1024</v>
      </c>
      <c r="V308" s="40" t="s">
        <v>1319</v>
      </c>
      <c r="W308" s="39">
        <f>データ!H308</f>
        <v>6931</v>
      </c>
      <c r="X308" s="40" t="s">
        <v>1024</v>
      </c>
      <c r="Y308" s="40" t="s">
        <v>1319</v>
      </c>
      <c r="Z308" s="39">
        <f>データ!I308</f>
        <v>5319</v>
      </c>
      <c r="AA308" s="40" t="s">
        <v>1024</v>
      </c>
      <c r="AB308" s="40" t="s">
        <v>1322</v>
      </c>
      <c r="AC308" s="39" t="str">
        <f>データ!J308</f>
        <v>A+</v>
      </c>
      <c r="AD308" s="38" t="s">
        <v>1024</v>
      </c>
      <c r="AE308" s="40" t="s">
        <v>1323</v>
      </c>
      <c r="AF308" s="39">
        <f>データ!K308</f>
        <v>29513</v>
      </c>
      <c r="AG308" s="40" t="s">
        <v>1024</v>
      </c>
      <c r="AH308" s="40" t="s">
        <v>1324</v>
      </c>
      <c r="AI308" s="39" t="str">
        <f>データ!L308</f>
        <v>覇道</v>
      </c>
      <c r="AJ308" s="10" t="s">
        <v>1113</v>
      </c>
      <c r="AK308" s="39" t="str">
        <f>データ!M308</f>
        <v>自分の攻撃力をUP[大]</v>
      </c>
      <c r="AL308" s="38" t="s">
        <v>1024</v>
      </c>
      <c r="AM308" s="40" t="s">
        <v>1325</v>
      </c>
      <c r="AN308" s="39" t="str">
        <f>データ!N308</f>
        <v>-</v>
      </c>
      <c r="AO308" s="10" t="s">
        <v>1113</v>
      </c>
      <c r="AP308" s="39" t="str">
        <f>データ!O308</f>
        <v>　</v>
      </c>
      <c r="AQ308" s="41" t="s">
        <v>1024</v>
      </c>
      <c r="AR308" s="40" t="s">
        <v>1324</v>
      </c>
      <c r="AS308" s="39" t="str">
        <f>データ!P308</f>
        <v>リザレクション／真</v>
      </c>
      <c r="AT308" s="10" t="s">
        <v>1113</v>
      </c>
      <c r="AU308" s="39" t="str">
        <f>データ!Q308</f>
        <v>中確率でパーティ全員を復帰(全滅時のみ使用可)</v>
      </c>
      <c r="AV308" s="10" t="s">
        <v>1024</v>
      </c>
      <c r="AW308" s="40" t="s">
        <v>1324</v>
      </c>
      <c r="AX308" s="39" t="str">
        <f>データ!R308</f>
        <v>-</v>
      </c>
      <c r="AY308" s="10" t="s">
        <v>1113</v>
      </c>
      <c r="AZ308" s="39" t="str">
        <f>データ!S308</f>
        <v>　</v>
      </c>
      <c r="BA308" s="41" t="s">
        <v>1024</v>
      </c>
      <c r="BB308" s="40" t="s">
        <v>1319</v>
      </c>
      <c r="BC308" s="39" t="str">
        <f>データ!T308</f>
        <v>-</v>
      </c>
      <c r="BD308" s="41" t="s">
        <v>1024</v>
      </c>
      <c r="BE308" s="40" t="s">
        <v>1320</v>
      </c>
      <c r="BF308" s="39" t="str">
        <f>データ!U308</f>
        <v>-</v>
      </c>
      <c r="BG308" s="41" t="s">
        <v>1024</v>
      </c>
      <c r="BH308" s="40" t="s">
        <v>1319</v>
      </c>
      <c r="BI308" s="39" t="str">
        <f>データ!V308</f>
        <v>ﾉﾍﾞﾙﾃｨ</v>
      </c>
      <c r="BJ308" s="41" t="s">
        <v>1024</v>
      </c>
      <c r="BK308" s="10" t="s">
        <v>1019</v>
      </c>
    </row>
    <row r="309" spans="1:63" x14ac:dyDescent="0.15">
      <c r="A309" s="10" t="s">
        <v>1016</v>
      </c>
      <c r="B309" s="10" t="s">
        <v>1454</v>
      </c>
      <c r="C309" s="38" t="str">
        <f>"./images/thumbnail/"&amp;データ!B309&amp;".jpg"</f>
        <v>./images/thumbnail/1538.jpg</v>
      </c>
      <c r="D309" s="38" t="s">
        <v>1455</v>
      </c>
      <c r="E309" s="38" t="str">
        <f>"./images/thumbnail/"&amp;データ!B309&amp;".jpg"</f>
        <v>./images/thumbnail/1538.jpg</v>
      </c>
      <c r="F309" s="38" t="s">
        <v>1116</v>
      </c>
      <c r="G309" s="38" t="s">
        <v>1319</v>
      </c>
      <c r="H309" s="38" t="str">
        <f>データ!C309</f>
        <v>ルーカン</v>
      </c>
      <c r="I309" s="38" t="s">
        <v>1024</v>
      </c>
      <c r="J309" s="38" t="s">
        <v>1320</v>
      </c>
      <c r="K309" s="38" t="str">
        <f>データ!D309</f>
        <v>SSR</v>
      </c>
      <c r="L309" s="38" t="s">
        <v>1024</v>
      </c>
      <c r="M309" s="38" t="s">
        <v>1321</v>
      </c>
      <c r="N309" s="38">
        <f>データ!E309</f>
        <v>13</v>
      </c>
      <c r="O309" s="38" t="s">
        <v>1024</v>
      </c>
      <c r="P309" s="38" t="s">
        <v>1319</v>
      </c>
      <c r="Q309" s="38" t="str">
        <f>データ!F309</f>
        <v>突</v>
      </c>
      <c r="R309" s="38" t="s">
        <v>1024</v>
      </c>
      <c r="S309" s="38" t="s">
        <v>1319</v>
      </c>
      <c r="T309" s="39">
        <f>データ!G309</f>
        <v>17682</v>
      </c>
      <c r="U309" s="40" t="s">
        <v>1024</v>
      </c>
      <c r="V309" s="40" t="s">
        <v>1319</v>
      </c>
      <c r="W309" s="39">
        <f>データ!H309</f>
        <v>5595</v>
      </c>
      <c r="X309" s="40" t="s">
        <v>1024</v>
      </c>
      <c r="Y309" s="40" t="s">
        <v>1319</v>
      </c>
      <c r="Z309" s="39">
        <f>データ!I309</f>
        <v>5402</v>
      </c>
      <c r="AA309" s="40" t="s">
        <v>1024</v>
      </c>
      <c r="AB309" s="40" t="s">
        <v>1322</v>
      </c>
      <c r="AC309" s="39" t="str">
        <f>データ!J309</f>
        <v>SS1</v>
      </c>
      <c r="AD309" s="38" t="s">
        <v>1024</v>
      </c>
      <c r="AE309" s="40" t="s">
        <v>1323</v>
      </c>
      <c r="AF309" s="39">
        <f>データ!K309</f>
        <v>28679</v>
      </c>
      <c r="AG309" s="40" t="s">
        <v>1024</v>
      </c>
      <c r="AH309" s="40" t="s">
        <v>1324</v>
      </c>
      <c r="AI309" s="39" t="str">
        <f>データ!L309</f>
        <v>幻神の五連撃／真</v>
      </c>
      <c r="AJ309" s="10" t="s">
        <v>1113</v>
      </c>
      <c r="AK309" s="39" t="str">
        <f>データ!M309</f>
        <v>ランダムで5連続攻撃[中]</v>
      </c>
      <c r="AL309" s="10" t="s">
        <v>1024</v>
      </c>
      <c r="AM309" s="40" t="s">
        <v>1325</v>
      </c>
      <c r="AN309" s="39" t="str">
        <f>データ!N309</f>
        <v>-</v>
      </c>
      <c r="AO309" s="10" t="s">
        <v>1113</v>
      </c>
      <c r="AP309" s="39" t="str">
        <f>データ!O309</f>
        <v>　</v>
      </c>
      <c r="AQ309" s="41" t="s">
        <v>1024</v>
      </c>
      <c r="AR309" s="40" t="s">
        <v>1324</v>
      </c>
      <c r="AS309" s="39" t="str">
        <f>データ!P309</f>
        <v>アサルト／真</v>
      </c>
      <c r="AT309" s="10" t="s">
        <v>1113</v>
      </c>
      <c r="AU309" s="39" t="str">
        <f>データ!Q309</f>
        <v>パーティ全体の攻撃力が中UP(3分間)</v>
      </c>
      <c r="AV309" s="10" t="s">
        <v>1024</v>
      </c>
      <c r="AW309" s="40" t="s">
        <v>1324</v>
      </c>
      <c r="AX309" s="39" t="str">
        <f>データ!R309</f>
        <v>-</v>
      </c>
      <c r="AY309" s="10" t="s">
        <v>1113</v>
      </c>
      <c r="AZ309" s="39" t="str">
        <f>データ!S309</f>
        <v>　</v>
      </c>
      <c r="BA309" s="41" t="s">
        <v>1024</v>
      </c>
      <c r="BB309" s="40" t="s">
        <v>1319</v>
      </c>
      <c r="BC309" s="39" t="str">
        <f>データ!T309</f>
        <v>-</v>
      </c>
      <c r="BD309" s="41" t="s">
        <v>1024</v>
      </c>
      <c r="BE309" s="40" t="s">
        <v>1320</v>
      </c>
      <c r="BF309" s="39" t="str">
        <f>データ!U309</f>
        <v>-</v>
      </c>
      <c r="BG309" s="41" t="s">
        <v>1024</v>
      </c>
      <c r="BH309" s="40" t="s">
        <v>1319</v>
      </c>
      <c r="BI309" s="39" t="str">
        <f>データ!V309</f>
        <v>ガチャイベ</v>
      </c>
      <c r="BJ309" s="41" t="s">
        <v>1024</v>
      </c>
      <c r="BK309" s="10" t="s">
        <v>1019</v>
      </c>
    </row>
    <row r="310" spans="1:63" x14ac:dyDescent="0.15">
      <c r="A310" s="10" t="s">
        <v>1016</v>
      </c>
      <c r="B310" s="10" t="s">
        <v>1454</v>
      </c>
      <c r="C310" s="38" t="str">
        <f>"./images/thumbnail/"&amp;データ!B310&amp;".jpg"</f>
        <v>./images/thumbnail/1539.jpg</v>
      </c>
      <c r="D310" s="38" t="s">
        <v>1455</v>
      </c>
      <c r="E310" s="38" t="str">
        <f>"./images/thumbnail/"&amp;データ!B310&amp;".jpg"</f>
        <v>./images/thumbnail/1539.jpg</v>
      </c>
      <c r="F310" s="38" t="s">
        <v>1116</v>
      </c>
      <c r="G310" s="38" t="s">
        <v>1319</v>
      </c>
      <c r="H310" s="38" t="str">
        <f>データ!C310</f>
        <v>ジャクリーン</v>
      </c>
      <c r="I310" s="38" t="s">
        <v>1024</v>
      </c>
      <c r="J310" s="38" t="s">
        <v>1320</v>
      </c>
      <c r="K310" s="38" t="str">
        <f>データ!D310</f>
        <v>UR</v>
      </c>
      <c r="L310" s="38" t="s">
        <v>1024</v>
      </c>
      <c r="M310" s="38" t="s">
        <v>1321</v>
      </c>
      <c r="N310" s="38">
        <f>データ!E310</f>
        <v>14</v>
      </c>
      <c r="O310" s="38" t="s">
        <v>1024</v>
      </c>
      <c r="P310" s="38" t="s">
        <v>1319</v>
      </c>
      <c r="Q310" s="38" t="str">
        <f>データ!F310</f>
        <v>遠</v>
      </c>
      <c r="R310" s="38" t="s">
        <v>1024</v>
      </c>
      <c r="S310" s="38" t="s">
        <v>1319</v>
      </c>
      <c r="T310" s="39">
        <f>データ!G310</f>
        <v>19397</v>
      </c>
      <c r="U310" s="40" t="s">
        <v>1024</v>
      </c>
      <c r="V310" s="40" t="s">
        <v>1319</v>
      </c>
      <c r="W310" s="39">
        <f>データ!H310</f>
        <v>6770</v>
      </c>
      <c r="X310" s="40" t="s">
        <v>1024</v>
      </c>
      <c r="Y310" s="40" t="s">
        <v>1319</v>
      </c>
      <c r="Z310" s="39">
        <f>データ!I310</f>
        <v>5722</v>
      </c>
      <c r="AA310" s="40" t="s">
        <v>1024</v>
      </c>
      <c r="AB310" s="40" t="s">
        <v>1322</v>
      </c>
      <c r="AC310" s="39" t="str">
        <f>データ!J310</f>
        <v>S+</v>
      </c>
      <c r="AD310" s="38" t="s">
        <v>1024</v>
      </c>
      <c r="AE310" s="40" t="s">
        <v>1323</v>
      </c>
      <c r="AF310" s="39">
        <f>データ!K310</f>
        <v>31889</v>
      </c>
      <c r="AG310" s="40" t="s">
        <v>1024</v>
      </c>
      <c r="AH310" s="40" t="s">
        <v>1324</v>
      </c>
      <c r="AI310" s="39" t="str">
        <f>データ!L310</f>
        <v>浄化の一撃／真</v>
      </c>
      <c r="AJ310" s="10" t="s">
        <v>1113</v>
      </c>
      <c r="AK310" s="39" t="str">
        <f>データ!M310</f>
        <v>単体固定ダメージ[中]+味方ステータスDOWN解除</v>
      </c>
      <c r="AL310" s="10" t="s">
        <v>1024</v>
      </c>
      <c r="AM310" s="40" t="s">
        <v>1325</v>
      </c>
      <c r="AN310" s="39" t="str">
        <f>データ!N310</f>
        <v>-</v>
      </c>
      <c r="AO310" s="10" t="s">
        <v>1113</v>
      </c>
      <c r="AP310" s="39" t="str">
        <f>データ!O310</f>
        <v>　</v>
      </c>
      <c r="AQ310" s="41" t="s">
        <v>1024</v>
      </c>
      <c r="AR310" s="40" t="s">
        <v>1324</v>
      </c>
      <c r="AS310" s="39" t="str">
        <f>データ!P310</f>
        <v>アクセラレーター／絶</v>
      </c>
      <c r="AT310" s="10" t="s">
        <v>1113</v>
      </c>
      <c r="AU310" s="39" t="str">
        <f>データ!Q310</f>
        <v>パーティ全体の速度が大UP(3分間)</v>
      </c>
      <c r="AV310" s="10" t="s">
        <v>1024</v>
      </c>
      <c r="AW310" s="40" t="s">
        <v>1324</v>
      </c>
      <c r="AX310" s="39" t="str">
        <f>データ!R310</f>
        <v>-</v>
      </c>
      <c r="AY310" s="10" t="s">
        <v>1113</v>
      </c>
      <c r="AZ310" s="39" t="str">
        <f>データ!S310</f>
        <v>　</v>
      </c>
      <c r="BA310" s="41" t="s">
        <v>1024</v>
      </c>
      <c r="BB310" s="40" t="s">
        <v>1319</v>
      </c>
      <c r="BC310" s="39" t="str">
        <f>データ!T310</f>
        <v>-</v>
      </c>
      <c r="BD310" s="41" t="s">
        <v>1024</v>
      </c>
      <c r="BE310" s="40" t="s">
        <v>1320</v>
      </c>
      <c r="BF310" s="39" t="str">
        <f>データ!U310</f>
        <v>-</v>
      </c>
      <c r="BG310" s="41" t="s">
        <v>1024</v>
      </c>
      <c r="BH310" s="40" t="s">
        <v>1319</v>
      </c>
      <c r="BI310" s="39" t="str">
        <f>データ!V310</f>
        <v>ガチャイベ</v>
      </c>
      <c r="BJ310" s="41" t="s">
        <v>1024</v>
      </c>
      <c r="BK310" s="10" t="s">
        <v>1019</v>
      </c>
    </row>
    <row r="311" spans="1:63" x14ac:dyDescent="0.15">
      <c r="A311" s="10" t="s">
        <v>1016</v>
      </c>
      <c r="B311" s="10" t="s">
        <v>1454</v>
      </c>
      <c r="C311" s="38" t="str">
        <f>"./images/thumbnail/"&amp;データ!B311&amp;".jpg"</f>
        <v>./images/thumbnail/1542.jpg</v>
      </c>
      <c r="D311" s="38" t="s">
        <v>1455</v>
      </c>
      <c r="E311" s="38" t="str">
        <f>"./images/thumbnail/"&amp;データ!B311&amp;".jpg"</f>
        <v>./images/thumbnail/1542.jpg</v>
      </c>
      <c r="F311" s="38" t="s">
        <v>1116</v>
      </c>
      <c r="G311" s="38" t="s">
        <v>1319</v>
      </c>
      <c r="H311" s="38" t="str">
        <f>データ!C311</f>
        <v>アルマ</v>
      </c>
      <c r="I311" s="38" t="s">
        <v>1024</v>
      </c>
      <c r="J311" s="38" t="s">
        <v>1320</v>
      </c>
      <c r="K311" s="38" t="str">
        <f>データ!D311</f>
        <v>SSR</v>
      </c>
      <c r="L311" s="38" t="s">
        <v>1024</v>
      </c>
      <c r="M311" s="38" t="s">
        <v>1321</v>
      </c>
      <c r="N311" s="38">
        <f>データ!E311</f>
        <v>13</v>
      </c>
      <c r="O311" s="38" t="s">
        <v>1024</v>
      </c>
      <c r="P311" s="38" t="s">
        <v>1319</v>
      </c>
      <c r="Q311" s="38" t="str">
        <f>データ!F311</f>
        <v>打</v>
      </c>
      <c r="R311" s="38" t="s">
        <v>1024</v>
      </c>
      <c r="S311" s="38" t="s">
        <v>1319</v>
      </c>
      <c r="T311" s="39">
        <f>データ!G311</f>
        <v>18911</v>
      </c>
      <c r="U311" s="40" t="s">
        <v>1024</v>
      </c>
      <c r="V311" s="40" t="s">
        <v>1319</v>
      </c>
      <c r="W311" s="39">
        <f>データ!H311</f>
        <v>5642</v>
      </c>
      <c r="X311" s="40" t="s">
        <v>1024</v>
      </c>
      <c r="Y311" s="40" t="s">
        <v>1319</v>
      </c>
      <c r="Z311" s="39">
        <f>データ!I311</f>
        <v>7758</v>
      </c>
      <c r="AA311" s="40" t="s">
        <v>1024</v>
      </c>
      <c r="AB311" s="40" t="s">
        <v>1322</v>
      </c>
      <c r="AC311" s="39" t="str">
        <f>データ!J311</f>
        <v>A-</v>
      </c>
      <c r="AD311" s="38" t="s">
        <v>1024</v>
      </c>
      <c r="AE311" s="40" t="s">
        <v>1323</v>
      </c>
      <c r="AF311" s="39">
        <f>データ!K311</f>
        <v>32311</v>
      </c>
      <c r="AG311" s="40" t="s">
        <v>1024</v>
      </c>
      <c r="AH311" s="40" t="s">
        <v>1324</v>
      </c>
      <c r="AI311" s="39" t="str">
        <f>データ!L311</f>
        <v>沈黙の言霊／絶</v>
      </c>
      <c r="AJ311" s="10" t="s">
        <v>1113</v>
      </c>
      <c r="AK311" s="39" t="str">
        <f>データ!M311</f>
        <v>一定確率で敵を沈黙状態にする[高確率]</v>
      </c>
      <c r="AL311" s="10" t="s">
        <v>1024</v>
      </c>
      <c r="AM311" s="40" t="s">
        <v>1325</v>
      </c>
      <c r="AN311" s="39" t="str">
        <f>データ!N311</f>
        <v>-</v>
      </c>
      <c r="AO311" s="10" t="s">
        <v>1113</v>
      </c>
      <c r="AP311" s="39" t="str">
        <f>データ!O311</f>
        <v>　</v>
      </c>
      <c r="AQ311" s="41" t="s">
        <v>1024</v>
      </c>
      <c r="AR311" s="40" t="s">
        <v>1324</v>
      </c>
      <c r="AS311" s="39" t="str">
        <f>データ!P311</f>
        <v>カウンター／真</v>
      </c>
      <c r="AT311" s="10" t="s">
        <v>1113</v>
      </c>
      <c r="AU311" s="39" t="str">
        <f>データ!Q311</f>
        <v>迎撃時にパーティ全体の攻・防が中UP(3分間)</v>
      </c>
      <c r="AV311" s="10" t="s">
        <v>1024</v>
      </c>
      <c r="AW311" s="40" t="s">
        <v>1324</v>
      </c>
      <c r="AX311" s="39" t="str">
        <f>データ!R311</f>
        <v>-</v>
      </c>
      <c r="AY311" s="10" t="s">
        <v>1113</v>
      </c>
      <c r="AZ311" s="39" t="str">
        <f>データ!S311</f>
        <v>　</v>
      </c>
      <c r="BA311" s="41" t="s">
        <v>1024</v>
      </c>
      <c r="BB311" s="40" t="s">
        <v>1319</v>
      </c>
      <c r="BC311" s="39" t="str">
        <f>データ!T311</f>
        <v>-</v>
      </c>
      <c r="BD311" s="41" t="s">
        <v>1024</v>
      </c>
      <c r="BE311" s="40" t="s">
        <v>1320</v>
      </c>
      <c r="BF311" s="39" t="str">
        <f>データ!U311</f>
        <v>-</v>
      </c>
      <c r="BG311" s="41" t="s">
        <v>1024</v>
      </c>
      <c r="BH311" s="40" t="s">
        <v>1319</v>
      </c>
      <c r="BI311" s="39" t="str">
        <f>データ!V311</f>
        <v>マゴニア</v>
      </c>
      <c r="BJ311" s="41" t="s">
        <v>1024</v>
      </c>
      <c r="BK311" s="10" t="s">
        <v>1019</v>
      </c>
    </row>
    <row r="312" spans="1:63" x14ac:dyDescent="0.15">
      <c r="A312" s="10" t="s">
        <v>1016</v>
      </c>
      <c r="B312" s="10" t="s">
        <v>1454</v>
      </c>
      <c r="C312" s="38" t="str">
        <f>"./images/thumbnail/"&amp;データ!B312&amp;".jpg"</f>
        <v>./images/thumbnail/1544.jpg</v>
      </c>
      <c r="D312" s="38" t="s">
        <v>1455</v>
      </c>
      <c r="E312" s="38" t="str">
        <f>"./images/thumbnail/"&amp;データ!B312&amp;".jpg"</f>
        <v>./images/thumbnail/1544.jpg</v>
      </c>
      <c r="F312" s="38" t="s">
        <v>1116</v>
      </c>
      <c r="G312" s="38" t="s">
        <v>1319</v>
      </c>
      <c r="H312" s="38" t="str">
        <f>データ!C312</f>
        <v>セネト</v>
      </c>
      <c r="I312" s="38" t="s">
        <v>1024</v>
      </c>
      <c r="J312" s="38" t="s">
        <v>1320</v>
      </c>
      <c r="K312" s="38" t="str">
        <f>データ!D312</f>
        <v>UR</v>
      </c>
      <c r="L312" s="38" t="s">
        <v>1024</v>
      </c>
      <c r="M312" s="38" t="s">
        <v>1321</v>
      </c>
      <c r="N312" s="38">
        <f>データ!E312</f>
        <v>14</v>
      </c>
      <c r="O312" s="38" t="s">
        <v>1024</v>
      </c>
      <c r="P312" s="38" t="s">
        <v>1319</v>
      </c>
      <c r="Q312" s="38" t="str">
        <f>データ!F312</f>
        <v>斬</v>
      </c>
      <c r="R312" s="38" t="s">
        <v>1024</v>
      </c>
      <c r="S312" s="38" t="s">
        <v>1319</v>
      </c>
      <c r="T312" s="39">
        <f>データ!G312</f>
        <v>17218</v>
      </c>
      <c r="U312" s="40" t="s">
        <v>1024</v>
      </c>
      <c r="V312" s="40" t="s">
        <v>1319</v>
      </c>
      <c r="W312" s="39">
        <f>データ!H312</f>
        <v>7906</v>
      </c>
      <c r="X312" s="40" t="s">
        <v>1024</v>
      </c>
      <c r="Y312" s="40" t="s">
        <v>1319</v>
      </c>
      <c r="Z312" s="39">
        <f>データ!I312</f>
        <v>6335</v>
      </c>
      <c r="AA312" s="40" t="s">
        <v>1024</v>
      </c>
      <c r="AB312" s="40" t="s">
        <v>1322</v>
      </c>
      <c r="AC312" s="39" t="str">
        <f>データ!J312</f>
        <v>S</v>
      </c>
      <c r="AD312" s="38" t="s">
        <v>1024</v>
      </c>
      <c r="AE312" s="40" t="s">
        <v>1323</v>
      </c>
      <c r="AF312" s="39">
        <f>データ!K312</f>
        <v>31459</v>
      </c>
      <c r="AG312" s="40" t="s">
        <v>1024</v>
      </c>
      <c r="AH312" s="40" t="s">
        <v>1324</v>
      </c>
      <c r="AI312" s="39" t="str">
        <f>データ!L312</f>
        <v>対紫の薙風／煌</v>
      </c>
      <c r="AJ312" s="10" t="s">
        <v>1113</v>
      </c>
      <c r="AK312" s="39" t="str">
        <f>データ!M312</f>
        <v>打に強く遠に弱い横一列攻撃[特大]</v>
      </c>
      <c r="AL312" s="10" t="s">
        <v>1024</v>
      </c>
      <c r="AM312" s="40" t="s">
        <v>1325</v>
      </c>
      <c r="AN312" s="39" t="str">
        <f>データ!N312</f>
        <v>-</v>
      </c>
      <c r="AO312" s="10" t="s">
        <v>1113</v>
      </c>
      <c r="AP312" s="39" t="str">
        <f>データ!O312</f>
        <v>　</v>
      </c>
      <c r="AQ312" s="41" t="s">
        <v>1024</v>
      </c>
      <c r="AR312" s="40" t="s">
        <v>1324</v>
      </c>
      <c r="AS312" s="39" t="str">
        <f>データ!P312</f>
        <v>ジャガーノート／絶</v>
      </c>
      <c r="AT312" s="10" t="s">
        <v>1113</v>
      </c>
      <c r="AU312" s="39" t="str">
        <f>データ!Q312</f>
        <v>バトルで敵を全滅するとBPが大回復(バトル3回)</v>
      </c>
      <c r="AV312" s="10" t="s">
        <v>1024</v>
      </c>
      <c r="AW312" s="40" t="s">
        <v>1324</v>
      </c>
      <c r="AX312" s="39" t="str">
        <f>データ!R312</f>
        <v>-</v>
      </c>
      <c r="AY312" s="10" t="s">
        <v>1113</v>
      </c>
      <c r="AZ312" s="39" t="str">
        <f>データ!S312</f>
        <v>　</v>
      </c>
      <c r="BA312" s="41" t="s">
        <v>1024</v>
      </c>
      <c r="BB312" s="40" t="s">
        <v>1319</v>
      </c>
      <c r="BC312" s="39" t="str">
        <f>データ!T312</f>
        <v>-</v>
      </c>
      <c r="BD312" s="41" t="s">
        <v>1024</v>
      </c>
      <c r="BE312" s="40" t="s">
        <v>1320</v>
      </c>
      <c r="BF312" s="39" t="str">
        <f>データ!U312</f>
        <v>-</v>
      </c>
      <c r="BG312" s="41" t="s">
        <v>1024</v>
      </c>
      <c r="BH312" s="40" t="s">
        <v>1319</v>
      </c>
      <c r="BI312" s="39" t="str">
        <f>データ!V312</f>
        <v>常設</v>
      </c>
      <c r="BJ312" s="41" t="s">
        <v>1024</v>
      </c>
      <c r="BK312" s="10" t="s">
        <v>1019</v>
      </c>
    </row>
    <row r="313" spans="1:63" x14ac:dyDescent="0.15">
      <c r="A313" s="10" t="s">
        <v>1016</v>
      </c>
      <c r="B313" s="10" t="s">
        <v>1454</v>
      </c>
      <c r="C313" s="38" t="str">
        <f>"./images/thumbnail/"&amp;データ!B313&amp;".jpg"</f>
        <v>./images/thumbnail/1546.jpg</v>
      </c>
      <c r="D313" s="38" t="s">
        <v>1455</v>
      </c>
      <c r="E313" s="38" t="str">
        <f>"./images/thumbnail/"&amp;データ!B313&amp;".jpg"</f>
        <v>./images/thumbnail/1546.jpg</v>
      </c>
      <c r="F313" s="38" t="s">
        <v>1116</v>
      </c>
      <c r="G313" s="38" t="s">
        <v>1319</v>
      </c>
      <c r="H313" s="38" t="str">
        <f>データ!C313</f>
        <v>アナベル</v>
      </c>
      <c r="I313" s="38" t="s">
        <v>1024</v>
      </c>
      <c r="J313" s="38" t="s">
        <v>1320</v>
      </c>
      <c r="K313" s="38" t="str">
        <f>データ!D313</f>
        <v>SSR</v>
      </c>
      <c r="L313" s="38" t="s">
        <v>1024</v>
      </c>
      <c r="M313" s="38" t="s">
        <v>1321</v>
      </c>
      <c r="N313" s="38">
        <f>データ!E313</f>
        <v>13</v>
      </c>
      <c r="O313" s="38" t="s">
        <v>1024</v>
      </c>
      <c r="P313" s="38" t="s">
        <v>1319</v>
      </c>
      <c r="Q313" s="38" t="str">
        <f>データ!F313</f>
        <v>突</v>
      </c>
      <c r="R313" s="38" t="s">
        <v>1024</v>
      </c>
      <c r="S313" s="38" t="s">
        <v>1319</v>
      </c>
      <c r="T313" s="39">
        <f>データ!G313</f>
        <v>19044</v>
      </c>
      <c r="U313" s="40" t="s">
        <v>1024</v>
      </c>
      <c r="V313" s="40" t="s">
        <v>1319</v>
      </c>
      <c r="W313" s="39">
        <f>データ!H313</f>
        <v>5126</v>
      </c>
      <c r="X313" s="40" t="s">
        <v>1024</v>
      </c>
      <c r="Y313" s="40" t="s">
        <v>1319</v>
      </c>
      <c r="Z313" s="39">
        <f>データ!I313</f>
        <v>6032</v>
      </c>
      <c r="AA313" s="40" t="s">
        <v>1024</v>
      </c>
      <c r="AB313" s="40" t="s">
        <v>1322</v>
      </c>
      <c r="AC313" s="39" t="str">
        <f>データ!J313</f>
        <v>SS-</v>
      </c>
      <c r="AD313" s="38" t="s">
        <v>1024</v>
      </c>
      <c r="AE313" s="40" t="s">
        <v>1323</v>
      </c>
      <c r="AF313" s="39">
        <f>データ!K313</f>
        <v>30202</v>
      </c>
      <c r="AG313" s="40" t="s">
        <v>1024</v>
      </c>
      <c r="AH313" s="40" t="s">
        <v>1324</v>
      </c>
      <c r="AI313" s="39" t="str">
        <f>データ!L313</f>
        <v xml:space="preserve">蒼突の聖護 </v>
      </c>
      <c r="AJ313" s="10" t="s">
        <v>1113</v>
      </c>
      <c r="AK313" s="39" t="str">
        <f>データ!M313</f>
        <v>味方突属性の防御力をUP[大]</v>
      </c>
      <c r="AL313" s="10" t="s">
        <v>1024</v>
      </c>
      <c r="AM313" s="40" t="s">
        <v>1325</v>
      </c>
      <c r="AN313" s="39" t="str">
        <f>データ!N313</f>
        <v>-</v>
      </c>
      <c r="AO313" s="10" t="s">
        <v>1113</v>
      </c>
      <c r="AP313" s="39" t="str">
        <f>データ!O313</f>
        <v>　</v>
      </c>
      <c r="AQ313" s="41" t="s">
        <v>1024</v>
      </c>
      <c r="AR313" s="40" t="s">
        <v>1324</v>
      </c>
      <c r="AS313" s="39" t="str">
        <f>データ!P313</f>
        <v>リヴァイブ／絶</v>
      </c>
      <c r="AT313" s="10" t="s">
        <v>1113</v>
      </c>
      <c r="AU313" s="39" t="str">
        <f>データ!Q313</f>
        <v>高確率で戦闘不能ユニットを復帰</v>
      </c>
      <c r="AV313" s="10" t="s">
        <v>1024</v>
      </c>
      <c r="AW313" s="40" t="s">
        <v>1324</v>
      </c>
      <c r="AX313" s="39" t="str">
        <f>データ!R313</f>
        <v>-</v>
      </c>
      <c r="AY313" s="10" t="s">
        <v>1113</v>
      </c>
      <c r="AZ313" s="39" t="str">
        <f>データ!S313</f>
        <v>　</v>
      </c>
      <c r="BA313" s="41" t="s">
        <v>1024</v>
      </c>
      <c r="BB313" s="40" t="s">
        <v>1319</v>
      </c>
      <c r="BC313" s="39" t="str">
        <f>データ!T313</f>
        <v>-</v>
      </c>
      <c r="BD313" s="41" t="s">
        <v>1024</v>
      </c>
      <c r="BE313" s="40" t="s">
        <v>1320</v>
      </c>
      <c r="BF313" s="39" t="str">
        <f>データ!U313</f>
        <v>-</v>
      </c>
      <c r="BG313" s="41" t="s">
        <v>1024</v>
      </c>
      <c r="BH313" s="40" t="s">
        <v>1319</v>
      </c>
      <c r="BI313" s="39" t="str">
        <f>データ!V313</f>
        <v>常設</v>
      </c>
      <c r="BJ313" s="41" t="s">
        <v>1024</v>
      </c>
      <c r="BK313" s="10" t="s">
        <v>1019</v>
      </c>
    </row>
    <row r="314" spans="1:63" x14ac:dyDescent="0.15">
      <c r="A314" s="10" t="s">
        <v>1016</v>
      </c>
      <c r="B314" s="10" t="s">
        <v>1454</v>
      </c>
      <c r="C314" s="38" t="str">
        <f>"./images/thumbnail/"&amp;データ!B314&amp;".jpg"</f>
        <v>./images/thumbnail/1548.jpg</v>
      </c>
      <c r="D314" s="38" t="s">
        <v>1455</v>
      </c>
      <c r="E314" s="38" t="str">
        <f>"./images/thumbnail/"&amp;データ!B314&amp;".jpg"</f>
        <v>./images/thumbnail/1548.jpg</v>
      </c>
      <c r="F314" s="38" t="s">
        <v>1116</v>
      </c>
      <c r="G314" s="38" t="s">
        <v>1319</v>
      </c>
      <c r="H314" s="38" t="str">
        <f>データ!C314</f>
        <v>グレンデル</v>
      </c>
      <c r="I314" s="38" t="s">
        <v>1024</v>
      </c>
      <c r="J314" s="38" t="s">
        <v>1320</v>
      </c>
      <c r="K314" s="38" t="str">
        <f>データ!D314</f>
        <v>SSR</v>
      </c>
      <c r="L314" s="38" t="s">
        <v>1024</v>
      </c>
      <c r="M314" s="38" t="s">
        <v>1321</v>
      </c>
      <c r="N314" s="38">
        <f>データ!E314</f>
        <v>13</v>
      </c>
      <c r="O314" s="38" t="s">
        <v>1024</v>
      </c>
      <c r="P314" s="38" t="s">
        <v>1319</v>
      </c>
      <c r="Q314" s="38" t="str">
        <f>データ!F314</f>
        <v>打</v>
      </c>
      <c r="R314" s="38" t="s">
        <v>1024</v>
      </c>
      <c r="S314" s="38" t="s">
        <v>1319</v>
      </c>
      <c r="T314" s="39">
        <f>データ!G314</f>
        <v>18839</v>
      </c>
      <c r="U314" s="40" t="s">
        <v>1024</v>
      </c>
      <c r="V314" s="40" t="s">
        <v>1319</v>
      </c>
      <c r="W314" s="39">
        <f>データ!H314</f>
        <v>6279</v>
      </c>
      <c r="X314" s="40" t="s">
        <v>1024</v>
      </c>
      <c r="Y314" s="40" t="s">
        <v>1319</v>
      </c>
      <c r="Z314" s="39">
        <f>データ!I314</f>
        <v>6728</v>
      </c>
      <c r="AA314" s="40" t="s">
        <v>1024</v>
      </c>
      <c r="AB314" s="40" t="s">
        <v>1322</v>
      </c>
      <c r="AC314" s="39" t="str">
        <f>データ!J314</f>
        <v>A-</v>
      </c>
      <c r="AD314" s="38" t="s">
        <v>1024</v>
      </c>
      <c r="AE314" s="40" t="s">
        <v>1323</v>
      </c>
      <c r="AF314" s="39">
        <f>データ!K314</f>
        <v>31846</v>
      </c>
      <c r="AG314" s="40" t="s">
        <v>1024</v>
      </c>
      <c r="AH314" s="40" t="s">
        <v>1324</v>
      </c>
      <c r="AI314" s="39" t="str">
        <f>データ!L314</f>
        <v>天焔幻の一閃／絶</v>
      </c>
      <c r="AJ314" s="10" t="s">
        <v>1113</v>
      </c>
      <c r="AK314" s="39" t="str">
        <f>データ!M314</f>
        <v>横一列攻撃[大]自分の攻撃力UP[大]</v>
      </c>
      <c r="AL314" s="10" t="s">
        <v>1024</v>
      </c>
      <c r="AM314" s="40" t="s">
        <v>1325</v>
      </c>
      <c r="AN314" s="39" t="str">
        <f>データ!N314</f>
        <v>-</v>
      </c>
      <c r="AO314" s="10" t="s">
        <v>1113</v>
      </c>
      <c r="AP314" s="39" t="str">
        <f>データ!O314</f>
        <v>　</v>
      </c>
      <c r="AQ314" s="41" t="s">
        <v>1024</v>
      </c>
      <c r="AR314" s="40" t="s">
        <v>1324</v>
      </c>
      <c r="AS314" s="39" t="str">
        <f>データ!P314</f>
        <v>バーサク</v>
      </c>
      <c r="AT314" s="10" t="s">
        <v>1113</v>
      </c>
      <c r="AU314" s="39" t="str">
        <f>データ!Q314</f>
        <v>強襲が発生無効、バトル時に攻・防小UP(3分間)</v>
      </c>
      <c r="AV314" s="10" t="s">
        <v>1024</v>
      </c>
      <c r="AW314" s="40" t="s">
        <v>1324</v>
      </c>
      <c r="AX314" s="39" t="str">
        <f>データ!R314</f>
        <v>-</v>
      </c>
      <c r="AY314" s="10" t="s">
        <v>1113</v>
      </c>
      <c r="AZ314" s="39" t="str">
        <f>データ!S314</f>
        <v>　</v>
      </c>
      <c r="BA314" s="41" t="s">
        <v>1024</v>
      </c>
      <c r="BB314" s="40" t="s">
        <v>1319</v>
      </c>
      <c r="BC314" s="39" t="str">
        <f>データ!T314</f>
        <v>-</v>
      </c>
      <c r="BD314" s="41" t="s">
        <v>1024</v>
      </c>
      <c r="BE314" s="40" t="s">
        <v>1320</v>
      </c>
      <c r="BF314" s="39" t="str">
        <f>データ!U314</f>
        <v>-</v>
      </c>
      <c r="BG314" s="41" t="s">
        <v>1024</v>
      </c>
      <c r="BH314" s="40" t="s">
        <v>1319</v>
      </c>
      <c r="BI314" s="39" t="str">
        <f>データ!V314</f>
        <v>常設</v>
      </c>
      <c r="BJ314" s="41" t="s">
        <v>1024</v>
      </c>
      <c r="BK314" s="10" t="s">
        <v>1019</v>
      </c>
    </row>
    <row r="315" spans="1:63" x14ac:dyDescent="0.15">
      <c r="A315" s="10" t="s">
        <v>1016</v>
      </c>
      <c r="B315" s="10" t="s">
        <v>1454</v>
      </c>
      <c r="C315" s="38" t="str">
        <f>"./images/thumbnail/"&amp;データ!B315&amp;".jpg"</f>
        <v>./images/thumbnail/1550.jpg</v>
      </c>
      <c r="D315" s="38" t="s">
        <v>1455</v>
      </c>
      <c r="E315" s="38" t="str">
        <f>"./images/thumbnail/"&amp;データ!B315&amp;".jpg"</f>
        <v>./images/thumbnail/1550.jpg</v>
      </c>
      <c r="F315" s="38" t="s">
        <v>1116</v>
      </c>
      <c r="G315" s="38" t="s">
        <v>1319</v>
      </c>
      <c r="H315" s="38" t="str">
        <f>データ!C315</f>
        <v>ロベリア</v>
      </c>
      <c r="I315" s="38" t="s">
        <v>1024</v>
      </c>
      <c r="J315" s="38" t="s">
        <v>1320</v>
      </c>
      <c r="K315" s="38" t="str">
        <f>データ!D315</f>
        <v>SSR</v>
      </c>
      <c r="L315" s="38" t="s">
        <v>1024</v>
      </c>
      <c r="M315" s="38" t="s">
        <v>1321</v>
      </c>
      <c r="N315" s="38">
        <f>データ!E315</f>
        <v>13</v>
      </c>
      <c r="O315" s="38" t="s">
        <v>1024</v>
      </c>
      <c r="P315" s="38" t="s">
        <v>1319</v>
      </c>
      <c r="Q315" s="38" t="str">
        <f>データ!F315</f>
        <v>遠</v>
      </c>
      <c r="R315" s="38" t="s">
        <v>1024</v>
      </c>
      <c r="S315" s="38" t="s">
        <v>1319</v>
      </c>
      <c r="T315" s="39">
        <f>データ!G315</f>
        <v>17109</v>
      </c>
      <c r="U315" s="40" t="s">
        <v>1024</v>
      </c>
      <c r="V315" s="40" t="s">
        <v>1319</v>
      </c>
      <c r="W315" s="39">
        <f>データ!H315</f>
        <v>6336</v>
      </c>
      <c r="X315" s="40" t="s">
        <v>1024</v>
      </c>
      <c r="Y315" s="40" t="s">
        <v>1319</v>
      </c>
      <c r="Z315" s="39">
        <f>データ!I315</f>
        <v>4449</v>
      </c>
      <c r="AA315" s="40" t="s">
        <v>1024</v>
      </c>
      <c r="AB315" s="40" t="s">
        <v>1322</v>
      </c>
      <c r="AC315" s="39" t="str">
        <f>データ!J315</f>
        <v>SS-</v>
      </c>
      <c r="AD315" s="38" t="s">
        <v>1024</v>
      </c>
      <c r="AE315" s="40" t="s">
        <v>1323</v>
      </c>
      <c r="AF315" s="39">
        <f>データ!K315</f>
        <v>27894</v>
      </c>
      <c r="AG315" s="40" t="s">
        <v>1024</v>
      </c>
      <c r="AH315" s="40" t="s">
        <v>1324</v>
      </c>
      <c r="AI315" s="39" t="str">
        <f>データ!L315</f>
        <v>遠翠の略奪／絶</v>
      </c>
      <c r="AJ315" s="10" t="s">
        <v>1113</v>
      </c>
      <c r="AK315" s="39" t="str">
        <f>データ!M315</f>
        <v>敵単体に攻撃しつつHP回復[大]</v>
      </c>
      <c r="AL315" s="10" t="s">
        <v>1024</v>
      </c>
      <c r="AM315" s="40" t="s">
        <v>1325</v>
      </c>
      <c r="AN315" s="39" t="str">
        <f>データ!N315</f>
        <v>-</v>
      </c>
      <c r="AO315" s="10" t="s">
        <v>1113</v>
      </c>
      <c r="AP315" s="39" t="str">
        <f>データ!O315</f>
        <v>　</v>
      </c>
      <c r="AQ315" s="41" t="s">
        <v>1024</v>
      </c>
      <c r="AR315" s="40" t="s">
        <v>1324</v>
      </c>
      <c r="AS315" s="39" t="str">
        <f>データ!P315</f>
        <v>ランページ／真</v>
      </c>
      <c r="AT315" s="10" t="s">
        <v>1113</v>
      </c>
      <c r="AU315" s="39" t="str">
        <f>データ!Q315</f>
        <v>バトルで獲得する騎士団戦スコアが中アップ(3分間)</v>
      </c>
      <c r="AV315" s="10" t="s">
        <v>1024</v>
      </c>
      <c r="AW315" s="40" t="s">
        <v>1324</v>
      </c>
      <c r="AX315" s="39" t="str">
        <f>データ!R315</f>
        <v>-</v>
      </c>
      <c r="AY315" s="10" t="s">
        <v>1113</v>
      </c>
      <c r="AZ315" s="39" t="str">
        <f>データ!S315</f>
        <v>　</v>
      </c>
      <c r="BA315" s="41" t="s">
        <v>1024</v>
      </c>
      <c r="BB315" s="40" t="s">
        <v>1319</v>
      </c>
      <c r="BC315" s="39" t="str">
        <f>データ!T315</f>
        <v>-</v>
      </c>
      <c r="BD315" s="41" t="s">
        <v>1024</v>
      </c>
      <c r="BE315" s="40" t="s">
        <v>1320</v>
      </c>
      <c r="BF315" s="39" t="str">
        <f>データ!U315</f>
        <v>-</v>
      </c>
      <c r="BG315" s="41" t="s">
        <v>1024</v>
      </c>
      <c r="BH315" s="40" t="s">
        <v>1319</v>
      </c>
      <c r="BI315" s="39" t="str">
        <f>データ!V315</f>
        <v>常設</v>
      </c>
      <c r="BJ315" s="41" t="s">
        <v>1024</v>
      </c>
      <c r="BK315" s="10" t="s">
        <v>1019</v>
      </c>
    </row>
    <row r="316" spans="1:63" x14ac:dyDescent="0.15">
      <c r="A316" s="10" t="s">
        <v>1016</v>
      </c>
      <c r="B316" s="10" t="s">
        <v>1454</v>
      </c>
      <c r="C316" s="38" t="str">
        <f>"./images/thumbnail/"&amp;データ!B316&amp;".jpg"</f>
        <v>./images/thumbnail/1552.jpg</v>
      </c>
      <c r="D316" s="38" t="s">
        <v>1455</v>
      </c>
      <c r="E316" s="38" t="str">
        <f>"./images/thumbnail/"&amp;データ!B316&amp;".jpg"</f>
        <v>./images/thumbnail/1552.jpg</v>
      </c>
      <c r="F316" s="38" t="s">
        <v>1116</v>
      </c>
      <c r="G316" s="38" t="s">
        <v>1319</v>
      </c>
      <c r="H316" s="38" t="str">
        <f>データ!C316</f>
        <v>パメラ</v>
      </c>
      <c r="I316" s="38" t="s">
        <v>1024</v>
      </c>
      <c r="J316" s="38" t="s">
        <v>1320</v>
      </c>
      <c r="K316" s="38" t="str">
        <f>データ!D316</f>
        <v>SSR</v>
      </c>
      <c r="L316" s="38" t="s">
        <v>1024</v>
      </c>
      <c r="M316" s="38" t="s">
        <v>1321</v>
      </c>
      <c r="N316" s="38">
        <f>データ!E316</f>
        <v>13</v>
      </c>
      <c r="O316" s="38" t="s">
        <v>1024</v>
      </c>
      <c r="P316" s="38" t="s">
        <v>1319</v>
      </c>
      <c r="Q316" s="38" t="str">
        <f>データ!F316</f>
        <v>斬</v>
      </c>
      <c r="R316" s="38" t="s">
        <v>1024</v>
      </c>
      <c r="S316" s="38" t="s">
        <v>1319</v>
      </c>
      <c r="T316" s="39">
        <f>データ!G316</f>
        <v>15891</v>
      </c>
      <c r="U316" s="40" t="s">
        <v>1024</v>
      </c>
      <c r="V316" s="40" t="s">
        <v>1319</v>
      </c>
      <c r="W316" s="39">
        <f>データ!H316</f>
        <v>7296</v>
      </c>
      <c r="X316" s="40" t="s">
        <v>1024</v>
      </c>
      <c r="Y316" s="40" t="s">
        <v>1319</v>
      </c>
      <c r="Z316" s="39">
        <f>データ!I316</f>
        <v>5042</v>
      </c>
      <c r="AA316" s="40" t="s">
        <v>1024</v>
      </c>
      <c r="AB316" s="40" t="s">
        <v>1322</v>
      </c>
      <c r="AC316" s="39" t="str">
        <f>データ!J316</f>
        <v>A+</v>
      </c>
      <c r="AD316" s="38" t="s">
        <v>1024</v>
      </c>
      <c r="AE316" s="40" t="s">
        <v>1323</v>
      </c>
      <c r="AF316" s="39">
        <f>データ!K316</f>
        <v>28229</v>
      </c>
      <c r="AG316" s="40" t="s">
        <v>1024</v>
      </c>
      <c r="AH316" s="40" t="s">
        <v>1324</v>
      </c>
      <c r="AI316" s="39" t="str">
        <f>データ!L316</f>
        <v>焔幻の一閃／絶</v>
      </c>
      <c r="AJ316" s="10" t="s">
        <v>1113</v>
      </c>
      <c r="AK316" s="39" t="str">
        <f>データ!M316</f>
        <v>横一列に攻撃[大]</v>
      </c>
      <c r="AL316" s="10" t="s">
        <v>1024</v>
      </c>
      <c r="AM316" s="40" t="s">
        <v>1325</v>
      </c>
      <c r="AN316" s="39" t="str">
        <f>データ!N316</f>
        <v>-</v>
      </c>
      <c r="AO316" s="10" t="s">
        <v>1113</v>
      </c>
      <c r="AP316" s="39" t="str">
        <f>データ!O316</f>
        <v>　</v>
      </c>
      <c r="AQ316" s="41" t="s">
        <v>1024</v>
      </c>
      <c r="AR316" s="40" t="s">
        <v>1324</v>
      </c>
      <c r="AS316" s="39" t="str">
        <f>データ!P316</f>
        <v>プロヴォーク／絶</v>
      </c>
      <c r="AT316" s="10" t="s">
        <v>1113</v>
      </c>
      <c r="AU316" s="39" t="str">
        <f>データ!Q316</f>
        <v>攻撃される確率が大UP(3分間)</v>
      </c>
      <c r="AV316" s="10" t="s">
        <v>1024</v>
      </c>
      <c r="AW316" s="40" t="s">
        <v>1324</v>
      </c>
      <c r="AX316" s="39" t="str">
        <f>データ!R316</f>
        <v>-</v>
      </c>
      <c r="AY316" s="10" t="s">
        <v>1113</v>
      </c>
      <c r="AZ316" s="39" t="str">
        <f>データ!S316</f>
        <v>　</v>
      </c>
      <c r="BA316" s="41" t="s">
        <v>1024</v>
      </c>
      <c r="BB316" s="40" t="s">
        <v>1319</v>
      </c>
      <c r="BC316" s="39" t="str">
        <f>データ!T316</f>
        <v>-</v>
      </c>
      <c r="BD316" s="41" t="s">
        <v>1024</v>
      </c>
      <c r="BE316" s="40" t="s">
        <v>1320</v>
      </c>
      <c r="BF316" s="39" t="str">
        <f>データ!U316</f>
        <v>-</v>
      </c>
      <c r="BG316" s="41" t="s">
        <v>1024</v>
      </c>
      <c r="BH316" s="40" t="s">
        <v>1319</v>
      </c>
      <c r="BI316" s="39" t="str">
        <f>データ!V316</f>
        <v>メダル</v>
      </c>
      <c r="BJ316" s="41" t="s">
        <v>1024</v>
      </c>
      <c r="BK316" s="10" t="s">
        <v>1019</v>
      </c>
    </row>
    <row r="317" spans="1:63" x14ac:dyDescent="0.15">
      <c r="A317" s="10" t="s">
        <v>1016</v>
      </c>
      <c r="B317" s="10" t="s">
        <v>1454</v>
      </c>
      <c r="C317" s="38" t="str">
        <f>"./images/thumbnail/"&amp;データ!B317&amp;".jpg"</f>
        <v>./images/thumbnail/1553.jpg</v>
      </c>
      <c r="D317" s="38" t="s">
        <v>1455</v>
      </c>
      <c r="E317" s="38" t="str">
        <f>"./images/thumbnail/"&amp;データ!B317&amp;".jpg"</f>
        <v>./images/thumbnail/1553.jpg</v>
      </c>
      <c r="F317" s="38" t="s">
        <v>1116</v>
      </c>
      <c r="G317" s="38" t="s">
        <v>1319</v>
      </c>
      <c r="H317" s="38" t="str">
        <f>データ!C317</f>
        <v>バルカス</v>
      </c>
      <c r="I317" s="38" t="s">
        <v>1024</v>
      </c>
      <c r="J317" s="38" t="s">
        <v>1320</v>
      </c>
      <c r="K317" s="38" t="str">
        <f>データ!D317</f>
        <v>SSR</v>
      </c>
      <c r="L317" s="38" t="s">
        <v>1024</v>
      </c>
      <c r="M317" s="38" t="s">
        <v>1321</v>
      </c>
      <c r="N317" s="38">
        <f>データ!E317</f>
        <v>12</v>
      </c>
      <c r="O317" s="38" t="s">
        <v>1024</v>
      </c>
      <c r="P317" s="38" t="s">
        <v>1319</v>
      </c>
      <c r="Q317" s="38" t="str">
        <f>データ!F317</f>
        <v>打</v>
      </c>
      <c r="R317" s="38" t="s">
        <v>1024</v>
      </c>
      <c r="S317" s="38" t="s">
        <v>1319</v>
      </c>
      <c r="T317" s="39">
        <f>データ!G317</f>
        <v>19170</v>
      </c>
      <c r="U317" s="40" t="s">
        <v>1024</v>
      </c>
      <c r="V317" s="40" t="s">
        <v>1319</v>
      </c>
      <c r="W317" s="39">
        <f>データ!H317</f>
        <v>5061</v>
      </c>
      <c r="X317" s="40" t="s">
        <v>1024</v>
      </c>
      <c r="Y317" s="40" t="s">
        <v>1319</v>
      </c>
      <c r="Z317" s="39">
        <f>データ!I317</f>
        <v>6845</v>
      </c>
      <c r="AA317" s="40" t="s">
        <v>1024</v>
      </c>
      <c r="AB317" s="40" t="s">
        <v>1322</v>
      </c>
      <c r="AC317" s="39" t="str">
        <f>データ!J317</f>
        <v>A-</v>
      </c>
      <c r="AD317" s="38" t="s">
        <v>1024</v>
      </c>
      <c r="AE317" s="40" t="s">
        <v>1323</v>
      </c>
      <c r="AF317" s="39">
        <f>データ!K317</f>
        <v>31076</v>
      </c>
      <c r="AG317" s="40" t="s">
        <v>1024</v>
      </c>
      <c r="AH317" s="40" t="s">
        <v>1324</v>
      </c>
      <c r="AI317" s="39" t="str">
        <f>データ!L317</f>
        <v xml:space="preserve">蒼突の叛逆／絶 </v>
      </c>
      <c r="AJ317" s="10" t="s">
        <v>1113</v>
      </c>
      <c r="AK317" s="39" t="str">
        <f>データ!M317</f>
        <v>攻撃をカウンター[高確率]</v>
      </c>
      <c r="AL317" s="10" t="s">
        <v>1024</v>
      </c>
      <c r="AM317" s="40" t="s">
        <v>1325</v>
      </c>
      <c r="AN317" s="39" t="str">
        <f>データ!N317</f>
        <v>-</v>
      </c>
      <c r="AO317" s="10" t="s">
        <v>1113</v>
      </c>
      <c r="AP317" s="39" t="str">
        <f>データ!O317</f>
        <v>　</v>
      </c>
      <c r="AQ317" s="41" t="s">
        <v>1024</v>
      </c>
      <c r="AR317" s="40" t="s">
        <v>1324</v>
      </c>
      <c r="AS317" s="39" t="str">
        <f>データ!P317</f>
        <v>リザレクション／真</v>
      </c>
      <c r="AT317" s="10" t="s">
        <v>1113</v>
      </c>
      <c r="AU317" s="39" t="str">
        <f>データ!Q317</f>
        <v>中確率でパーティ全員を復帰(全滅時のみ使用可)</v>
      </c>
      <c r="AV317" s="10" t="s">
        <v>1024</v>
      </c>
      <c r="AW317" s="40" t="s">
        <v>1324</v>
      </c>
      <c r="AX317" s="39" t="str">
        <f>データ!R317</f>
        <v>-</v>
      </c>
      <c r="AY317" s="10" t="s">
        <v>1113</v>
      </c>
      <c r="AZ317" s="39" t="str">
        <f>データ!S317</f>
        <v>　</v>
      </c>
      <c r="BA317" s="41" t="s">
        <v>1024</v>
      </c>
      <c r="BB317" s="40" t="s">
        <v>1319</v>
      </c>
      <c r="BC317" s="39" t="str">
        <f>データ!T317</f>
        <v>-</v>
      </c>
      <c r="BD317" s="41" t="s">
        <v>1024</v>
      </c>
      <c r="BE317" s="40" t="s">
        <v>1320</v>
      </c>
      <c r="BF317" s="39" t="str">
        <f>データ!U317</f>
        <v>-</v>
      </c>
      <c r="BG317" s="41" t="s">
        <v>1024</v>
      </c>
      <c r="BH317" s="40" t="s">
        <v>1319</v>
      </c>
      <c r="BI317" s="39" t="str">
        <f>データ!V317</f>
        <v>オルフェス</v>
      </c>
      <c r="BJ317" s="41" t="s">
        <v>1024</v>
      </c>
      <c r="BK317" s="10" t="s">
        <v>1019</v>
      </c>
    </row>
    <row r="318" spans="1:63" x14ac:dyDescent="0.15">
      <c r="A318" s="10" t="s">
        <v>1016</v>
      </c>
      <c r="B318" s="10" t="s">
        <v>1454</v>
      </c>
      <c r="C318" s="38" t="str">
        <f>"./images/thumbnail/"&amp;データ!B318&amp;".jpg"</f>
        <v>./images/thumbnail/1555.jpg</v>
      </c>
      <c r="D318" s="38" t="s">
        <v>1455</v>
      </c>
      <c r="E318" s="38" t="str">
        <f>"./images/thumbnail/"&amp;データ!B318&amp;".jpg"</f>
        <v>./images/thumbnail/1555.jpg</v>
      </c>
      <c r="F318" s="38" t="s">
        <v>1116</v>
      </c>
      <c r="G318" s="38" t="s">
        <v>1319</v>
      </c>
      <c r="H318" s="38" t="str">
        <f>データ!C318</f>
        <v>ジム</v>
      </c>
      <c r="I318" s="38" t="s">
        <v>1024</v>
      </c>
      <c r="J318" s="38" t="s">
        <v>1320</v>
      </c>
      <c r="K318" s="38" t="str">
        <f>データ!D318</f>
        <v>SSR</v>
      </c>
      <c r="L318" s="38" t="s">
        <v>1024</v>
      </c>
      <c r="M318" s="38" t="s">
        <v>1321</v>
      </c>
      <c r="N318" s="38">
        <f>データ!E318</f>
        <v>13</v>
      </c>
      <c r="O318" s="38" t="s">
        <v>1024</v>
      </c>
      <c r="P318" s="38" t="s">
        <v>1319</v>
      </c>
      <c r="Q318" s="38" t="str">
        <f>データ!F318</f>
        <v>斬</v>
      </c>
      <c r="R318" s="38" t="s">
        <v>1024</v>
      </c>
      <c r="S318" s="38" t="s">
        <v>1319</v>
      </c>
      <c r="T318" s="39">
        <f>データ!G318</f>
        <v>17745</v>
      </c>
      <c r="U318" s="40" t="s">
        <v>1024</v>
      </c>
      <c r="V318" s="40" t="s">
        <v>1319</v>
      </c>
      <c r="W318" s="39">
        <f>データ!H318</f>
        <v>6985</v>
      </c>
      <c r="X318" s="40" t="s">
        <v>1024</v>
      </c>
      <c r="Y318" s="40" t="s">
        <v>1319</v>
      </c>
      <c r="Z318" s="39">
        <f>データ!I318</f>
        <v>5270</v>
      </c>
      <c r="AA318" s="40" t="s">
        <v>1024</v>
      </c>
      <c r="AB318" s="40" t="s">
        <v>1322</v>
      </c>
      <c r="AC318" s="39" t="str">
        <f>データ!J318</f>
        <v>A+</v>
      </c>
      <c r="AD318" s="38" t="s">
        <v>1024</v>
      </c>
      <c r="AE318" s="40" t="s">
        <v>1323</v>
      </c>
      <c r="AF318" s="39">
        <f>データ!K318</f>
        <v>30000</v>
      </c>
      <c r="AG318" s="40" t="s">
        <v>1024</v>
      </c>
      <c r="AH318" s="40" t="s">
        <v>1324</v>
      </c>
      <c r="AI318" s="39" t="str">
        <f>データ!L318</f>
        <v>斬紅の聖天</v>
      </c>
      <c r="AJ318" s="10" t="s">
        <v>1113</v>
      </c>
      <c r="AK318" s="39" t="str">
        <f>データ!M318</f>
        <v>味方斬属性の攻撃力と防御力をUP[大]</v>
      </c>
      <c r="AL318" s="10" t="s">
        <v>1024</v>
      </c>
      <c r="AM318" s="40" t="s">
        <v>1325</v>
      </c>
      <c r="AN318" s="39" t="str">
        <f>データ!N318</f>
        <v>-</v>
      </c>
      <c r="AO318" s="10" t="s">
        <v>1113</v>
      </c>
      <c r="AP318" s="39" t="str">
        <f>データ!O318</f>
        <v>　</v>
      </c>
      <c r="AQ318" s="41" t="s">
        <v>1024</v>
      </c>
      <c r="AR318" s="40" t="s">
        <v>1324</v>
      </c>
      <c r="AS318" s="39" t="str">
        <f>データ!P318</f>
        <v>ジャガーノート／真</v>
      </c>
      <c r="AT318" s="10" t="s">
        <v>1113</v>
      </c>
      <c r="AU318" s="39" t="str">
        <f>データ!Q318</f>
        <v>バトルで敵を全滅するとBPが中回復(バトル3回)</v>
      </c>
      <c r="AV318" s="10" t="s">
        <v>1024</v>
      </c>
      <c r="AW318" s="40" t="s">
        <v>1324</v>
      </c>
      <c r="AX318" s="39" t="str">
        <f>データ!R318</f>
        <v>-</v>
      </c>
      <c r="AY318" s="10" t="s">
        <v>1113</v>
      </c>
      <c r="AZ318" s="39" t="str">
        <f>データ!S318</f>
        <v>　</v>
      </c>
      <c r="BA318" s="41" t="s">
        <v>1024</v>
      </c>
      <c r="BB318" s="40" t="s">
        <v>1319</v>
      </c>
      <c r="BC318" s="39" t="str">
        <f>データ!T318</f>
        <v>-</v>
      </c>
      <c r="BD318" s="41" t="s">
        <v>1024</v>
      </c>
      <c r="BE318" s="40" t="s">
        <v>1320</v>
      </c>
      <c r="BF318" s="39" t="str">
        <f>データ!U318</f>
        <v>-</v>
      </c>
      <c r="BG318" s="41" t="s">
        <v>1024</v>
      </c>
      <c r="BH318" s="40" t="s">
        <v>1319</v>
      </c>
      <c r="BI318" s="39" t="str">
        <f>データ!V318</f>
        <v>進撃の巨人コラボ1</v>
      </c>
      <c r="BJ318" s="41" t="s">
        <v>1024</v>
      </c>
      <c r="BK318" s="10" t="s">
        <v>1019</v>
      </c>
    </row>
    <row r="319" spans="1:63" x14ac:dyDescent="0.15">
      <c r="A319" s="10" t="s">
        <v>1016</v>
      </c>
      <c r="B319" s="10" t="s">
        <v>1454</v>
      </c>
      <c r="C319" s="38" t="str">
        <f>"./images/thumbnail/"&amp;データ!B319&amp;".jpg"</f>
        <v>./images/thumbnail/1557.jpg</v>
      </c>
      <c r="D319" s="38" t="s">
        <v>1455</v>
      </c>
      <c r="E319" s="38" t="str">
        <f>"./images/thumbnail/"&amp;データ!B319&amp;".jpg"</f>
        <v>./images/thumbnail/1557.jpg</v>
      </c>
      <c r="F319" s="38" t="s">
        <v>1116</v>
      </c>
      <c r="G319" s="38" t="s">
        <v>1319</v>
      </c>
      <c r="H319" s="38" t="str">
        <f>データ!C319</f>
        <v>マリユス</v>
      </c>
      <c r="I319" s="38" t="s">
        <v>1024</v>
      </c>
      <c r="J319" s="38" t="s">
        <v>1320</v>
      </c>
      <c r="K319" s="38" t="str">
        <f>データ!D319</f>
        <v>UR</v>
      </c>
      <c r="L319" s="38" t="s">
        <v>1024</v>
      </c>
      <c r="M319" s="38" t="s">
        <v>1321</v>
      </c>
      <c r="N319" s="38">
        <f>データ!E319</f>
        <v>14</v>
      </c>
      <c r="O319" s="38" t="s">
        <v>1024</v>
      </c>
      <c r="P319" s="38" t="s">
        <v>1319</v>
      </c>
      <c r="Q319" s="38" t="str">
        <f>データ!F319</f>
        <v>斬</v>
      </c>
      <c r="R319" s="38" t="s">
        <v>1024</v>
      </c>
      <c r="S319" s="38" t="s">
        <v>1319</v>
      </c>
      <c r="T319" s="39">
        <f>データ!G319</f>
        <v>15969</v>
      </c>
      <c r="U319" s="40" t="s">
        <v>1024</v>
      </c>
      <c r="V319" s="40" t="s">
        <v>1319</v>
      </c>
      <c r="W319" s="39">
        <f>データ!H319</f>
        <v>8426</v>
      </c>
      <c r="X319" s="40" t="s">
        <v>1024</v>
      </c>
      <c r="Y319" s="40" t="s">
        <v>1319</v>
      </c>
      <c r="Z319" s="39">
        <f>データ!I319</f>
        <v>6542</v>
      </c>
      <c r="AA319" s="40" t="s">
        <v>1024</v>
      </c>
      <c r="AB319" s="40" t="s">
        <v>1322</v>
      </c>
      <c r="AC319" s="39" t="str">
        <f>データ!J319</f>
        <v>S</v>
      </c>
      <c r="AD319" s="38" t="s">
        <v>1024</v>
      </c>
      <c r="AE319" s="40" t="s">
        <v>1323</v>
      </c>
      <c r="AF319" s="39">
        <f>データ!K319</f>
        <v>30937</v>
      </c>
      <c r="AG319" s="40" t="s">
        <v>1024</v>
      </c>
      <c r="AH319" s="40" t="s">
        <v>1324</v>
      </c>
      <c r="AI319" s="39" t="str">
        <f>データ!L319</f>
        <v>幻氷の縦十字／煌</v>
      </c>
      <c r="AJ319" s="10" t="s">
        <v>1113</v>
      </c>
      <c r="AK319" s="39" t="str">
        <f>データ!M319</f>
        <v>十字型に攻撃[特大]</v>
      </c>
      <c r="AL319" s="10" t="s">
        <v>1024</v>
      </c>
      <c r="AM319" s="40" t="s">
        <v>1325</v>
      </c>
      <c r="AN319" s="39" t="str">
        <f>データ!N319</f>
        <v>-</v>
      </c>
      <c r="AO319" s="10" t="s">
        <v>1113</v>
      </c>
      <c r="AP319" s="39" t="str">
        <f>データ!O319</f>
        <v>　</v>
      </c>
      <c r="AQ319" s="41" t="s">
        <v>1024</v>
      </c>
      <c r="AR319" s="40" t="s">
        <v>1324</v>
      </c>
      <c r="AS319" s="39" t="str">
        <f>データ!P319</f>
        <v>アサルト／絶</v>
      </c>
      <c r="AT319" s="10" t="s">
        <v>1113</v>
      </c>
      <c r="AU319" s="39" t="str">
        <f>データ!Q319</f>
        <v>パーティ全体の攻撃力が大UP(3分間)</v>
      </c>
      <c r="AV319" s="10" t="s">
        <v>1024</v>
      </c>
      <c r="AW319" s="40" t="s">
        <v>1324</v>
      </c>
      <c r="AX319" s="39" t="str">
        <f>データ!R319</f>
        <v>-</v>
      </c>
      <c r="AY319" s="10" t="s">
        <v>1113</v>
      </c>
      <c r="AZ319" s="39" t="str">
        <f>データ!S319</f>
        <v>　</v>
      </c>
      <c r="BA319" s="41" t="s">
        <v>1024</v>
      </c>
      <c r="BB319" s="40" t="s">
        <v>1319</v>
      </c>
      <c r="BC319" s="39" t="str">
        <f>データ!T319</f>
        <v>-</v>
      </c>
      <c r="BD319" s="41" t="s">
        <v>1024</v>
      </c>
      <c r="BE319" s="40" t="s">
        <v>1320</v>
      </c>
      <c r="BF319" s="39" t="str">
        <f>データ!U319</f>
        <v>-</v>
      </c>
      <c r="BG319" s="41" t="s">
        <v>1024</v>
      </c>
      <c r="BH319" s="40" t="s">
        <v>1319</v>
      </c>
      <c r="BI319" s="39" t="str">
        <f>データ!V319</f>
        <v>進撃の巨人コラボ1</v>
      </c>
      <c r="BJ319" s="41" t="s">
        <v>1024</v>
      </c>
      <c r="BK319" s="10" t="s">
        <v>1019</v>
      </c>
    </row>
    <row r="320" spans="1:63" x14ac:dyDescent="0.15">
      <c r="A320" s="10" t="s">
        <v>1016</v>
      </c>
      <c r="B320" s="10" t="s">
        <v>1454</v>
      </c>
      <c r="C320" s="38" t="str">
        <f>"./images/thumbnail/"&amp;データ!B320&amp;".jpg"</f>
        <v>./images/thumbnail/1559.jpg</v>
      </c>
      <c r="D320" s="38" t="s">
        <v>1455</v>
      </c>
      <c r="E320" s="38" t="str">
        <f>"./images/thumbnail/"&amp;データ!B320&amp;".jpg"</f>
        <v>./images/thumbnail/1559.jpg</v>
      </c>
      <c r="F320" s="38" t="s">
        <v>1116</v>
      </c>
      <c r="G320" s="38" t="s">
        <v>1319</v>
      </c>
      <c r="H320" s="38" t="str">
        <f>データ!C320</f>
        <v>デフロット</v>
      </c>
      <c r="I320" s="38" t="s">
        <v>1024</v>
      </c>
      <c r="J320" s="38" t="s">
        <v>1320</v>
      </c>
      <c r="K320" s="38" t="str">
        <f>データ!D320</f>
        <v>SSR</v>
      </c>
      <c r="L320" s="38" t="s">
        <v>1024</v>
      </c>
      <c r="M320" s="38" t="s">
        <v>1321</v>
      </c>
      <c r="N320" s="38">
        <f>データ!E320</f>
        <v>13</v>
      </c>
      <c r="O320" s="38" t="s">
        <v>1024</v>
      </c>
      <c r="P320" s="38" t="s">
        <v>1319</v>
      </c>
      <c r="Q320" s="38" t="str">
        <f>データ!F320</f>
        <v>突</v>
      </c>
      <c r="R320" s="38" t="s">
        <v>1024</v>
      </c>
      <c r="S320" s="38" t="s">
        <v>1319</v>
      </c>
      <c r="T320" s="39">
        <f>データ!G320</f>
        <v>16502</v>
      </c>
      <c r="U320" s="40" t="s">
        <v>1024</v>
      </c>
      <c r="V320" s="40" t="s">
        <v>1319</v>
      </c>
      <c r="W320" s="39">
        <f>データ!H320</f>
        <v>5904</v>
      </c>
      <c r="X320" s="40" t="s">
        <v>1024</v>
      </c>
      <c r="Y320" s="40" t="s">
        <v>1319</v>
      </c>
      <c r="Z320" s="39">
        <f>データ!I320</f>
        <v>6049</v>
      </c>
      <c r="AA320" s="40" t="s">
        <v>1024</v>
      </c>
      <c r="AB320" s="40" t="s">
        <v>1322</v>
      </c>
      <c r="AC320" s="39" t="str">
        <f>データ!J320</f>
        <v>SS-</v>
      </c>
      <c r="AD320" s="38" t="s">
        <v>1024</v>
      </c>
      <c r="AE320" s="40" t="s">
        <v>1323</v>
      </c>
      <c r="AF320" s="39">
        <f>データ!K320</f>
        <v>28455</v>
      </c>
      <c r="AG320" s="40" t="s">
        <v>1024</v>
      </c>
      <c r="AH320" s="40" t="s">
        <v>1324</v>
      </c>
      <c r="AI320" s="39" t="str">
        <f>データ!L320</f>
        <v>地幻神の五連撃</v>
      </c>
      <c r="AJ320" s="10" t="s">
        <v>1113</v>
      </c>
      <c r="AK320" s="39" t="str">
        <f>データ!M320</f>
        <v>ランダム5連続攻撃[小]自分の防御力UP[小]</v>
      </c>
      <c r="AL320" s="10" t="s">
        <v>1024</v>
      </c>
      <c r="AM320" s="40" t="s">
        <v>1325</v>
      </c>
      <c r="AN320" s="39" t="str">
        <f>データ!N320</f>
        <v>-</v>
      </c>
      <c r="AO320" s="10" t="s">
        <v>1113</v>
      </c>
      <c r="AP320" s="39" t="str">
        <f>データ!O320</f>
        <v>　</v>
      </c>
      <c r="AQ320" s="41" t="s">
        <v>1024</v>
      </c>
      <c r="AR320" s="40" t="s">
        <v>1324</v>
      </c>
      <c r="AS320" s="39" t="str">
        <f>データ!P320</f>
        <v>アサルトオーダー</v>
      </c>
      <c r="AT320" s="10" t="s">
        <v>1113</v>
      </c>
      <c r="AU320" s="39" t="str">
        <f>データ!Q320</f>
        <v>騎士団全体の攻撃力が小UP(3分間)</v>
      </c>
      <c r="AV320" s="10" t="s">
        <v>1024</v>
      </c>
      <c r="AW320" s="40" t="s">
        <v>1324</v>
      </c>
      <c r="AX320" s="39" t="str">
        <f>データ!R320</f>
        <v>-</v>
      </c>
      <c r="AY320" s="10" t="s">
        <v>1113</v>
      </c>
      <c r="AZ320" s="39" t="str">
        <f>データ!S320</f>
        <v>　</v>
      </c>
      <c r="BA320" s="41" t="s">
        <v>1024</v>
      </c>
      <c r="BB320" s="40" t="s">
        <v>1319</v>
      </c>
      <c r="BC320" s="39" t="str">
        <f>データ!T320</f>
        <v>-</v>
      </c>
      <c r="BD320" s="41" t="s">
        <v>1024</v>
      </c>
      <c r="BE320" s="40" t="s">
        <v>1320</v>
      </c>
      <c r="BF320" s="39" t="str">
        <f>データ!U320</f>
        <v>-</v>
      </c>
      <c r="BG320" s="41" t="s">
        <v>1024</v>
      </c>
      <c r="BH320" s="40" t="s">
        <v>1319</v>
      </c>
      <c r="BI320" s="39" t="str">
        <f>データ!V320</f>
        <v>進撃の巨人コラボ1</v>
      </c>
      <c r="BJ320" s="41" t="s">
        <v>1024</v>
      </c>
      <c r="BK320" s="10" t="s">
        <v>1019</v>
      </c>
    </row>
    <row r="321" spans="1:63" x14ac:dyDescent="0.15">
      <c r="A321" s="10" t="s">
        <v>1016</v>
      </c>
      <c r="B321" s="10" t="s">
        <v>1454</v>
      </c>
      <c r="C321" s="38" t="str">
        <f>"./images/thumbnail/"&amp;データ!B321&amp;".jpg"</f>
        <v>./images/thumbnail/1561.jpg</v>
      </c>
      <c r="D321" s="38" t="s">
        <v>1455</v>
      </c>
      <c r="E321" s="38" t="str">
        <f>"./images/thumbnail/"&amp;データ!B321&amp;".jpg"</f>
        <v>./images/thumbnail/1561.jpg</v>
      </c>
      <c r="F321" s="38" t="s">
        <v>1116</v>
      </c>
      <c r="G321" s="38" t="s">
        <v>1319</v>
      </c>
      <c r="H321" s="38" t="str">
        <f>データ!C321</f>
        <v>ノンノリア</v>
      </c>
      <c r="I321" s="38" t="s">
        <v>1024</v>
      </c>
      <c r="J321" s="38" t="s">
        <v>1320</v>
      </c>
      <c r="K321" s="38" t="str">
        <f>データ!D321</f>
        <v>UR</v>
      </c>
      <c r="L321" s="38" t="s">
        <v>1024</v>
      </c>
      <c r="M321" s="38" t="s">
        <v>1321</v>
      </c>
      <c r="N321" s="38">
        <f>データ!E321</f>
        <v>14</v>
      </c>
      <c r="O321" s="38" t="s">
        <v>1024</v>
      </c>
      <c r="P321" s="38" t="s">
        <v>1319</v>
      </c>
      <c r="Q321" s="38" t="str">
        <f>データ!F321</f>
        <v>遠</v>
      </c>
      <c r="R321" s="38" t="s">
        <v>1024</v>
      </c>
      <c r="S321" s="38" t="s">
        <v>1319</v>
      </c>
      <c r="T321" s="39">
        <f>データ!G321</f>
        <v>19444</v>
      </c>
      <c r="U321" s="40" t="s">
        <v>1024</v>
      </c>
      <c r="V321" s="40" t="s">
        <v>1319</v>
      </c>
      <c r="W321" s="39">
        <f>データ!H321</f>
        <v>6802</v>
      </c>
      <c r="X321" s="40" t="s">
        <v>1024</v>
      </c>
      <c r="Y321" s="40" t="s">
        <v>1319</v>
      </c>
      <c r="Z321" s="39">
        <f>データ!I321</f>
        <v>5703</v>
      </c>
      <c r="AA321" s="40" t="s">
        <v>1024</v>
      </c>
      <c r="AB321" s="40" t="s">
        <v>1322</v>
      </c>
      <c r="AC321" s="39" t="str">
        <f>データ!J321</f>
        <v>S+</v>
      </c>
      <c r="AD321" s="38" t="s">
        <v>1024</v>
      </c>
      <c r="AE321" s="40" t="s">
        <v>1323</v>
      </c>
      <c r="AF321" s="39">
        <f>データ!K321</f>
        <v>31949</v>
      </c>
      <c r="AG321" s="40" t="s">
        <v>1024</v>
      </c>
      <c r="AH321" s="40" t="s">
        <v>1324</v>
      </c>
      <c r="AI321" s="39" t="str">
        <f>データ!L321</f>
        <v>遠翠の神護</v>
      </c>
      <c r="AJ321" s="10" t="s">
        <v>1113</v>
      </c>
      <c r="AK321" s="39" t="str">
        <f>データ!M321</f>
        <v>味方遠属性の防御力をUP[特大]</v>
      </c>
      <c r="AL321" s="10" t="s">
        <v>1024</v>
      </c>
      <c r="AM321" s="40" t="s">
        <v>1325</v>
      </c>
      <c r="AN321" s="39" t="str">
        <f>データ!N321</f>
        <v>-</v>
      </c>
      <c r="AO321" s="10" t="s">
        <v>1113</v>
      </c>
      <c r="AP321" s="39" t="str">
        <f>データ!O321</f>
        <v>　</v>
      </c>
      <c r="AQ321" s="41" t="s">
        <v>1024</v>
      </c>
      <c r="AR321" s="40" t="s">
        <v>1324</v>
      </c>
      <c r="AS321" s="39" t="str">
        <f>データ!P321</f>
        <v>シャドウオーダー</v>
      </c>
      <c r="AT321" s="10" t="s">
        <v>1113</v>
      </c>
      <c r="AU321" s="39" t="str">
        <f>データ!Q321</f>
        <v>騎士団全体の強襲CB率が小UP(3分間)</v>
      </c>
      <c r="AV321" s="10" t="s">
        <v>1024</v>
      </c>
      <c r="AW321" s="40" t="s">
        <v>1324</v>
      </c>
      <c r="AX321" s="39" t="str">
        <f>データ!R321</f>
        <v>-</v>
      </c>
      <c r="AY321" s="10" t="s">
        <v>1113</v>
      </c>
      <c r="AZ321" s="39" t="str">
        <f>データ!S321</f>
        <v>　</v>
      </c>
      <c r="BA321" s="41" t="s">
        <v>1024</v>
      </c>
      <c r="BB321" s="40" t="s">
        <v>1319</v>
      </c>
      <c r="BC321" s="39" t="str">
        <f>データ!T321</f>
        <v>-</v>
      </c>
      <c r="BD321" s="41" t="s">
        <v>1024</v>
      </c>
      <c r="BE321" s="40" t="s">
        <v>1320</v>
      </c>
      <c r="BF321" s="39" t="str">
        <f>データ!U321</f>
        <v>-</v>
      </c>
      <c r="BG321" s="41" t="s">
        <v>1024</v>
      </c>
      <c r="BH321" s="40" t="s">
        <v>1319</v>
      </c>
      <c r="BI321" s="39" t="str">
        <f>データ!V321</f>
        <v>進撃の巨人コラボ1</v>
      </c>
      <c r="BJ321" s="41" t="s">
        <v>1024</v>
      </c>
      <c r="BK321" s="10" t="s">
        <v>1019</v>
      </c>
    </row>
    <row r="322" spans="1:63" x14ac:dyDescent="0.15">
      <c r="A322" s="10" t="s">
        <v>1016</v>
      </c>
      <c r="B322" s="10" t="s">
        <v>1454</v>
      </c>
      <c r="C322" s="38" t="str">
        <f>"./images/thumbnail/"&amp;データ!B322&amp;".jpg"</f>
        <v>./images/thumbnail/1563.jpg</v>
      </c>
      <c r="D322" s="38" t="s">
        <v>1455</v>
      </c>
      <c r="E322" s="38" t="str">
        <f>"./images/thumbnail/"&amp;データ!B322&amp;".jpg"</f>
        <v>./images/thumbnail/1563.jpg</v>
      </c>
      <c r="F322" s="38" t="s">
        <v>1116</v>
      </c>
      <c r="G322" s="38" t="s">
        <v>1319</v>
      </c>
      <c r="H322" s="38" t="str">
        <f>データ!C322</f>
        <v>リヴァイ</v>
      </c>
      <c r="I322" s="38" t="s">
        <v>1024</v>
      </c>
      <c r="J322" s="38" t="s">
        <v>1320</v>
      </c>
      <c r="K322" s="38" t="str">
        <f>データ!D322</f>
        <v>SSR</v>
      </c>
      <c r="L322" s="38" t="s">
        <v>1024</v>
      </c>
      <c r="M322" s="38" t="s">
        <v>1321</v>
      </c>
      <c r="N322" s="38">
        <f>データ!E322</f>
        <v>12</v>
      </c>
      <c r="O322" s="38" t="s">
        <v>1024</v>
      </c>
      <c r="P322" s="38" t="s">
        <v>1319</v>
      </c>
      <c r="Q322" s="38" t="str">
        <f>データ!F322</f>
        <v>突</v>
      </c>
      <c r="R322" s="38" t="s">
        <v>1024</v>
      </c>
      <c r="S322" s="38" t="s">
        <v>1319</v>
      </c>
      <c r="T322" s="39">
        <f>データ!G322</f>
        <v>14947</v>
      </c>
      <c r="U322" s="40" t="s">
        <v>1024</v>
      </c>
      <c r="V322" s="40" t="s">
        <v>1319</v>
      </c>
      <c r="W322" s="39">
        <f>データ!H322</f>
        <v>5244</v>
      </c>
      <c r="X322" s="40" t="s">
        <v>1024</v>
      </c>
      <c r="Y322" s="40" t="s">
        <v>1319</v>
      </c>
      <c r="Z322" s="39">
        <f>データ!I322</f>
        <v>5545</v>
      </c>
      <c r="AA322" s="40" t="s">
        <v>1024</v>
      </c>
      <c r="AB322" s="40" t="s">
        <v>1322</v>
      </c>
      <c r="AC322" s="39" t="str">
        <f>データ!J322</f>
        <v>SS-</v>
      </c>
      <c r="AD322" s="38" t="s">
        <v>1024</v>
      </c>
      <c r="AE322" s="40" t="s">
        <v>1323</v>
      </c>
      <c r="AF322" s="39">
        <f>データ!K322</f>
        <v>25736</v>
      </c>
      <c r="AG322" s="40" t="s">
        <v>1024</v>
      </c>
      <c r="AH322" s="40" t="s">
        <v>1324</v>
      </c>
      <c r="AI322" s="39" t="str">
        <f>データ!L322</f>
        <v>癒やしの光／絶</v>
      </c>
      <c r="AJ322" s="10" t="s">
        <v>1113</v>
      </c>
      <c r="AK322" s="39" t="str">
        <f>データ!M322</f>
        <v>最もダメージが多い味方1人のHP回復[大]</v>
      </c>
      <c r="AL322" s="10" t="s">
        <v>1024</v>
      </c>
      <c r="AM322" s="40" t="s">
        <v>1325</v>
      </c>
      <c r="AN322" s="39" t="str">
        <f>データ!N322</f>
        <v>-</v>
      </c>
      <c r="AO322" s="10" t="s">
        <v>1113</v>
      </c>
      <c r="AP322" s="39" t="str">
        <f>データ!O322</f>
        <v>　</v>
      </c>
      <c r="AQ322" s="41" t="s">
        <v>1024</v>
      </c>
      <c r="AR322" s="40" t="s">
        <v>1324</v>
      </c>
      <c r="AS322" s="39" t="str">
        <f>データ!P322</f>
        <v>フォースオブウィッシュ／真</v>
      </c>
      <c r="AT322" s="10" t="s">
        <v>1113</v>
      </c>
      <c r="AU322" s="39" t="str">
        <f>データ!Q322</f>
        <v>騎士団全員のBPを中回復</v>
      </c>
      <c r="AV322" s="10" t="s">
        <v>1024</v>
      </c>
      <c r="AW322" s="40" t="s">
        <v>1324</v>
      </c>
      <c r="AX322" s="39" t="str">
        <f>データ!R322</f>
        <v>-</v>
      </c>
      <c r="AY322" s="10" t="s">
        <v>1113</v>
      </c>
      <c r="AZ322" s="39" t="str">
        <f>データ!S322</f>
        <v>　</v>
      </c>
      <c r="BA322" s="41" t="s">
        <v>1024</v>
      </c>
      <c r="BB322" s="40" t="s">
        <v>1319</v>
      </c>
      <c r="BC322" s="39" t="str">
        <f>データ!T322</f>
        <v>-</v>
      </c>
      <c r="BD322" s="41" t="s">
        <v>1024</v>
      </c>
      <c r="BE322" s="40" t="s">
        <v>1320</v>
      </c>
      <c r="BF322" s="39" t="str">
        <f>データ!U322</f>
        <v>-</v>
      </c>
      <c r="BG322" s="41" t="s">
        <v>1024</v>
      </c>
      <c r="BH322" s="40" t="s">
        <v>1319</v>
      </c>
      <c r="BI322" s="39" t="str">
        <f>データ!V322</f>
        <v>進撃の巨人コラボ1</v>
      </c>
      <c r="BJ322" s="41" t="s">
        <v>1024</v>
      </c>
      <c r="BK322" s="10" t="s">
        <v>1019</v>
      </c>
    </row>
    <row r="323" spans="1:63" x14ac:dyDescent="0.15">
      <c r="A323" s="10" t="s">
        <v>1016</v>
      </c>
      <c r="B323" s="10" t="s">
        <v>1454</v>
      </c>
      <c r="C323" s="38" t="str">
        <f>"./images/thumbnail/"&amp;データ!B323&amp;".jpg"</f>
        <v>./images/thumbnail/1564.jpg</v>
      </c>
      <c r="D323" s="38" t="s">
        <v>1455</v>
      </c>
      <c r="E323" s="38" t="str">
        <f>"./images/thumbnail/"&amp;データ!B323&amp;".jpg"</f>
        <v>./images/thumbnail/1564.jpg</v>
      </c>
      <c r="F323" s="38" t="s">
        <v>1116</v>
      </c>
      <c r="G323" s="38" t="s">
        <v>1319</v>
      </c>
      <c r="H323" s="38" t="str">
        <f>データ!C323</f>
        <v>リヴァイ</v>
      </c>
      <c r="I323" s="38" t="s">
        <v>1024</v>
      </c>
      <c r="J323" s="38" t="s">
        <v>1320</v>
      </c>
      <c r="K323" s="38" t="str">
        <f>データ!D323</f>
        <v>UR</v>
      </c>
      <c r="L323" s="38" t="s">
        <v>1024</v>
      </c>
      <c r="M323" s="38" t="s">
        <v>1321</v>
      </c>
      <c r="N323" s="38">
        <f>データ!E323</f>
        <v>14</v>
      </c>
      <c r="O323" s="38" t="s">
        <v>1024</v>
      </c>
      <c r="P323" s="38" t="s">
        <v>1319</v>
      </c>
      <c r="Q323" s="38" t="str">
        <f>データ!F323</f>
        <v>突</v>
      </c>
      <c r="R323" s="38" t="s">
        <v>1024</v>
      </c>
      <c r="S323" s="38" t="s">
        <v>1319</v>
      </c>
      <c r="T323" s="39">
        <f>データ!G323</f>
        <v>18310</v>
      </c>
      <c r="U323" s="40" t="s">
        <v>1024</v>
      </c>
      <c r="V323" s="40" t="s">
        <v>1319</v>
      </c>
      <c r="W323" s="39">
        <f>データ!H323</f>
        <v>6437</v>
      </c>
      <c r="X323" s="40" t="s">
        <v>1024</v>
      </c>
      <c r="Y323" s="40" t="s">
        <v>1319</v>
      </c>
      <c r="Z323" s="39">
        <f>データ!I323</f>
        <v>6784</v>
      </c>
      <c r="AA323" s="40" t="s">
        <v>1024</v>
      </c>
      <c r="AB323" s="40" t="s">
        <v>1322</v>
      </c>
      <c r="AC323" s="39" t="str">
        <f>データ!J323</f>
        <v>SS+</v>
      </c>
      <c r="AD323" s="38" t="s">
        <v>1024</v>
      </c>
      <c r="AE323" s="40" t="s">
        <v>1323</v>
      </c>
      <c r="AF323" s="39">
        <f>データ!K323</f>
        <v>31531</v>
      </c>
      <c r="AG323" s="40" t="s">
        <v>1024</v>
      </c>
      <c r="AH323" s="40" t="s">
        <v>1324</v>
      </c>
      <c r="AI323" s="39" t="str">
        <f>データ!L323</f>
        <v>対紫の突風／煌</v>
      </c>
      <c r="AJ323" s="10" t="s">
        <v>1113</v>
      </c>
      <c r="AK323" s="39" t="str">
        <f>データ!M323</f>
        <v>打に強く遠に弱い縦一列攻撃[特大]</v>
      </c>
      <c r="AL323" s="10" t="s">
        <v>1024</v>
      </c>
      <c r="AM323" s="40" t="s">
        <v>1325</v>
      </c>
      <c r="AN323" s="39" t="str">
        <f>データ!N323</f>
        <v>-</v>
      </c>
      <c r="AO323" s="10" t="s">
        <v>1113</v>
      </c>
      <c r="AP323" s="39" t="str">
        <f>データ!O323</f>
        <v>　</v>
      </c>
      <c r="AQ323" s="41" t="s">
        <v>1024</v>
      </c>
      <c r="AR323" s="40" t="s">
        <v>1324</v>
      </c>
      <c r="AS323" s="39" t="str">
        <f>データ!P323</f>
        <v>ランページ／絶</v>
      </c>
      <c r="AT323" s="10" t="s">
        <v>1113</v>
      </c>
      <c r="AU323" s="39" t="str">
        <f>データ!Q323</f>
        <v>バトルで獲得する騎士団戦スコアが大アップ(3分間)</v>
      </c>
      <c r="AV323" s="10" t="s">
        <v>1024</v>
      </c>
      <c r="AW323" s="40" t="s">
        <v>1324</v>
      </c>
      <c r="AX323" s="39" t="str">
        <f>データ!R323</f>
        <v>-</v>
      </c>
      <c r="AY323" s="10" t="s">
        <v>1113</v>
      </c>
      <c r="AZ323" s="39" t="str">
        <f>データ!S323</f>
        <v>　</v>
      </c>
      <c r="BA323" s="41" t="s">
        <v>1024</v>
      </c>
      <c r="BB323" s="40" t="s">
        <v>1319</v>
      </c>
      <c r="BC323" s="39" t="str">
        <f>データ!T323</f>
        <v>-</v>
      </c>
      <c r="BD323" s="41" t="s">
        <v>1024</v>
      </c>
      <c r="BE323" s="40" t="s">
        <v>1320</v>
      </c>
      <c r="BF323" s="39" t="str">
        <f>データ!U323</f>
        <v>-</v>
      </c>
      <c r="BG323" s="41" t="s">
        <v>1024</v>
      </c>
      <c r="BH323" s="40" t="s">
        <v>1319</v>
      </c>
      <c r="BI323" s="39" t="str">
        <f>データ!V323</f>
        <v>進撃の巨人コラボ1</v>
      </c>
      <c r="BJ323" s="41" t="s">
        <v>1024</v>
      </c>
      <c r="BK323" s="10" t="s">
        <v>1019</v>
      </c>
    </row>
    <row r="324" spans="1:63" x14ac:dyDescent="0.15">
      <c r="A324" s="10" t="s">
        <v>1016</v>
      </c>
      <c r="B324" s="10" t="s">
        <v>1454</v>
      </c>
      <c r="C324" s="38" t="str">
        <f>"./images/thumbnail/"&amp;データ!B324&amp;".jpg"</f>
        <v>./images/thumbnail/1566.jpg</v>
      </c>
      <c r="D324" s="38" t="s">
        <v>1455</v>
      </c>
      <c r="E324" s="38" t="str">
        <f>"./images/thumbnail/"&amp;データ!B324&amp;".jpg"</f>
        <v>./images/thumbnail/1566.jpg</v>
      </c>
      <c r="F324" s="38" t="s">
        <v>1116</v>
      </c>
      <c r="G324" s="38" t="s">
        <v>1319</v>
      </c>
      <c r="H324" s="38" t="str">
        <f>データ!C324</f>
        <v>エレン</v>
      </c>
      <c r="I324" s="38" t="s">
        <v>1024</v>
      </c>
      <c r="J324" s="38" t="s">
        <v>1320</v>
      </c>
      <c r="K324" s="38" t="str">
        <f>データ!D324</f>
        <v>UR</v>
      </c>
      <c r="L324" s="38" t="s">
        <v>1024</v>
      </c>
      <c r="M324" s="38" t="s">
        <v>1321</v>
      </c>
      <c r="N324" s="38">
        <f>データ!E324</f>
        <v>14</v>
      </c>
      <c r="O324" s="38" t="s">
        <v>1024</v>
      </c>
      <c r="P324" s="38" t="s">
        <v>1319</v>
      </c>
      <c r="Q324" s="38" t="str">
        <f>データ!F324</f>
        <v>打</v>
      </c>
      <c r="R324" s="38" t="s">
        <v>1024</v>
      </c>
      <c r="S324" s="38" t="s">
        <v>1319</v>
      </c>
      <c r="T324" s="39">
        <f>データ!G324</f>
        <v>20729</v>
      </c>
      <c r="U324" s="40" t="s">
        <v>1024</v>
      </c>
      <c r="V324" s="40" t="s">
        <v>1319</v>
      </c>
      <c r="W324" s="39">
        <f>データ!H324</f>
        <v>6810</v>
      </c>
      <c r="X324" s="40" t="s">
        <v>1024</v>
      </c>
      <c r="Y324" s="40" t="s">
        <v>1319</v>
      </c>
      <c r="Z324" s="39">
        <f>データ!I324</f>
        <v>9057</v>
      </c>
      <c r="AA324" s="40" t="s">
        <v>1024</v>
      </c>
      <c r="AB324" s="40" t="s">
        <v>1322</v>
      </c>
      <c r="AC324" s="39" t="str">
        <f>データ!J324</f>
        <v>A+</v>
      </c>
      <c r="AD324" s="38" t="s">
        <v>1024</v>
      </c>
      <c r="AE324" s="40" t="s">
        <v>1323</v>
      </c>
      <c r="AF324" s="39">
        <f>データ!K324</f>
        <v>36596</v>
      </c>
      <c r="AG324" s="40" t="s">
        <v>1024</v>
      </c>
      <c r="AH324" s="40" t="s">
        <v>1324</v>
      </c>
      <c r="AI324" s="39" t="str">
        <f>データ!L324</f>
        <v>幻の交叉線／煌</v>
      </c>
      <c r="AJ324" s="10" t="s">
        <v>1113</v>
      </c>
      <c r="AK324" s="39" t="str">
        <f>データ!M324</f>
        <v>X字型攻撃[大]自分の攻撃力UP[特大]</v>
      </c>
      <c r="AL324" s="10" t="s">
        <v>1024</v>
      </c>
      <c r="AM324" s="40" t="s">
        <v>1325</v>
      </c>
      <c r="AN324" s="39" t="str">
        <f>データ!N324</f>
        <v>-</v>
      </c>
      <c r="AO324" s="10" t="s">
        <v>1113</v>
      </c>
      <c r="AP324" s="39" t="str">
        <f>データ!O324</f>
        <v>　</v>
      </c>
      <c r="AQ324" s="41" t="s">
        <v>1024</v>
      </c>
      <c r="AR324" s="40" t="s">
        <v>1324</v>
      </c>
      <c r="AS324" s="39" t="str">
        <f>データ!P324</f>
        <v>ポイントライズ／絶</v>
      </c>
      <c r="AT324" s="10" t="s">
        <v>1113</v>
      </c>
      <c r="AU324" s="39" t="str">
        <f>データ!Q324</f>
        <v>獲得する騎士団戦スコアが大アップ(バトル3回)</v>
      </c>
      <c r="AV324" s="10" t="s">
        <v>1024</v>
      </c>
      <c r="AW324" s="40" t="s">
        <v>1324</v>
      </c>
      <c r="AX324" s="39" t="str">
        <f>データ!R324</f>
        <v>-</v>
      </c>
      <c r="AY324" s="10" t="s">
        <v>1113</v>
      </c>
      <c r="AZ324" s="39" t="str">
        <f>データ!S324</f>
        <v>　</v>
      </c>
      <c r="BA324" s="41" t="s">
        <v>1024</v>
      </c>
      <c r="BB324" s="40" t="s">
        <v>1319</v>
      </c>
      <c r="BC324" s="39" t="str">
        <f>データ!T324</f>
        <v>-</v>
      </c>
      <c r="BD324" s="41" t="s">
        <v>1024</v>
      </c>
      <c r="BE324" s="40" t="s">
        <v>1320</v>
      </c>
      <c r="BF324" s="39" t="str">
        <f>データ!U324</f>
        <v>-</v>
      </c>
      <c r="BG324" s="41" t="s">
        <v>1024</v>
      </c>
      <c r="BH324" s="40" t="s">
        <v>1319</v>
      </c>
      <c r="BI324" s="39" t="str">
        <f>データ!V324</f>
        <v>進撃の巨人コラボ1</v>
      </c>
      <c r="BJ324" s="41" t="s">
        <v>1024</v>
      </c>
      <c r="BK324" s="10" t="s">
        <v>1019</v>
      </c>
    </row>
    <row r="325" spans="1:63" x14ac:dyDescent="0.15">
      <c r="A325" s="10" t="s">
        <v>1016</v>
      </c>
      <c r="B325" s="10" t="s">
        <v>1454</v>
      </c>
      <c r="C325" s="38" t="str">
        <f>"./images/thumbnail/"&amp;データ!B325&amp;".jpg"</f>
        <v>./images/thumbnail/1568.jpg</v>
      </c>
      <c r="D325" s="38" t="s">
        <v>1455</v>
      </c>
      <c r="E325" s="38" t="str">
        <f>"./images/thumbnail/"&amp;データ!B325&amp;".jpg"</f>
        <v>./images/thumbnail/1568.jpg</v>
      </c>
      <c r="F325" s="38" t="s">
        <v>1116</v>
      </c>
      <c r="G325" s="38" t="s">
        <v>1319</v>
      </c>
      <c r="H325" s="38" t="str">
        <f>データ!C325</f>
        <v>ミカサ</v>
      </c>
      <c r="I325" s="38" t="s">
        <v>1024</v>
      </c>
      <c r="J325" s="38" t="s">
        <v>1320</v>
      </c>
      <c r="K325" s="38" t="str">
        <f>データ!D325</f>
        <v>UR</v>
      </c>
      <c r="L325" s="38" t="s">
        <v>1024</v>
      </c>
      <c r="M325" s="38" t="s">
        <v>1321</v>
      </c>
      <c r="N325" s="38">
        <f>データ!E325</f>
        <v>14</v>
      </c>
      <c r="O325" s="38" t="s">
        <v>1024</v>
      </c>
      <c r="P325" s="38" t="s">
        <v>1319</v>
      </c>
      <c r="Q325" s="38" t="str">
        <f>データ!F325</f>
        <v>斬</v>
      </c>
      <c r="R325" s="38" t="s">
        <v>1024</v>
      </c>
      <c r="S325" s="38" t="s">
        <v>1319</v>
      </c>
      <c r="T325" s="39">
        <f>データ!G325</f>
        <v>16670</v>
      </c>
      <c r="U325" s="40" t="s">
        <v>1024</v>
      </c>
      <c r="V325" s="40" t="s">
        <v>1319</v>
      </c>
      <c r="W325" s="39">
        <f>データ!H325</f>
        <v>8102</v>
      </c>
      <c r="X325" s="40" t="s">
        <v>1024</v>
      </c>
      <c r="Y325" s="40" t="s">
        <v>1319</v>
      </c>
      <c r="Z325" s="39">
        <f>データ!I325</f>
        <v>5878</v>
      </c>
      <c r="AA325" s="40" t="s">
        <v>1024</v>
      </c>
      <c r="AB325" s="40" t="s">
        <v>1322</v>
      </c>
      <c r="AC325" s="39" t="str">
        <f>データ!J325</f>
        <v>SS</v>
      </c>
      <c r="AD325" s="38" t="s">
        <v>1024</v>
      </c>
      <c r="AE325" s="40" t="s">
        <v>1323</v>
      </c>
      <c r="AF325" s="39">
        <f>データ!K325</f>
        <v>30650</v>
      </c>
      <c r="AG325" s="40" t="s">
        <v>1024</v>
      </c>
      <c r="AH325" s="40" t="s">
        <v>1324</v>
      </c>
      <c r="AI325" s="39" t="str">
        <f>データ!L325</f>
        <v>焔幻の一閃／煌</v>
      </c>
      <c r="AJ325" s="10" t="s">
        <v>1113</v>
      </c>
      <c r="AK325" s="39" t="str">
        <f>データ!M325</f>
        <v>横一列に攻撃[特大]</v>
      </c>
      <c r="AL325" s="10" t="s">
        <v>1024</v>
      </c>
      <c r="AM325" s="40" t="s">
        <v>1325</v>
      </c>
      <c r="AN325" s="39" t="str">
        <f>データ!N325</f>
        <v>-</v>
      </c>
      <c r="AO325" s="10" t="s">
        <v>1113</v>
      </c>
      <c r="AP325" s="39" t="str">
        <f>データ!O325</f>
        <v>　</v>
      </c>
      <c r="AQ325" s="41" t="s">
        <v>1024</v>
      </c>
      <c r="AR325" s="40" t="s">
        <v>1324</v>
      </c>
      <c r="AS325" s="39" t="str">
        <f>データ!P325</f>
        <v>アクセラレーター／絶</v>
      </c>
      <c r="AT325" s="10" t="s">
        <v>1113</v>
      </c>
      <c r="AU325" s="39" t="str">
        <f>データ!Q325</f>
        <v>パーティ全体の速度が大UP(3分間)</v>
      </c>
      <c r="AV325" s="10" t="s">
        <v>1024</v>
      </c>
      <c r="AW325" s="40" t="s">
        <v>1324</v>
      </c>
      <c r="AX325" s="39" t="str">
        <f>データ!R325</f>
        <v>-</v>
      </c>
      <c r="AY325" s="10" t="s">
        <v>1113</v>
      </c>
      <c r="AZ325" s="39" t="str">
        <f>データ!S325</f>
        <v>　</v>
      </c>
      <c r="BA325" s="41" t="s">
        <v>1024</v>
      </c>
      <c r="BB325" s="40" t="s">
        <v>1319</v>
      </c>
      <c r="BC325" s="39" t="str">
        <f>データ!T325</f>
        <v>-</v>
      </c>
      <c r="BD325" s="41" t="s">
        <v>1024</v>
      </c>
      <c r="BE325" s="40" t="s">
        <v>1320</v>
      </c>
      <c r="BF325" s="39" t="str">
        <f>データ!U325</f>
        <v>-</v>
      </c>
      <c r="BG325" s="41" t="s">
        <v>1024</v>
      </c>
      <c r="BH325" s="40" t="s">
        <v>1319</v>
      </c>
      <c r="BI325" s="39" t="str">
        <f>データ!V325</f>
        <v>進撃の巨人コラボ1</v>
      </c>
      <c r="BJ325" s="41" t="s">
        <v>1024</v>
      </c>
      <c r="BK325" s="10" t="s">
        <v>1019</v>
      </c>
    </row>
    <row r="326" spans="1:63" x14ac:dyDescent="0.15">
      <c r="A326" s="10" t="s">
        <v>1016</v>
      </c>
      <c r="B326" s="10" t="s">
        <v>1454</v>
      </c>
      <c r="C326" s="38" t="str">
        <f>"./images/thumbnail/"&amp;データ!B326&amp;".jpg"</f>
        <v>./images/thumbnail/1570.jpg</v>
      </c>
      <c r="D326" s="38" t="s">
        <v>1455</v>
      </c>
      <c r="E326" s="38" t="str">
        <f>"./images/thumbnail/"&amp;データ!B326&amp;".jpg"</f>
        <v>./images/thumbnail/1570.jpg</v>
      </c>
      <c r="F326" s="38" t="s">
        <v>1116</v>
      </c>
      <c r="G326" s="38" t="s">
        <v>1319</v>
      </c>
      <c r="H326" s="38" t="str">
        <f>データ!C326</f>
        <v>アルミン</v>
      </c>
      <c r="I326" s="38" t="s">
        <v>1024</v>
      </c>
      <c r="J326" s="38" t="s">
        <v>1320</v>
      </c>
      <c r="K326" s="38" t="str">
        <f>データ!D326</f>
        <v>UR</v>
      </c>
      <c r="L326" s="38" t="s">
        <v>1024</v>
      </c>
      <c r="M326" s="38" t="s">
        <v>1321</v>
      </c>
      <c r="N326" s="38">
        <f>データ!E326</f>
        <v>14</v>
      </c>
      <c r="O326" s="38" t="s">
        <v>1024</v>
      </c>
      <c r="P326" s="38" t="s">
        <v>1319</v>
      </c>
      <c r="Q326" s="38" t="str">
        <f>データ!F326</f>
        <v>遠</v>
      </c>
      <c r="R326" s="38" t="s">
        <v>1024</v>
      </c>
      <c r="S326" s="38" t="s">
        <v>1319</v>
      </c>
      <c r="T326" s="39">
        <f>データ!G326</f>
        <v>19574</v>
      </c>
      <c r="U326" s="40" t="s">
        <v>1024</v>
      </c>
      <c r="V326" s="40" t="s">
        <v>1319</v>
      </c>
      <c r="W326" s="39">
        <f>データ!H326</f>
        <v>5941</v>
      </c>
      <c r="X326" s="40" t="s">
        <v>1024</v>
      </c>
      <c r="Y326" s="40" t="s">
        <v>1319</v>
      </c>
      <c r="Z326" s="39">
        <f>データ!I326</f>
        <v>6183</v>
      </c>
      <c r="AA326" s="40" t="s">
        <v>1024</v>
      </c>
      <c r="AB326" s="40" t="s">
        <v>1322</v>
      </c>
      <c r="AC326" s="39" t="str">
        <f>データ!J326</f>
        <v>S+</v>
      </c>
      <c r="AD326" s="38" t="s">
        <v>1024</v>
      </c>
      <c r="AE326" s="40" t="s">
        <v>1323</v>
      </c>
      <c r="AF326" s="39">
        <f>データ!K326</f>
        <v>31698</v>
      </c>
      <c r="AG326" s="40" t="s">
        <v>1024</v>
      </c>
      <c r="AH326" s="40" t="s">
        <v>1324</v>
      </c>
      <c r="AI326" s="39" t="str">
        <f>データ!L326</f>
        <v>天使の微笑／絶</v>
      </c>
      <c r="AJ326" s="10" t="s">
        <v>1113</v>
      </c>
      <c r="AK326" s="39" t="str">
        <f>データ!M326</f>
        <v>味方全員のHPを回復[大]</v>
      </c>
      <c r="AL326" s="10" t="s">
        <v>1024</v>
      </c>
      <c r="AM326" s="40" t="s">
        <v>1325</v>
      </c>
      <c r="AN326" s="39" t="str">
        <f>データ!N326</f>
        <v>-</v>
      </c>
      <c r="AO326" s="10" t="s">
        <v>1113</v>
      </c>
      <c r="AP326" s="39" t="str">
        <f>データ!O326</f>
        <v>　</v>
      </c>
      <c r="AQ326" s="41" t="s">
        <v>1024</v>
      </c>
      <c r="AR326" s="40" t="s">
        <v>1324</v>
      </c>
      <c r="AS326" s="39" t="str">
        <f>データ!P326</f>
        <v>ハイド／絶</v>
      </c>
      <c r="AT326" s="10" t="s">
        <v>1113</v>
      </c>
      <c r="AU326" s="39" t="str">
        <f>データ!Q326</f>
        <v>攻撃される確率が大DOWN(3分間)</v>
      </c>
      <c r="AV326" s="10" t="s">
        <v>1024</v>
      </c>
      <c r="AW326" s="40" t="s">
        <v>1324</v>
      </c>
      <c r="AX326" s="39" t="str">
        <f>データ!R326</f>
        <v>-</v>
      </c>
      <c r="AY326" s="10" t="s">
        <v>1113</v>
      </c>
      <c r="AZ326" s="39" t="str">
        <f>データ!S326</f>
        <v>　</v>
      </c>
      <c r="BA326" s="41" t="s">
        <v>1024</v>
      </c>
      <c r="BB326" s="40" t="s">
        <v>1319</v>
      </c>
      <c r="BC326" s="39" t="str">
        <f>データ!T326</f>
        <v>-</v>
      </c>
      <c r="BD326" s="41" t="s">
        <v>1024</v>
      </c>
      <c r="BE326" s="40" t="s">
        <v>1320</v>
      </c>
      <c r="BF326" s="39" t="str">
        <f>データ!U326</f>
        <v>-</v>
      </c>
      <c r="BG326" s="41" t="s">
        <v>1024</v>
      </c>
      <c r="BH326" s="40" t="s">
        <v>1319</v>
      </c>
      <c r="BI326" s="39" t="str">
        <f>データ!V326</f>
        <v>進撃の巨人コラボ1</v>
      </c>
      <c r="BJ326" s="41" t="s">
        <v>1024</v>
      </c>
      <c r="BK326" s="10" t="s">
        <v>1019</v>
      </c>
    </row>
    <row r="327" spans="1:63" x14ac:dyDescent="0.15">
      <c r="A327" s="10" t="s">
        <v>1016</v>
      </c>
      <c r="B327" s="10" t="s">
        <v>1454</v>
      </c>
      <c r="C327" s="38" t="str">
        <f>"./images/thumbnail/"&amp;データ!B327&amp;".jpg"</f>
        <v>./images/thumbnail/1572.jpg</v>
      </c>
      <c r="D327" s="38" t="s">
        <v>1455</v>
      </c>
      <c r="E327" s="38" t="str">
        <f>"./images/thumbnail/"&amp;データ!B327&amp;".jpg"</f>
        <v>./images/thumbnail/1572.jpg</v>
      </c>
      <c r="F327" s="38" t="s">
        <v>1116</v>
      </c>
      <c r="G327" s="38" t="s">
        <v>1319</v>
      </c>
      <c r="H327" s="38" t="str">
        <f>データ!C327</f>
        <v>エルヴィン</v>
      </c>
      <c r="I327" s="38" t="s">
        <v>1024</v>
      </c>
      <c r="J327" s="38" t="s">
        <v>1320</v>
      </c>
      <c r="K327" s="38" t="str">
        <f>データ!D327</f>
        <v>SSR</v>
      </c>
      <c r="L327" s="38" t="s">
        <v>1024</v>
      </c>
      <c r="M327" s="38" t="s">
        <v>1321</v>
      </c>
      <c r="N327" s="38">
        <f>データ!E327</f>
        <v>13</v>
      </c>
      <c r="O327" s="38" t="s">
        <v>1024</v>
      </c>
      <c r="P327" s="38" t="s">
        <v>1319</v>
      </c>
      <c r="Q327" s="38" t="str">
        <f>データ!F327</f>
        <v>打</v>
      </c>
      <c r="R327" s="38" t="s">
        <v>1024</v>
      </c>
      <c r="S327" s="38" t="s">
        <v>1319</v>
      </c>
      <c r="T327" s="39">
        <f>データ!G327</f>
        <v>19727</v>
      </c>
      <c r="U327" s="40" t="s">
        <v>1024</v>
      </c>
      <c r="V327" s="40" t="s">
        <v>1319</v>
      </c>
      <c r="W327" s="39">
        <f>データ!H327</f>
        <v>5693</v>
      </c>
      <c r="X327" s="40" t="s">
        <v>1024</v>
      </c>
      <c r="Y327" s="40" t="s">
        <v>1319</v>
      </c>
      <c r="Z327" s="39">
        <f>データ!I327</f>
        <v>7043</v>
      </c>
      <c r="AA327" s="40" t="s">
        <v>1024</v>
      </c>
      <c r="AB327" s="40" t="s">
        <v>1322</v>
      </c>
      <c r="AC327" s="39" t="str">
        <f>データ!J327</f>
        <v>A-</v>
      </c>
      <c r="AD327" s="38" t="s">
        <v>1024</v>
      </c>
      <c r="AE327" s="40" t="s">
        <v>1323</v>
      </c>
      <c r="AF327" s="39">
        <f>データ!K327</f>
        <v>32463</v>
      </c>
      <c r="AG327" s="40" t="s">
        <v>1024</v>
      </c>
      <c r="AH327" s="40" t="s">
        <v>1324</v>
      </c>
      <c r="AI327" s="39" t="str">
        <f>データ!L327</f>
        <v>打鋭の四連星</v>
      </c>
      <c r="AJ327" s="10" t="s">
        <v>1113</v>
      </c>
      <c r="AK327" s="39" t="str">
        <f>データ!M327</f>
        <v>ﾗﾝﾀﾞﾑで1～4連撃。攻撃毎に与ﾀﾞﾒ2倍[低確率]</v>
      </c>
      <c r="AL327" s="10" t="s">
        <v>1024</v>
      </c>
      <c r="AM327" s="40" t="s">
        <v>1325</v>
      </c>
      <c r="AN327" s="39" t="str">
        <f>データ!N327</f>
        <v>-</v>
      </c>
      <c r="AO327" s="10" t="s">
        <v>1113</v>
      </c>
      <c r="AP327" s="39" t="str">
        <f>データ!O327</f>
        <v>　</v>
      </c>
      <c r="AQ327" s="41" t="s">
        <v>1024</v>
      </c>
      <c r="AR327" s="40" t="s">
        <v>1324</v>
      </c>
      <c r="AS327" s="39" t="str">
        <f>データ!P327</f>
        <v>エース／真</v>
      </c>
      <c r="AT327" s="10" t="s">
        <v>1113</v>
      </c>
      <c r="AU327" s="39" t="str">
        <f>データ!Q327</f>
        <v>パーティ全体の攻・防が中UP(3分間)</v>
      </c>
      <c r="AV327" s="10" t="s">
        <v>1024</v>
      </c>
      <c r="AW327" s="40" t="s">
        <v>1324</v>
      </c>
      <c r="AX327" s="39" t="str">
        <f>データ!R327</f>
        <v>-</v>
      </c>
      <c r="AY327" s="10" t="s">
        <v>1113</v>
      </c>
      <c r="AZ327" s="39" t="str">
        <f>データ!S327</f>
        <v>　</v>
      </c>
      <c r="BA327" s="41" t="s">
        <v>1024</v>
      </c>
      <c r="BB327" s="40" t="s">
        <v>1319</v>
      </c>
      <c r="BC327" s="39" t="str">
        <f>データ!T327</f>
        <v>-</v>
      </c>
      <c r="BD327" s="41" t="s">
        <v>1024</v>
      </c>
      <c r="BE327" s="40" t="s">
        <v>1320</v>
      </c>
      <c r="BF327" s="39" t="str">
        <f>データ!U327</f>
        <v>-</v>
      </c>
      <c r="BG327" s="41" t="s">
        <v>1024</v>
      </c>
      <c r="BH327" s="40" t="s">
        <v>1319</v>
      </c>
      <c r="BI327" s="39" t="str">
        <f>データ!V327</f>
        <v>進撃の巨人コラボ1</v>
      </c>
      <c r="BJ327" s="41" t="s">
        <v>1024</v>
      </c>
      <c r="BK327" s="10" t="s">
        <v>1019</v>
      </c>
    </row>
    <row r="328" spans="1:63" x14ac:dyDescent="0.15">
      <c r="A328" s="10" t="s">
        <v>1016</v>
      </c>
      <c r="B328" s="10" t="s">
        <v>1454</v>
      </c>
      <c r="C328" s="38" t="str">
        <f>"./images/thumbnail/"&amp;データ!B328&amp;".jpg"</f>
        <v>./images/thumbnail/1574.jpg</v>
      </c>
      <c r="D328" s="38" t="s">
        <v>1455</v>
      </c>
      <c r="E328" s="38" t="str">
        <f>"./images/thumbnail/"&amp;データ!B328&amp;".jpg"</f>
        <v>./images/thumbnail/1574.jpg</v>
      </c>
      <c r="F328" s="38" t="s">
        <v>1116</v>
      </c>
      <c r="G328" s="38" t="s">
        <v>1319</v>
      </c>
      <c r="H328" s="38" t="str">
        <f>データ!C328</f>
        <v>サシャ</v>
      </c>
      <c r="I328" s="38" t="s">
        <v>1024</v>
      </c>
      <c r="J328" s="38" t="s">
        <v>1320</v>
      </c>
      <c r="K328" s="38" t="str">
        <f>データ!D328</f>
        <v>SSR</v>
      </c>
      <c r="L328" s="38" t="s">
        <v>1024</v>
      </c>
      <c r="M328" s="38" t="s">
        <v>1321</v>
      </c>
      <c r="N328" s="38">
        <f>データ!E328</f>
        <v>12</v>
      </c>
      <c r="O328" s="38" t="s">
        <v>1024</v>
      </c>
      <c r="P328" s="38" t="s">
        <v>1319</v>
      </c>
      <c r="Q328" s="38" t="str">
        <f>データ!F328</f>
        <v>打</v>
      </c>
      <c r="R328" s="38" t="s">
        <v>1024</v>
      </c>
      <c r="S328" s="38" t="s">
        <v>1319</v>
      </c>
      <c r="T328" s="39">
        <f>データ!G328</f>
        <v>19602</v>
      </c>
      <c r="U328" s="40" t="s">
        <v>1024</v>
      </c>
      <c r="V328" s="40" t="s">
        <v>1319</v>
      </c>
      <c r="W328" s="39">
        <f>データ!H328</f>
        <v>5221</v>
      </c>
      <c r="X328" s="40" t="s">
        <v>1024</v>
      </c>
      <c r="Y328" s="40" t="s">
        <v>1319</v>
      </c>
      <c r="Z328" s="39">
        <f>データ!I328</f>
        <v>5937</v>
      </c>
      <c r="AA328" s="40" t="s">
        <v>1024</v>
      </c>
      <c r="AB328" s="40" t="s">
        <v>1322</v>
      </c>
      <c r="AC328" s="39" t="str">
        <f>データ!J328</f>
        <v>A-</v>
      </c>
      <c r="AD328" s="38" t="s">
        <v>1024</v>
      </c>
      <c r="AE328" s="40" t="s">
        <v>1323</v>
      </c>
      <c r="AF328" s="39">
        <f>データ!K328</f>
        <v>30760</v>
      </c>
      <c r="AG328" s="40" t="s">
        <v>1024</v>
      </c>
      <c r="AH328" s="40" t="s">
        <v>1324</v>
      </c>
      <c r="AI328" s="39" t="str">
        <f>データ!L328</f>
        <v>強奪者の雷／絶</v>
      </c>
      <c r="AJ328" s="10" t="s">
        <v>1113</v>
      </c>
      <c r="AK328" s="39" t="str">
        <f>データ!M328</f>
        <v>単体攻撃（宝箱優先／追加ダメージ）[大]</v>
      </c>
      <c r="AL328" s="10" t="s">
        <v>1024</v>
      </c>
      <c r="AM328" s="40" t="s">
        <v>1325</v>
      </c>
      <c r="AN328" s="39" t="str">
        <f>データ!N328</f>
        <v>-</v>
      </c>
      <c r="AO328" s="10" t="s">
        <v>1113</v>
      </c>
      <c r="AP328" s="39" t="str">
        <f>データ!O328</f>
        <v>　</v>
      </c>
      <c r="AQ328" s="41" t="s">
        <v>1024</v>
      </c>
      <c r="AR328" s="40" t="s">
        <v>1324</v>
      </c>
      <c r="AS328" s="39" t="str">
        <f>データ!P328</f>
        <v>フォートレス／真</v>
      </c>
      <c r="AT328" s="10" t="s">
        <v>1113</v>
      </c>
      <c r="AU328" s="39" t="str">
        <f>データ!Q328</f>
        <v>パーティ全体の防御力が中UP(3分間)</v>
      </c>
      <c r="AV328" s="10" t="s">
        <v>1024</v>
      </c>
      <c r="AW328" s="40" t="s">
        <v>1324</v>
      </c>
      <c r="AX328" s="39" t="str">
        <f>データ!R328</f>
        <v>-</v>
      </c>
      <c r="AY328" s="10" t="s">
        <v>1113</v>
      </c>
      <c r="AZ328" s="39" t="str">
        <f>データ!S328</f>
        <v>　</v>
      </c>
      <c r="BA328" s="41" t="s">
        <v>1024</v>
      </c>
      <c r="BB328" s="40" t="s">
        <v>1319</v>
      </c>
      <c r="BC328" s="39" t="str">
        <f>データ!T328</f>
        <v>-</v>
      </c>
      <c r="BD328" s="41" t="s">
        <v>1024</v>
      </c>
      <c r="BE328" s="40" t="s">
        <v>1320</v>
      </c>
      <c r="BF328" s="39" t="str">
        <f>データ!U328</f>
        <v>-</v>
      </c>
      <c r="BG328" s="41" t="s">
        <v>1024</v>
      </c>
      <c r="BH328" s="40" t="s">
        <v>1319</v>
      </c>
      <c r="BI328" s="39" t="str">
        <f>データ!V328</f>
        <v>進撃の巨人コラボ1</v>
      </c>
      <c r="BJ328" s="41" t="s">
        <v>1024</v>
      </c>
      <c r="BK328" s="10" t="s">
        <v>1019</v>
      </c>
    </row>
    <row r="329" spans="1:63" x14ac:dyDescent="0.15">
      <c r="A329" s="10" t="s">
        <v>1016</v>
      </c>
      <c r="B329" s="10" t="s">
        <v>1454</v>
      </c>
      <c r="C329" s="38" t="str">
        <f>"./images/thumbnail/"&amp;データ!B329&amp;".jpg"</f>
        <v>./images/thumbnail/1576.jpg</v>
      </c>
      <c r="D329" s="38" t="s">
        <v>1455</v>
      </c>
      <c r="E329" s="38" t="str">
        <f>"./images/thumbnail/"&amp;データ!B329&amp;".jpg"</f>
        <v>./images/thumbnail/1576.jpg</v>
      </c>
      <c r="F329" s="38" t="s">
        <v>1116</v>
      </c>
      <c r="G329" s="38" t="s">
        <v>1319</v>
      </c>
      <c r="H329" s="38" t="str">
        <f>データ!C329</f>
        <v>ハンジ</v>
      </c>
      <c r="I329" s="38" t="s">
        <v>1024</v>
      </c>
      <c r="J329" s="38" t="s">
        <v>1320</v>
      </c>
      <c r="K329" s="38" t="str">
        <f>データ!D329</f>
        <v>SSR</v>
      </c>
      <c r="L329" s="38" t="s">
        <v>1024</v>
      </c>
      <c r="M329" s="38" t="s">
        <v>1321</v>
      </c>
      <c r="N329" s="38">
        <f>データ!E329</f>
        <v>13</v>
      </c>
      <c r="O329" s="38" t="s">
        <v>1024</v>
      </c>
      <c r="P329" s="38" t="s">
        <v>1319</v>
      </c>
      <c r="Q329" s="38" t="str">
        <f>データ!F329</f>
        <v>遠</v>
      </c>
      <c r="R329" s="38" t="s">
        <v>1024</v>
      </c>
      <c r="S329" s="38" t="s">
        <v>1319</v>
      </c>
      <c r="T329" s="39">
        <f>データ!G329</f>
        <v>17039</v>
      </c>
      <c r="U329" s="40" t="s">
        <v>1024</v>
      </c>
      <c r="V329" s="40" t="s">
        <v>1319</v>
      </c>
      <c r="W329" s="39">
        <f>データ!H329</f>
        <v>7006</v>
      </c>
      <c r="X329" s="40" t="s">
        <v>1024</v>
      </c>
      <c r="Y329" s="40" t="s">
        <v>1319</v>
      </c>
      <c r="Z329" s="39">
        <f>データ!I329</f>
        <v>4480</v>
      </c>
      <c r="AA329" s="40" t="s">
        <v>1024</v>
      </c>
      <c r="AB329" s="40" t="s">
        <v>1322</v>
      </c>
      <c r="AC329" s="39" t="str">
        <f>データ!J329</f>
        <v>S-</v>
      </c>
      <c r="AD329" s="38" t="s">
        <v>1024</v>
      </c>
      <c r="AE329" s="40" t="s">
        <v>1323</v>
      </c>
      <c r="AF329" s="39">
        <f>データ!K329</f>
        <v>28525</v>
      </c>
      <c r="AG329" s="40" t="s">
        <v>1024</v>
      </c>
      <c r="AH329" s="40" t="s">
        <v>1324</v>
      </c>
      <c r="AI329" s="39" t="str">
        <f>データ!L329</f>
        <v>聖天消滅／紫打</v>
      </c>
      <c r="AJ329" s="10" t="s">
        <v>1113</v>
      </c>
      <c r="AK329" s="39" t="str">
        <f>データ!M329</f>
        <v>敵打属性の攻撃力と防御力をDOWN[大]</v>
      </c>
      <c r="AL329" s="10" t="s">
        <v>1024</v>
      </c>
      <c r="AM329" s="40" t="s">
        <v>1325</v>
      </c>
      <c r="AN329" s="39" t="str">
        <f>データ!N329</f>
        <v>-</v>
      </c>
      <c r="AO329" s="10" t="s">
        <v>1113</v>
      </c>
      <c r="AP329" s="39" t="str">
        <f>データ!O329</f>
        <v>　</v>
      </c>
      <c r="AQ329" s="41" t="s">
        <v>1024</v>
      </c>
      <c r="AR329" s="40" t="s">
        <v>1324</v>
      </c>
      <c r="AS329" s="39" t="str">
        <f>データ!P329</f>
        <v>エースオーダー</v>
      </c>
      <c r="AT329" s="10" t="s">
        <v>1113</v>
      </c>
      <c r="AU329" s="39" t="str">
        <f>データ!Q329</f>
        <v>騎士団全体の攻・防が小UP(3分間)</v>
      </c>
      <c r="AV329" s="10" t="s">
        <v>1024</v>
      </c>
      <c r="AW329" s="40" t="s">
        <v>1324</v>
      </c>
      <c r="AX329" s="39" t="str">
        <f>データ!R329</f>
        <v>-</v>
      </c>
      <c r="AY329" s="10" t="s">
        <v>1113</v>
      </c>
      <c r="AZ329" s="39" t="str">
        <f>データ!S329</f>
        <v>　</v>
      </c>
      <c r="BA329" s="41" t="s">
        <v>1024</v>
      </c>
      <c r="BB329" s="40" t="s">
        <v>1319</v>
      </c>
      <c r="BC329" s="39" t="str">
        <f>データ!T329</f>
        <v>-</v>
      </c>
      <c r="BD329" s="41" t="s">
        <v>1024</v>
      </c>
      <c r="BE329" s="40" t="s">
        <v>1320</v>
      </c>
      <c r="BF329" s="39" t="str">
        <f>データ!U329</f>
        <v>-</v>
      </c>
      <c r="BG329" s="41" t="s">
        <v>1024</v>
      </c>
      <c r="BH329" s="40" t="s">
        <v>1319</v>
      </c>
      <c r="BI329" s="39" t="str">
        <f>データ!V329</f>
        <v>進撃の巨人コラボ1</v>
      </c>
      <c r="BJ329" s="41" t="s">
        <v>1024</v>
      </c>
      <c r="BK329" s="10" t="s">
        <v>1019</v>
      </c>
    </row>
    <row r="330" spans="1:63" x14ac:dyDescent="0.15">
      <c r="A330" s="10" t="s">
        <v>1016</v>
      </c>
      <c r="B330" s="10" t="s">
        <v>1454</v>
      </c>
      <c r="C330" s="38" t="str">
        <f>"./images/thumbnail/"&amp;データ!B330&amp;".jpg"</f>
        <v>./images/thumbnail/1579.jpg</v>
      </c>
      <c r="D330" s="38" t="s">
        <v>1455</v>
      </c>
      <c r="E330" s="38" t="str">
        <f>"./images/thumbnail/"&amp;データ!B330&amp;".jpg"</f>
        <v>./images/thumbnail/1579.jpg</v>
      </c>
      <c r="F330" s="38" t="s">
        <v>1116</v>
      </c>
      <c r="G330" s="38" t="s">
        <v>1319</v>
      </c>
      <c r="H330" s="38" t="str">
        <f>データ!C330</f>
        <v>ヴィクトー</v>
      </c>
      <c r="I330" s="38" t="s">
        <v>1024</v>
      </c>
      <c r="J330" s="38" t="s">
        <v>1320</v>
      </c>
      <c r="K330" s="38" t="str">
        <f>データ!D330</f>
        <v>SSR</v>
      </c>
      <c r="L330" s="38" t="s">
        <v>1024</v>
      </c>
      <c r="M330" s="38" t="s">
        <v>1321</v>
      </c>
      <c r="N330" s="38">
        <f>データ!E330</f>
        <v>13</v>
      </c>
      <c r="O330" s="38" t="s">
        <v>1024</v>
      </c>
      <c r="P330" s="38" t="s">
        <v>1319</v>
      </c>
      <c r="Q330" s="38" t="str">
        <f>データ!F330</f>
        <v>遠</v>
      </c>
      <c r="R330" s="38" t="s">
        <v>1024</v>
      </c>
      <c r="S330" s="38" t="s">
        <v>1319</v>
      </c>
      <c r="T330" s="39">
        <f>データ!G330</f>
        <v>16871</v>
      </c>
      <c r="U330" s="40" t="s">
        <v>1024</v>
      </c>
      <c r="V330" s="40" t="s">
        <v>1319</v>
      </c>
      <c r="W330" s="39">
        <f>データ!H330</f>
        <v>6980</v>
      </c>
      <c r="X330" s="40" t="s">
        <v>1024</v>
      </c>
      <c r="Y330" s="40" t="s">
        <v>1319</v>
      </c>
      <c r="Z330" s="39">
        <f>データ!I330</f>
        <v>4517</v>
      </c>
      <c r="AA330" s="40" t="s">
        <v>1024</v>
      </c>
      <c r="AB330" s="40" t="s">
        <v>1322</v>
      </c>
      <c r="AC330" s="39" t="str">
        <f>データ!J330</f>
        <v>S-</v>
      </c>
      <c r="AD330" s="38" t="s">
        <v>1024</v>
      </c>
      <c r="AE330" s="40" t="s">
        <v>1323</v>
      </c>
      <c r="AF330" s="39">
        <f>データ!K330</f>
        <v>28368</v>
      </c>
      <c r="AG330" s="40" t="s">
        <v>1024</v>
      </c>
      <c r="AH330" s="40" t="s">
        <v>1324</v>
      </c>
      <c r="AI330" s="39" t="str">
        <f>データ!L330</f>
        <v>遠翠の略奪／絶</v>
      </c>
      <c r="AJ330" s="10" t="s">
        <v>1113</v>
      </c>
      <c r="AK330" s="39" t="str">
        <f>データ!M330</f>
        <v>敵単体に攻撃しつつHP回復[大]</v>
      </c>
      <c r="AL330" s="10" t="s">
        <v>1024</v>
      </c>
      <c r="AM330" s="40" t="s">
        <v>1325</v>
      </c>
      <c r="AN330" s="39" t="str">
        <f>データ!N330</f>
        <v>-</v>
      </c>
      <c r="AO330" s="10" t="s">
        <v>1113</v>
      </c>
      <c r="AP330" s="39" t="str">
        <f>データ!O330</f>
        <v>　</v>
      </c>
      <c r="AQ330" s="41" t="s">
        <v>1024</v>
      </c>
      <c r="AR330" s="40" t="s">
        <v>1324</v>
      </c>
      <c r="AS330" s="39" t="str">
        <f>データ!P330</f>
        <v>ジャガーノート／真</v>
      </c>
      <c r="AT330" s="10" t="s">
        <v>1113</v>
      </c>
      <c r="AU330" s="39" t="str">
        <f>データ!Q330</f>
        <v>バトルで敵を全滅するとBPが中回復(バトル3回)</v>
      </c>
      <c r="AV330" s="10" t="s">
        <v>1024</v>
      </c>
      <c r="AW330" s="40" t="s">
        <v>1324</v>
      </c>
      <c r="AX330" s="39" t="str">
        <f>データ!R330</f>
        <v>-</v>
      </c>
      <c r="AY330" s="10" t="s">
        <v>1113</v>
      </c>
      <c r="AZ330" s="39" t="str">
        <f>データ!S330</f>
        <v>　</v>
      </c>
      <c r="BA330" s="41" t="s">
        <v>1024</v>
      </c>
      <c r="BB330" s="40" t="s">
        <v>1319</v>
      </c>
      <c r="BC330" s="39" t="str">
        <f>データ!T330</f>
        <v>-</v>
      </c>
      <c r="BD330" s="41" t="s">
        <v>1024</v>
      </c>
      <c r="BE330" s="40" t="s">
        <v>1320</v>
      </c>
      <c r="BF330" s="39" t="str">
        <f>データ!U330</f>
        <v>-</v>
      </c>
      <c r="BG330" s="41" t="s">
        <v>1024</v>
      </c>
      <c r="BH330" s="40" t="s">
        <v>1319</v>
      </c>
      <c r="BI330" s="39" t="str">
        <f>データ!V330</f>
        <v>グラン</v>
      </c>
      <c r="BJ330" s="41" t="s">
        <v>1024</v>
      </c>
      <c r="BK330" s="10" t="s">
        <v>1019</v>
      </c>
    </row>
    <row r="331" spans="1:63" x14ac:dyDescent="0.15">
      <c r="A331" s="10" t="s">
        <v>1016</v>
      </c>
      <c r="B331" s="10" t="s">
        <v>1454</v>
      </c>
      <c r="C331" s="38" t="str">
        <f>"./images/thumbnail/"&amp;データ!B331&amp;".jpg"</f>
        <v>./images/thumbnail/1581.jpg</v>
      </c>
      <c r="D331" s="38" t="s">
        <v>1455</v>
      </c>
      <c r="E331" s="38" t="str">
        <f>"./images/thumbnail/"&amp;データ!B331&amp;".jpg"</f>
        <v>./images/thumbnail/1581.jpg</v>
      </c>
      <c r="F331" s="38" t="s">
        <v>1116</v>
      </c>
      <c r="G331" s="38" t="s">
        <v>1319</v>
      </c>
      <c r="H331" s="38" t="str">
        <f>データ!C331</f>
        <v>アンジェリカ</v>
      </c>
      <c r="I331" s="38" t="s">
        <v>1024</v>
      </c>
      <c r="J331" s="38" t="s">
        <v>1320</v>
      </c>
      <c r="K331" s="38" t="str">
        <f>データ!D331</f>
        <v>SSR</v>
      </c>
      <c r="L331" s="38" t="s">
        <v>1024</v>
      </c>
      <c r="M331" s="38" t="s">
        <v>1321</v>
      </c>
      <c r="N331" s="38">
        <f>データ!E331</f>
        <v>13</v>
      </c>
      <c r="O331" s="38" t="s">
        <v>1024</v>
      </c>
      <c r="P331" s="38" t="s">
        <v>1319</v>
      </c>
      <c r="Q331" s="38" t="str">
        <f>データ!F331</f>
        <v>斬</v>
      </c>
      <c r="R331" s="38" t="s">
        <v>1024</v>
      </c>
      <c r="S331" s="38" t="s">
        <v>1319</v>
      </c>
      <c r="T331" s="39">
        <f>データ!G331</f>
        <v>14835</v>
      </c>
      <c r="U331" s="40" t="s">
        <v>1024</v>
      </c>
      <c r="V331" s="40" t="s">
        <v>1319</v>
      </c>
      <c r="W331" s="39">
        <f>データ!H331</f>
        <v>7844</v>
      </c>
      <c r="X331" s="40" t="s">
        <v>1024</v>
      </c>
      <c r="Y331" s="40" t="s">
        <v>1319</v>
      </c>
      <c r="Z331" s="39">
        <f>データ!I331</f>
        <v>5405</v>
      </c>
      <c r="AA331" s="40" t="s">
        <v>1024</v>
      </c>
      <c r="AB331" s="40" t="s">
        <v>1322</v>
      </c>
      <c r="AC331" s="39" t="str">
        <f>データ!J331</f>
        <v>A+</v>
      </c>
      <c r="AD331" s="38" t="s">
        <v>1024</v>
      </c>
      <c r="AE331" s="40" t="s">
        <v>1323</v>
      </c>
      <c r="AF331" s="39">
        <f>データ!K331</f>
        <v>28084</v>
      </c>
      <c r="AG331" s="40" t="s">
        <v>1024</v>
      </c>
      <c r="AH331" s="40" t="s">
        <v>1324</v>
      </c>
      <c r="AI331" s="39" t="str">
        <f>データ!L331</f>
        <v>斬紅の聖護</v>
      </c>
      <c r="AJ331" s="10" t="s">
        <v>1113</v>
      </c>
      <c r="AK331" s="39" t="str">
        <f>データ!M331</f>
        <v>味方斬属性の防御力をUP[大]</v>
      </c>
      <c r="AL331" s="10" t="s">
        <v>1024</v>
      </c>
      <c r="AM331" s="40" t="s">
        <v>1325</v>
      </c>
      <c r="AN331" s="39" t="str">
        <f>データ!N331</f>
        <v>-</v>
      </c>
      <c r="AO331" s="10" t="s">
        <v>1113</v>
      </c>
      <c r="AP331" s="39" t="str">
        <f>データ!O331</f>
        <v>　</v>
      </c>
      <c r="AQ331" s="41" t="s">
        <v>1024</v>
      </c>
      <c r="AR331" s="40" t="s">
        <v>1324</v>
      </c>
      <c r="AS331" s="39" t="str">
        <f>データ!P331</f>
        <v>ジャガーノート／真</v>
      </c>
      <c r="AT331" s="10" t="s">
        <v>1113</v>
      </c>
      <c r="AU331" s="39" t="str">
        <f>データ!Q331</f>
        <v>バトルで敵を全滅するとBPが中回復(バトル3回)</v>
      </c>
      <c r="AV331" s="10" t="s">
        <v>1024</v>
      </c>
      <c r="AW331" s="40" t="s">
        <v>1324</v>
      </c>
      <c r="AX331" s="39" t="str">
        <f>データ!R331</f>
        <v>-</v>
      </c>
      <c r="AY331" s="10" t="s">
        <v>1113</v>
      </c>
      <c r="AZ331" s="39" t="str">
        <f>データ!S331</f>
        <v>　</v>
      </c>
      <c r="BA331" s="41" t="s">
        <v>1024</v>
      </c>
      <c r="BB331" s="40" t="s">
        <v>1319</v>
      </c>
      <c r="BC331" s="39" t="str">
        <f>データ!T331</f>
        <v>-</v>
      </c>
      <c r="BD331" s="41" t="s">
        <v>1024</v>
      </c>
      <c r="BE331" s="40" t="s">
        <v>1320</v>
      </c>
      <c r="BF331" s="39" t="str">
        <f>データ!U331</f>
        <v>-</v>
      </c>
      <c r="BG331" s="41" t="s">
        <v>1024</v>
      </c>
      <c r="BH331" s="40" t="s">
        <v>1319</v>
      </c>
      <c r="BI331" s="39" t="str">
        <f>データ!V331</f>
        <v>常設</v>
      </c>
      <c r="BJ331" s="41" t="s">
        <v>1024</v>
      </c>
      <c r="BK331" s="10" t="s">
        <v>1019</v>
      </c>
    </row>
    <row r="332" spans="1:63" x14ac:dyDescent="0.15">
      <c r="A332" s="10" t="s">
        <v>1016</v>
      </c>
      <c r="B332" s="10" t="s">
        <v>1454</v>
      </c>
      <c r="C332" s="38" t="str">
        <f>"./images/thumbnail/"&amp;データ!B332&amp;".jpg"</f>
        <v>./images/thumbnail/1583.jpg</v>
      </c>
      <c r="D332" s="38" t="s">
        <v>1455</v>
      </c>
      <c r="E332" s="38" t="str">
        <f>"./images/thumbnail/"&amp;データ!B332&amp;".jpg"</f>
        <v>./images/thumbnail/1583.jpg</v>
      </c>
      <c r="F332" s="38" t="s">
        <v>1116</v>
      </c>
      <c r="G332" s="38" t="s">
        <v>1319</v>
      </c>
      <c r="H332" s="38" t="str">
        <f>データ!C332</f>
        <v>ウェインライト</v>
      </c>
      <c r="I332" s="38" t="s">
        <v>1024</v>
      </c>
      <c r="J332" s="38" t="s">
        <v>1320</v>
      </c>
      <c r="K332" s="38" t="str">
        <f>データ!D332</f>
        <v>UR</v>
      </c>
      <c r="L332" s="38" t="s">
        <v>1024</v>
      </c>
      <c r="M332" s="38" t="s">
        <v>1321</v>
      </c>
      <c r="N332" s="38">
        <f>データ!E332</f>
        <v>14</v>
      </c>
      <c r="O332" s="38" t="s">
        <v>1024</v>
      </c>
      <c r="P332" s="38" t="s">
        <v>1319</v>
      </c>
      <c r="Q332" s="38" t="str">
        <f>データ!F332</f>
        <v>突</v>
      </c>
      <c r="R332" s="38" t="s">
        <v>1024</v>
      </c>
      <c r="S332" s="38" t="s">
        <v>1319</v>
      </c>
      <c r="T332" s="39">
        <f>データ!G332</f>
        <v>19957</v>
      </c>
      <c r="U332" s="40" t="s">
        <v>1024</v>
      </c>
      <c r="V332" s="40" t="s">
        <v>1319</v>
      </c>
      <c r="W332" s="39">
        <f>データ!H332</f>
        <v>5940</v>
      </c>
      <c r="X332" s="40" t="s">
        <v>1024</v>
      </c>
      <c r="Y332" s="40" t="s">
        <v>1319</v>
      </c>
      <c r="Z332" s="39">
        <f>データ!I332</f>
        <v>6984</v>
      </c>
      <c r="AA332" s="40" t="s">
        <v>1024</v>
      </c>
      <c r="AB332" s="40" t="s">
        <v>1322</v>
      </c>
      <c r="AC332" s="39" t="str">
        <f>データ!J332</f>
        <v>SS+</v>
      </c>
      <c r="AD332" s="38" t="s">
        <v>1024</v>
      </c>
      <c r="AE332" s="40" t="s">
        <v>1323</v>
      </c>
      <c r="AF332" s="39">
        <f>データ!K332</f>
        <v>32881</v>
      </c>
      <c r="AG332" s="40" t="s">
        <v>1024</v>
      </c>
      <c r="AH332" s="40" t="s">
        <v>1324</v>
      </c>
      <c r="AI332" s="39" t="str">
        <f>データ!L332</f>
        <v>魔幻の閃光／絶</v>
      </c>
      <c r="AJ332" s="10" t="s">
        <v>1113</v>
      </c>
      <c r="AK332" s="39" t="str">
        <f>データ!M332</f>
        <v>縦一列に攻撃[大]</v>
      </c>
      <c r="AL332" s="10" t="s">
        <v>1024</v>
      </c>
      <c r="AM332" s="40" t="s">
        <v>1325</v>
      </c>
      <c r="AN332" s="39" t="str">
        <f>データ!N332</f>
        <v>-</v>
      </c>
      <c r="AO332" s="10" t="s">
        <v>1113</v>
      </c>
      <c r="AP332" s="39" t="str">
        <f>データ!O332</f>
        <v>　</v>
      </c>
      <c r="AQ332" s="41" t="s">
        <v>1024</v>
      </c>
      <c r="AR332" s="40" t="s">
        <v>1324</v>
      </c>
      <c r="AS332" s="39" t="str">
        <f>データ!P332</f>
        <v>エース／絶</v>
      </c>
      <c r="AT332" s="10" t="s">
        <v>1113</v>
      </c>
      <c r="AU332" s="39" t="str">
        <f>データ!Q332</f>
        <v>パーティ全体の攻・防が大UP(3分間)</v>
      </c>
      <c r="AV332" s="10" t="s">
        <v>1024</v>
      </c>
      <c r="AW332" s="40" t="s">
        <v>1324</v>
      </c>
      <c r="AX332" s="39" t="str">
        <f>データ!R332</f>
        <v>-</v>
      </c>
      <c r="AY332" s="10" t="s">
        <v>1113</v>
      </c>
      <c r="AZ332" s="39" t="str">
        <f>データ!S332</f>
        <v>　</v>
      </c>
      <c r="BA332" s="41" t="s">
        <v>1024</v>
      </c>
      <c r="BB332" s="40" t="s">
        <v>1319</v>
      </c>
      <c r="BC332" s="39" t="str">
        <f>データ!T332</f>
        <v>-</v>
      </c>
      <c r="BD332" s="41" t="s">
        <v>1024</v>
      </c>
      <c r="BE332" s="40" t="s">
        <v>1320</v>
      </c>
      <c r="BF332" s="39" t="str">
        <f>データ!U332</f>
        <v>-</v>
      </c>
      <c r="BG332" s="41" t="s">
        <v>1024</v>
      </c>
      <c r="BH332" s="40" t="s">
        <v>1319</v>
      </c>
      <c r="BI332" s="39" t="str">
        <f>データ!V332</f>
        <v>常設</v>
      </c>
      <c r="BJ332" s="41" t="s">
        <v>1024</v>
      </c>
      <c r="BK332" s="10" t="s">
        <v>1019</v>
      </c>
    </row>
    <row r="333" spans="1:63" x14ac:dyDescent="0.15">
      <c r="A333" s="10" t="s">
        <v>1016</v>
      </c>
      <c r="B333" s="10" t="s">
        <v>1454</v>
      </c>
      <c r="C333" s="38" t="str">
        <f>"./images/thumbnail/"&amp;データ!B333&amp;".jpg"</f>
        <v>./images/thumbnail/1585.jpg</v>
      </c>
      <c r="D333" s="38" t="s">
        <v>1455</v>
      </c>
      <c r="E333" s="38" t="str">
        <f>"./images/thumbnail/"&amp;データ!B333&amp;".jpg"</f>
        <v>./images/thumbnail/1585.jpg</v>
      </c>
      <c r="F333" s="38" t="s">
        <v>1116</v>
      </c>
      <c r="G333" s="38" t="s">
        <v>1319</v>
      </c>
      <c r="H333" s="38" t="str">
        <f>データ!C333</f>
        <v>アデル</v>
      </c>
      <c r="I333" s="38" t="s">
        <v>1024</v>
      </c>
      <c r="J333" s="38" t="s">
        <v>1320</v>
      </c>
      <c r="K333" s="38" t="str">
        <f>データ!D333</f>
        <v>UR</v>
      </c>
      <c r="L333" s="38" t="s">
        <v>1024</v>
      </c>
      <c r="M333" s="38" t="s">
        <v>1321</v>
      </c>
      <c r="N333" s="38">
        <f>データ!E333</f>
        <v>14</v>
      </c>
      <c r="O333" s="38" t="s">
        <v>1024</v>
      </c>
      <c r="P333" s="38" t="s">
        <v>1319</v>
      </c>
      <c r="Q333" s="38" t="str">
        <f>データ!F333</f>
        <v>打</v>
      </c>
      <c r="R333" s="38" t="s">
        <v>1024</v>
      </c>
      <c r="S333" s="38" t="s">
        <v>1319</v>
      </c>
      <c r="T333" s="39">
        <f>データ!G333</f>
        <v>23967</v>
      </c>
      <c r="U333" s="40" t="s">
        <v>1024</v>
      </c>
      <c r="V333" s="40" t="s">
        <v>1319</v>
      </c>
      <c r="W333" s="39">
        <f>データ!H333</f>
        <v>6852</v>
      </c>
      <c r="X333" s="40" t="s">
        <v>1024</v>
      </c>
      <c r="Y333" s="40" t="s">
        <v>1319</v>
      </c>
      <c r="Z333" s="39">
        <f>データ!I333</f>
        <v>7855</v>
      </c>
      <c r="AA333" s="40" t="s">
        <v>1024</v>
      </c>
      <c r="AB333" s="40" t="s">
        <v>1322</v>
      </c>
      <c r="AC333" s="39" t="str">
        <f>データ!J333</f>
        <v>A+</v>
      </c>
      <c r="AD333" s="38" t="s">
        <v>1024</v>
      </c>
      <c r="AE333" s="40" t="s">
        <v>1323</v>
      </c>
      <c r="AF333" s="39">
        <f>データ!K333</f>
        <v>38674</v>
      </c>
      <c r="AG333" s="40" t="s">
        <v>1024</v>
      </c>
      <c r="AH333" s="40" t="s">
        <v>1324</v>
      </c>
      <c r="AI333" s="39" t="str">
        <f>データ!L333</f>
        <v xml:space="preserve">神護 </v>
      </c>
      <c r="AJ333" s="10" t="s">
        <v>1113</v>
      </c>
      <c r="AK333" s="39" t="str">
        <f>データ!M333</f>
        <v>自分の防御力をUP[特大]</v>
      </c>
      <c r="AL333" s="10" t="s">
        <v>1024</v>
      </c>
      <c r="AM333" s="40" t="s">
        <v>1325</v>
      </c>
      <c r="AN333" s="39" t="str">
        <f>データ!N333</f>
        <v>-</v>
      </c>
      <c r="AO333" s="10" t="s">
        <v>1113</v>
      </c>
      <c r="AP333" s="39" t="str">
        <f>データ!O333</f>
        <v>　</v>
      </c>
      <c r="AQ333" s="41" t="s">
        <v>1024</v>
      </c>
      <c r="AR333" s="40" t="s">
        <v>1324</v>
      </c>
      <c r="AS333" s="39" t="str">
        <f>データ!P333</f>
        <v>カウンター／絶</v>
      </c>
      <c r="AT333" s="10" t="s">
        <v>1113</v>
      </c>
      <c r="AU333" s="39" t="str">
        <f>データ!Q333</f>
        <v>迎撃時にパーティ全体の攻・防が大UP(3分間)</v>
      </c>
      <c r="AV333" s="10" t="s">
        <v>1024</v>
      </c>
      <c r="AW333" s="40" t="s">
        <v>1324</v>
      </c>
      <c r="AX333" s="39" t="str">
        <f>データ!R333</f>
        <v>-</v>
      </c>
      <c r="AY333" s="10" t="s">
        <v>1113</v>
      </c>
      <c r="AZ333" s="39" t="str">
        <f>データ!S333</f>
        <v>　</v>
      </c>
      <c r="BA333" s="41" t="s">
        <v>1024</v>
      </c>
      <c r="BB333" s="40" t="s">
        <v>1319</v>
      </c>
      <c r="BC333" s="39" t="str">
        <f>データ!T333</f>
        <v>-</v>
      </c>
      <c r="BD333" s="41" t="s">
        <v>1024</v>
      </c>
      <c r="BE333" s="40" t="s">
        <v>1320</v>
      </c>
      <c r="BF333" s="39" t="str">
        <f>データ!U333</f>
        <v>-</v>
      </c>
      <c r="BG333" s="41" t="s">
        <v>1024</v>
      </c>
      <c r="BH333" s="40" t="s">
        <v>1319</v>
      </c>
      <c r="BI333" s="39" t="str">
        <f>データ!V333</f>
        <v>常設</v>
      </c>
      <c r="BJ333" s="41" t="s">
        <v>1024</v>
      </c>
      <c r="BK333" s="10" t="s">
        <v>1019</v>
      </c>
    </row>
    <row r="334" spans="1:63" x14ac:dyDescent="0.15">
      <c r="A334" s="10" t="s">
        <v>1016</v>
      </c>
      <c r="B334" s="10" t="s">
        <v>1454</v>
      </c>
      <c r="C334" s="38" t="str">
        <f>"./images/thumbnail/"&amp;データ!B334&amp;".jpg"</f>
        <v>./images/thumbnail/1585_a.jpg</v>
      </c>
      <c r="D334" s="38" t="s">
        <v>1455</v>
      </c>
      <c r="E334" s="38" t="str">
        <f>"./images/thumbnail/"&amp;データ!B334&amp;".jpg"</f>
        <v>./images/thumbnail/1585_a.jpg</v>
      </c>
      <c r="F334" s="38" t="s">
        <v>1116</v>
      </c>
      <c r="G334" s="38" t="s">
        <v>1319</v>
      </c>
      <c r="H334" s="38" t="str">
        <f>データ!C334</f>
        <v>アデル</v>
      </c>
      <c r="I334" s="38" t="s">
        <v>1024</v>
      </c>
      <c r="J334" s="38" t="s">
        <v>1320</v>
      </c>
      <c r="K334" s="38" t="str">
        <f>データ!D334</f>
        <v>UR</v>
      </c>
      <c r="L334" s="38" t="s">
        <v>1024</v>
      </c>
      <c r="M334" s="38" t="s">
        <v>1321</v>
      </c>
      <c r="N334" s="38">
        <f>データ!E334</f>
        <v>14</v>
      </c>
      <c r="O334" s="38" t="s">
        <v>1024</v>
      </c>
      <c r="P334" s="38" t="s">
        <v>1319</v>
      </c>
      <c r="Q334" s="38" t="str">
        <f>データ!F334</f>
        <v>打</v>
      </c>
      <c r="R334" s="38" t="s">
        <v>1024</v>
      </c>
      <c r="S334" s="38" t="s">
        <v>1319</v>
      </c>
      <c r="T334" s="39">
        <f>データ!G334</f>
        <v>31149</v>
      </c>
      <c r="U334" s="40" t="s">
        <v>1024</v>
      </c>
      <c r="V334" s="40" t="s">
        <v>1319</v>
      </c>
      <c r="W334" s="39">
        <f>データ!H334</f>
        <v>9246</v>
      </c>
      <c r="X334" s="40" t="s">
        <v>1024</v>
      </c>
      <c r="Y334" s="40" t="s">
        <v>1319</v>
      </c>
      <c r="Z334" s="39">
        <f>データ!I334</f>
        <v>10207</v>
      </c>
      <c r="AA334" s="40" t="s">
        <v>1024</v>
      </c>
      <c r="AB334" s="40" t="s">
        <v>1322</v>
      </c>
      <c r="AC334" s="39" t="str">
        <f>データ!J334</f>
        <v>SS-</v>
      </c>
      <c r="AD334" s="38" t="s">
        <v>1024</v>
      </c>
      <c r="AE334" s="40" t="s">
        <v>1323</v>
      </c>
      <c r="AF334" s="39">
        <f>データ!K334</f>
        <v>50602</v>
      </c>
      <c r="AG334" s="40" t="s">
        <v>1024</v>
      </c>
      <c r="AH334" s="40" t="s">
        <v>1324</v>
      </c>
      <c r="AI334" s="39" t="str">
        <f>データ!L334</f>
        <v>神護＋</v>
      </c>
      <c r="AJ334" s="10" t="s">
        <v>1113</v>
      </c>
      <c r="AK334" s="39" t="str">
        <f>データ!M334</f>
        <v>自分の防御力をUP[超極大]</v>
      </c>
      <c r="AL334" s="10" t="s">
        <v>1024</v>
      </c>
      <c r="AM334" s="40" t="s">
        <v>1325</v>
      </c>
      <c r="AN334" s="39" t="str">
        <f>データ!N334</f>
        <v>-</v>
      </c>
      <c r="AO334" s="10" t="s">
        <v>1113</v>
      </c>
      <c r="AP334" s="39" t="str">
        <f>データ!O334</f>
        <v>　</v>
      </c>
      <c r="AQ334" s="41" t="s">
        <v>1024</v>
      </c>
      <c r="AR334" s="40" t="s">
        <v>1324</v>
      </c>
      <c r="AS334" s="39" t="str">
        <f>データ!P334</f>
        <v>カウンター／絶</v>
      </c>
      <c r="AT334" s="10" t="s">
        <v>1113</v>
      </c>
      <c r="AU334" s="39" t="str">
        <f>データ!Q334</f>
        <v>迎撃時にパーティ全体の攻・防が大UP(3分間)</v>
      </c>
      <c r="AV334" s="10" t="s">
        <v>1024</v>
      </c>
      <c r="AW334" s="40" t="s">
        <v>1324</v>
      </c>
      <c r="AX334" s="39" t="str">
        <f>データ!R334</f>
        <v>-</v>
      </c>
      <c r="AY334" s="10" t="s">
        <v>1113</v>
      </c>
      <c r="AZ334" s="39" t="str">
        <f>データ!S334</f>
        <v>　</v>
      </c>
      <c r="BA334" s="41" t="s">
        <v>1024</v>
      </c>
      <c r="BB334" s="40" t="s">
        <v>1319</v>
      </c>
      <c r="BC334" s="39" t="str">
        <f>データ!T334</f>
        <v>-</v>
      </c>
      <c r="BD334" s="41" t="s">
        <v>1024</v>
      </c>
      <c r="BE334" s="40" t="s">
        <v>1320</v>
      </c>
      <c r="BF334" s="39" t="str">
        <f>データ!U334</f>
        <v>-</v>
      </c>
      <c r="BG334" s="41" t="s">
        <v>1024</v>
      </c>
      <c r="BH334" s="40" t="s">
        <v>1319</v>
      </c>
      <c r="BI334" s="39" t="str">
        <f>データ!V334</f>
        <v>精鋭化ユニット</v>
      </c>
      <c r="BJ334" s="41" t="s">
        <v>1024</v>
      </c>
      <c r="BK334" s="10" t="s">
        <v>1019</v>
      </c>
    </row>
    <row r="335" spans="1:63" x14ac:dyDescent="0.15">
      <c r="A335" s="10" t="s">
        <v>1016</v>
      </c>
      <c r="B335" s="10" t="s">
        <v>1454</v>
      </c>
      <c r="C335" s="38" t="str">
        <f>"./images/thumbnail/"&amp;データ!B335&amp;".jpg"</f>
        <v>./images/thumbnail/1585_b.jpg</v>
      </c>
      <c r="D335" s="38" t="s">
        <v>1455</v>
      </c>
      <c r="E335" s="38" t="str">
        <f>"./images/thumbnail/"&amp;データ!B335&amp;".jpg"</f>
        <v>./images/thumbnail/1585_b.jpg</v>
      </c>
      <c r="F335" s="38" t="s">
        <v>1116</v>
      </c>
      <c r="G335" s="38" t="s">
        <v>1319</v>
      </c>
      <c r="H335" s="38" t="str">
        <f>データ!C335</f>
        <v>アデル</v>
      </c>
      <c r="I335" s="38" t="s">
        <v>1024</v>
      </c>
      <c r="J335" s="38" t="s">
        <v>1320</v>
      </c>
      <c r="K335" s="38" t="str">
        <f>データ!D335</f>
        <v>UR</v>
      </c>
      <c r="L335" s="38" t="s">
        <v>1024</v>
      </c>
      <c r="M335" s="38" t="s">
        <v>1321</v>
      </c>
      <c r="N335" s="38">
        <f>データ!E335</f>
        <v>14</v>
      </c>
      <c r="O335" s="38" t="s">
        <v>1024</v>
      </c>
      <c r="P335" s="38" t="s">
        <v>1319</v>
      </c>
      <c r="Q335" s="38" t="str">
        <f>データ!F335</f>
        <v>打</v>
      </c>
      <c r="R335" s="38" t="s">
        <v>1024</v>
      </c>
      <c r="S335" s="38" t="s">
        <v>1319</v>
      </c>
      <c r="T335" s="39">
        <f>データ!G335</f>
        <v>29952</v>
      </c>
      <c r="U335" s="40" t="s">
        <v>1024</v>
      </c>
      <c r="V335" s="40" t="s">
        <v>1319</v>
      </c>
      <c r="W335" s="39">
        <f>データ!H335</f>
        <v>8910</v>
      </c>
      <c r="X335" s="40" t="s">
        <v>1024</v>
      </c>
      <c r="Y335" s="40" t="s">
        <v>1319</v>
      </c>
      <c r="Z335" s="39">
        <f>データ!I335</f>
        <v>9829</v>
      </c>
      <c r="AA335" s="40" t="s">
        <v>1024</v>
      </c>
      <c r="AB335" s="40" t="s">
        <v>1322</v>
      </c>
      <c r="AC335" s="39" t="str">
        <f>データ!J335</f>
        <v>SS-</v>
      </c>
      <c r="AD335" s="38" t="s">
        <v>1024</v>
      </c>
      <c r="AE335" s="40" t="s">
        <v>1323</v>
      </c>
      <c r="AF335" s="39">
        <f>データ!K335</f>
        <v>48691</v>
      </c>
      <c r="AG335" s="40" t="s">
        <v>1024</v>
      </c>
      <c r="AH335" s="40" t="s">
        <v>1324</v>
      </c>
      <c r="AI335" s="39" t="str">
        <f>データ!L335</f>
        <v>神護</v>
      </c>
      <c r="AJ335" s="10" t="s">
        <v>1113</v>
      </c>
      <c r="AK335" s="39" t="str">
        <f>データ!M335</f>
        <v>自分の防御力をUP[特大]</v>
      </c>
      <c r="AL335" s="10" t="s">
        <v>1024</v>
      </c>
      <c r="AM335" s="40" t="s">
        <v>1325</v>
      </c>
      <c r="AN335" s="39" t="str">
        <f>データ!N335</f>
        <v>-</v>
      </c>
      <c r="AO335" s="10" t="s">
        <v>1113</v>
      </c>
      <c r="AP335" s="39" t="str">
        <f>データ!O335</f>
        <v>　</v>
      </c>
      <c r="AQ335" s="41" t="s">
        <v>1024</v>
      </c>
      <c r="AR335" s="40" t="s">
        <v>1324</v>
      </c>
      <c r="AS335" s="39" t="str">
        <f>データ!P335</f>
        <v>贖罪の聖者</v>
      </c>
      <c r="AT335" s="10" t="s">
        <v>1113</v>
      </c>
      <c r="AU335" s="39" t="str">
        <f>データ!Q335</f>
        <v>迎撃時にパーティ全体の攻・防が極大UP(5分間)</v>
      </c>
      <c r="AV335" s="10" t="s">
        <v>1024</v>
      </c>
      <c r="AW335" s="40" t="s">
        <v>1324</v>
      </c>
      <c r="AX335" s="39" t="str">
        <f>データ!R335</f>
        <v>-</v>
      </c>
      <c r="AY335" s="10" t="s">
        <v>1113</v>
      </c>
      <c r="AZ335" s="39" t="str">
        <f>データ!S335</f>
        <v>　</v>
      </c>
      <c r="BA335" s="41" t="s">
        <v>1024</v>
      </c>
      <c r="BB335" s="40" t="s">
        <v>1319</v>
      </c>
      <c r="BC335" s="39" t="str">
        <f>データ!T335</f>
        <v>-</v>
      </c>
      <c r="BD335" s="41" t="s">
        <v>1024</v>
      </c>
      <c r="BE335" s="40" t="s">
        <v>1320</v>
      </c>
      <c r="BF335" s="39" t="str">
        <f>データ!U335</f>
        <v>-</v>
      </c>
      <c r="BG335" s="41" t="s">
        <v>1024</v>
      </c>
      <c r="BH335" s="40" t="s">
        <v>1319</v>
      </c>
      <c r="BI335" s="39" t="str">
        <f>データ!V335</f>
        <v>精鋭化ユニット</v>
      </c>
      <c r="BJ335" s="41" t="s">
        <v>1024</v>
      </c>
      <c r="BK335" s="10" t="s">
        <v>1019</v>
      </c>
    </row>
    <row r="336" spans="1:63" x14ac:dyDescent="0.15">
      <c r="A336" s="10" t="s">
        <v>1016</v>
      </c>
      <c r="B336" s="10" t="s">
        <v>1454</v>
      </c>
      <c r="C336" s="38" t="str">
        <f>"./images/thumbnail/"&amp;データ!B336&amp;".jpg"</f>
        <v>./images/thumbnail/1587.jpg</v>
      </c>
      <c r="D336" s="38" t="s">
        <v>1455</v>
      </c>
      <c r="E336" s="38" t="str">
        <f>"./images/thumbnail/"&amp;データ!B336&amp;".jpg"</f>
        <v>./images/thumbnail/1587.jpg</v>
      </c>
      <c r="F336" s="38" t="s">
        <v>1116</v>
      </c>
      <c r="G336" s="38" t="s">
        <v>1319</v>
      </c>
      <c r="H336" s="38" t="str">
        <f>データ!C336</f>
        <v>フリーダ</v>
      </c>
      <c r="I336" s="38" t="s">
        <v>1024</v>
      </c>
      <c r="J336" s="38" t="s">
        <v>1320</v>
      </c>
      <c r="K336" s="38" t="str">
        <f>データ!D336</f>
        <v>SSR</v>
      </c>
      <c r="L336" s="38" t="s">
        <v>1024</v>
      </c>
      <c r="M336" s="38" t="s">
        <v>1321</v>
      </c>
      <c r="N336" s="38">
        <f>データ!E336</f>
        <v>13</v>
      </c>
      <c r="O336" s="38" t="s">
        <v>1024</v>
      </c>
      <c r="P336" s="38" t="s">
        <v>1319</v>
      </c>
      <c r="Q336" s="38" t="str">
        <f>データ!F336</f>
        <v>遠</v>
      </c>
      <c r="R336" s="38" t="s">
        <v>1024</v>
      </c>
      <c r="S336" s="38" t="s">
        <v>1319</v>
      </c>
      <c r="T336" s="39">
        <f>データ!G336</f>
        <v>18813</v>
      </c>
      <c r="U336" s="40" t="s">
        <v>1024</v>
      </c>
      <c r="V336" s="40" t="s">
        <v>1319</v>
      </c>
      <c r="W336" s="39">
        <f>データ!H336</f>
        <v>5716</v>
      </c>
      <c r="X336" s="40" t="s">
        <v>1024</v>
      </c>
      <c r="Y336" s="40" t="s">
        <v>1319</v>
      </c>
      <c r="Z336" s="39">
        <f>データ!I336</f>
        <v>4964</v>
      </c>
      <c r="AA336" s="40" t="s">
        <v>1024</v>
      </c>
      <c r="AB336" s="40" t="s">
        <v>1322</v>
      </c>
      <c r="AC336" s="39" t="str">
        <f>データ!J336</f>
        <v>S-</v>
      </c>
      <c r="AD336" s="38" t="s">
        <v>1024</v>
      </c>
      <c r="AE336" s="40" t="s">
        <v>1323</v>
      </c>
      <c r="AF336" s="39">
        <f>データ!K336</f>
        <v>29493</v>
      </c>
      <c r="AG336" s="40" t="s">
        <v>1024</v>
      </c>
      <c r="AH336" s="40" t="s">
        <v>1324</v>
      </c>
      <c r="AI336" s="39" t="str">
        <f>データ!L336</f>
        <v>夢限の息吹／真</v>
      </c>
      <c r="AJ336" s="10" t="s">
        <v>1113</v>
      </c>
      <c r="AK336" s="39" t="str">
        <f>データ!M336</f>
        <v>味方1体を蘇生[HP中]</v>
      </c>
      <c r="AL336" s="10" t="s">
        <v>1024</v>
      </c>
      <c r="AM336" s="40" t="s">
        <v>1325</v>
      </c>
      <c r="AN336" s="39" t="str">
        <f>データ!N336</f>
        <v>-</v>
      </c>
      <c r="AO336" s="10" t="s">
        <v>1113</v>
      </c>
      <c r="AP336" s="39" t="str">
        <f>データ!O336</f>
        <v>　</v>
      </c>
      <c r="AQ336" s="41" t="s">
        <v>1024</v>
      </c>
      <c r="AR336" s="40" t="s">
        <v>1324</v>
      </c>
      <c r="AS336" s="39" t="str">
        <f>データ!P336</f>
        <v>オラクル／真</v>
      </c>
      <c r="AT336" s="10" t="s">
        <v>1113</v>
      </c>
      <c r="AU336" s="39" t="str">
        <f>データ!Q336</f>
        <v>パーティ全体のスキル発動率が中UP(3分間)</v>
      </c>
      <c r="AV336" s="10" t="s">
        <v>1024</v>
      </c>
      <c r="AW336" s="40" t="s">
        <v>1324</v>
      </c>
      <c r="AX336" s="39" t="str">
        <f>データ!R336</f>
        <v>-</v>
      </c>
      <c r="AY336" s="10" t="s">
        <v>1113</v>
      </c>
      <c r="AZ336" s="39" t="str">
        <f>データ!S336</f>
        <v>　</v>
      </c>
      <c r="BA336" s="41" t="s">
        <v>1024</v>
      </c>
      <c r="BB336" s="40" t="s">
        <v>1319</v>
      </c>
      <c r="BC336" s="39" t="str">
        <f>データ!T336</f>
        <v>-</v>
      </c>
      <c r="BD336" s="41" t="s">
        <v>1024</v>
      </c>
      <c r="BE336" s="40" t="s">
        <v>1320</v>
      </c>
      <c r="BF336" s="39" t="str">
        <f>データ!U336</f>
        <v>-</v>
      </c>
      <c r="BG336" s="41" t="s">
        <v>1024</v>
      </c>
      <c r="BH336" s="40" t="s">
        <v>1319</v>
      </c>
      <c r="BI336" s="39" t="str">
        <f>データ!V336</f>
        <v>常設</v>
      </c>
      <c r="BJ336" s="41" t="s">
        <v>1024</v>
      </c>
      <c r="BK336" s="10" t="s">
        <v>1019</v>
      </c>
    </row>
    <row r="337" spans="1:63" x14ac:dyDescent="0.15">
      <c r="A337" s="10" t="s">
        <v>1016</v>
      </c>
      <c r="B337" s="10" t="s">
        <v>1454</v>
      </c>
      <c r="C337" s="38" t="str">
        <f>"./images/thumbnail/"&amp;データ!B337&amp;".jpg"</f>
        <v>./images/thumbnail/1589.jpg</v>
      </c>
      <c r="D337" s="38" t="s">
        <v>1455</v>
      </c>
      <c r="E337" s="38" t="str">
        <f>"./images/thumbnail/"&amp;データ!B337&amp;".jpg"</f>
        <v>./images/thumbnail/1589.jpg</v>
      </c>
      <c r="F337" s="38" t="s">
        <v>1116</v>
      </c>
      <c r="G337" s="38" t="s">
        <v>1319</v>
      </c>
      <c r="H337" s="38" t="str">
        <f>データ!C337</f>
        <v>ヴェラ</v>
      </c>
      <c r="I337" s="38" t="s">
        <v>1024</v>
      </c>
      <c r="J337" s="38" t="s">
        <v>1320</v>
      </c>
      <c r="K337" s="38" t="str">
        <f>データ!D337</f>
        <v>SSR</v>
      </c>
      <c r="L337" s="38" t="s">
        <v>1024</v>
      </c>
      <c r="M337" s="38" t="s">
        <v>1321</v>
      </c>
      <c r="N337" s="38">
        <f>データ!E337</f>
        <v>13</v>
      </c>
      <c r="O337" s="38" t="s">
        <v>1024</v>
      </c>
      <c r="P337" s="38" t="s">
        <v>1319</v>
      </c>
      <c r="Q337" s="38" t="str">
        <f>データ!F337</f>
        <v>遠</v>
      </c>
      <c r="R337" s="38" t="s">
        <v>1024</v>
      </c>
      <c r="S337" s="38" t="s">
        <v>1319</v>
      </c>
      <c r="T337" s="39">
        <f>データ!G337</f>
        <v>17473</v>
      </c>
      <c r="U337" s="40" t="s">
        <v>1024</v>
      </c>
      <c r="V337" s="40" t="s">
        <v>1319</v>
      </c>
      <c r="W337" s="39">
        <f>データ!H337</f>
        <v>6094</v>
      </c>
      <c r="X337" s="40" t="s">
        <v>1024</v>
      </c>
      <c r="Y337" s="40" t="s">
        <v>1319</v>
      </c>
      <c r="Z337" s="39">
        <f>データ!I337</f>
        <v>4658</v>
      </c>
      <c r="AA337" s="40" t="s">
        <v>1024</v>
      </c>
      <c r="AB337" s="40" t="s">
        <v>1322</v>
      </c>
      <c r="AC337" s="39" t="str">
        <f>データ!J337</f>
        <v>S-</v>
      </c>
      <c r="AD337" s="38" t="s">
        <v>1024</v>
      </c>
      <c r="AE337" s="40" t="s">
        <v>1323</v>
      </c>
      <c r="AF337" s="39">
        <f>データ!K337</f>
        <v>28225</v>
      </c>
      <c r="AG337" s="40" t="s">
        <v>1024</v>
      </c>
      <c r="AH337" s="40" t="s">
        <v>1324</v>
      </c>
      <c r="AI337" s="39" t="str">
        <f>データ!L337</f>
        <v>遠翠の聖護</v>
      </c>
      <c r="AJ337" s="10" t="s">
        <v>1113</v>
      </c>
      <c r="AK337" s="39" t="str">
        <f>データ!M337</f>
        <v>味方遠属性の防御力をUP[大]</v>
      </c>
      <c r="AL337" s="10" t="s">
        <v>1024</v>
      </c>
      <c r="AM337" s="40" t="s">
        <v>1325</v>
      </c>
      <c r="AN337" s="39" t="str">
        <f>データ!N337</f>
        <v>-</v>
      </c>
      <c r="AO337" s="10" t="s">
        <v>1113</v>
      </c>
      <c r="AP337" s="39" t="str">
        <f>データ!O337</f>
        <v>　</v>
      </c>
      <c r="AQ337" s="41" t="s">
        <v>1024</v>
      </c>
      <c r="AR337" s="40" t="s">
        <v>1324</v>
      </c>
      <c r="AS337" s="39" t="str">
        <f>データ!P337</f>
        <v>リヴァイブ／真遠翠</v>
      </c>
      <c r="AT337" s="10" t="s">
        <v>1113</v>
      </c>
      <c r="AU337" s="39" t="str">
        <f>データ!Q337</f>
        <v>高確率で遠属性のユニットを復帰</v>
      </c>
      <c r="AV337" s="10" t="s">
        <v>1024</v>
      </c>
      <c r="AW337" s="40" t="s">
        <v>1324</v>
      </c>
      <c r="AX337" s="39" t="str">
        <f>データ!R337</f>
        <v>-</v>
      </c>
      <c r="AY337" s="10" t="s">
        <v>1113</v>
      </c>
      <c r="AZ337" s="39" t="str">
        <f>データ!S337</f>
        <v>　</v>
      </c>
      <c r="BA337" s="41" t="s">
        <v>1024</v>
      </c>
      <c r="BB337" s="40" t="s">
        <v>1319</v>
      </c>
      <c r="BC337" s="39" t="str">
        <f>データ!T337</f>
        <v>-</v>
      </c>
      <c r="BD337" s="41" t="s">
        <v>1024</v>
      </c>
      <c r="BE337" s="40" t="s">
        <v>1320</v>
      </c>
      <c r="BF337" s="39" t="str">
        <f>データ!U337</f>
        <v>-</v>
      </c>
      <c r="BG337" s="41" t="s">
        <v>1024</v>
      </c>
      <c r="BH337" s="40" t="s">
        <v>1319</v>
      </c>
      <c r="BI337" s="39" t="str">
        <f>データ!V337</f>
        <v>メダル</v>
      </c>
      <c r="BJ337" s="41" t="s">
        <v>1024</v>
      </c>
      <c r="BK337" s="10" t="s">
        <v>1019</v>
      </c>
    </row>
    <row r="338" spans="1:63" x14ac:dyDescent="0.15">
      <c r="A338" s="10" t="s">
        <v>1016</v>
      </c>
      <c r="B338" s="10" t="s">
        <v>1454</v>
      </c>
      <c r="C338" s="38" t="str">
        <f>"./images/thumbnail/"&amp;データ!B338&amp;".jpg"</f>
        <v>./images/thumbnail/1591.jpg</v>
      </c>
      <c r="D338" s="38" t="s">
        <v>1455</v>
      </c>
      <c r="E338" s="38" t="str">
        <f>"./images/thumbnail/"&amp;データ!B338&amp;".jpg"</f>
        <v>./images/thumbnail/1591.jpg</v>
      </c>
      <c r="F338" s="38" t="s">
        <v>1116</v>
      </c>
      <c r="G338" s="38" t="s">
        <v>1319</v>
      </c>
      <c r="H338" s="38" t="str">
        <f>データ!C338</f>
        <v>ヴィクトリア</v>
      </c>
      <c r="I338" s="38" t="s">
        <v>1024</v>
      </c>
      <c r="J338" s="38" t="s">
        <v>1320</v>
      </c>
      <c r="K338" s="38" t="str">
        <f>データ!D338</f>
        <v>SSR</v>
      </c>
      <c r="L338" s="38" t="s">
        <v>1024</v>
      </c>
      <c r="M338" s="38" t="s">
        <v>1321</v>
      </c>
      <c r="N338" s="38">
        <f>データ!E338</f>
        <v>13</v>
      </c>
      <c r="O338" s="38" t="s">
        <v>1024</v>
      </c>
      <c r="P338" s="38" t="s">
        <v>1319</v>
      </c>
      <c r="Q338" s="38" t="str">
        <f>データ!F338</f>
        <v>斬</v>
      </c>
      <c r="R338" s="38" t="s">
        <v>1024</v>
      </c>
      <c r="S338" s="38" t="s">
        <v>1319</v>
      </c>
      <c r="T338" s="39">
        <f>データ!G338</f>
        <v>17118</v>
      </c>
      <c r="U338" s="40" t="s">
        <v>1024</v>
      </c>
      <c r="V338" s="40" t="s">
        <v>1319</v>
      </c>
      <c r="W338" s="39">
        <f>データ!H338</f>
        <v>7875</v>
      </c>
      <c r="X338" s="40" t="s">
        <v>1024</v>
      </c>
      <c r="Y338" s="40" t="s">
        <v>1319</v>
      </c>
      <c r="Z338" s="39">
        <f>データ!I338</f>
        <v>4682</v>
      </c>
      <c r="AA338" s="40" t="s">
        <v>1024</v>
      </c>
      <c r="AB338" s="40" t="s">
        <v>1322</v>
      </c>
      <c r="AC338" s="39" t="str">
        <f>データ!J338</f>
        <v>A+</v>
      </c>
      <c r="AD338" s="38" t="s">
        <v>1024</v>
      </c>
      <c r="AE338" s="40" t="s">
        <v>1323</v>
      </c>
      <c r="AF338" s="39">
        <f>データ!K338</f>
        <v>29675</v>
      </c>
      <c r="AG338" s="40" t="s">
        <v>1024</v>
      </c>
      <c r="AH338" s="40" t="s">
        <v>1324</v>
      </c>
      <c r="AI338" s="39" t="str">
        <f>データ!L338</f>
        <v>地焔幻の一閃／絶</v>
      </c>
      <c r="AJ338" s="10" t="s">
        <v>1113</v>
      </c>
      <c r="AK338" s="39" t="str">
        <f>データ!M338</f>
        <v>横一列攻撃[大]自分の防御力UP[大]</v>
      </c>
      <c r="AL338" s="38" t="s">
        <v>1024</v>
      </c>
      <c r="AM338" s="40" t="s">
        <v>1325</v>
      </c>
      <c r="AN338" s="39" t="str">
        <f>データ!N338</f>
        <v>-</v>
      </c>
      <c r="AO338" s="10" t="s">
        <v>1113</v>
      </c>
      <c r="AP338" s="39" t="str">
        <f>データ!O338</f>
        <v>　</v>
      </c>
      <c r="AQ338" s="41" t="s">
        <v>1024</v>
      </c>
      <c r="AR338" s="40" t="s">
        <v>1324</v>
      </c>
      <c r="AS338" s="39" t="str">
        <f>データ!P338</f>
        <v>カーズ</v>
      </c>
      <c r="AT338" s="10" t="s">
        <v>1113</v>
      </c>
      <c r="AU338" s="39" t="str">
        <f>データ!Q338</f>
        <v>対戦騎士団全体のスキル発動率が小DOWN(3分間)</v>
      </c>
      <c r="AV338" s="10" t="s">
        <v>1024</v>
      </c>
      <c r="AW338" s="40" t="s">
        <v>1324</v>
      </c>
      <c r="AX338" s="39" t="str">
        <f>データ!R338</f>
        <v>-</v>
      </c>
      <c r="AY338" s="10" t="s">
        <v>1113</v>
      </c>
      <c r="AZ338" s="39" t="str">
        <f>データ!S338</f>
        <v>　</v>
      </c>
      <c r="BA338" s="41" t="s">
        <v>1024</v>
      </c>
      <c r="BB338" s="40" t="s">
        <v>1319</v>
      </c>
      <c r="BC338" s="39" t="str">
        <f>データ!T338</f>
        <v>-</v>
      </c>
      <c r="BD338" s="41" t="s">
        <v>1024</v>
      </c>
      <c r="BE338" s="40" t="s">
        <v>1320</v>
      </c>
      <c r="BF338" s="39" t="str">
        <f>データ!U338</f>
        <v>-</v>
      </c>
      <c r="BG338" s="41" t="s">
        <v>1024</v>
      </c>
      <c r="BH338" s="40" t="s">
        <v>1319</v>
      </c>
      <c r="BI338" s="39" t="str">
        <f>データ!V338</f>
        <v>常設</v>
      </c>
      <c r="BJ338" s="41" t="s">
        <v>1024</v>
      </c>
      <c r="BK338" s="10" t="s">
        <v>1019</v>
      </c>
    </row>
    <row r="339" spans="1:63" x14ac:dyDescent="0.15">
      <c r="A339" s="10" t="s">
        <v>1016</v>
      </c>
      <c r="B339" s="10" t="s">
        <v>1454</v>
      </c>
      <c r="C339" s="38" t="str">
        <f>"./images/thumbnail/"&amp;データ!B339&amp;".jpg"</f>
        <v>./images/thumbnail/1593.jpg</v>
      </c>
      <c r="D339" s="38" t="s">
        <v>1455</v>
      </c>
      <c r="E339" s="38" t="str">
        <f>"./images/thumbnail/"&amp;データ!B339&amp;".jpg"</f>
        <v>./images/thumbnail/1593.jpg</v>
      </c>
      <c r="F339" s="38" t="s">
        <v>1116</v>
      </c>
      <c r="G339" s="38" t="s">
        <v>1319</v>
      </c>
      <c r="H339" s="38" t="str">
        <f>データ!C339</f>
        <v>スレヴィ</v>
      </c>
      <c r="I339" s="38" t="s">
        <v>1024</v>
      </c>
      <c r="J339" s="38" t="s">
        <v>1320</v>
      </c>
      <c r="K339" s="38" t="str">
        <f>データ!D339</f>
        <v>UR</v>
      </c>
      <c r="L339" s="38" t="s">
        <v>1024</v>
      </c>
      <c r="M339" s="38" t="s">
        <v>1321</v>
      </c>
      <c r="N339" s="38">
        <f>データ!E339</f>
        <v>14</v>
      </c>
      <c r="O339" s="38" t="s">
        <v>1024</v>
      </c>
      <c r="P339" s="38" t="s">
        <v>1319</v>
      </c>
      <c r="Q339" s="38" t="str">
        <f>データ!F339</f>
        <v>突</v>
      </c>
      <c r="R339" s="38" t="s">
        <v>1024</v>
      </c>
      <c r="S339" s="38" t="s">
        <v>1319</v>
      </c>
      <c r="T339" s="39">
        <f>データ!G339</f>
        <v>17849</v>
      </c>
      <c r="U339" s="40" t="s">
        <v>1024</v>
      </c>
      <c r="V339" s="40" t="s">
        <v>1319</v>
      </c>
      <c r="W339" s="39">
        <f>データ!H339</f>
        <v>6101</v>
      </c>
      <c r="X339" s="40" t="s">
        <v>1024</v>
      </c>
      <c r="Y339" s="40" t="s">
        <v>1319</v>
      </c>
      <c r="Z339" s="39">
        <f>データ!I339</f>
        <v>7437</v>
      </c>
      <c r="AA339" s="40" t="s">
        <v>1024</v>
      </c>
      <c r="AB339" s="40" t="s">
        <v>1322</v>
      </c>
      <c r="AC339" s="39" t="str">
        <f>データ!J339</f>
        <v>SS+</v>
      </c>
      <c r="AD339" s="38" t="s">
        <v>1024</v>
      </c>
      <c r="AE339" s="40" t="s">
        <v>1323</v>
      </c>
      <c r="AF339" s="39">
        <f>データ!K339</f>
        <v>31387</v>
      </c>
      <c r="AG339" s="40" t="s">
        <v>1024</v>
      </c>
      <c r="AH339" s="40" t="s">
        <v>1324</v>
      </c>
      <c r="AI339" s="39" t="str">
        <f>データ!L339</f>
        <v>蒼突の神威</v>
      </c>
      <c r="AJ339" s="10" t="s">
        <v>1113</v>
      </c>
      <c r="AK339" s="39" t="str">
        <f>データ!M339</f>
        <v>味方突属性の攻撃力をUP[特大]</v>
      </c>
      <c r="AL339" s="10" t="s">
        <v>1024</v>
      </c>
      <c r="AM339" s="40" t="s">
        <v>1325</v>
      </c>
      <c r="AN339" s="39" t="str">
        <f>データ!N339</f>
        <v>-</v>
      </c>
      <c r="AO339" s="10" t="s">
        <v>1113</v>
      </c>
      <c r="AP339" s="39" t="str">
        <f>データ!O339</f>
        <v>　</v>
      </c>
      <c r="AQ339" s="41" t="s">
        <v>1024</v>
      </c>
      <c r="AR339" s="40" t="s">
        <v>1324</v>
      </c>
      <c r="AS339" s="39" t="str">
        <f>データ!P339</f>
        <v>ストリーム／真</v>
      </c>
      <c r="AT339" s="10" t="s">
        <v>1113</v>
      </c>
      <c r="AU339" s="39" t="str">
        <f>データ!Q339</f>
        <v>パーティ全体の攻撃力・速度が中UP(3分間)</v>
      </c>
      <c r="AV339" s="10" t="s">
        <v>1024</v>
      </c>
      <c r="AW339" s="40" t="s">
        <v>1324</v>
      </c>
      <c r="AX339" s="39" t="str">
        <f>データ!R339</f>
        <v>-</v>
      </c>
      <c r="AY339" s="10" t="s">
        <v>1113</v>
      </c>
      <c r="AZ339" s="39" t="str">
        <f>データ!S339</f>
        <v>　</v>
      </c>
      <c r="BA339" s="41" t="s">
        <v>1024</v>
      </c>
      <c r="BB339" s="40" t="s">
        <v>1319</v>
      </c>
      <c r="BC339" s="39" t="str">
        <f>データ!T339</f>
        <v>-</v>
      </c>
      <c r="BD339" s="41" t="s">
        <v>1024</v>
      </c>
      <c r="BE339" s="40" t="s">
        <v>1320</v>
      </c>
      <c r="BF339" s="39" t="str">
        <f>データ!U339</f>
        <v>-</v>
      </c>
      <c r="BG339" s="41" t="s">
        <v>1024</v>
      </c>
      <c r="BH339" s="40" t="s">
        <v>1319</v>
      </c>
      <c r="BI339" s="39" t="str">
        <f>データ!V339</f>
        <v>常設</v>
      </c>
      <c r="BJ339" s="41" t="s">
        <v>1024</v>
      </c>
      <c r="BK339" s="10" t="s">
        <v>1019</v>
      </c>
    </row>
    <row r="340" spans="1:63" x14ac:dyDescent="0.15">
      <c r="A340" s="10" t="s">
        <v>1016</v>
      </c>
      <c r="B340" s="10" t="s">
        <v>1454</v>
      </c>
      <c r="C340" s="38" t="str">
        <f>"./images/thumbnail/"&amp;データ!B340&amp;".jpg"</f>
        <v>./images/thumbnail/1595.jpg</v>
      </c>
      <c r="D340" s="38" t="s">
        <v>1455</v>
      </c>
      <c r="E340" s="38" t="str">
        <f>"./images/thumbnail/"&amp;データ!B340&amp;".jpg"</f>
        <v>./images/thumbnail/1595.jpg</v>
      </c>
      <c r="F340" s="38" t="s">
        <v>1116</v>
      </c>
      <c r="G340" s="38" t="s">
        <v>1319</v>
      </c>
      <c r="H340" s="38" t="str">
        <f>データ!C340</f>
        <v>マノン</v>
      </c>
      <c r="I340" s="38" t="s">
        <v>1024</v>
      </c>
      <c r="J340" s="38" t="s">
        <v>1320</v>
      </c>
      <c r="K340" s="38" t="str">
        <f>データ!D340</f>
        <v>UR</v>
      </c>
      <c r="L340" s="38" t="s">
        <v>1024</v>
      </c>
      <c r="M340" s="38" t="s">
        <v>1321</v>
      </c>
      <c r="N340" s="38">
        <f>データ!E340</f>
        <v>14</v>
      </c>
      <c r="O340" s="38" t="s">
        <v>1024</v>
      </c>
      <c r="P340" s="38" t="s">
        <v>1319</v>
      </c>
      <c r="Q340" s="38" t="str">
        <f>データ!F340</f>
        <v>打</v>
      </c>
      <c r="R340" s="38" t="s">
        <v>1024</v>
      </c>
      <c r="S340" s="38" t="s">
        <v>1319</v>
      </c>
      <c r="T340" s="39">
        <f>データ!G340</f>
        <v>23079</v>
      </c>
      <c r="U340" s="40" t="s">
        <v>1024</v>
      </c>
      <c r="V340" s="40" t="s">
        <v>1319</v>
      </c>
      <c r="W340" s="39">
        <f>データ!H340</f>
        <v>6595</v>
      </c>
      <c r="X340" s="40" t="s">
        <v>1024</v>
      </c>
      <c r="Y340" s="40" t="s">
        <v>1319</v>
      </c>
      <c r="Z340" s="39">
        <f>データ!I340</f>
        <v>8551</v>
      </c>
      <c r="AA340" s="40" t="s">
        <v>1024</v>
      </c>
      <c r="AB340" s="40" t="s">
        <v>1322</v>
      </c>
      <c r="AC340" s="39" t="str">
        <f>データ!J340</f>
        <v>A+</v>
      </c>
      <c r="AD340" s="38" t="s">
        <v>1024</v>
      </c>
      <c r="AE340" s="40" t="s">
        <v>1323</v>
      </c>
      <c r="AF340" s="39">
        <f>データ!K340</f>
        <v>38225</v>
      </c>
      <c r="AG340" s="40" t="s">
        <v>1024</v>
      </c>
      <c r="AH340" s="40" t="s">
        <v>1324</v>
      </c>
      <c r="AI340" s="39" t="str">
        <f>データ!L340</f>
        <v>対翠の交叉線／煌</v>
      </c>
      <c r="AJ340" s="10" t="s">
        <v>1113</v>
      </c>
      <c r="AK340" s="39" t="str">
        <f>データ!M340</f>
        <v>遠に強く打に弱いX字型攻撃[特大]</v>
      </c>
      <c r="AL340" s="10" t="s">
        <v>1024</v>
      </c>
      <c r="AM340" s="40" t="s">
        <v>1325</v>
      </c>
      <c r="AN340" s="39" t="str">
        <f>データ!N340</f>
        <v>-</v>
      </c>
      <c r="AO340" s="10" t="s">
        <v>1113</v>
      </c>
      <c r="AP340" s="39" t="str">
        <f>データ!O340</f>
        <v>　</v>
      </c>
      <c r="AQ340" s="41" t="s">
        <v>1024</v>
      </c>
      <c r="AR340" s="40" t="s">
        <v>1324</v>
      </c>
      <c r="AS340" s="39" t="str">
        <f>データ!P340</f>
        <v>フォートレス／絶</v>
      </c>
      <c r="AT340" s="10" t="s">
        <v>1113</v>
      </c>
      <c r="AU340" s="39" t="str">
        <f>データ!Q340</f>
        <v>パーティ全体の防御力が大UP(3分間)</v>
      </c>
      <c r="AV340" s="10" t="s">
        <v>1024</v>
      </c>
      <c r="AW340" s="40" t="s">
        <v>1324</v>
      </c>
      <c r="AX340" s="39" t="str">
        <f>データ!R340</f>
        <v>-</v>
      </c>
      <c r="AY340" s="10" t="s">
        <v>1113</v>
      </c>
      <c r="AZ340" s="39" t="str">
        <f>データ!S340</f>
        <v>　</v>
      </c>
      <c r="BA340" s="41" t="s">
        <v>1024</v>
      </c>
      <c r="BB340" s="40" t="s">
        <v>1319</v>
      </c>
      <c r="BC340" s="39" t="str">
        <f>データ!T340</f>
        <v>-</v>
      </c>
      <c r="BD340" s="41" t="s">
        <v>1024</v>
      </c>
      <c r="BE340" s="40" t="s">
        <v>1320</v>
      </c>
      <c r="BF340" s="39" t="str">
        <f>データ!U340</f>
        <v>-</v>
      </c>
      <c r="BG340" s="41" t="s">
        <v>1024</v>
      </c>
      <c r="BH340" s="40" t="s">
        <v>1319</v>
      </c>
      <c r="BI340" s="39" t="str">
        <f>データ!V340</f>
        <v>常設</v>
      </c>
      <c r="BJ340" s="41" t="s">
        <v>1024</v>
      </c>
      <c r="BK340" s="10" t="s">
        <v>1019</v>
      </c>
    </row>
    <row r="341" spans="1:63" x14ac:dyDescent="0.15">
      <c r="A341" s="10" t="s">
        <v>1016</v>
      </c>
      <c r="B341" s="10" t="s">
        <v>1454</v>
      </c>
      <c r="C341" s="38" t="str">
        <f>"./images/thumbnail/"&amp;データ!B341&amp;".jpg"</f>
        <v>./images/thumbnail/1597.jpg</v>
      </c>
      <c r="D341" s="38" t="s">
        <v>1455</v>
      </c>
      <c r="E341" s="38" t="str">
        <f>"./images/thumbnail/"&amp;データ!B341&amp;".jpg"</f>
        <v>./images/thumbnail/1597.jpg</v>
      </c>
      <c r="F341" s="38" t="s">
        <v>1116</v>
      </c>
      <c r="G341" s="38" t="s">
        <v>1319</v>
      </c>
      <c r="H341" s="38" t="str">
        <f>データ!C341</f>
        <v>ゲオルグ</v>
      </c>
      <c r="I341" s="38" t="s">
        <v>1024</v>
      </c>
      <c r="J341" s="38" t="s">
        <v>1320</v>
      </c>
      <c r="K341" s="38" t="str">
        <f>データ!D341</f>
        <v>SSR</v>
      </c>
      <c r="L341" s="38" t="s">
        <v>1024</v>
      </c>
      <c r="M341" s="38" t="s">
        <v>1321</v>
      </c>
      <c r="N341" s="38">
        <f>データ!E341</f>
        <v>13</v>
      </c>
      <c r="O341" s="38" t="s">
        <v>1024</v>
      </c>
      <c r="P341" s="38" t="s">
        <v>1319</v>
      </c>
      <c r="Q341" s="38" t="str">
        <f>データ!F341</f>
        <v>遠</v>
      </c>
      <c r="R341" s="38" t="s">
        <v>1024</v>
      </c>
      <c r="S341" s="38" t="s">
        <v>1319</v>
      </c>
      <c r="T341" s="39">
        <f>データ!G341</f>
        <v>16753</v>
      </c>
      <c r="U341" s="40" t="s">
        <v>1024</v>
      </c>
      <c r="V341" s="40" t="s">
        <v>1319</v>
      </c>
      <c r="W341" s="39">
        <f>データ!H341</f>
        <v>5840</v>
      </c>
      <c r="X341" s="40" t="s">
        <v>1024</v>
      </c>
      <c r="Y341" s="40" t="s">
        <v>1319</v>
      </c>
      <c r="Z341" s="39">
        <f>データ!I341</f>
        <v>5380</v>
      </c>
      <c r="AA341" s="40" t="s">
        <v>1024</v>
      </c>
      <c r="AB341" s="40" t="s">
        <v>1322</v>
      </c>
      <c r="AC341" s="39" t="str">
        <f>データ!J341</f>
        <v>S-</v>
      </c>
      <c r="AD341" s="38" t="s">
        <v>1024</v>
      </c>
      <c r="AE341" s="40" t="s">
        <v>1323</v>
      </c>
      <c r="AF341" s="39">
        <f>データ!K341</f>
        <v>27973</v>
      </c>
      <c r="AG341" s="40" t="s">
        <v>1024</v>
      </c>
      <c r="AH341" s="40" t="s">
        <v>1324</v>
      </c>
      <c r="AI341" s="39" t="str">
        <f>データ!L341</f>
        <v>光芒の叡智</v>
      </c>
      <c r="AJ341" s="10" t="s">
        <v>1113</v>
      </c>
      <c r="AK341" s="39" t="str">
        <f>データ!M341</f>
        <v>味方全体の攻撃力と防御力をUP[中]</v>
      </c>
      <c r="AL341" s="10" t="s">
        <v>1024</v>
      </c>
      <c r="AM341" s="40" t="s">
        <v>1325</v>
      </c>
      <c r="AN341" s="39" t="str">
        <f>データ!N341</f>
        <v>-</v>
      </c>
      <c r="AO341" s="10" t="s">
        <v>1113</v>
      </c>
      <c r="AP341" s="39" t="str">
        <f>データ!O341</f>
        <v>　</v>
      </c>
      <c r="AQ341" s="41" t="s">
        <v>1024</v>
      </c>
      <c r="AR341" s="40" t="s">
        <v>1324</v>
      </c>
      <c r="AS341" s="39" t="str">
        <f>データ!P341</f>
        <v>キャッスルヴェール</v>
      </c>
      <c r="AT341" s="10" t="s">
        <v>1113</v>
      </c>
      <c r="AU341" s="39" t="str">
        <f>データ!Q341</f>
        <v>城の強度Lvが小UP(3分間)</v>
      </c>
      <c r="AV341" s="10" t="s">
        <v>1024</v>
      </c>
      <c r="AW341" s="40" t="s">
        <v>1324</v>
      </c>
      <c r="AX341" s="39" t="str">
        <f>データ!R341</f>
        <v>-</v>
      </c>
      <c r="AY341" s="10" t="s">
        <v>1113</v>
      </c>
      <c r="AZ341" s="39" t="str">
        <f>データ!S341</f>
        <v>　</v>
      </c>
      <c r="BA341" s="41" t="s">
        <v>1024</v>
      </c>
      <c r="BB341" s="40" t="s">
        <v>1319</v>
      </c>
      <c r="BC341" s="39" t="str">
        <f>データ!T341</f>
        <v>-</v>
      </c>
      <c r="BD341" s="41" t="s">
        <v>1024</v>
      </c>
      <c r="BE341" s="40" t="s">
        <v>1320</v>
      </c>
      <c r="BF341" s="39" t="str">
        <f>データ!U341</f>
        <v>-</v>
      </c>
      <c r="BG341" s="41" t="s">
        <v>1024</v>
      </c>
      <c r="BH341" s="40" t="s">
        <v>1319</v>
      </c>
      <c r="BI341" s="39" t="str">
        <f>データ!V341</f>
        <v>常設</v>
      </c>
      <c r="BJ341" s="41" t="s">
        <v>1024</v>
      </c>
      <c r="BK341" s="10" t="s">
        <v>1019</v>
      </c>
    </row>
    <row r="342" spans="1:63" x14ac:dyDescent="0.15">
      <c r="A342" s="10" t="s">
        <v>1016</v>
      </c>
      <c r="B342" s="10" t="s">
        <v>1454</v>
      </c>
      <c r="C342" s="38" t="str">
        <f>"./images/thumbnail/"&amp;データ!B342&amp;".jpg"</f>
        <v>./images/thumbnail/1599.jpg</v>
      </c>
      <c r="D342" s="38" t="s">
        <v>1455</v>
      </c>
      <c r="E342" s="38" t="str">
        <f>"./images/thumbnail/"&amp;データ!B342&amp;".jpg"</f>
        <v>./images/thumbnail/1599.jpg</v>
      </c>
      <c r="F342" s="38" t="s">
        <v>1116</v>
      </c>
      <c r="G342" s="38" t="s">
        <v>1319</v>
      </c>
      <c r="H342" s="38" t="str">
        <f>データ!C342</f>
        <v>マクシム</v>
      </c>
      <c r="I342" s="38" t="s">
        <v>1024</v>
      </c>
      <c r="J342" s="38" t="s">
        <v>1320</v>
      </c>
      <c r="K342" s="38" t="str">
        <f>データ!D342</f>
        <v>UR</v>
      </c>
      <c r="L342" s="38" t="s">
        <v>1024</v>
      </c>
      <c r="M342" s="38" t="s">
        <v>1321</v>
      </c>
      <c r="N342" s="38">
        <f>データ!E342</f>
        <v>14</v>
      </c>
      <c r="O342" s="38" t="s">
        <v>1024</v>
      </c>
      <c r="P342" s="38" t="s">
        <v>1319</v>
      </c>
      <c r="Q342" s="38" t="str">
        <f>データ!F342</f>
        <v>遠</v>
      </c>
      <c r="R342" s="38" t="s">
        <v>1024</v>
      </c>
      <c r="S342" s="38" t="s">
        <v>1319</v>
      </c>
      <c r="T342" s="39">
        <f>データ!G342</f>
        <v>19292</v>
      </c>
      <c r="U342" s="40" t="s">
        <v>1024</v>
      </c>
      <c r="V342" s="40" t="s">
        <v>1319</v>
      </c>
      <c r="W342" s="39">
        <f>データ!H342</f>
        <v>6733</v>
      </c>
      <c r="X342" s="40" t="s">
        <v>1024</v>
      </c>
      <c r="Y342" s="40" t="s">
        <v>1319</v>
      </c>
      <c r="Z342" s="39">
        <f>データ!I342</f>
        <v>5752</v>
      </c>
      <c r="AA342" s="40" t="s">
        <v>1024</v>
      </c>
      <c r="AB342" s="40" t="s">
        <v>1322</v>
      </c>
      <c r="AC342" s="39" t="str">
        <f>データ!J342</f>
        <v>S+</v>
      </c>
      <c r="AD342" s="38" t="s">
        <v>1024</v>
      </c>
      <c r="AE342" s="40" t="s">
        <v>1323</v>
      </c>
      <c r="AF342" s="39">
        <f>データ!K342</f>
        <v>31777</v>
      </c>
      <c r="AG342" s="40" t="s">
        <v>1024</v>
      </c>
      <c r="AH342" s="40" t="s">
        <v>1324</v>
      </c>
      <c r="AI342" s="39" t="str">
        <f>データ!L342</f>
        <v>光芒の聖天</v>
      </c>
      <c r="AJ342" s="10" t="s">
        <v>1113</v>
      </c>
      <c r="AK342" s="39" t="str">
        <f>データ!M342</f>
        <v>味方全体の攻撃力と防御力をUP[大]</v>
      </c>
      <c r="AL342" s="10" t="s">
        <v>1024</v>
      </c>
      <c r="AM342" s="40" t="s">
        <v>1325</v>
      </c>
      <c r="AN342" s="39" t="str">
        <f>データ!N342</f>
        <v>-</v>
      </c>
      <c r="AO342" s="10" t="s">
        <v>1113</v>
      </c>
      <c r="AP342" s="39" t="str">
        <f>データ!O342</f>
        <v>　</v>
      </c>
      <c r="AQ342" s="41" t="s">
        <v>1024</v>
      </c>
      <c r="AR342" s="40" t="s">
        <v>1324</v>
      </c>
      <c r="AS342" s="39" t="str">
        <f>データ!P342</f>
        <v>アサルト／絶</v>
      </c>
      <c r="AT342" s="10" t="s">
        <v>1113</v>
      </c>
      <c r="AU342" s="39" t="str">
        <f>データ!Q342</f>
        <v>パーティ全体の攻撃力が大UP(3分間)</v>
      </c>
      <c r="AV342" s="10" t="s">
        <v>1024</v>
      </c>
      <c r="AW342" s="40" t="s">
        <v>1324</v>
      </c>
      <c r="AX342" s="39" t="str">
        <f>データ!R342</f>
        <v>-</v>
      </c>
      <c r="AY342" s="10" t="s">
        <v>1113</v>
      </c>
      <c r="AZ342" s="39" t="str">
        <f>データ!S342</f>
        <v>　</v>
      </c>
      <c r="BA342" s="41" t="s">
        <v>1024</v>
      </c>
      <c r="BB342" s="40" t="s">
        <v>1319</v>
      </c>
      <c r="BC342" s="39" t="str">
        <f>データ!T342</f>
        <v>-</v>
      </c>
      <c r="BD342" s="41" t="s">
        <v>1024</v>
      </c>
      <c r="BE342" s="40" t="s">
        <v>1320</v>
      </c>
      <c r="BF342" s="39" t="str">
        <f>データ!U342</f>
        <v>-</v>
      </c>
      <c r="BG342" s="41" t="s">
        <v>1024</v>
      </c>
      <c r="BH342" s="40" t="s">
        <v>1319</v>
      </c>
      <c r="BI342" s="39" t="str">
        <f>データ!V342</f>
        <v>覇者の塔</v>
      </c>
      <c r="BJ342" s="41" t="s">
        <v>1024</v>
      </c>
      <c r="BK342" s="10" t="s">
        <v>1019</v>
      </c>
    </row>
    <row r="343" spans="1:63" x14ac:dyDescent="0.15">
      <c r="A343" s="10" t="s">
        <v>1016</v>
      </c>
      <c r="B343" s="10" t="s">
        <v>1454</v>
      </c>
      <c r="C343" s="38" t="str">
        <f>"./images/thumbnail/"&amp;データ!B343&amp;".jpg"</f>
        <v>./images/thumbnail/1602.jpg</v>
      </c>
      <c r="D343" s="38" t="s">
        <v>1455</v>
      </c>
      <c r="E343" s="38" t="str">
        <f>"./images/thumbnail/"&amp;データ!B343&amp;".jpg"</f>
        <v>./images/thumbnail/1602.jpg</v>
      </c>
      <c r="F343" s="38" t="s">
        <v>1116</v>
      </c>
      <c r="G343" s="38" t="s">
        <v>1319</v>
      </c>
      <c r="H343" s="38" t="str">
        <f>データ!C343</f>
        <v>ルミナス</v>
      </c>
      <c r="I343" s="38" t="s">
        <v>1024</v>
      </c>
      <c r="J343" s="38" t="s">
        <v>1320</v>
      </c>
      <c r="K343" s="38" t="str">
        <f>データ!D343</f>
        <v>UR</v>
      </c>
      <c r="L343" s="38" t="s">
        <v>1024</v>
      </c>
      <c r="M343" s="38" t="s">
        <v>1321</v>
      </c>
      <c r="N343" s="38">
        <f>データ!E343</f>
        <v>14</v>
      </c>
      <c r="O343" s="38" t="s">
        <v>1024</v>
      </c>
      <c r="P343" s="38" t="s">
        <v>1319</v>
      </c>
      <c r="Q343" s="38" t="str">
        <f>データ!F343</f>
        <v>斬</v>
      </c>
      <c r="R343" s="38" t="s">
        <v>1024</v>
      </c>
      <c r="S343" s="38" t="s">
        <v>1319</v>
      </c>
      <c r="T343" s="39">
        <f>データ!G343</f>
        <v>17921</v>
      </c>
      <c r="U343" s="40" t="s">
        <v>1024</v>
      </c>
      <c r="V343" s="40" t="s">
        <v>1319</v>
      </c>
      <c r="W343" s="39">
        <f>データ!H343</f>
        <v>8240</v>
      </c>
      <c r="X343" s="40" t="s">
        <v>1024</v>
      </c>
      <c r="Y343" s="40" t="s">
        <v>1319</v>
      </c>
      <c r="Z343" s="39">
        <f>データ!I343</f>
        <v>5797</v>
      </c>
      <c r="AA343" s="40" t="s">
        <v>1024</v>
      </c>
      <c r="AB343" s="40" t="s">
        <v>1322</v>
      </c>
      <c r="AC343" s="39" t="str">
        <f>データ!J343</f>
        <v>S</v>
      </c>
      <c r="AD343" s="38" t="s">
        <v>1024</v>
      </c>
      <c r="AE343" s="40" t="s">
        <v>1323</v>
      </c>
      <c r="AF343" s="39">
        <f>データ!K343</f>
        <v>31958</v>
      </c>
      <c r="AG343" s="40" t="s">
        <v>1024</v>
      </c>
      <c r="AH343" s="40" t="s">
        <v>1324</v>
      </c>
      <c r="AI343" s="39" t="str">
        <f>データ!L343</f>
        <v>斬紅の神護</v>
      </c>
      <c r="AJ343" s="10" t="s">
        <v>1113</v>
      </c>
      <c r="AK343" s="39" t="str">
        <f>データ!M343</f>
        <v>味方斬属性の防御力をUP[特大]</v>
      </c>
      <c r="AL343" s="10" t="s">
        <v>1024</v>
      </c>
      <c r="AM343" s="40" t="s">
        <v>1325</v>
      </c>
      <c r="AN343" s="39" t="str">
        <f>データ!N343</f>
        <v>-</v>
      </c>
      <c r="AO343" s="10" t="s">
        <v>1113</v>
      </c>
      <c r="AP343" s="39" t="str">
        <f>データ!O343</f>
        <v>　</v>
      </c>
      <c r="AQ343" s="41" t="s">
        <v>1024</v>
      </c>
      <c r="AR343" s="40" t="s">
        <v>1324</v>
      </c>
      <c r="AS343" s="39" t="str">
        <f>データ!P343</f>
        <v>ポイントライズ／絶</v>
      </c>
      <c r="AT343" s="10" t="s">
        <v>1113</v>
      </c>
      <c r="AU343" s="39" t="str">
        <f>データ!Q343</f>
        <v>獲得する騎士団戦スコアが大アップ(バトル3回)</v>
      </c>
      <c r="AV343" s="10" t="s">
        <v>1024</v>
      </c>
      <c r="AW343" s="40" t="s">
        <v>1324</v>
      </c>
      <c r="AX343" s="39" t="str">
        <f>データ!R343</f>
        <v>-</v>
      </c>
      <c r="AY343" s="10" t="s">
        <v>1113</v>
      </c>
      <c r="AZ343" s="39" t="str">
        <f>データ!S343</f>
        <v>　</v>
      </c>
      <c r="BA343" s="41" t="s">
        <v>1024</v>
      </c>
      <c r="BB343" s="40" t="s">
        <v>1319</v>
      </c>
      <c r="BC343" s="39" t="str">
        <f>データ!T343</f>
        <v>-</v>
      </c>
      <c r="BD343" s="41" t="s">
        <v>1024</v>
      </c>
      <c r="BE343" s="40" t="s">
        <v>1320</v>
      </c>
      <c r="BF343" s="39" t="str">
        <f>データ!U343</f>
        <v>-</v>
      </c>
      <c r="BG343" s="41" t="s">
        <v>1024</v>
      </c>
      <c r="BH343" s="40" t="s">
        <v>1319</v>
      </c>
      <c r="BI343" s="39" t="str">
        <f>データ!V343</f>
        <v>ガチャイベ</v>
      </c>
      <c r="BJ343" s="41" t="s">
        <v>1024</v>
      </c>
      <c r="BK343" s="10" t="s">
        <v>1019</v>
      </c>
    </row>
    <row r="344" spans="1:63" x14ac:dyDescent="0.15">
      <c r="A344" s="10" t="s">
        <v>1016</v>
      </c>
      <c r="B344" s="10" t="s">
        <v>1454</v>
      </c>
      <c r="C344" s="38" t="str">
        <f>"./images/thumbnail/"&amp;データ!B344&amp;".jpg"</f>
        <v>./images/thumbnail/1604.jpg</v>
      </c>
      <c r="D344" s="38" t="s">
        <v>1455</v>
      </c>
      <c r="E344" s="38" t="str">
        <f>"./images/thumbnail/"&amp;データ!B344&amp;".jpg"</f>
        <v>./images/thumbnail/1604.jpg</v>
      </c>
      <c r="F344" s="38" t="s">
        <v>1116</v>
      </c>
      <c r="G344" s="38" t="s">
        <v>1319</v>
      </c>
      <c r="H344" s="38" t="str">
        <f>データ!C344</f>
        <v>シャルロ</v>
      </c>
      <c r="I344" s="38" t="s">
        <v>1024</v>
      </c>
      <c r="J344" s="38" t="s">
        <v>1320</v>
      </c>
      <c r="K344" s="38" t="str">
        <f>データ!D344</f>
        <v>SSR</v>
      </c>
      <c r="L344" s="38" t="s">
        <v>1024</v>
      </c>
      <c r="M344" s="38" t="s">
        <v>1321</v>
      </c>
      <c r="N344" s="38">
        <f>データ!E344</f>
        <v>12</v>
      </c>
      <c r="O344" s="38" t="s">
        <v>1024</v>
      </c>
      <c r="P344" s="38" t="s">
        <v>1319</v>
      </c>
      <c r="Q344" s="38" t="str">
        <f>データ!F344</f>
        <v>斬</v>
      </c>
      <c r="R344" s="38" t="s">
        <v>1024</v>
      </c>
      <c r="S344" s="38" t="s">
        <v>1319</v>
      </c>
      <c r="T344" s="39">
        <f>データ!G344</f>
        <v>14352</v>
      </c>
      <c r="U344" s="40" t="s">
        <v>1024</v>
      </c>
      <c r="V344" s="40" t="s">
        <v>1319</v>
      </c>
      <c r="W344" s="39">
        <f>データ!H344</f>
        <v>6600</v>
      </c>
      <c r="X344" s="40" t="s">
        <v>1024</v>
      </c>
      <c r="Y344" s="40" t="s">
        <v>1319</v>
      </c>
      <c r="Z344" s="39">
        <f>データ!I344</f>
        <v>5347</v>
      </c>
      <c r="AA344" s="40" t="s">
        <v>1024</v>
      </c>
      <c r="AB344" s="40" t="s">
        <v>1322</v>
      </c>
      <c r="AC344" s="39" t="str">
        <f>データ!J344</f>
        <v>A+</v>
      </c>
      <c r="AD344" s="38" t="s">
        <v>1024</v>
      </c>
      <c r="AE344" s="40" t="s">
        <v>1323</v>
      </c>
      <c r="AF344" s="39">
        <f>データ!K344</f>
        <v>26299</v>
      </c>
      <c r="AG344" s="40" t="s">
        <v>1024</v>
      </c>
      <c r="AH344" s="40" t="s">
        <v>1324</v>
      </c>
      <c r="AI344" s="39" t="str">
        <f>データ!L344</f>
        <v>対紫の突風／絶</v>
      </c>
      <c r="AJ344" s="10" t="s">
        <v>1113</v>
      </c>
      <c r="AK344" s="39" t="str">
        <f>データ!M344</f>
        <v>打に強く遠に弱い縦一列攻撃[大]</v>
      </c>
      <c r="AL344" s="10" t="s">
        <v>1024</v>
      </c>
      <c r="AM344" s="40" t="s">
        <v>1325</v>
      </c>
      <c r="AN344" s="39" t="str">
        <f>データ!N344</f>
        <v>-</v>
      </c>
      <c r="AO344" s="10" t="s">
        <v>1113</v>
      </c>
      <c r="AP344" s="39" t="str">
        <f>データ!O344</f>
        <v>　</v>
      </c>
      <c r="AQ344" s="41" t="s">
        <v>1024</v>
      </c>
      <c r="AR344" s="40" t="s">
        <v>1324</v>
      </c>
      <c r="AS344" s="39" t="str">
        <f>データ!P344</f>
        <v>エッジノート／真</v>
      </c>
      <c r="AT344" s="10" t="s">
        <v>1113</v>
      </c>
      <c r="AU344" s="39" t="str">
        <f>データ!Q344</f>
        <v>CB時に獲得ポイント中UP＆BPが中回復(3回)</v>
      </c>
      <c r="AV344" s="10" t="s">
        <v>1024</v>
      </c>
      <c r="AW344" s="40" t="s">
        <v>1324</v>
      </c>
      <c r="AX344" s="39" t="str">
        <f>データ!R344</f>
        <v>-</v>
      </c>
      <c r="AY344" s="10" t="s">
        <v>1113</v>
      </c>
      <c r="AZ344" s="39" t="str">
        <f>データ!S344</f>
        <v>　</v>
      </c>
      <c r="BA344" s="41" t="s">
        <v>1024</v>
      </c>
      <c r="BB344" s="40" t="s">
        <v>1319</v>
      </c>
      <c r="BC344" s="39" t="str">
        <f>データ!T344</f>
        <v>-</v>
      </c>
      <c r="BD344" s="41" t="s">
        <v>1024</v>
      </c>
      <c r="BE344" s="40" t="s">
        <v>1320</v>
      </c>
      <c r="BF344" s="39" t="str">
        <f>データ!U344</f>
        <v>-</v>
      </c>
      <c r="BG344" s="41" t="s">
        <v>1024</v>
      </c>
      <c r="BH344" s="40" t="s">
        <v>1319</v>
      </c>
      <c r="BI344" s="39" t="str">
        <f>データ!V344</f>
        <v>第8回統一報酬</v>
      </c>
      <c r="BJ344" s="41" t="s">
        <v>1024</v>
      </c>
      <c r="BK344" s="10" t="s">
        <v>1019</v>
      </c>
    </row>
    <row r="345" spans="1:63" x14ac:dyDescent="0.15">
      <c r="A345" s="10" t="s">
        <v>1016</v>
      </c>
      <c r="B345" s="10" t="s">
        <v>1454</v>
      </c>
      <c r="C345" s="38" t="str">
        <f>"./images/thumbnail/"&amp;データ!B345&amp;".jpg"</f>
        <v>./images/thumbnail/1605.jpg</v>
      </c>
      <c r="D345" s="38" t="s">
        <v>1455</v>
      </c>
      <c r="E345" s="38" t="str">
        <f>"./images/thumbnail/"&amp;データ!B345&amp;".jpg"</f>
        <v>./images/thumbnail/1605.jpg</v>
      </c>
      <c r="F345" s="38" t="s">
        <v>1116</v>
      </c>
      <c r="G345" s="38" t="s">
        <v>1319</v>
      </c>
      <c r="H345" s="38" t="str">
        <f>データ!C345</f>
        <v>シャルロ</v>
      </c>
      <c r="I345" s="38" t="s">
        <v>1024</v>
      </c>
      <c r="J345" s="38" t="s">
        <v>1320</v>
      </c>
      <c r="K345" s="38" t="str">
        <f>データ!D345</f>
        <v>SSR</v>
      </c>
      <c r="L345" s="38" t="s">
        <v>1024</v>
      </c>
      <c r="M345" s="38" t="s">
        <v>1321</v>
      </c>
      <c r="N345" s="38">
        <f>データ!E345</f>
        <v>13</v>
      </c>
      <c r="O345" s="38" t="s">
        <v>1024</v>
      </c>
      <c r="P345" s="38" t="s">
        <v>1319</v>
      </c>
      <c r="Q345" s="38" t="str">
        <f>データ!F345</f>
        <v>斬</v>
      </c>
      <c r="R345" s="38" t="s">
        <v>1024</v>
      </c>
      <c r="S345" s="38" t="s">
        <v>1319</v>
      </c>
      <c r="T345" s="39">
        <f>データ!G345</f>
        <v>15632</v>
      </c>
      <c r="U345" s="40" t="s">
        <v>1024</v>
      </c>
      <c r="V345" s="40" t="s">
        <v>1319</v>
      </c>
      <c r="W345" s="39">
        <f>データ!H345</f>
        <v>7188</v>
      </c>
      <c r="X345" s="40" t="s">
        <v>1024</v>
      </c>
      <c r="Y345" s="40" t="s">
        <v>1319</v>
      </c>
      <c r="Z345" s="39">
        <f>データ!I345</f>
        <v>5670</v>
      </c>
      <c r="AA345" s="40" t="s">
        <v>1024</v>
      </c>
      <c r="AB345" s="40" t="s">
        <v>1322</v>
      </c>
      <c r="AC345" s="39" t="str">
        <f>データ!J345</f>
        <v>A+</v>
      </c>
      <c r="AD345" s="38" t="s">
        <v>1024</v>
      </c>
      <c r="AE345" s="40" t="s">
        <v>1323</v>
      </c>
      <c r="AF345" s="39">
        <f>データ!K345</f>
        <v>28490</v>
      </c>
      <c r="AG345" s="40" t="s">
        <v>1024</v>
      </c>
      <c r="AH345" s="40" t="s">
        <v>1324</v>
      </c>
      <c r="AI345" s="39" t="str">
        <f>データ!L345</f>
        <v>対紫の突風／絶</v>
      </c>
      <c r="AJ345" s="10" t="s">
        <v>1113</v>
      </c>
      <c r="AK345" s="39" t="str">
        <f>データ!M345</f>
        <v>打に強く遠に弱い縦一列攻撃[大]</v>
      </c>
      <c r="AL345" s="10" t="s">
        <v>1024</v>
      </c>
      <c r="AM345" s="40" t="s">
        <v>1325</v>
      </c>
      <c r="AN345" s="39" t="str">
        <f>データ!N345</f>
        <v>-</v>
      </c>
      <c r="AO345" s="10" t="s">
        <v>1113</v>
      </c>
      <c r="AP345" s="39" t="str">
        <f>データ!O345</f>
        <v>　</v>
      </c>
      <c r="AQ345" s="41" t="s">
        <v>1024</v>
      </c>
      <c r="AR345" s="40" t="s">
        <v>1324</v>
      </c>
      <c r="AS345" s="39" t="str">
        <f>データ!P345</f>
        <v>エッジノート／真</v>
      </c>
      <c r="AT345" s="10" t="s">
        <v>1113</v>
      </c>
      <c r="AU345" s="39" t="str">
        <f>データ!Q345</f>
        <v>CB時に獲得ポイント中UP＆BPが中回復(3回)</v>
      </c>
      <c r="AV345" s="10" t="s">
        <v>1024</v>
      </c>
      <c r="AW345" s="40" t="s">
        <v>1324</v>
      </c>
      <c r="AX345" s="39" t="str">
        <f>データ!R345</f>
        <v>-</v>
      </c>
      <c r="AY345" s="10" t="s">
        <v>1113</v>
      </c>
      <c r="AZ345" s="39" t="str">
        <f>データ!S345</f>
        <v>　</v>
      </c>
      <c r="BA345" s="41" t="s">
        <v>1024</v>
      </c>
      <c r="BB345" s="40" t="s">
        <v>1319</v>
      </c>
      <c r="BC345" s="39" t="str">
        <f>データ!T345</f>
        <v>-</v>
      </c>
      <c r="BD345" s="41" t="s">
        <v>1024</v>
      </c>
      <c r="BE345" s="40" t="s">
        <v>1320</v>
      </c>
      <c r="BF345" s="39" t="str">
        <f>データ!U345</f>
        <v>-</v>
      </c>
      <c r="BG345" s="41" t="s">
        <v>1024</v>
      </c>
      <c r="BH345" s="40" t="s">
        <v>1319</v>
      </c>
      <c r="BI345" s="39" t="str">
        <f>データ!V345</f>
        <v>第8回統一報酬</v>
      </c>
      <c r="BJ345" s="41" t="s">
        <v>1024</v>
      </c>
      <c r="BK345" s="10" t="s">
        <v>1019</v>
      </c>
    </row>
    <row r="346" spans="1:63" x14ac:dyDescent="0.15">
      <c r="A346" s="10" t="s">
        <v>1016</v>
      </c>
      <c r="B346" s="10" t="s">
        <v>1454</v>
      </c>
      <c r="C346" s="38" t="str">
        <f>"./images/thumbnail/"&amp;データ!B346&amp;".jpg"</f>
        <v>./images/thumbnail/1606.jpg</v>
      </c>
      <c r="D346" s="38" t="s">
        <v>1455</v>
      </c>
      <c r="E346" s="38" t="str">
        <f>"./images/thumbnail/"&amp;データ!B346&amp;".jpg"</f>
        <v>./images/thumbnail/1606.jpg</v>
      </c>
      <c r="F346" s="38" t="s">
        <v>1116</v>
      </c>
      <c r="G346" s="38" t="s">
        <v>1319</v>
      </c>
      <c r="H346" s="38" t="str">
        <f>データ!C346</f>
        <v>シャルロ</v>
      </c>
      <c r="I346" s="38" t="s">
        <v>1024</v>
      </c>
      <c r="J346" s="38" t="s">
        <v>1320</v>
      </c>
      <c r="K346" s="38" t="str">
        <f>データ!D346</f>
        <v>UR</v>
      </c>
      <c r="L346" s="38" t="s">
        <v>1024</v>
      </c>
      <c r="M346" s="38" t="s">
        <v>1321</v>
      </c>
      <c r="N346" s="38">
        <f>データ!E346</f>
        <v>14</v>
      </c>
      <c r="O346" s="38" t="s">
        <v>1024</v>
      </c>
      <c r="P346" s="38" t="s">
        <v>1319</v>
      </c>
      <c r="Q346" s="38" t="str">
        <f>データ!F346</f>
        <v>斬</v>
      </c>
      <c r="R346" s="38" t="s">
        <v>1024</v>
      </c>
      <c r="S346" s="38" t="s">
        <v>1319</v>
      </c>
      <c r="T346" s="39">
        <f>データ!G346</f>
        <v>16504</v>
      </c>
      <c r="U346" s="40" t="s">
        <v>1024</v>
      </c>
      <c r="V346" s="40" t="s">
        <v>1319</v>
      </c>
      <c r="W346" s="39">
        <f>データ!H346</f>
        <v>7590</v>
      </c>
      <c r="X346" s="40" t="s">
        <v>1024</v>
      </c>
      <c r="Y346" s="40" t="s">
        <v>1319</v>
      </c>
      <c r="Z346" s="39">
        <f>データ!I346</f>
        <v>6977</v>
      </c>
      <c r="AA346" s="40" t="s">
        <v>1024</v>
      </c>
      <c r="AB346" s="40" t="s">
        <v>1322</v>
      </c>
      <c r="AC346" s="39" t="str">
        <f>データ!J346</f>
        <v>S</v>
      </c>
      <c r="AD346" s="38" t="s">
        <v>1024</v>
      </c>
      <c r="AE346" s="40" t="s">
        <v>1323</v>
      </c>
      <c r="AF346" s="39">
        <f>データ!K346</f>
        <v>31071</v>
      </c>
      <c r="AG346" s="40" t="s">
        <v>1024</v>
      </c>
      <c r="AH346" s="40" t="s">
        <v>1324</v>
      </c>
      <c r="AI346" s="39" t="str">
        <f>データ!L346</f>
        <v>対紫の突風／煌</v>
      </c>
      <c r="AJ346" s="10" t="s">
        <v>1113</v>
      </c>
      <c r="AK346" s="39" t="str">
        <f>データ!M346</f>
        <v>打に強く遠に弱い縦一列攻撃[特大]</v>
      </c>
      <c r="AL346" s="10" t="s">
        <v>1024</v>
      </c>
      <c r="AM346" s="40" t="s">
        <v>1325</v>
      </c>
      <c r="AN346" s="39" t="str">
        <f>データ!N346</f>
        <v>-</v>
      </c>
      <c r="AO346" s="10" t="s">
        <v>1113</v>
      </c>
      <c r="AP346" s="39" t="str">
        <f>データ!O346</f>
        <v>　</v>
      </c>
      <c r="AQ346" s="41" t="s">
        <v>1024</v>
      </c>
      <c r="AR346" s="40" t="s">
        <v>1324</v>
      </c>
      <c r="AS346" s="39" t="str">
        <f>データ!P346</f>
        <v>エッジノート／絶</v>
      </c>
      <c r="AT346" s="10" t="s">
        <v>1113</v>
      </c>
      <c r="AU346" s="39" t="str">
        <f>データ!Q346</f>
        <v>CB時に獲得ポイント大UP＆BPが大回復(3回)</v>
      </c>
      <c r="AV346" s="10" t="s">
        <v>1024</v>
      </c>
      <c r="AW346" s="40" t="s">
        <v>1324</v>
      </c>
      <c r="AX346" s="39" t="str">
        <f>データ!R346</f>
        <v>-</v>
      </c>
      <c r="AY346" s="10" t="s">
        <v>1113</v>
      </c>
      <c r="AZ346" s="39" t="str">
        <f>データ!S346</f>
        <v>　</v>
      </c>
      <c r="BA346" s="41" t="s">
        <v>1024</v>
      </c>
      <c r="BB346" s="40" t="s">
        <v>1319</v>
      </c>
      <c r="BC346" s="39" t="str">
        <f>データ!T346</f>
        <v>-</v>
      </c>
      <c r="BD346" s="41" t="s">
        <v>1024</v>
      </c>
      <c r="BE346" s="40" t="s">
        <v>1320</v>
      </c>
      <c r="BF346" s="39" t="str">
        <f>データ!U346</f>
        <v>-</v>
      </c>
      <c r="BG346" s="41" t="s">
        <v>1024</v>
      </c>
      <c r="BH346" s="40" t="s">
        <v>1319</v>
      </c>
      <c r="BI346" s="39" t="str">
        <f>データ!V346</f>
        <v>第8回統一報酬</v>
      </c>
      <c r="BJ346" s="41" t="s">
        <v>1024</v>
      </c>
      <c r="BK346" s="10" t="s">
        <v>1019</v>
      </c>
    </row>
    <row r="347" spans="1:63" x14ac:dyDescent="0.15">
      <c r="A347" s="10" t="s">
        <v>1016</v>
      </c>
      <c r="B347" s="10" t="s">
        <v>1454</v>
      </c>
      <c r="C347" s="38" t="str">
        <f>"./images/thumbnail/"&amp;データ!B347&amp;".jpg"</f>
        <v>./images/thumbnail/1608.jpg</v>
      </c>
      <c r="D347" s="38" t="s">
        <v>1455</v>
      </c>
      <c r="E347" s="38" t="str">
        <f>"./images/thumbnail/"&amp;データ!B347&amp;".jpg"</f>
        <v>./images/thumbnail/1608.jpg</v>
      </c>
      <c r="F347" s="38" t="s">
        <v>1116</v>
      </c>
      <c r="G347" s="38" t="s">
        <v>1319</v>
      </c>
      <c r="H347" s="38" t="str">
        <f>データ!C347</f>
        <v>メビウス</v>
      </c>
      <c r="I347" s="38" t="s">
        <v>1024</v>
      </c>
      <c r="J347" s="38" t="s">
        <v>1320</v>
      </c>
      <c r="K347" s="38" t="str">
        <f>データ!D347</f>
        <v>UR</v>
      </c>
      <c r="L347" s="38" t="s">
        <v>1024</v>
      </c>
      <c r="M347" s="38" t="s">
        <v>1321</v>
      </c>
      <c r="N347" s="38">
        <f>データ!E347</f>
        <v>14</v>
      </c>
      <c r="O347" s="38" t="s">
        <v>1024</v>
      </c>
      <c r="P347" s="38" t="s">
        <v>1319</v>
      </c>
      <c r="Q347" s="38" t="str">
        <f>データ!F347</f>
        <v>斬</v>
      </c>
      <c r="R347" s="38" t="s">
        <v>1024</v>
      </c>
      <c r="S347" s="38" t="s">
        <v>1319</v>
      </c>
      <c r="T347" s="39">
        <f>データ!G347</f>
        <v>17646</v>
      </c>
      <c r="U347" s="40" t="s">
        <v>1024</v>
      </c>
      <c r="V347" s="40" t="s">
        <v>1319</v>
      </c>
      <c r="W347" s="39">
        <f>データ!H347</f>
        <v>8113</v>
      </c>
      <c r="X347" s="40" t="s">
        <v>1024</v>
      </c>
      <c r="Y347" s="40" t="s">
        <v>1319</v>
      </c>
      <c r="Z347" s="39">
        <f>データ!I347</f>
        <v>6197</v>
      </c>
      <c r="AA347" s="40" t="s">
        <v>1024</v>
      </c>
      <c r="AB347" s="40" t="s">
        <v>1322</v>
      </c>
      <c r="AC347" s="39" t="str">
        <f>データ!J347</f>
        <v>S</v>
      </c>
      <c r="AD347" s="38" t="s">
        <v>1024</v>
      </c>
      <c r="AE347" s="40" t="s">
        <v>1323</v>
      </c>
      <c r="AF347" s="39">
        <f>データ!K347</f>
        <v>31956</v>
      </c>
      <c r="AG347" s="40" t="s">
        <v>1024</v>
      </c>
      <c r="AH347" s="40" t="s">
        <v>1324</v>
      </c>
      <c r="AI347" s="39" t="str">
        <f>データ!L347</f>
        <v>斬紅の神威</v>
      </c>
      <c r="AJ347" s="10" t="s">
        <v>1113</v>
      </c>
      <c r="AK347" s="39" t="str">
        <f>データ!M347</f>
        <v>味方斬属性の攻撃力をUP[特大]</v>
      </c>
      <c r="AL347" s="10" t="s">
        <v>1024</v>
      </c>
      <c r="AM347" s="40" t="s">
        <v>1325</v>
      </c>
      <c r="AN347" s="39" t="str">
        <f>データ!N347</f>
        <v>-</v>
      </c>
      <c r="AO347" s="10" t="s">
        <v>1113</v>
      </c>
      <c r="AP347" s="39" t="str">
        <f>データ!O347</f>
        <v>　</v>
      </c>
      <c r="AQ347" s="41" t="s">
        <v>1024</v>
      </c>
      <c r="AR347" s="40" t="s">
        <v>1324</v>
      </c>
      <c r="AS347" s="39" t="str">
        <f>データ!P347</f>
        <v>シャドウ／真</v>
      </c>
      <c r="AT347" s="10" t="s">
        <v>1113</v>
      </c>
      <c r="AU347" s="39" t="str">
        <f>データ!Q347</f>
        <v>バトル時の強襲CB率が中UP(3分間)</v>
      </c>
      <c r="AV347" s="10" t="s">
        <v>1024</v>
      </c>
      <c r="AW347" s="40" t="s">
        <v>1324</v>
      </c>
      <c r="AX347" s="39" t="str">
        <f>データ!R347</f>
        <v>-</v>
      </c>
      <c r="AY347" s="10" t="s">
        <v>1113</v>
      </c>
      <c r="AZ347" s="39" t="str">
        <f>データ!S347</f>
        <v>　</v>
      </c>
      <c r="BA347" s="41" t="s">
        <v>1024</v>
      </c>
      <c r="BB347" s="40" t="s">
        <v>1319</v>
      </c>
      <c r="BC347" s="39" t="str">
        <f>データ!T347</f>
        <v>-</v>
      </c>
      <c r="BD347" s="41" t="s">
        <v>1024</v>
      </c>
      <c r="BE347" s="40" t="s">
        <v>1320</v>
      </c>
      <c r="BF347" s="39" t="str">
        <f>データ!U347</f>
        <v>-</v>
      </c>
      <c r="BG347" s="41" t="s">
        <v>1024</v>
      </c>
      <c r="BH347" s="40" t="s">
        <v>1319</v>
      </c>
      <c r="BI347" s="39" t="str">
        <f>データ!V347</f>
        <v>常設</v>
      </c>
      <c r="BJ347" s="41" t="s">
        <v>1024</v>
      </c>
      <c r="BK347" s="10" t="s">
        <v>1019</v>
      </c>
    </row>
    <row r="348" spans="1:63" x14ac:dyDescent="0.15">
      <c r="A348" s="10" t="s">
        <v>1016</v>
      </c>
      <c r="B348" s="10" t="s">
        <v>1454</v>
      </c>
      <c r="C348" s="38" t="str">
        <f>"./images/thumbnail/"&amp;データ!B348&amp;".jpg"</f>
        <v>./images/thumbnail/1610.jpg</v>
      </c>
      <c r="D348" s="38" t="s">
        <v>1455</v>
      </c>
      <c r="E348" s="38" t="str">
        <f>"./images/thumbnail/"&amp;データ!B348&amp;".jpg"</f>
        <v>./images/thumbnail/1610.jpg</v>
      </c>
      <c r="F348" s="38" t="s">
        <v>1116</v>
      </c>
      <c r="G348" s="38" t="s">
        <v>1319</v>
      </c>
      <c r="H348" s="38" t="str">
        <f>データ!C348</f>
        <v>シグマ</v>
      </c>
      <c r="I348" s="38" t="s">
        <v>1024</v>
      </c>
      <c r="J348" s="38" t="s">
        <v>1320</v>
      </c>
      <c r="K348" s="38" t="str">
        <f>データ!D348</f>
        <v>UR</v>
      </c>
      <c r="L348" s="38" t="s">
        <v>1024</v>
      </c>
      <c r="M348" s="38" t="s">
        <v>1321</v>
      </c>
      <c r="N348" s="38">
        <f>データ!E348</f>
        <v>14</v>
      </c>
      <c r="O348" s="38" t="s">
        <v>1024</v>
      </c>
      <c r="P348" s="38" t="s">
        <v>1319</v>
      </c>
      <c r="Q348" s="38" t="str">
        <f>データ!F348</f>
        <v>突</v>
      </c>
      <c r="R348" s="38" t="s">
        <v>1024</v>
      </c>
      <c r="S348" s="38" t="s">
        <v>1319</v>
      </c>
      <c r="T348" s="39">
        <f>データ!G348</f>
        <v>18971</v>
      </c>
      <c r="U348" s="40" t="s">
        <v>1024</v>
      </c>
      <c r="V348" s="40" t="s">
        <v>1319</v>
      </c>
      <c r="W348" s="39">
        <f>データ!H348</f>
        <v>5977</v>
      </c>
      <c r="X348" s="40" t="s">
        <v>1024</v>
      </c>
      <c r="Y348" s="40" t="s">
        <v>1319</v>
      </c>
      <c r="Z348" s="39">
        <f>データ!I348</f>
        <v>6569</v>
      </c>
      <c r="AA348" s="40" t="s">
        <v>1024</v>
      </c>
      <c r="AB348" s="40" t="s">
        <v>1322</v>
      </c>
      <c r="AC348" s="39" t="str">
        <f>データ!J348</f>
        <v>SS3</v>
      </c>
      <c r="AD348" s="38" t="s">
        <v>1024</v>
      </c>
      <c r="AE348" s="40" t="s">
        <v>1323</v>
      </c>
      <c r="AF348" s="39">
        <f>データ!K348</f>
        <v>31517</v>
      </c>
      <c r="AG348" s="40" t="s">
        <v>1024</v>
      </c>
      <c r="AH348" s="40" t="s">
        <v>1324</v>
      </c>
      <c r="AI348" s="39" t="str">
        <f>データ!L348</f>
        <v>対紫の薙風／煌</v>
      </c>
      <c r="AJ348" s="10" t="s">
        <v>1113</v>
      </c>
      <c r="AK348" s="39" t="str">
        <f>データ!M348</f>
        <v>打に強く遠に弱い横一列攻撃[特大]</v>
      </c>
      <c r="AL348" s="10" t="s">
        <v>1024</v>
      </c>
      <c r="AM348" s="40" t="s">
        <v>1325</v>
      </c>
      <c r="AN348" s="39" t="str">
        <f>データ!N348</f>
        <v>-</v>
      </c>
      <c r="AO348" s="10" t="s">
        <v>1113</v>
      </c>
      <c r="AP348" s="39" t="str">
        <f>データ!O348</f>
        <v>　</v>
      </c>
      <c r="AQ348" s="41" t="s">
        <v>1024</v>
      </c>
      <c r="AR348" s="40" t="s">
        <v>1324</v>
      </c>
      <c r="AS348" s="39" t="str">
        <f>データ!P348</f>
        <v>ランページ／絶</v>
      </c>
      <c r="AT348" s="10" t="s">
        <v>1113</v>
      </c>
      <c r="AU348" s="39" t="str">
        <f>データ!Q348</f>
        <v>バトルで獲得する騎士団戦スコアが大アップ(3分間)</v>
      </c>
      <c r="AV348" s="10" t="s">
        <v>1024</v>
      </c>
      <c r="AW348" s="40" t="s">
        <v>1324</v>
      </c>
      <c r="AX348" s="39" t="str">
        <f>データ!R348</f>
        <v>-</v>
      </c>
      <c r="AY348" s="10" t="s">
        <v>1113</v>
      </c>
      <c r="AZ348" s="39" t="str">
        <f>データ!S348</f>
        <v>　</v>
      </c>
      <c r="BA348" s="41" t="s">
        <v>1024</v>
      </c>
      <c r="BB348" s="40" t="s">
        <v>1319</v>
      </c>
      <c r="BC348" s="39" t="str">
        <f>データ!T348</f>
        <v>-</v>
      </c>
      <c r="BD348" s="41" t="s">
        <v>1024</v>
      </c>
      <c r="BE348" s="40" t="s">
        <v>1320</v>
      </c>
      <c r="BF348" s="39" t="str">
        <f>データ!U348</f>
        <v>-</v>
      </c>
      <c r="BG348" s="41" t="s">
        <v>1024</v>
      </c>
      <c r="BH348" s="40" t="s">
        <v>1319</v>
      </c>
      <c r="BI348" s="39" t="str">
        <f>データ!V348</f>
        <v>常設</v>
      </c>
      <c r="BJ348" s="41" t="s">
        <v>1024</v>
      </c>
      <c r="BK348" s="10" t="s">
        <v>1019</v>
      </c>
    </row>
    <row r="349" spans="1:63" x14ac:dyDescent="0.15">
      <c r="A349" s="10" t="s">
        <v>1016</v>
      </c>
      <c r="B349" s="10" t="s">
        <v>1454</v>
      </c>
      <c r="C349" s="38" t="str">
        <f>"./images/thumbnail/"&amp;データ!B349&amp;".jpg"</f>
        <v>./images/thumbnail/1612.jpg</v>
      </c>
      <c r="D349" s="38" t="s">
        <v>1455</v>
      </c>
      <c r="E349" s="38" t="str">
        <f>"./images/thumbnail/"&amp;データ!B349&amp;".jpg"</f>
        <v>./images/thumbnail/1612.jpg</v>
      </c>
      <c r="F349" s="38" t="s">
        <v>1116</v>
      </c>
      <c r="G349" s="38" t="s">
        <v>1319</v>
      </c>
      <c r="H349" s="38" t="str">
        <f>データ!C349</f>
        <v>ノーラン</v>
      </c>
      <c r="I349" s="38" t="s">
        <v>1024</v>
      </c>
      <c r="J349" s="38" t="s">
        <v>1320</v>
      </c>
      <c r="K349" s="38" t="str">
        <f>データ!D349</f>
        <v>SSR</v>
      </c>
      <c r="L349" s="38" t="s">
        <v>1024</v>
      </c>
      <c r="M349" s="38" t="s">
        <v>1321</v>
      </c>
      <c r="N349" s="38">
        <f>データ!E349</f>
        <v>13</v>
      </c>
      <c r="O349" s="38" t="s">
        <v>1024</v>
      </c>
      <c r="P349" s="38" t="s">
        <v>1319</v>
      </c>
      <c r="Q349" s="38" t="str">
        <f>データ!F349</f>
        <v>打</v>
      </c>
      <c r="R349" s="38" t="s">
        <v>1024</v>
      </c>
      <c r="S349" s="38" t="s">
        <v>1319</v>
      </c>
      <c r="T349" s="39">
        <f>データ!G349</f>
        <v>18998</v>
      </c>
      <c r="U349" s="40" t="s">
        <v>1024</v>
      </c>
      <c r="V349" s="40" t="s">
        <v>1319</v>
      </c>
      <c r="W349" s="39">
        <f>データ!H349</f>
        <v>6213</v>
      </c>
      <c r="X349" s="40" t="s">
        <v>1024</v>
      </c>
      <c r="Y349" s="40" t="s">
        <v>1319</v>
      </c>
      <c r="Z349" s="39">
        <f>データ!I349</f>
        <v>6784</v>
      </c>
      <c r="AA349" s="40" t="s">
        <v>1024</v>
      </c>
      <c r="AB349" s="40" t="s">
        <v>1322</v>
      </c>
      <c r="AC349" s="39" t="str">
        <f>データ!J349</f>
        <v>A-</v>
      </c>
      <c r="AD349" s="38" t="s">
        <v>1024</v>
      </c>
      <c r="AE349" s="40" t="s">
        <v>1323</v>
      </c>
      <c r="AF349" s="39">
        <f>データ!K349</f>
        <v>31995</v>
      </c>
      <c r="AG349" s="40" t="s">
        <v>1024</v>
      </c>
      <c r="AH349" s="40" t="s">
        <v>1324</v>
      </c>
      <c r="AI349" s="39" t="str">
        <f>データ!L349</f>
        <v>地幻光の交叉線／絶</v>
      </c>
      <c r="AJ349" s="10" t="s">
        <v>1113</v>
      </c>
      <c r="AK349" s="39" t="str">
        <f>データ!M349</f>
        <v>X字型攻撃[大]自分の防御力UP[大]</v>
      </c>
      <c r="AL349" s="10" t="s">
        <v>1024</v>
      </c>
      <c r="AM349" s="40" t="s">
        <v>1325</v>
      </c>
      <c r="AN349" s="39" t="str">
        <f>データ!N349</f>
        <v>-</v>
      </c>
      <c r="AO349" s="10" t="s">
        <v>1113</v>
      </c>
      <c r="AP349" s="39" t="str">
        <f>データ!O349</f>
        <v>　</v>
      </c>
      <c r="AQ349" s="41" t="s">
        <v>1024</v>
      </c>
      <c r="AR349" s="40" t="s">
        <v>1324</v>
      </c>
      <c r="AS349" s="39" t="str">
        <f>データ!P349</f>
        <v>ポイントライズ／真</v>
      </c>
      <c r="AT349" s="10" t="s">
        <v>1113</v>
      </c>
      <c r="AU349" s="39" t="str">
        <f>データ!Q349</f>
        <v>獲得する騎士団戦スコアが中アップ(バトル3回)</v>
      </c>
      <c r="AV349" s="10" t="s">
        <v>1024</v>
      </c>
      <c r="AW349" s="40" t="s">
        <v>1324</v>
      </c>
      <c r="AX349" s="39" t="str">
        <f>データ!R349</f>
        <v>-</v>
      </c>
      <c r="AY349" s="10" t="s">
        <v>1113</v>
      </c>
      <c r="AZ349" s="39" t="str">
        <f>データ!S349</f>
        <v>　</v>
      </c>
      <c r="BA349" s="41" t="s">
        <v>1024</v>
      </c>
      <c r="BB349" s="40" t="s">
        <v>1319</v>
      </c>
      <c r="BC349" s="39" t="str">
        <f>データ!T349</f>
        <v>-</v>
      </c>
      <c r="BD349" s="41" t="s">
        <v>1024</v>
      </c>
      <c r="BE349" s="40" t="s">
        <v>1320</v>
      </c>
      <c r="BF349" s="39" t="str">
        <f>データ!U349</f>
        <v>-</v>
      </c>
      <c r="BG349" s="41" t="s">
        <v>1024</v>
      </c>
      <c r="BH349" s="40" t="s">
        <v>1319</v>
      </c>
      <c r="BI349" s="39" t="str">
        <f>データ!V349</f>
        <v>常設</v>
      </c>
      <c r="BJ349" s="41" t="s">
        <v>1024</v>
      </c>
      <c r="BK349" s="10" t="s">
        <v>1019</v>
      </c>
    </row>
    <row r="350" spans="1:63" x14ac:dyDescent="0.15">
      <c r="A350" s="10" t="s">
        <v>1016</v>
      </c>
      <c r="B350" s="10" t="s">
        <v>1454</v>
      </c>
      <c r="C350" s="38" t="str">
        <f>"./images/thumbnail/"&amp;データ!B350&amp;".jpg"</f>
        <v>./images/thumbnail/1614.jpg</v>
      </c>
      <c r="D350" s="38" t="s">
        <v>1455</v>
      </c>
      <c r="E350" s="38" t="str">
        <f>"./images/thumbnail/"&amp;データ!B350&amp;".jpg"</f>
        <v>./images/thumbnail/1614.jpg</v>
      </c>
      <c r="F350" s="38" t="s">
        <v>1116</v>
      </c>
      <c r="G350" s="38" t="s">
        <v>1319</v>
      </c>
      <c r="H350" s="38" t="str">
        <f>データ!C350</f>
        <v>ジャンヌ</v>
      </c>
      <c r="I350" s="38" t="s">
        <v>1024</v>
      </c>
      <c r="J350" s="38" t="s">
        <v>1320</v>
      </c>
      <c r="K350" s="38" t="str">
        <f>データ!D350</f>
        <v>SSR</v>
      </c>
      <c r="L350" s="38" t="s">
        <v>1024</v>
      </c>
      <c r="M350" s="38" t="s">
        <v>1321</v>
      </c>
      <c r="N350" s="38">
        <f>データ!E350</f>
        <v>13</v>
      </c>
      <c r="O350" s="38" t="s">
        <v>1024</v>
      </c>
      <c r="P350" s="38" t="s">
        <v>1319</v>
      </c>
      <c r="Q350" s="38" t="str">
        <f>データ!F350</f>
        <v>遠</v>
      </c>
      <c r="R350" s="38" t="s">
        <v>1024</v>
      </c>
      <c r="S350" s="38" t="s">
        <v>1319</v>
      </c>
      <c r="T350" s="39">
        <f>データ!G350</f>
        <v>18813</v>
      </c>
      <c r="U350" s="40" t="s">
        <v>1024</v>
      </c>
      <c r="V350" s="40" t="s">
        <v>1319</v>
      </c>
      <c r="W350" s="39">
        <f>データ!H350</f>
        <v>6566</v>
      </c>
      <c r="X350" s="40" t="s">
        <v>1024</v>
      </c>
      <c r="Y350" s="40" t="s">
        <v>1319</v>
      </c>
      <c r="Z350" s="39">
        <f>データ!I350</f>
        <v>4325</v>
      </c>
      <c r="AA350" s="40" t="s">
        <v>1024</v>
      </c>
      <c r="AB350" s="40" t="s">
        <v>1322</v>
      </c>
      <c r="AC350" s="39" t="str">
        <f>データ!J350</f>
        <v>S-</v>
      </c>
      <c r="AD350" s="38" t="s">
        <v>1024</v>
      </c>
      <c r="AE350" s="40" t="s">
        <v>1323</v>
      </c>
      <c r="AF350" s="39">
        <f>データ!K350</f>
        <v>29704</v>
      </c>
      <c r="AG350" s="40" t="s">
        <v>1024</v>
      </c>
      <c r="AH350" s="40" t="s">
        <v>1324</v>
      </c>
      <c r="AI350" s="39" t="str">
        <f>データ!L350</f>
        <v>天魔幻の閃光／絶</v>
      </c>
      <c r="AJ350" s="10" t="s">
        <v>1113</v>
      </c>
      <c r="AK350" s="39" t="str">
        <f>データ!M350</f>
        <v>縦一列攻撃[大]自分の攻撃力UP[大]</v>
      </c>
      <c r="AL350" s="10" t="s">
        <v>1024</v>
      </c>
      <c r="AM350" s="40" t="s">
        <v>1325</v>
      </c>
      <c r="AN350" s="39" t="str">
        <f>データ!N350</f>
        <v>-</v>
      </c>
      <c r="AO350" s="10" t="s">
        <v>1113</v>
      </c>
      <c r="AP350" s="39" t="str">
        <f>データ!O350</f>
        <v>　</v>
      </c>
      <c r="AQ350" s="41" t="s">
        <v>1024</v>
      </c>
      <c r="AR350" s="40" t="s">
        <v>1324</v>
      </c>
      <c r="AS350" s="39" t="str">
        <f>データ!P350</f>
        <v>エースオーダー</v>
      </c>
      <c r="AT350" s="10" t="s">
        <v>1113</v>
      </c>
      <c r="AU350" s="39" t="str">
        <f>データ!Q350</f>
        <v>騎士団全体の攻・防が小UP(3分間)</v>
      </c>
      <c r="AV350" s="10" t="s">
        <v>1024</v>
      </c>
      <c r="AW350" s="40" t="s">
        <v>1324</v>
      </c>
      <c r="AX350" s="39" t="str">
        <f>データ!R350</f>
        <v>-</v>
      </c>
      <c r="AY350" s="10" t="s">
        <v>1113</v>
      </c>
      <c r="AZ350" s="39" t="str">
        <f>データ!S350</f>
        <v>　</v>
      </c>
      <c r="BA350" s="41" t="s">
        <v>1024</v>
      </c>
      <c r="BB350" s="40" t="s">
        <v>1319</v>
      </c>
      <c r="BC350" s="39" t="str">
        <f>データ!T350</f>
        <v>-</v>
      </c>
      <c r="BD350" s="41" t="s">
        <v>1024</v>
      </c>
      <c r="BE350" s="40" t="s">
        <v>1320</v>
      </c>
      <c r="BF350" s="39" t="str">
        <f>データ!U350</f>
        <v>-</v>
      </c>
      <c r="BG350" s="41" t="s">
        <v>1024</v>
      </c>
      <c r="BH350" s="40" t="s">
        <v>1319</v>
      </c>
      <c r="BI350" s="39" t="str">
        <f>データ!V350</f>
        <v>常設</v>
      </c>
      <c r="BJ350" s="41" t="s">
        <v>1024</v>
      </c>
      <c r="BK350" s="10" t="s">
        <v>1019</v>
      </c>
    </row>
    <row r="351" spans="1:63" x14ac:dyDescent="0.15">
      <c r="A351" s="10" t="s">
        <v>1016</v>
      </c>
      <c r="B351" s="10" t="s">
        <v>1454</v>
      </c>
      <c r="C351" s="38" t="str">
        <f>"./images/thumbnail/"&amp;データ!B351&amp;".jpg"</f>
        <v>./images/thumbnail/1615.jpg</v>
      </c>
      <c r="D351" s="38" t="s">
        <v>1455</v>
      </c>
      <c r="E351" s="38" t="str">
        <f>"./images/thumbnail/"&amp;データ!B351&amp;".jpg"</f>
        <v>./images/thumbnail/1615.jpg</v>
      </c>
      <c r="F351" s="38" t="s">
        <v>1116</v>
      </c>
      <c r="G351" s="38" t="s">
        <v>1319</v>
      </c>
      <c r="H351" s="38" t="str">
        <f>データ!C351</f>
        <v>ディミトリ</v>
      </c>
      <c r="I351" s="38" t="s">
        <v>1024</v>
      </c>
      <c r="J351" s="38" t="s">
        <v>1320</v>
      </c>
      <c r="K351" s="38" t="str">
        <f>データ!D351</f>
        <v>SSR</v>
      </c>
      <c r="L351" s="38" t="s">
        <v>1024</v>
      </c>
      <c r="M351" s="38" t="s">
        <v>1321</v>
      </c>
      <c r="N351" s="38">
        <f>データ!E351</f>
        <v>13</v>
      </c>
      <c r="O351" s="38" t="s">
        <v>1024</v>
      </c>
      <c r="P351" s="38" t="s">
        <v>1319</v>
      </c>
      <c r="Q351" s="38" t="str">
        <f>データ!F351</f>
        <v>突</v>
      </c>
      <c r="R351" s="38" t="s">
        <v>1024</v>
      </c>
      <c r="S351" s="38" t="s">
        <v>1319</v>
      </c>
      <c r="T351" s="39">
        <f>データ!G351</f>
        <v>16379</v>
      </c>
      <c r="U351" s="40" t="s">
        <v>1024</v>
      </c>
      <c r="V351" s="40" t="s">
        <v>1319</v>
      </c>
      <c r="W351" s="39">
        <f>データ!H351</f>
        <v>5646</v>
      </c>
      <c r="X351" s="40" t="s">
        <v>1024</v>
      </c>
      <c r="Y351" s="40" t="s">
        <v>1319</v>
      </c>
      <c r="Z351" s="39">
        <f>データ!I351</f>
        <v>6204</v>
      </c>
      <c r="AA351" s="40" t="s">
        <v>1024</v>
      </c>
      <c r="AB351" s="40" t="s">
        <v>1322</v>
      </c>
      <c r="AC351" s="39" t="str">
        <f>データ!J351</f>
        <v>SS-</v>
      </c>
      <c r="AD351" s="38" t="s">
        <v>1024</v>
      </c>
      <c r="AE351" s="40" t="s">
        <v>1323</v>
      </c>
      <c r="AF351" s="39">
        <f>データ!K351</f>
        <v>28229</v>
      </c>
      <c r="AG351" s="40" t="s">
        <v>1024</v>
      </c>
      <c r="AH351" s="40" t="s">
        <v>1324</v>
      </c>
      <c r="AI351" s="39" t="str">
        <f>データ!L351</f>
        <v>強奪者の雷／絶</v>
      </c>
      <c r="AJ351" s="10" t="s">
        <v>1113</v>
      </c>
      <c r="AK351" s="39" t="str">
        <f>データ!M351</f>
        <v>単体攻撃（宝箱優先／追加ダメージ）[大]</v>
      </c>
      <c r="AL351" s="10" t="s">
        <v>1024</v>
      </c>
      <c r="AM351" s="40" t="s">
        <v>1325</v>
      </c>
      <c r="AN351" s="39" t="str">
        <f>データ!N351</f>
        <v>-</v>
      </c>
      <c r="AO351" s="10" t="s">
        <v>1113</v>
      </c>
      <c r="AP351" s="39" t="str">
        <f>データ!O351</f>
        <v>　</v>
      </c>
      <c r="AQ351" s="41" t="s">
        <v>1024</v>
      </c>
      <c r="AR351" s="40" t="s">
        <v>1324</v>
      </c>
      <c r="AS351" s="39" t="str">
        <f>データ!P351</f>
        <v>フォートレス／真</v>
      </c>
      <c r="AT351" s="10" t="s">
        <v>1113</v>
      </c>
      <c r="AU351" s="39" t="str">
        <f>データ!Q351</f>
        <v>パーティ全体の防御力が中UP(3分間)</v>
      </c>
      <c r="AV351" s="10" t="s">
        <v>1024</v>
      </c>
      <c r="AW351" s="40" t="s">
        <v>1324</v>
      </c>
      <c r="AX351" s="39" t="str">
        <f>データ!R351</f>
        <v>-</v>
      </c>
      <c r="AY351" s="10" t="s">
        <v>1113</v>
      </c>
      <c r="AZ351" s="39" t="str">
        <f>データ!S351</f>
        <v>　</v>
      </c>
      <c r="BA351" s="41" t="s">
        <v>1024</v>
      </c>
      <c r="BB351" s="40" t="s">
        <v>1319</v>
      </c>
      <c r="BC351" s="39" t="str">
        <f>データ!T351</f>
        <v>-</v>
      </c>
      <c r="BD351" s="41" t="s">
        <v>1024</v>
      </c>
      <c r="BE351" s="40" t="s">
        <v>1320</v>
      </c>
      <c r="BF351" s="39" t="str">
        <f>データ!U351</f>
        <v>-</v>
      </c>
      <c r="BG351" s="41" t="s">
        <v>1024</v>
      </c>
      <c r="BH351" s="40" t="s">
        <v>1319</v>
      </c>
      <c r="BI351" s="39" t="str">
        <f>データ!V351</f>
        <v>誓いイベ</v>
      </c>
      <c r="BJ351" s="41" t="s">
        <v>1024</v>
      </c>
      <c r="BK351" s="10" t="s">
        <v>1019</v>
      </c>
    </row>
    <row r="352" spans="1:63" x14ac:dyDescent="0.15">
      <c r="A352" s="10" t="s">
        <v>1016</v>
      </c>
      <c r="B352" s="10" t="s">
        <v>1454</v>
      </c>
      <c r="C352" s="38" t="str">
        <f>"./images/thumbnail/"&amp;データ!B352&amp;".jpg"</f>
        <v>./images/thumbnail/1617.jpg</v>
      </c>
      <c r="D352" s="38" t="s">
        <v>1455</v>
      </c>
      <c r="E352" s="38" t="str">
        <f>"./images/thumbnail/"&amp;データ!B352&amp;".jpg"</f>
        <v>./images/thumbnail/1617.jpg</v>
      </c>
      <c r="F352" s="38" t="s">
        <v>1116</v>
      </c>
      <c r="G352" s="38" t="s">
        <v>1319</v>
      </c>
      <c r="H352" s="38" t="str">
        <f>データ!C352</f>
        <v>スイ</v>
      </c>
      <c r="I352" s="38" t="s">
        <v>1024</v>
      </c>
      <c r="J352" s="38" t="s">
        <v>1320</v>
      </c>
      <c r="K352" s="38" t="str">
        <f>データ!D352</f>
        <v>UR</v>
      </c>
      <c r="L352" s="38" t="s">
        <v>1024</v>
      </c>
      <c r="M352" s="38" t="s">
        <v>1321</v>
      </c>
      <c r="N352" s="38">
        <f>データ!E352</f>
        <v>14</v>
      </c>
      <c r="O352" s="38" t="s">
        <v>1024</v>
      </c>
      <c r="P352" s="38" t="s">
        <v>1319</v>
      </c>
      <c r="Q352" s="38" t="str">
        <f>データ!F352</f>
        <v>斬</v>
      </c>
      <c r="R352" s="38" t="s">
        <v>1024</v>
      </c>
      <c r="S352" s="38" t="s">
        <v>1319</v>
      </c>
      <c r="T352" s="39">
        <f>データ!G352</f>
        <v>16877</v>
      </c>
      <c r="U352" s="40" t="s">
        <v>1024</v>
      </c>
      <c r="V352" s="40" t="s">
        <v>1319</v>
      </c>
      <c r="W352" s="39">
        <f>データ!H352</f>
        <v>7824</v>
      </c>
      <c r="X352" s="40" t="s">
        <v>1024</v>
      </c>
      <c r="Y352" s="40" t="s">
        <v>1319</v>
      </c>
      <c r="Z352" s="39">
        <f>データ!I352</f>
        <v>6753</v>
      </c>
      <c r="AA352" s="40" t="s">
        <v>1024</v>
      </c>
      <c r="AB352" s="40" t="s">
        <v>1322</v>
      </c>
      <c r="AC352" s="39" t="str">
        <f>データ!J352</f>
        <v>S</v>
      </c>
      <c r="AD352" s="38" t="s">
        <v>1024</v>
      </c>
      <c r="AE352" s="40" t="s">
        <v>1323</v>
      </c>
      <c r="AF352" s="39">
        <f>データ!K352</f>
        <v>31454</v>
      </c>
      <c r="AG352" s="40" t="s">
        <v>1024</v>
      </c>
      <c r="AH352" s="40" t="s">
        <v>1324</v>
      </c>
      <c r="AI352" s="39" t="str">
        <f>データ!L352</f>
        <v>地焔幻の一閃／煌</v>
      </c>
      <c r="AJ352" s="10" t="s">
        <v>1113</v>
      </c>
      <c r="AK352" s="39" t="str">
        <f>データ!M352</f>
        <v>横一列攻撃[特大]自分の防御力UP[特大]</v>
      </c>
      <c r="AL352" s="10" t="s">
        <v>1024</v>
      </c>
      <c r="AM352" s="40" t="s">
        <v>1325</v>
      </c>
      <c r="AN352" s="39" t="str">
        <f>データ!N352</f>
        <v>-</v>
      </c>
      <c r="AO352" s="10" t="s">
        <v>1113</v>
      </c>
      <c r="AP352" s="39" t="str">
        <f>データ!O352</f>
        <v>　</v>
      </c>
      <c r="AQ352" s="41" t="s">
        <v>1024</v>
      </c>
      <c r="AR352" s="40" t="s">
        <v>1324</v>
      </c>
      <c r="AS352" s="39" t="str">
        <f>データ!P352</f>
        <v>カーズ／真</v>
      </c>
      <c r="AT352" s="10" t="s">
        <v>1113</v>
      </c>
      <c r="AU352" s="39" t="str">
        <f>データ!Q352</f>
        <v>対戦騎士団全体のスキル発動率が中DOWN(3分間)</v>
      </c>
      <c r="AV352" s="10" t="s">
        <v>1024</v>
      </c>
      <c r="AW352" s="40" t="s">
        <v>1324</v>
      </c>
      <c r="AX352" s="39" t="str">
        <f>データ!R352</f>
        <v>-</v>
      </c>
      <c r="AY352" s="10" t="s">
        <v>1113</v>
      </c>
      <c r="AZ352" s="39" t="str">
        <f>データ!S352</f>
        <v>　</v>
      </c>
      <c r="BA352" s="41" t="s">
        <v>1024</v>
      </c>
      <c r="BB352" s="40" t="s">
        <v>1319</v>
      </c>
      <c r="BC352" s="39" t="str">
        <f>データ!T352</f>
        <v>-</v>
      </c>
      <c r="BD352" s="41" t="s">
        <v>1024</v>
      </c>
      <c r="BE352" s="40" t="s">
        <v>1320</v>
      </c>
      <c r="BF352" s="39" t="str">
        <f>データ!U352</f>
        <v>-</v>
      </c>
      <c r="BG352" s="41" t="s">
        <v>1024</v>
      </c>
      <c r="BH352" s="40" t="s">
        <v>1319</v>
      </c>
      <c r="BI352" s="39" t="str">
        <f>データ!V352</f>
        <v>ポーカー</v>
      </c>
      <c r="BJ352" s="41" t="s">
        <v>1024</v>
      </c>
      <c r="BK352" s="10" t="s">
        <v>1019</v>
      </c>
    </row>
    <row r="353" spans="1:63" x14ac:dyDescent="0.15">
      <c r="A353" s="10" t="s">
        <v>1016</v>
      </c>
      <c r="B353" s="10" t="s">
        <v>1454</v>
      </c>
      <c r="C353" s="38" t="str">
        <f>"./images/thumbnail/"&amp;データ!B353&amp;".jpg"</f>
        <v>./images/thumbnail/1619.jpg</v>
      </c>
      <c r="D353" s="38" t="s">
        <v>1455</v>
      </c>
      <c r="E353" s="38" t="str">
        <f>"./images/thumbnail/"&amp;データ!B353&amp;".jpg"</f>
        <v>./images/thumbnail/1619.jpg</v>
      </c>
      <c r="F353" s="38" t="s">
        <v>1116</v>
      </c>
      <c r="G353" s="38" t="s">
        <v>1319</v>
      </c>
      <c r="H353" s="38" t="str">
        <f>データ!C353</f>
        <v>マリエル</v>
      </c>
      <c r="I353" s="38" t="s">
        <v>1024</v>
      </c>
      <c r="J353" s="38" t="s">
        <v>1320</v>
      </c>
      <c r="K353" s="38" t="str">
        <f>データ!D353</f>
        <v>UR</v>
      </c>
      <c r="L353" s="38" t="s">
        <v>1024</v>
      </c>
      <c r="M353" s="38" t="s">
        <v>1321</v>
      </c>
      <c r="N353" s="38">
        <f>データ!E353</f>
        <v>14</v>
      </c>
      <c r="O353" s="38" t="s">
        <v>1024</v>
      </c>
      <c r="P353" s="38" t="s">
        <v>1319</v>
      </c>
      <c r="Q353" s="38" t="str">
        <f>データ!F353</f>
        <v>斬</v>
      </c>
      <c r="R353" s="38" t="s">
        <v>1024</v>
      </c>
      <c r="S353" s="38" t="s">
        <v>1319</v>
      </c>
      <c r="T353" s="39">
        <f>データ!G353</f>
        <v>16183</v>
      </c>
      <c r="U353" s="40" t="s">
        <v>1024</v>
      </c>
      <c r="V353" s="40" t="s">
        <v>1319</v>
      </c>
      <c r="W353" s="39">
        <f>データ!H353</f>
        <v>7437</v>
      </c>
      <c r="X353" s="40" t="s">
        <v>1024</v>
      </c>
      <c r="Y353" s="40" t="s">
        <v>1319</v>
      </c>
      <c r="Z353" s="39">
        <f>データ!I353</f>
        <v>7116</v>
      </c>
      <c r="AA353" s="40" t="s">
        <v>1024</v>
      </c>
      <c r="AB353" s="40" t="s">
        <v>1322</v>
      </c>
      <c r="AC353" s="39" t="str">
        <f>データ!J353</f>
        <v>S</v>
      </c>
      <c r="AD353" s="38" t="s">
        <v>1024</v>
      </c>
      <c r="AE353" s="40" t="s">
        <v>1323</v>
      </c>
      <c r="AF353" s="39">
        <f>データ!K353</f>
        <v>30736</v>
      </c>
      <c r="AG353" s="40" t="s">
        <v>1024</v>
      </c>
      <c r="AH353" s="40" t="s">
        <v>1324</v>
      </c>
      <c r="AI353" s="39" t="str">
        <f>データ!L353</f>
        <v>魔幻の閃光／煌</v>
      </c>
      <c r="AJ353" s="10" t="s">
        <v>1113</v>
      </c>
      <c r="AK353" s="39" t="str">
        <f>データ!M353</f>
        <v>縦一列に攻撃[特大]</v>
      </c>
      <c r="AL353" s="10" t="s">
        <v>1024</v>
      </c>
      <c r="AM353" s="40" t="s">
        <v>1325</v>
      </c>
      <c r="AN353" s="39" t="str">
        <f>データ!N353</f>
        <v>-</v>
      </c>
      <c r="AO353" s="10" t="s">
        <v>1113</v>
      </c>
      <c r="AP353" s="39" t="str">
        <f>データ!O353</f>
        <v>　</v>
      </c>
      <c r="AQ353" s="41" t="s">
        <v>1024</v>
      </c>
      <c r="AR353" s="40" t="s">
        <v>1324</v>
      </c>
      <c r="AS353" s="39" t="str">
        <f>データ!P353</f>
        <v>エースオーダー／真</v>
      </c>
      <c r="AT353" s="10" t="s">
        <v>1113</v>
      </c>
      <c r="AU353" s="39" t="str">
        <f>データ!Q353</f>
        <v>騎士団全体の攻・防が中UP(3分間)</v>
      </c>
      <c r="AV353" s="10" t="s">
        <v>1024</v>
      </c>
      <c r="AW353" s="40" t="s">
        <v>1324</v>
      </c>
      <c r="AX353" s="39" t="str">
        <f>データ!R353</f>
        <v>-</v>
      </c>
      <c r="AY353" s="10" t="s">
        <v>1113</v>
      </c>
      <c r="AZ353" s="39" t="str">
        <f>データ!S353</f>
        <v>　</v>
      </c>
      <c r="BA353" s="41" t="s">
        <v>1024</v>
      </c>
      <c r="BB353" s="40" t="s">
        <v>1319</v>
      </c>
      <c r="BC353" s="39" t="str">
        <f>データ!T353</f>
        <v>-</v>
      </c>
      <c r="BD353" s="41" t="s">
        <v>1024</v>
      </c>
      <c r="BE353" s="40" t="s">
        <v>1320</v>
      </c>
      <c r="BF353" s="39" t="str">
        <f>データ!U353</f>
        <v>-</v>
      </c>
      <c r="BG353" s="41" t="s">
        <v>1024</v>
      </c>
      <c r="BH353" s="40" t="s">
        <v>1319</v>
      </c>
      <c r="BI353" s="39" t="str">
        <f>データ!V353</f>
        <v>ガチャイベ</v>
      </c>
      <c r="BJ353" s="41" t="s">
        <v>1024</v>
      </c>
      <c r="BK353" s="10" t="s">
        <v>1019</v>
      </c>
    </row>
    <row r="354" spans="1:63" x14ac:dyDescent="0.15">
      <c r="A354" s="10" t="s">
        <v>1016</v>
      </c>
      <c r="B354" s="10" t="s">
        <v>1454</v>
      </c>
      <c r="C354" s="38" t="str">
        <f>"./images/thumbnail/"&amp;データ!B354&amp;".jpg"</f>
        <v>./images/thumbnail/1619_a.jpg</v>
      </c>
      <c r="D354" s="38" t="s">
        <v>1455</v>
      </c>
      <c r="E354" s="38" t="str">
        <f>"./images/thumbnail/"&amp;データ!B354&amp;".jpg"</f>
        <v>./images/thumbnail/1619_a.jpg</v>
      </c>
      <c r="F354" s="38" t="s">
        <v>1116</v>
      </c>
      <c r="G354" s="38" t="s">
        <v>1319</v>
      </c>
      <c r="H354" s="38" t="str">
        <f>データ!C354</f>
        <v>マリエル</v>
      </c>
      <c r="I354" s="38" t="s">
        <v>1024</v>
      </c>
      <c r="J354" s="38" t="s">
        <v>1320</v>
      </c>
      <c r="K354" s="38" t="str">
        <f>データ!D354</f>
        <v>UR</v>
      </c>
      <c r="L354" s="38" t="s">
        <v>1024</v>
      </c>
      <c r="M354" s="38" t="s">
        <v>1321</v>
      </c>
      <c r="N354" s="38">
        <f>データ!E354</f>
        <v>14</v>
      </c>
      <c r="O354" s="38" t="s">
        <v>1024</v>
      </c>
      <c r="P354" s="38" t="s">
        <v>1319</v>
      </c>
      <c r="Q354" s="38" t="str">
        <f>データ!F354</f>
        <v>斬</v>
      </c>
      <c r="R354" s="38" t="s">
        <v>1024</v>
      </c>
      <c r="S354" s="38" t="s">
        <v>1319</v>
      </c>
      <c r="T354" s="39">
        <f>データ!G354</f>
        <v>22504</v>
      </c>
      <c r="U354" s="40" t="s">
        <v>1024</v>
      </c>
      <c r="V354" s="40" t="s">
        <v>1319</v>
      </c>
      <c r="W354" s="39">
        <f>データ!H354</f>
        <v>11091</v>
      </c>
      <c r="X354" s="40" t="s">
        <v>1024</v>
      </c>
      <c r="Y354" s="40" t="s">
        <v>1319</v>
      </c>
      <c r="Z354" s="39">
        <f>データ!I354</f>
        <v>8607</v>
      </c>
      <c r="AA354" s="40" t="s">
        <v>1024</v>
      </c>
      <c r="AB354" s="40" t="s">
        <v>1322</v>
      </c>
      <c r="AC354" s="39" t="str">
        <f>データ!J354</f>
        <v>SS+</v>
      </c>
      <c r="AD354" s="38" t="s">
        <v>1024</v>
      </c>
      <c r="AE354" s="40" t="s">
        <v>1323</v>
      </c>
      <c r="AF354" s="39">
        <f>データ!K354</f>
        <v>42202</v>
      </c>
      <c r="AG354" s="40" t="s">
        <v>1024</v>
      </c>
      <c r="AH354" s="40" t="s">
        <v>1324</v>
      </c>
      <c r="AI354" s="39" t="str">
        <f>データ!L354</f>
        <v>魔幻の閃光／煌＋</v>
      </c>
      <c r="AJ354" s="10" t="s">
        <v>1113</v>
      </c>
      <c r="AK354" s="39" t="str">
        <f>データ!M354</f>
        <v>縦一列に攻撃[超極大]</v>
      </c>
      <c r="AL354" s="10" t="s">
        <v>1024</v>
      </c>
      <c r="AM354" s="40" t="s">
        <v>1325</v>
      </c>
      <c r="AN354" s="39" t="str">
        <f>データ!N354</f>
        <v>-</v>
      </c>
      <c r="AO354" s="10" t="s">
        <v>1113</v>
      </c>
      <c r="AP354" s="39" t="str">
        <f>データ!O354</f>
        <v>　</v>
      </c>
      <c r="AQ354" s="41" t="s">
        <v>1024</v>
      </c>
      <c r="AR354" s="40" t="s">
        <v>1324</v>
      </c>
      <c r="AS354" s="39" t="str">
        <f>データ!P354</f>
        <v>エースオーダー／真</v>
      </c>
      <c r="AT354" s="10" t="s">
        <v>1113</v>
      </c>
      <c r="AU354" s="39" t="str">
        <f>データ!Q354</f>
        <v>騎士団全体の攻・防が中UP(3分間)</v>
      </c>
      <c r="AV354" s="10" t="s">
        <v>1024</v>
      </c>
      <c r="AW354" s="40" t="s">
        <v>1324</v>
      </c>
      <c r="AX354" s="39" t="str">
        <f>データ!R354</f>
        <v>-</v>
      </c>
      <c r="AY354" s="10" t="s">
        <v>1113</v>
      </c>
      <c r="AZ354" s="39" t="str">
        <f>データ!S354</f>
        <v>　</v>
      </c>
      <c r="BA354" s="41" t="s">
        <v>1024</v>
      </c>
      <c r="BB354" s="40" t="s">
        <v>1319</v>
      </c>
      <c r="BC354" s="39" t="str">
        <f>データ!T354</f>
        <v>-</v>
      </c>
      <c r="BD354" s="41" t="s">
        <v>1024</v>
      </c>
      <c r="BE354" s="40" t="s">
        <v>1320</v>
      </c>
      <c r="BF354" s="39" t="str">
        <f>データ!U354</f>
        <v>-</v>
      </c>
      <c r="BG354" s="41" t="s">
        <v>1024</v>
      </c>
      <c r="BH354" s="40" t="s">
        <v>1319</v>
      </c>
      <c r="BI354" s="39" t="str">
        <f>データ!V354</f>
        <v>精鋭化ユニット</v>
      </c>
      <c r="BJ354" s="41" t="s">
        <v>1024</v>
      </c>
      <c r="BK354" s="10" t="s">
        <v>1019</v>
      </c>
    </row>
    <row r="355" spans="1:63" x14ac:dyDescent="0.15">
      <c r="A355" s="10" t="s">
        <v>1016</v>
      </c>
      <c r="B355" s="10" t="s">
        <v>1454</v>
      </c>
      <c r="C355" s="38" t="str">
        <f>"./images/thumbnail/"&amp;データ!B355&amp;".jpg"</f>
        <v>./images/thumbnail/1619_b.jpg</v>
      </c>
      <c r="D355" s="38" t="s">
        <v>1455</v>
      </c>
      <c r="E355" s="38" t="str">
        <f>"./images/thumbnail/"&amp;データ!B355&amp;".jpg"</f>
        <v>./images/thumbnail/1619_b.jpg</v>
      </c>
      <c r="F355" s="38" t="s">
        <v>1116</v>
      </c>
      <c r="G355" s="38" t="s">
        <v>1319</v>
      </c>
      <c r="H355" s="38" t="str">
        <f>データ!C355</f>
        <v>マリエル</v>
      </c>
      <c r="I355" s="38" t="s">
        <v>1024</v>
      </c>
      <c r="J355" s="38" t="s">
        <v>1320</v>
      </c>
      <c r="K355" s="38" t="str">
        <f>データ!D355</f>
        <v>UR</v>
      </c>
      <c r="L355" s="38" t="s">
        <v>1024</v>
      </c>
      <c r="M355" s="38" t="s">
        <v>1321</v>
      </c>
      <c r="N355" s="38">
        <f>データ!E355</f>
        <v>14</v>
      </c>
      <c r="O355" s="38" t="s">
        <v>1024</v>
      </c>
      <c r="P355" s="38" t="s">
        <v>1319</v>
      </c>
      <c r="Q355" s="38" t="str">
        <f>データ!F355</f>
        <v>斬</v>
      </c>
      <c r="R355" s="38" t="s">
        <v>1024</v>
      </c>
      <c r="S355" s="38" t="s">
        <v>1319</v>
      </c>
      <c r="T355" s="39">
        <f>データ!G355</f>
        <v>21685</v>
      </c>
      <c r="U355" s="40" t="s">
        <v>1024</v>
      </c>
      <c r="V355" s="40" t="s">
        <v>1319</v>
      </c>
      <c r="W355" s="39">
        <f>データ!H355</f>
        <v>10713</v>
      </c>
      <c r="X355" s="40" t="s">
        <v>1024</v>
      </c>
      <c r="Y355" s="40" t="s">
        <v>1319</v>
      </c>
      <c r="Z355" s="39">
        <f>データ!I355</f>
        <v>8250</v>
      </c>
      <c r="AA355" s="40" t="s">
        <v>1024</v>
      </c>
      <c r="AB355" s="40" t="s">
        <v>1322</v>
      </c>
      <c r="AC355" s="39" t="str">
        <f>データ!J355</f>
        <v>SS+</v>
      </c>
      <c r="AD355" s="38" t="s">
        <v>1024</v>
      </c>
      <c r="AE355" s="40" t="s">
        <v>1323</v>
      </c>
      <c r="AF355" s="39">
        <f>データ!K355</f>
        <v>40648</v>
      </c>
      <c r="AG355" s="40" t="s">
        <v>1024</v>
      </c>
      <c r="AH355" s="40" t="s">
        <v>1324</v>
      </c>
      <c r="AI355" s="39" t="str">
        <f>データ!L355</f>
        <v>魔幻の閃光／煌</v>
      </c>
      <c r="AJ355" s="10" t="s">
        <v>1113</v>
      </c>
      <c r="AK355" s="39" t="str">
        <f>データ!M355</f>
        <v>縦一列に攻撃[特大]</v>
      </c>
      <c r="AL355" s="10" t="s">
        <v>1024</v>
      </c>
      <c r="AM355" s="40" t="s">
        <v>1325</v>
      </c>
      <c r="AN355" s="39" t="str">
        <f>データ!N355</f>
        <v>-</v>
      </c>
      <c r="AO355" s="10" t="s">
        <v>1113</v>
      </c>
      <c r="AP355" s="39" t="str">
        <f>データ!O355</f>
        <v>　</v>
      </c>
      <c r="AQ355" s="41" t="s">
        <v>1024</v>
      </c>
      <c r="AR355" s="40" t="s">
        <v>1324</v>
      </c>
      <c r="AS355" s="39" t="str">
        <f>データ!P355</f>
        <v>戯れの姫君</v>
      </c>
      <c r="AT355" s="10" t="s">
        <v>1113</v>
      </c>
      <c r="AU355" s="39" t="str">
        <f>データ!Q355</f>
        <v>騎士団全体の攻・防が特大UP(3分間)</v>
      </c>
      <c r="AV355" s="10" t="s">
        <v>1024</v>
      </c>
      <c r="AW355" s="40" t="s">
        <v>1324</v>
      </c>
      <c r="AX355" s="39" t="str">
        <f>データ!R355</f>
        <v>-</v>
      </c>
      <c r="AY355" s="10" t="s">
        <v>1113</v>
      </c>
      <c r="AZ355" s="39" t="str">
        <f>データ!S355</f>
        <v>　</v>
      </c>
      <c r="BA355" s="41" t="s">
        <v>1024</v>
      </c>
      <c r="BB355" s="40" t="s">
        <v>1319</v>
      </c>
      <c r="BC355" s="39" t="str">
        <f>データ!T355</f>
        <v>-</v>
      </c>
      <c r="BD355" s="41" t="s">
        <v>1024</v>
      </c>
      <c r="BE355" s="40" t="s">
        <v>1320</v>
      </c>
      <c r="BF355" s="39" t="str">
        <f>データ!U355</f>
        <v>-</v>
      </c>
      <c r="BG355" s="41" t="s">
        <v>1024</v>
      </c>
      <c r="BH355" s="40" t="s">
        <v>1319</v>
      </c>
      <c r="BI355" s="39" t="str">
        <f>データ!V355</f>
        <v>精鋭化ユニット</v>
      </c>
      <c r="BJ355" s="41" t="s">
        <v>1024</v>
      </c>
      <c r="BK355" s="10" t="s">
        <v>1019</v>
      </c>
    </row>
    <row r="356" spans="1:63" x14ac:dyDescent="0.15">
      <c r="A356" s="10" t="s">
        <v>1016</v>
      </c>
      <c r="B356" s="10" t="s">
        <v>1454</v>
      </c>
      <c r="C356" s="38" t="str">
        <f>"./images/thumbnail/"&amp;データ!B356&amp;".jpg"</f>
        <v>./images/thumbnail/1621.jpg</v>
      </c>
      <c r="D356" s="38" t="s">
        <v>1455</v>
      </c>
      <c r="E356" s="38" t="str">
        <f>"./images/thumbnail/"&amp;データ!B356&amp;".jpg"</f>
        <v>./images/thumbnail/1621.jpg</v>
      </c>
      <c r="F356" s="38" t="s">
        <v>1116</v>
      </c>
      <c r="G356" s="38" t="s">
        <v>1319</v>
      </c>
      <c r="H356" s="38" t="str">
        <f>データ!C356</f>
        <v>ガルム</v>
      </c>
      <c r="I356" s="38" t="s">
        <v>1024</v>
      </c>
      <c r="J356" s="38" t="s">
        <v>1320</v>
      </c>
      <c r="K356" s="38" t="str">
        <f>データ!D356</f>
        <v>UR</v>
      </c>
      <c r="L356" s="38" t="s">
        <v>1024</v>
      </c>
      <c r="M356" s="38" t="s">
        <v>1321</v>
      </c>
      <c r="N356" s="38">
        <f>データ!E356</f>
        <v>14</v>
      </c>
      <c r="O356" s="38" t="s">
        <v>1024</v>
      </c>
      <c r="P356" s="38" t="s">
        <v>1319</v>
      </c>
      <c r="Q356" s="38" t="str">
        <f>データ!F356</f>
        <v>突</v>
      </c>
      <c r="R356" s="38" t="s">
        <v>1024</v>
      </c>
      <c r="S356" s="38" t="s">
        <v>1319</v>
      </c>
      <c r="T356" s="39">
        <f>データ!G356</f>
        <v>18512</v>
      </c>
      <c r="U356" s="40" t="s">
        <v>1024</v>
      </c>
      <c r="V356" s="40" t="s">
        <v>1319</v>
      </c>
      <c r="W356" s="39">
        <f>データ!H356</f>
        <v>6331</v>
      </c>
      <c r="X356" s="40" t="s">
        <v>1024</v>
      </c>
      <c r="Y356" s="40" t="s">
        <v>1319</v>
      </c>
      <c r="Z356" s="39">
        <f>データ!I356</f>
        <v>7176</v>
      </c>
      <c r="AA356" s="40" t="s">
        <v>1024</v>
      </c>
      <c r="AB356" s="40" t="s">
        <v>1322</v>
      </c>
      <c r="AC356" s="39" t="str">
        <f>データ!J356</f>
        <v>SS+</v>
      </c>
      <c r="AD356" s="38" t="s">
        <v>1024</v>
      </c>
      <c r="AE356" s="40" t="s">
        <v>1323</v>
      </c>
      <c r="AF356" s="39">
        <f>データ!K356</f>
        <v>32019</v>
      </c>
      <c r="AG356" s="40" t="s">
        <v>1024</v>
      </c>
      <c r="AH356" s="40" t="s">
        <v>1324</v>
      </c>
      <c r="AI356" s="39" t="str">
        <f>データ!L356</f>
        <v>神威消滅／光芒</v>
      </c>
      <c r="AJ356" s="10" t="s">
        <v>1113</v>
      </c>
      <c r="AK356" s="39" t="str">
        <f>データ!M356</f>
        <v>敵全体の攻撃力をDOWN[特大]</v>
      </c>
      <c r="AL356" s="10" t="s">
        <v>1024</v>
      </c>
      <c r="AM356" s="40" t="s">
        <v>1325</v>
      </c>
      <c r="AN356" s="39" t="str">
        <f>データ!N356</f>
        <v>-</v>
      </c>
      <c r="AO356" s="10" t="s">
        <v>1113</v>
      </c>
      <c r="AP356" s="39" t="str">
        <f>データ!O356</f>
        <v>　</v>
      </c>
      <c r="AQ356" s="41" t="s">
        <v>1024</v>
      </c>
      <c r="AR356" s="40" t="s">
        <v>1324</v>
      </c>
      <c r="AS356" s="39" t="str">
        <f>データ!P356</f>
        <v>ストリーム／真</v>
      </c>
      <c r="AT356" s="10" t="s">
        <v>1113</v>
      </c>
      <c r="AU356" s="39" t="str">
        <f>データ!Q356</f>
        <v>パーティ全体の攻撃力・速度が中UP(3分間)</v>
      </c>
      <c r="AV356" s="10" t="s">
        <v>1024</v>
      </c>
      <c r="AW356" s="40" t="s">
        <v>1324</v>
      </c>
      <c r="AX356" s="39" t="str">
        <f>データ!R356</f>
        <v>-</v>
      </c>
      <c r="AY356" s="10" t="s">
        <v>1113</v>
      </c>
      <c r="AZ356" s="39" t="str">
        <f>データ!S356</f>
        <v>　</v>
      </c>
      <c r="BA356" s="41" t="s">
        <v>1024</v>
      </c>
      <c r="BB356" s="40" t="s">
        <v>1319</v>
      </c>
      <c r="BC356" s="39" t="str">
        <f>データ!T356</f>
        <v>-</v>
      </c>
      <c r="BD356" s="41" t="s">
        <v>1024</v>
      </c>
      <c r="BE356" s="40" t="s">
        <v>1320</v>
      </c>
      <c r="BF356" s="39" t="str">
        <f>データ!U356</f>
        <v>-</v>
      </c>
      <c r="BG356" s="41" t="s">
        <v>1024</v>
      </c>
      <c r="BH356" s="40" t="s">
        <v>1319</v>
      </c>
      <c r="BI356" s="39" t="str">
        <f>データ!V356</f>
        <v>ガチャイベ</v>
      </c>
      <c r="BJ356" s="41" t="s">
        <v>1024</v>
      </c>
      <c r="BK356" s="10" t="s">
        <v>1019</v>
      </c>
    </row>
    <row r="357" spans="1:63" x14ac:dyDescent="0.15">
      <c r="A357" s="10" t="s">
        <v>1016</v>
      </c>
      <c r="B357" s="10" t="s">
        <v>1454</v>
      </c>
      <c r="C357" s="38" t="str">
        <f>"./images/thumbnail/"&amp;データ!B357&amp;".jpg"</f>
        <v>./images/thumbnail/1621_a.jpg</v>
      </c>
      <c r="D357" s="38" t="s">
        <v>1455</v>
      </c>
      <c r="E357" s="38" t="str">
        <f>"./images/thumbnail/"&amp;データ!B357&amp;".jpg"</f>
        <v>./images/thumbnail/1621_a.jpg</v>
      </c>
      <c r="F357" s="38" t="s">
        <v>1116</v>
      </c>
      <c r="G357" s="38" t="s">
        <v>1319</v>
      </c>
      <c r="H357" s="38" t="str">
        <f>データ!C357</f>
        <v>ガルム</v>
      </c>
      <c r="I357" s="38" t="s">
        <v>1024</v>
      </c>
      <c r="J357" s="38" t="s">
        <v>1320</v>
      </c>
      <c r="K357" s="38" t="str">
        <f>データ!D357</f>
        <v>UR</v>
      </c>
      <c r="L357" s="38" t="s">
        <v>1024</v>
      </c>
      <c r="M357" s="38" t="s">
        <v>1321</v>
      </c>
      <c r="N357" s="38">
        <f>データ!E357</f>
        <v>14</v>
      </c>
      <c r="O357" s="38" t="s">
        <v>1024</v>
      </c>
      <c r="P357" s="38" t="s">
        <v>1319</v>
      </c>
      <c r="Q357" s="38" t="str">
        <f>データ!F357</f>
        <v>突</v>
      </c>
      <c r="R357" s="38" t="s">
        <v>1024</v>
      </c>
      <c r="S357" s="38" t="s">
        <v>1319</v>
      </c>
      <c r="T357" s="39">
        <f>データ!G357</f>
        <v>24056</v>
      </c>
      <c r="U357" s="40" t="s">
        <v>1024</v>
      </c>
      <c r="V357" s="40" t="s">
        <v>1319</v>
      </c>
      <c r="W357" s="39">
        <f>データ!H357</f>
        <v>7906</v>
      </c>
      <c r="X357" s="40" t="s">
        <v>1024</v>
      </c>
      <c r="Y357" s="40" t="s">
        <v>1319</v>
      </c>
      <c r="Z357" s="39">
        <f>データ!I357</f>
        <v>9696</v>
      </c>
      <c r="AA357" s="40" t="s">
        <v>1024</v>
      </c>
      <c r="AB357" s="40" t="s">
        <v>1322</v>
      </c>
      <c r="AC357" s="39" t="str">
        <f>データ!J357</f>
        <v>SS4</v>
      </c>
      <c r="AD357" s="38" t="s">
        <v>1024</v>
      </c>
      <c r="AE357" s="40" t="s">
        <v>1323</v>
      </c>
      <c r="AF357" s="39">
        <f>データ!K357</f>
        <v>41658</v>
      </c>
      <c r="AG357" s="40" t="s">
        <v>1024</v>
      </c>
      <c r="AH357" s="40" t="s">
        <v>1324</v>
      </c>
      <c r="AI357" s="39" t="str">
        <f>データ!L357</f>
        <v>神威消滅／光芒＋</v>
      </c>
      <c r="AJ357" s="10" t="s">
        <v>1113</v>
      </c>
      <c r="AK357" s="39" t="str">
        <f>データ!M357</f>
        <v>敵全体の攻撃力をDOWN[極大]</v>
      </c>
      <c r="AL357" s="10" t="s">
        <v>1024</v>
      </c>
      <c r="AM357" s="40" t="s">
        <v>1325</v>
      </c>
      <c r="AN357" s="39" t="str">
        <f>データ!N357</f>
        <v>-</v>
      </c>
      <c r="AO357" s="10" t="s">
        <v>1113</v>
      </c>
      <c r="AP357" s="39" t="str">
        <f>データ!O357</f>
        <v>　</v>
      </c>
      <c r="AQ357" s="41" t="s">
        <v>1024</v>
      </c>
      <c r="AR357" s="40" t="s">
        <v>1324</v>
      </c>
      <c r="AS357" s="39" t="str">
        <f>データ!P357</f>
        <v>ストリーム／真</v>
      </c>
      <c r="AT357" s="10" t="s">
        <v>1113</v>
      </c>
      <c r="AU357" s="39" t="str">
        <f>データ!Q357</f>
        <v>パーティ全体の攻撃力・速度が中UP(3分間)</v>
      </c>
      <c r="AV357" s="10" t="s">
        <v>1024</v>
      </c>
      <c r="AW357" s="40" t="s">
        <v>1324</v>
      </c>
      <c r="AX357" s="39" t="str">
        <f>データ!R357</f>
        <v>-</v>
      </c>
      <c r="AY357" s="10" t="s">
        <v>1113</v>
      </c>
      <c r="AZ357" s="39" t="str">
        <f>データ!S357</f>
        <v>　</v>
      </c>
      <c r="BA357" s="41" t="s">
        <v>1024</v>
      </c>
      <c r="BB357" s="40" t="s">
        <v>1319</v>
      </c>
      <c r="BC357" s="39" t="str">
        <f>データ!T357</f>
        <v>-</v>
      </c>
      <c r="BD357" s="41" t="s">
        <v>1024</v>
      </c>
      <c r="BE357" s="40" t="s">
        <v>1320</v>
      </c>
      <c r="BF357" s="39" t="str">
        <f>データ!U357</f>
        <v>-</v>
      </c>
      <c r="BG357" s="41" t="s">
        <v>1024</v>
      </c>
      <c r="BH357" s="40" t="s">
        <v>1319</v>
      </c>
      <c r="BI357" s="39" t="str">
        <f>データ!V357</f>
        <v>精鋭化ユニット</v>
      </c>
      <c r="BJ357" s="41" t="s">
        <v>1024</v>
      </c>
      <c r="BK357" s="10" t="s">
        <v>1019</v>
      </c>
    </row>
    <row r="358" spans="1:63" x14ac:dyDescent="0.15">
      <c r="A358" s="10" t="s">
        <v>1016</v>
      </c>
      <c r="B358" s="10" t="s">
        <v>1454</v>
      </c>
      <c r="C358" s="38" t="str">
        <f>"./images/thumbnail/"&amp;データ!B358&amp;".jpg"</f>
        <v>./images/thumbnail/1621_b.jpg</v>
      </c>
      <c r="D358" s="38" t="s">
        <v>1455</v>
      </c>
      <c r="E358" s="38" t="str">
        <f>"./images/thumbnail/"&amp;データ!B358&amp;".jpg"</f>
        <v>./images/thumbnail/1621_b.jpg</v>
      </c>
      <c r="F358" s="38" t="s">
        <v>1116</v>
      </c>
      <c r="G358" s="38" t="s">
        <v>1319</v>
      </c>
      <c r="H358" s="38" t="str">
        <f>データ!C358</f>
        <v>ガルム</v>
      </c>
      <c r="I358" s="38" t="s">
        <v>1024</v>
      </c>
      <c r="J358" s="38" t="s">
        <v>1320</v>
      </c>
      <c r="K358" s="38" t="str">
        <f>データ!D358</f>
        <v>UR</v>
      </c>
      <c r="L358" s="38" t="s">
        <v>1024</v>
      </c>
      <c r="M358" s="38" t="s">
        <v>1321</v>
      </c>
      <c r="N358" s="38">
        <f>データ!E358</f>
        <v>14</v>
      </c>
      <c r="O358" s="38" t="s">
        <v>1024</v>
      </c>
      <c r="P358" s="38" t="s">
        <v>1319</v>
      </c>
      <c r="Q358" s="38" t="str">
        <f>データ!F358</f>
        <v>突</v>
      </c>
      <c r="R358" s="38" t="s">
        <v>1024</v>
      </c>
      <c r="S358" s="38" t="s">
        <v>1319</v>
      </c>
      <c r="T358" s="39">
        <f>データ!G358</f>
        <v>22208</v>
      </c>
      <c r="U358" s="40" t="s">
        <v>1024</v>
      </c>
      <c r="V358" s="40" t="s">
        <v>1319</v>
      </c>
      <c r="W358" s="39">
        <f>データ!H358</f>
        <v>7591</v>
      </c>
      <c r="X358" s="40" t="s">
        <v>1024</v>
      </c>
      <c r="Y358" s="40" t="s">
        <v>1319</v>
      </c>
      <c r="Z358" s="39">
        <f>データ!I358</f>
        <v>8604</v>
      </c>
      <c r="AA358" s="40" t="s">
        <v>1024</v>
      </c>
      <c r="AB358" s="40" t="s">
        <v>1322</v>
      </c>
      <c r="AC358" s="39" t="str">
        <f>データ!J358</f>
        <v>SS4</v>
      </c>
      <c r="AD358" s="38" t="s">
        <v>1024</v>
      </c>
      <c r="AE358" s="40" t="s">
        <v>1323</v>
      </c>
      <c r="AF358" s="39">
        <f>データ!K358</f>
        <v>38403</v>
      </c>
      <c r="AG358" s="40" t="s">
        <v>1024</v>
      </c>
      <c r="AH358" s="40" t="s">
        <v>1324</v>
      </c>
      <c r="AI358" s="39" t="str">
        <f>データ!L358</f>
        <v>神威消滅／光芒</v>
      </c>
      <c r="AJ358" s="10" t="s">
        <v>1113</v>
      </c>
      <c r="AK358" s="39" t="str">
        <f>データ!M358</f>
        <v>敵全体の攻撃力をDOWN[特大]</v>
      </c>
      <c r="AL358" s="10" t="s">
        <v>1024</v>
      </c>
      <c r="AM358" s="40" t="s">
        <v>1325</v>
      </c>
      <c r="AN358" s="39" t="str">
        <f>データ!N358</f>
        <v>-</v>
      </c>
      <c r="AO358" s="10" t="s">
        <v>1113</v>
      </c>
      <c r="AP358" s="39" t="str">
        <f>データ!O358</f>
        <v>　</v>
      </c>
      <c r="AQ358" s="41" t="s">
        <v>1024</v>
      </c>
      <c r="AR358" s="40" t="s">
        <v>1324</v>
      </c>
      <c r="AS358" s="39" t="str">
        <f>データ!P358</f>
        <v>記憶紡ぐ夏夕</v>
      </c>
      <c r="AT358" s="10" t="s">
        <v>1113</v>
      </c>
      <c r="AU358" s="39" t="str">
        <f>データ!Q358</f>
        <v>パーティ全体の攻撃力極大UP・速度が中UP(4分間)</v>
      </c>
      <c r="AV358" s="10" t="s">
        <v>1024</v>
      </c>
      <c r="AW358" s="40" t="s">
        <v>1324</v>
      </c>
      <c r="AX358" s="39" t="str">
        <f>データ!R358</f>
        <v>-</v>
      </c>
      <c r="AY358" s="10" t="s">
        <v>1113</v>
      </c>
      <c r="AZ358" s="39" t="str">
        <f>データ!S358</f>
        <v>　</v>
      </c>
      <c r="BA358" s="41" t="s">
        <v>1024</v>
      </c>
      <c r="BB358" s="40" t="s">
        <v>1319</v>
      </c>
      <c r="BC358" s="39" t="str">
        <f>データ!T358</f>
        <v>-</v>
      </c>
      <c r="BD358" s="41" t="s">
        <v>1024</v>
      </c>
      <c r="BE358" s="40" t="s">
        <v>1320</v>
      </c>
      <c r="BF358" s="39" t="str">
        <f>データ!U358</f>
        <v>-</v>
      </c>
      <c r="BG358" s="41" t="s">
        <v>1024</v>
      </c>
      <c r="BH358" s="40" t="s">
        <v>1319</v>
      </c>
      <c r="BI358" s="39" t="str">
        <f>データ!V358</f>
        <v>精鋭化ユニット</v>
      </c>
      <c r="BJ358" s="41" t="s">
        <v>1024</v>
      </c>
      <c r="BK358" s="10" t="s">
        <v>1019</v>
      </c>
    </row>
    <row r="359" spans="1:63" x14ac:dyDescent="0.15">
      <c r="A359" s="10" t="s">
        <v>1016</v>
      </c>
      <c r="B359" s="10" t="s">
        <v>1454</v>
      </c>
      <c r="C359" s="38" t="str">
        <f>"./images/thumbnail/"&amp;データ!B359&amp;".jpg"</f>
        <v>./images/thumbnail/1625.jpg</v>
      </c>
      <c r="D359" s="38" t="s">
        <v>1455</v>
      </c>
      <c r="E359" s="38" t="str">
        <f>"./images/thumbnail/"&amp;データ!B359&amp;".jpg"</f>
        <v>./images/thumbnail/1625.jpg</v>
      </c>
      <c r="F359" s="38" t="s">
        <v>1116</v>
      </c>
      <c r="G359" s="38" t="s">
        <v>1319</v>
      </c>
      <c r="H359" s="38" t="str">
        <f>データ!C359</f>
        <v>ラウジー</v>
      </c>
      <c r="I359" s="38" t="s">
        <v>1024</v>
      </c>
      <c r="J359" s="38" t="s">
        <v>1320</v>
      </c>
      <c r="K359" s="38" t="str">
        <f>データ!D359</f>
        <v>SSR</v>
      </c>
      <c r="L359" s="38" t="s">
        <v>1024</v>
      </c>
      <c r="M359" s="38" t="s">
        <v>1321</v>
      </c>
      <c r="N359" s="38">
        <f>データ!E359</f>
        <v>13</v>
      </c>
      <c r="O359" s="38" t="s">
        <v>1024</v>
      </c>
      <c r="P359" s="38" t="s">
        <v>1319</v>
      </c>
      <c r="Q359" s="38" t="str">
        <f>データ!F359</f>
        <v>打</v>
      </c>
      <c r="R359" s="38" t="s">
        <v>1024</v>
      </c>
      <c r="S359" s="38" t="s">
        <v>1319</v>
      </c>
      <c r="T359" s="39">
        <f>データ!G359</f>
        <v>17961</v>
      </c>
      <c r="U359" s="40" t="s">
        <v>1024</v>
      </c>
      <c r="V359" s="40" t="s">
        <v>1319</v>
      </c>
      <c r="W359" s="39">
        <f>データ!H359</f>
        <v>6580</v>
      </c>
      <c r="X359" s="40" t="s">
        <v>1024</v>
      </c>
      <c r="Y359" s="40" t="s">
        <v>1319</v>
      </c>
      <c r="Z359" s="39">
        <f>データ!I359</f>
        <v>6416</v>
      </c>
      <c r="AA359" s="40" t="s">
        <v>1024</v>
      </c>
      <c r="AB359" s="40" t="s">
        <v>1322</v>
      </c>
      <c r="AC359" s="39" t="str">
        <f>データ!J359</f>
        <v>A-</v>
      </c>
      <c r="AD359" s="38" t="s">
        <v>1024</v>
      </c>
      <c r="AE359" s="40" t="s">
        <v>1323</v>
      </c>
      <c r="AF359" s="39">
        <f>データ!K359</f>
        <v>30957</v>
      </c>
      <c r="AG359" s="40" t="s">
        <v>1024</v>
      </c>
      <c r="AH359" s="40" t="s">
        <v>1324</v>
      </c>
      <c r="AI359" s="39" t="str">
        <f>データ!L359</f>
        <v>打鋭の五連月</v>
      </c>
      <c r="AJ359" s="10" t="s">
        <v>1113</v>
      </c>
      <c r="AK359" s="39" t="str">
        <f>データ!M359</f>
        <v>ランダムで2～5連撃。攻撃毎に与ダメ2倍[低確率]</v>
      </c>
      <c r="AL359" s="10" t="s">
        <v>1024</v>
      </c>
      <c r="AM359" s="40" t="s">
        <v>1325</v>
      </c>
      <c r="AN359" s="39" t="str">
        <f>データ!N359</f>
        <v>-</v>
      </c>
      <c r="AO359" s="10" t="s">
        <v>1113</v>
      </c>
      <c r="AP359" s="39" t="str">
        <f>データ!O359</f>
        <v>　</v>
      </c>
      <c r="AQ359" s="41" t="s">
        <v>1024</v>
      </c>
      <c r="AR359" s="40" t="s">
        <v>1324</v>
      </c>
      <c r="AS359" s="39" t="str">
        <f>データ!P359</f>
        <v>アサルト／真</v>
      </c>
      <c r="AT359" s="10" t="s">
        <v>1113</v>
      </c>
      <c r="AU359" s="39" t="str">
        <f>データ!Q359</f>
        <v>パーティ全体の攻撃力が中UP(3分間)</v>
      </c>
      <c r="AV359" s="10" t="s">
        <v>1024</v>
      </c>
      <c r="AW359" s="40" t="s">
        <v>1324</v>
      </c>
      <c r="AX359" s="39" t="str">
        <f>データ!R359</f>
        <v>-</v>
      </c>
      <c r="AY359" s="10" t="s">
        <v>1113</v>
      </c>
      <c r="AZ359" s="39" t="str">
        <f>データ!S359</f>
        <v>　</v>
      </c>
      <c r="BA359" s="41" t="s">
        <v>1024</v>
      </c>
      <c r="BB359" s="40" t="s">
        <v>1319</v>
      </c>
      <c r="BC359" s="39" t="str">
        <f>データ!T359</f>
        <v>-</v>
      </c>
      <c r="BD359" s="41" t="s">
        <v>1024</v>
      </c>
      <c r="BE359" s="40" t="s">
        <v>1320</v>
      </c>
      <c r="BF359" s="39" t="str">
        <f>データ!U359</f>
        <v>-</v>
      </c>
      <c r="BG359" s="41" t="s">
        <v>1024</v>
      </c>
      <c r="BH359" s="40" t="s">
        <v>1319</v>
      </c>
      <c r="BI359" s="39" t="str">
        <f>データ!V359</f>
        <v>ガチャイベ</v>
      </c>
      <c r="BJ359" s="41" t="s">
        <v>1024</v>
      </c>
      <c r="BK359" s="10" t="s">
        <v>1019</v>
      </c>
    </row>
    <row r="360" spans="1:63" x14ac:dyDescent="0.15">
      <c r="A360" s="10" t="s">
        <v>1016</v>
      </c>
      <c r="B360" s="10" t="s">
        <v>1454</v>
      </c>
      <c r="C360" s="38" t="str">
        <f>"./images/thumbnail/"&amp;データ!B360&amp;".jpg"</f>
        <v>./images/thumbnail/1627.jpg</v>
      </c>
      <c r="D360" s="38" t="s">
        <v>1455</v>
      </c>
      <c r="E360" s="38" t="str">
        <f>"./images/thumbnail/"&amp;データ!B360&amp;".jpg"</f>
        <v>./images/thumbnail/1627.jpg</v>
      </c>
      <c r="F360" s="38" t="s">
        <v>1116</v>
      </c>
      <c r="G360" s="38" t="s">
        <v>1319</v>
      </c>
      <c r="H360" s="38" t="str">
        <f>データ!C360</f>
        <v>ロザリー</v>
      </c>
      <c r="I360" s="38" t="s">
        <v>1024</v>
      </c>
      <c r="J360" s="38" t="s">
        <v>1320</v>
      </c>
      <c r="K360" s="38" t="str">
        <f>データ!D360</f>
        <v>SSR</v>
      </c>
      <c r="L360" s="38" t="s">
        <v>1024</v>
      </c>
      <c r="M360" s="38" t="s">
        <v>1321</v>
      </c>
      <c r="N360" s="38">
        <f>データ!E360</f>
        <v>13</v>
      </c>
      <c r="O360" s="38" t="s">
        <v>1024</v>
      </c>
      <c r="P360" s="38" t="s">
        <v>1319</v>
      </c>
      <c r="Q360" s="38" t="str">
        <f>データ!F360</f>
        <v>遠</v>
      </c>
      <c r="R360" s="38" t="s">
        <v>1024</v>
      </c>
      <c r="S360" s="38" t="s">
        <v>1319</v>
      </c>
      <c r="T360" s="39">
        <f>データ!G360</f>
        <v>16457</v>
      </c>
      <c r="U360" s="40" t="s">
        <v>1024</v>
      </c>
      <c r="V360" s="40" t="s">
        <v>1319</v>
      </c>
      <c r="W360" s="39">
        <f>データ!H360</f>
        <v>6586</v>
      </c>
      <c r="X360" s="40" t="s">
        <v>1024</v>
      </c>
      <c r="Y360" s="40" t="s">
        <v>1319</v>
      </c>
      <c r="Z360" s="39">
        <f>データ!I360</f>
        <v>4953</v>
      </c>
      <c r="AA360" s="40" t="s">
        <v>1024</v>
      </c>
      <c r="AB360" s="40" t="s">
        <v>1322</v>
      </c>
      <c r="AC360" s="39" t="str">
        <f>データ!J360</f>
        <v>S-</v>
      </c>
      <c r="AD360" s="38" t="s">
        <v>1024</v>
      </c>
      <c r="AE360" s="40" t="s">
        <v>1323</v>
      </c>
      <c r="AF360" s="39">
        <f>データ!K360</f>
        <v>27996</v>
      </c>
      <c r="AG360" s="40" t="s">
        <v>1024</v>
      </c>
      <c r="AH360" s="40" t="s">
        <v>1324</v>
      </c>
      <c r="AI360" s="39" t="str">
        <f>データ!L360</f>
        <v>治癒の一撃／真</v>
      </c>
      <c r="AJ360" s="10" t="s">
        <v>1113</v>
      </c>
      <c r="AK360" s="39" t="str">
        <f>データ!M360</f>
        <v>単体固定ダメージ[中]+味方状態異常解除</v>
      </c>
      <c r="AL360" s="10" t="s">
        <v>1024</v>
      </c>
      <c r="AM360" s="40" t="s">
        <v>1325</v>
      </c>
      <c r="AN360" s="39" t="str">
        <f>データ!N360</f>
        <v>-</v>
      </c>
      <c r="AO360" s="10" t="s">
        <v>1113</v>
      </c>
      <c r="AP360" s="39" t="str">
        <f>データ!O360</f>
        <v>　</v>
      </c>
      <c r="AQ360" s="41" t="s">
        <v>1024</v>
      </c>
      <c r="AR360" s="40" t="s">
        <v>1324</v>
      </c>
      <c r="AS360" s="39" t="str">
        <f>データ!P360</f>
        <v>エッジノート／真</v>
      </c>
      <c r="AT360" s="10" t="s">
        <v>1113</v>
      </c>
      <c r="AU360" s="39" t="str">
        <f>データ!Q360</f>
        <v>CB時に獲得ポイント中UP＆BPが中回復(3回)</v>
      </c>
      <c r="AV360" s="10" t="s">
        <v>1024</v>
      </c>
      <c r="AW360" s="40" t="s">
        <v>1324</v>
      </c>
      <c r="AX360" s="39" t="str">
        <f>データ!R360</f>
        <v>-</v>
      </c>
      <c r="AY360" s="10" t="s">
        <v>1113</v>
      </c>
      <c r="AZ360" s="39" t="str">
        <f>データ!S360</f>
        <v>　</v>
      </c>
      <c r="BA360" s="41" t="s">
        <v>1024</v>
      </c>
      <c r="BB360" s="40" t="s">
        <v>1319</v>
      </c>
      <c r="BC360" s="39" t="str">
        <f>データ!T360</f>
        <v>-</v>
      </c>
      <c r="BD360" s="41" t="s">
        <v>1024</v>
      </c>
      <c r="BE360" s="40" t="s">
        <v>1320</v>
      </c>
      <c r="BF360" s="39" t="str">
        <f>データ!U360</f>
        <v>-</v>
      </c>
      <c r="BG360" s="41" t="s">
        <v>1024</v>
      </c>
      <c r="BH360" s="40" t="s">
        <v>1319</v>
      </c>
      <c r="BI360" s="39" t="str">
        <f>データ!V360</f>
        <v>ガチャイベ</v>
      </c>
      <c r="BJ360" s="41" t="s">
        <v>1024</v>
      </c>
      <c r="BK360" s="10" t="s">
        <v>1019</v>
      </c>
    </row>
    <row r="361" spans="1:63" x14ac:dyDescent="0.15">
      <c r="A361" s="10" t="s">
        <v>1016</v>
      </c>
      <c r="B361" s="10" t="s">
        <v>1454</v>
      </c>
      <c r="C361" s="38" t="str">
        <f>"./images/thumbnail/"&amp;データ!B361&amp;".jpg"</f>
        <v>./images/thumbnail/1629.jpg</v>
      </c>
      <c r="D361" s="38" t="s">
        <v>1455</v>
      </c>
      <c r="E361" s="38" t="str">
        <f>"./images/thumbnail/"&amp;データ!B361&amp;".jpg"</f>
        <v>./images/thumbnail/1629.jpg</v>
      </c>
      <c r="F361" s="38" t="s">
        <v>1116</v>
      </c>
      <c r="G361" s="38" t="s">
        <v>1319</v>
      </c>
      <c r="H361" s="38" t="str">
        <f>データ!C361</f>
        <v>ラビ</v>
      </c>
      <c r="I361" s="38" t="s">
        <v>1024</v>
      </c>
      <c r="J361" s="38" t="s">
        <v>1320</v>
      </c>
      <c r="K361" s="38" t="str">
        <f>データ!D361</f>
        <v>SSR</v>
      </c>
      <c r="L361" s="38" t="s">
        <v>1024</v>
      </c>
      <c r="M361" s="38" t="s">
        <v>1321</v>
      </c>
      <c r="N361" s="38">
        <f>データ!E361</f>
        <v>13</v>
      </c>
      <c r="O361" s="38" t="s">
        <v>1024</v>
      </c>
      <c r="P361" s="38" t="s">
        <v>1319</v>
      </c>
      <c r="Q361" s="38" t="str">
        <f>データ!F361</f>
        <v>斬</v>
      </c>
      <c r="R361" s="38" t="s">
        <v>1024</v>
      </c>
      <c r="S361" s="38" t="s">
        <v>1319</v>
      </c>
      <c r="T361" s="39">
        <f>データ!G361</f>
        <v>14922</v>
      </c>
      <c r="U361" s="40" t="s">
        <v>1024</v>
      </c>
      <c r="V361" s="40" t="s">
        <v>1319</v>
      </c>
      <c r="W361" s="39">
        <f>データ!H361</f>
        <v>7885</v>
      </c>
      <c r="X361" s="40" t="s">
        <v>1024</v>
      </c>
      <c r="Y361" s="40" t="s">
        <v>1319</v>
      </c>
      <c r="Z361" s="39">
        <f>データ!I361</f>
        <v>5374</v>
      </c>
      <c r="AA361" s="40" t="s">
        <v>1024</v>
      </c>
      <c r="AB361" s="40" t="s">
        <v>1322</v>
      </c>
      <c r="AC361" s="39" t="str">
        <f>データ!J361</f>
        <v>A+</v>
      </c>
      <c r="AD361" s="38" t="s">
        <v>1024</v>
      </c>
      <c r="AE361" s="40" t="s">
        <v>1323</v>
      </c>
      <c r="AF361" s="39">
        <f>データ!K361</f>
        <v>28181</v>
      </c>
      <c r="AG361" s="40" t="s">
        <v>1024</v>
      </c>
      <c r="AH361" s="40" t="s">
        <v>1324</v>
      </c>
      <c r="AI361" s="39" t="str">
        <f>データ!L361</f>
        <v>対翠の薙風／絶</v>
      </c>
      <c r="AJ361" s="10" t="s">
        <v>1113</v>
      </c>
      <c r="AK361" s="39" t="str">
        <f>データ!M361</f>
        <v>遠に強く打に弱い横一列攻撃[大]</v>
      </c>
      <c r="AL361" s="10" t="s">
        <v>1024</v>
      </c>
      <c r="AM361" s="40" t="s">
        <v>1325</v>
      </c>
      <c r="AN361" s="39" t="str">
        <f>データ!N361</f>
        <v>-</v>
      </c>
      <c r="AO361" s="10" t="s">
        <v>1113</v>
      </c>
      <c r="AP361" s="39" t="str">
        <f>データ!O361</f>
        <v>　</v>
      </c>
      <c r="AQ361" s="41" t="s">
        <v>1024</v>
      </c>
      <c r="AR361" s="40" t="s">
        <v>1324</v>
      </c>
      <c r="AS361" s="39" t="str">
        <f>データ!P361</f>
        <v>ステルス／真</v>
      </c>
      <c r="AT361" s="10" t="s">
        <v>1113</v>
      </c>
      <c r="AU361" s="39" t="str">
        <f>データ!Q361</f>
        <v>強襲CBの発生確率・強襲時獲得ポイント中UP(3回)</v>
      </c>
      <c r="AV361" s="10" t="s">
        <v>1024</v>
      </c>
      <c r="AW361" s="40" t="s">
        <v>1324</v>
      </c>
      <c r="AX361" s="39" t="str">
        <f>データ!R361</f>
        <v>-</v>
      </c>
      <c r="AY361" s="10" t="s">
        <v>1113</v>
      </c>
      <c r="AZ361" s="39" t="str">
        <f>データ!S361</f>
        <v>　</v>
      </c>
      <c r="BA361" s="41" t="s">
        <v>1024</v>
      </c>
      <c r="BB361" s="40" t="s">
        <v>1319</v>
      </c>
      <c r="BC361" s="39" t="str">
        <f>データ!T361</f>
        <v>-</v>
      </c>
      <c r="BD361" s="41" t="s">
        <v>1024</v>
      </c>
      <c r="BE361" s="40" t="s">
        <v>1320</v>
      </c>
      <c r="BF361" s="39" t="str">
        <f>データ!U361</f>
        <v>-</v>
      </c>
      <c r="BG361" s="41" t="s">
        <v>1024</v>
      </c>
      <c r="BH361" s="40" t="s">
        <v>1319</v>
      </c>
      <c r="BI361" s="39" t="str">
        <f>データ!V361</f>
        <v>常設</v>
      </c>
      <c r="BJ361" s="41" t="s">
        <v>1024</v>
      </c>
      <c r="BK361" s="10" t="s">
        <v>1019</v>
      </c>
    </row>
    <row r="362" spans="1:63" x14ac:dyDescent="0.15">
      <c r="A362" s="10" t="s">
        <v>1016</v>
      </c>
      <c r="B362" s="10" t="s">
        <v>1454</v>
      </c>
      <c r="C362" s="38" t="str">
        <f>"./images/thumbnail/"&amp;データ!B362&amp;".jpg"</f>
        <v>./images/thumbnail/1631.jpg</v>
      </c>
      <c r="D362" s="38" t="s">
        <v>1455</v>
      </c>
      <c r="E362" s="38" t="str">
        <f>"./images/thumbnail/"&amp;データ!B362&amp;".jpg"</f>
        <v>./images/thumbnail/1631.jpg</v>
      </c>
      <c r="F362" s="38" t="s">
        <v>1116</v>
      </c>
      <c r="G362" s="38" t="s">
        <v>1319</v>
      </c>
      <c r="H362" s="38" t="str">
        <f>データ!C362</f>
        <v>ミルーレ</v>
      </c>
      <c r="I362" s="38" t="s">
        <v>1024</v>
      </c>
      <c r="J362" s="38" t="s">
        <v>1320</v>
      </c>
      <c r="K362" s="38" t="str">
        <f>データ!D362</f>
        <v>SSR</v>
      </c>
      <c r="L362" s="38" t="s">
        <v>1024</v>
      </c>
      <c r="M362" s="38" t="s">
        <v>1321</v>
      </c>
      <c r="N362" s="38">
        <f>データ!E362</f>
        <v>13</v>
      </c>
      <c r="O362" s="38" t="s">
        <v>1024</v>
      </c>
      <c r="P362" s="38" t="s">
        <v>1319</v>
      </c>
      <c r="Q362" s="38" t="str">
        <f>データ!F362</f>
        <v>突</v>
      </c>
      <c r="R362" s="38" t="s">
        <v>1024</v>
      </c>
      <c r="S362" s="38" t="s">
        <v>1319</v>
      </c>
      <c r="T362" s="39">
        <f>データ!G362</f>
        <v>19488</v>
      </c>
      <c r="U362" s="40" t="s">
        <v>1024</v>
      </c>
      <c r="V362" s="40" t="s">
        <v>1319</v>
      </c>
      <c r="W362" s="39">
        <f>データ!H362</f>
        <v>5798</v>
      </c>
      <c r="X362" s="40" t="s">
        <v>1024</v>
      </c>
      <c r="Y362" s="40" t="s">
        <v>1319</v>
      </c>
      <c r="Z362" s="39">
        <f>データ!I362</f>
        <v>5243</v>
      </c>
      <c r="AA362" s="40" t="s">
        <v>1024</v>
      </c>
      <c r="AB362" s="40" t="s">
        <v>1322</v>
      </c>
      <c r="AC362" s="39" t="str">
        <f>データ!J362</f>
        <v>SS-</v>
      </c>
      <c r="AD362" s="38" t="s">
        <v>1024</v>
      </c>
      <c r="AE362" s="40" t="s">
        <v>1323</v>
      </c>
      <c r="AF362" s="39">
        <f>データ!K362</f>
        <v>30529</v>
      </c>
      <c r="AG362" s="40" t="s">
        <v>1024</v>
      </c>
      <c r="AH362" s="40" t="s">
        <v>1324</v>
      </c>
      <c r="AI362" s="39" t="str">
        <f>データ!L362</f>
        <v>蒼突の聖天</v>
      </c>
      <c r="AJ362" s="10" t="s">
        <v>1113</v>
      </c>
      <c r="AK362" s="39" t="str">
        <f>データ!M362</f>
        <v>味方突属性の攻撃力と防御力をUP[大]</v>
      </c>
      <c r="AL362" s="10" t="s">
        <v>1024</v>
      </c>
      <c r="AM362" s="40" t="s">
        <v>1325</v>
      </c>
      <c r="AN362" s="39" t="str">
        <f>データ!N362</f>
        <v>-</v>
      </c>
      <c r="AO362" s="10" t="s">
        <v>1113</v>
      </c>
      <c r="AP362" s="39" t="str">
        <f>データ!O362</f>
        <v>　</v>
      </c>
      <c r="AQ362" s="41" t="s">
        <v>1024</v>
      </c>
      <c r="AR362" s="40" t="s">
        <v>1324</v>
      </c>
      <c r="AS362" s="39" t="str">
        <f>データ!P362</f>
        <v>ジャガーノート／真</v>
      </c>
      <c r="AT362" s="10" t="s">
        <v>1113</v>
      </c>
      <c r="AU362" s="39" t="str">
        <f>データ!Q362</f>
        <v>バトルで敵を全滅するとBPが中回復(バトル3回)</v>
      </c>
      <c r="AV362" s="10" t="s">
        <v>1024</v>
      </c>
      <c r="AW362" s="40" t="s">
        <v>1324</v>
      </c>
      <c r="AX362" s="39" t="str">
        <f>データ!R362</f>
        <v>-</v>
      </c>
      <c r="AY362" s="10" t="s">
        <v>1113</v>
      </c>
      <c r="AZ362" s="39" t="str">
        <f>データ!S362</f>
        <v>　</v>
      </c>
      <c r="BA362" s="41" t="s">
        <v>1024</v>
      </c>
      <c r="BB362" s="40" t="s">
        <v>1319</v>
      </c>
      <c r="BC362" s="39" t="str">
        <f>データ!T362</f>
        <v>-</v>
      </c>
      <c r="BD362" s="41" t="s">
        <v>1024</v>
      </c>
      <c r="BE362" s="40" t="s">
        <v>1320</v>
      </c>
      <c r="BF362" s="39" t="str">
        <f>データ!U362</f>
        <v>-</v>
      </c>
      <c r="BG362" s="41" t="s">
        <v>1024</v>
      </c>
      <c r="BH362" s="40" t="s">
        <v>1319</v>
      </c>
      <c r="BI362" s="39" t="str">
        <f>データ!V362</f>
        <v>常設</v>
      </c>
      <c r="BJ362" s="41" t="s">
        <v>1024</v>
      </c>
      <c r="BK362" s="10" t="s">
        <v>1019</v>
      </c>
    </row>
    <row r="363" spans="1:63" x14ac:dyDescent="0.15">
      <c r="A363" s="10" t="s">
        <v>1016</v>
      </c>
      <c r="B363" s="10" t="s">
        <v>1454</v>
      </c>
      <c r="C363" s="38" t="str">
        <f>"./images/thumbnail/"&amp;データ!B363&amp;".jpg"</f>
        <v>./images/thumbnail/1633.jpg</v>
      </c>
      <c r="D363" s="38" t="s">
        <v>1455</v>
      </c>
      <c r="E363" s="38" t="str">
        <f>"./images/thumbnail/"&amp;データ!B363&amp;".jpg"</f>
        <v>./images/thumbnail/1633.jpg</v>
      </c>
      <c r="F363" s="38" t="s">
        <v>1116</v>
      </c>
      <c r="G363" s="38" t="s">
        <v>1319</v>
      </c>
      <c r="H363" s="38" t="str">
        <f>データ!C363</f>
        <v>バンジャン</v>
      </c>
      <c r="I363" s="38" t="s">
        <v>1024</v>
      </c>
      <c r="J363" s="38" t="s">
        <v>1320</v>
      </c>
      <c r="K363" s="38" t="str">
        <f>データ!D363</f>
        <v>UR</v>
      </c>
      <c r="L363" s="38" t="s">
        <v>1024</v>
      </c>
      <c r="M363" s="38" t="s">
        <v>1321</v>
      </c>
      <c r="N363" s="38">
        <f>データ!E363</f>
        <v>14</v>
      </c>
      <c r="O363" s="38" t="s">
        <v>1024</v>
      </c>
      <c r="P363" s="38" t="s">
        <v>1319</v>
      </c>
      <c r="Q363" s="38" t="str">
        <f>データ!F363</f>
        <v>打</v>
      </c>
      <c r="R363" s="38" t="s">
        <v>1024</v>
      </c>
      <c r="S363" s="38" t="s">
        <v>1319</v>
      </c>
      <c r="T363" s="39">
        <f>データ!G363</f>
        <v>23204</v>
      </c>
      <c r="U363" s="40" t="s">
        <v>1024</v>
      </c>
      <c r="V363" s="40" t="s">
        <v>1319</v>
      </c>
      <c r="W363" s="39">
        <f>データ!H363</f>
        <v>6631</v>
      </c>
      <c r="X363" s="40" t="s">
        <v>1024</v>
      </c>
      <c r="Y363" s="40" t="s">
        <v>1319</v>
      </c>
      <c r="Z363" s="39">
        <f>データ!I363</f>
        <v>8508</v>
      </c>
      <c r="AA363" s="40" t="s">
        <v>1024</v>
      </c>
      <c r="AB363" s="40" t="s">
        <v>1322</v>
      </c>
      <c r="AC363" s="39" t="str">
        <f>データ!J363</f>
        <v>A+</v>
      </c>
      <c r="AD363" s="38" t="s">
        <v>1024</v>
      </c>
      <c r="AE363" s="40" t="s">
        <v>1323</v>
      </c>
      <c r="AF363" s="39">
        <f>データ!K363</f>
        <v>38343</v>
      </c>
      <c r="AG363" s="40" t="s">
        <v>1024</v>
      </c>
      <c r="AH363" s="40" t="s">
        <v>1324</v>
      </c>
      <c r="AI363" s="39" t="str">
        <f>データ!L363</f>
        <v>焔幻の一閃／煌</v>
      </c>
      <c r="AJ363" s="10" t="s">
        <v>1113</v>
      </c>
      <c r="AK363" s="39" t="str">
        <f>データ!M363</f>
        <v>横一列に攻撃[特大]</v>
      </c>
      <c r="AL363" s="10" t="s">
        <v>1024</v>
      </c>
      <c r="AM363" s="40" t="s">
        <v>1325</v>
      </c>
      <c r="AN363" s="39" t="str">
        <f>データ!N363</f>
        <v>-</v>
      </c>
      <c r="AO363" s="10" t="s">
        <v>1113</v>
      </c>
      <c r="AP363" s="39" t="str">
        <f>データ!O363</f>
        <v>　</v>
      </c>
      <c r="AQ363" s="41" t="s">
        <v>1024</v>
      </c>
      <c r="AR363" s="40" t="s">
        <v>1324</v>
      </c>
      <c r="AS363" s="39" t="str">
        <f>データ!P363</f>
        <v>カウンター／絶</v>
      </c>
      <c r="AT363" s="10" t="s">
        <v>1113</v>
      </c>
      <c r="AU363" s="39" t="str">
        <f>データ!Q363</f>
        <v>迎撃時にパーティ全体の攻・防が大UP(3分間)</v>
      </c>
      <c r="AV363" s="10" t="s">
        <v>1024</v>
      </c>
      <c r="AW363" s="40" t="s">
        <v>1324</v>
      </c>
      <c r="AX363" s="39" t="str">
        <f>データ!R363</f>
        <v>-</v>
      </c>
      <c r="AY363" s="10" t="s">
        <v>1113</v>
      </c>
      <c r="AZ363" s="39" t="str">
        <f>データ!S363</f>
        <v>　</v>
      </c>
      <c r="BA363" s="41" t="s">
        <v>1024</v>
      </c>
      <c r="BB363" s="40" t="s">
        <v>1319</v>
      </c>
      <c r="BC363" s="39" t="str">
        <f>データ!T363</f>
        <v>-</v>
      </c>
      <c r="BD363" s="41" t="s">
        <v>1024</v>
      </c>
      <c r="BE363" s="40" t="s">
        <v>1320</v>
      </c>
      <c r="BF363" s="39" t="str">
        <f>データ!U363</f>
        <v>-</v>
      </c>
      <c r="BG363" s="41" t="s">
        <v>1024</v>
      </c>
      <c r="BH363" s="40" t="s">
        <v>1319</v>
      </c>
      <c r="BI363" s="39" t="str">
        <f>データ!V363</f>
        <v>常設</v>
      </c>
      <c r="BJ363" s="41" t="s">
        <v>1024</v>
      </c>
      <c r="BK363" s="10" t="s">
        <v>1019</v>
      </c>
    </row>
    <row r="364" spans="1:63" x14ac:dyDescent="0.15">
      <c r="A364" s="10" t="s">
        <v>1016</v>
      </c>
      <c r="B364" s="10" t="s">
        <v>1454</v>
      </c>
      <c r="C364" s="38" t="str">
        <f>"./images/thumbnail/"&amp;データ!B364&amp;".jpg"</f>
        <v>./images/thumbnail/1635.jpg</v>
      </c>
      <c r="D364" s="38" t="s">
        <v>1455</v>
      </c>
      <c r="E364" s="38" t="str">
        <f>"./images/thumbnail/"&amp;データ!B364&amp;".jpg"</f>
        <v>./images/thumbnail/1635.jpg</v>
      </c>
      <c r="F364" s="38" t="s">
        <v>1116</v>
      </c>
      <c r="G364" s="38" t="s">
        <v>1319</v>
      </c>
      <c r="H364" s="38" t="str">
        <f>データ!C364</f>
        <v>アリーナ</v>
      </c>
      <c r="I364" s="38" t="s">
        <v>1024</v>
      </c>
      <c r="J364" s="38" t="s">
        <v>1320</v>
      </c>
      <c r="K364" s="38" t="str">
        <f>データ!D364</f>
        <v>UR</v>
      </c>
      <c r="L364" s="38" t="s">
        <v>1024</v>
      </c>
      <c r="M364" s="38" t="s">
        <v>1321</v>
      </c>
      <c r="N364" s="38">
        <f>データ!E364</f>
        <v>14</v>
      </c>
      <c r="O364" s="38" t="s">
        <v>1024</v>
      </c>
      <c r="P364" s="38" t="s">
        <v>1319</v>
      </c>
      <c r="Q364" s="38" t="str">
        <f>データ!F364</f>
        <v>遠</v>
      </c>
      <c r="R364" s="38" t="s">
        <v>1024</v>
      </c>
      <c r="S364" s="38" t="s">
        <v>1319</v>
      </c>
      <c r="T364" s="39">
        <f>データ!G364</f>
        <v>18437</v>
      </c>
      <c r="U364" s="40" t="s">
        <v>1024</v>
      </c>
      <c r="V364" s="40" t="s">
        <v>1319</v>
      </c>
      <c r="W364" s="39">
        <f>データ!H364</f>
        <v>6435</v>
      </c>
      <c r="X364" s="40" t="s">
        <v>1024</v>
      </c>
      <c r="Y364" s="40" t="s">
        <v>1319</v>
      </c>
      <c r="Z364" s="39">
        <f>データ!I364</f>
        <v>6345</v>
      </c>
      <c r="AA364" s="40" t="s">
        <v>1024</v>
      </c>
      <c r="AB364" s="40" t="s">
        <v>1322</v>
      </c>
      <c r="AC364" s="39" t="str">
        <f>データ!J364</f>
        <v>S+</v>
      </c>
      <c r="AD364" s="38" t="s">
        <v>1024</v>
      </c>
      <c r="AE364" s="40" t="s">
        <v>1323</v>
      </c>
      <c r="AF364" s="39">
        <f>データ!K364</f>
        <v>31217</v>
      </c>
      <c r="AG364" s="40" t="s">
        <v>1024</v>
      </c>
      <c r="AH364" s="40" t="s">
        <v>1324</v>
      </c>
      <c r="AI364" s="39" t="str">
        <f>データ!L364</f>
        <v>天使の微笑／絶</v>
      </c>
      <c r="AJ364" s="10" t="s">
        <v>1113</v>
      </c>
      <c r="AK364" s="39" t="str">
        <f>データ!M364</f>
        <v>味方全員のHPを回復[大]</v>
      </c>
      <c r="AL364" s="10" t="s">
        <v>1024</v>
      </c>
      <c r="AM364" s="40" t="s">
        <v>1325</v>
      </c>
      <c r="AN364" s="39" t="str">
        <f>データ!N364</f>
        <v>-</v>
      </c>
      <c r="AO364" s="10" t="s">
        <v>1113</v>
      </c>
      <c r="AP364" s="39" t="str">
        <f>データ!O364</f>
        <v>　</v>
      </c>
      <c r="AQ364" s="41" t="s">
        <v>1024</v>
      </c>
      <c r="AR364" s="40" t="s">
        <v>1324</v>
      </c>
      <c r="AS364" s="39" t="str">
        <f>データ!P364</f>
        <v>ポイントライズ／絶</v>
      </c>
      <c r="AT364" s="10" t="s">
        <v>1113</v>
      </c>
      <c r="AU364" s="39" t="str">
        <f>データ!Q364</f>
        <v>獲得する騎士団戦スコアが大アップ(バトル3回)</v>
      </c>
      <c r="AV364" s="10" t="s">
        <v>1024</v>
      </c>
      <c r="AW364" s="40" t="s">
        <v>1324</v>
      </c>
      <c r="AX364" s="39" t="str">
        <f>データ!R364</f>
        <v>-</v>
      </c>
      <c r="AY364" s="10" t="s">
        <v>1113</v>
      </c>
      <c r="AZ364" s="39" t="str">
        <f>データ!S364</f>
        <v>　</v>
      </c>
      <c r="BA364" s="41" t="s">
        <v>1024</v>
      </c>
      <c r="BB364" s="40" t="s">
        <v>1319</v>
      </c>
      <c r="BC364" s="39" t="str">
        <f>データ!T364</f>
        <v>-</v>
      </c>
      <c r="BD364" s="41" t="s">
        <v>1024</v>
      </c>
      <c r="BE364" s="40" t="s">
        <v>1320</v>
      </c>
      <c r="BF364" s="39" t="str">
        <f>データ!U364</f>
        <v>-</v>
      </c>
      <c r="BG364" s="41" t="s">
        <v>1024</v>
      </c>
      <c r="BH364" s="40" t="s">
        <v>1319</v>
      </c>
      <c r="BI364" s="39" t="str">
        <f>データ!V364</f>
        <v>常設</v>
      </c>
      <c r="BJ364" s="41" t="s">
        <v>1024</v>
      </c>
      <c r="BK364" s="10" t="s">
        <v>1019</v>
      </c>
    </row>
    <row r="365" spans="1:63" x14ac:dyDescent="0.15">
      <c r="A365" s="10" t="s">
        <v>1016</v>
      </c>
      <c r="B365" s="10" t="s">
        <v>1454</v>
      </c>
      <c r="C365" s="38" t="str">
        <f>"./images/thumbnail/"&amp;データ!B365&amp;".jpg"</f>
        <v>./images/thumbnail/1639.jpg</v>
      </c>
      <c r="D365" s="38" t="s">
        <v>1455</v>
      </c>
      <c r="E365" s="38" t="str">
        <f>"./images/thumbnail/"&amp;データ!B365&amp;".jpg"</f>
        <v>./images/thumbnail/1639.jpg</v>
      </c>
      <c r="F365" s="38" t="s">
        <v>1116</v>
      </c>
      <c r="G365" s="38" t="s">
        <v>1319</v>
      </c>
      <c r="H365" s="38" t="str">
        <f>データ!C365</f>
        <v>ジョーヌ</v>
      </c>
      <c r="I365" s="38" t="s">
        <v>1024</v>
      </c>
      <c r="J365" s="38" t="s">
        <v>1320</v>
      </c>
      <c r="K365" s="38" t="str">
        <f>データ!D365</f>
        <v>SSR</v>
      </c>
      <c r="L365" s="38" t="s">
        <v>1024</v>
      </c>
      <c r="M365" s="38" t="s">
        <v>1321</v>
      </c>
      <c r="N365" s="38">
        <f>データ!E365</f>
        <v>13</v>
      </c>
      <c r="O365" s="38" t="s">
        <v>1024</v>
      </c>
      <c r="P365" s="38" t="s">
        <v>1319</v>
      </c>
      <c r="Q365" s="38" t="str">
        <f>データ!F365</f>
        <v>遠</v>
      </c>
      <c r="R365" s="38" t="s">
        <v>1024</v>
      </c>
      <c r="S365" s="38" t="s">
        <v>1319</v>
      </c>
      <c r="T365" s="39">
        <f>データ!G365</f>
        <v>17094</v>
      </c>
      <c r="U365" s="40" t="s">
        <v>1024</v>
      </c>
      <c r="V365" s="40" t="s">
        <v>1319</v>
      </c>
      <c r="W365" s="39">
        <f>データ!H365</f>
        <v>6310</v>
      </c>
      <c r="X365" s="40" t="s">
        <v>1024</v>
      </c>
      <c r="Y365" s="40" t="s">
        <v>1319</v>
      </c>
      <c r="Z365" s="39">
        <f>データ!I365</f>
        <v>4483</v>
      </c>
      <c r="AA365" s="40" t="s">
        <v>1024</v>
      </c>
      <c r="AB365" s="40" t="s">
        <v>1322</v>
      </c>
      <c r="AC365" s="39" t="str">
        <f>データ!J365</f>
        <v>SS-</v>
      </c>
      <c r="AD365" s="38" t="s">
        <v>1024</v>
      </c>
      <c r="AE365" s="40" t="s">
        <v>1323</v>
      </c>
      <c r="AF365" s="39">
        <f>データ!K365</f>
        <v>27887</v>
      </c>
      <c r="AG365" s="40" t="s">
        <v>1024</v>
      </c>
      <c r="AH365" s="40" t="s">
        <v>1324</v>
      </c>
      <c r="AI365" s="39" t="str">
        <f>データ!L365</f>
        <v>破界の包囲陣／絶</v>
      </c>
      <c r="AJ365" s="10" t="s">
        <v>1113</v>
      </c>
      <c r="AK365" s="39" t="str">
        <f>データ!M365</f>
        <v>敵全体に固定ダメージ[大]</v>
      </c>
      <c r="AL365" s="38" t="s">
        <v>1024</v>
      </c>
      <c r="AM365" s="40" t="s">
        <v>1325</v>
      </c>
      <c r="AN365" s="39" t="str">
        <f>データ!N365</f>
        <v>-</v>
      </c>
      <c r="AO365" s="10" t="s">
        <v>1113</v>
      </c>
      <c r="AP365" s="39" t="str">
        <f>データ!O365</f>
        <v>　</v>
      </c>
      <c r="AQ365" s="41" t="s">
        <v>1024</v>
      </c>
      <c r="AR365" s="40" t="s">
        <v>1324</v>
      </c>
      <c r="AS365" s="39" t="str">
        <f>データ!P365</f>
        <v>アクセラレーター／真</v>
      </c>
      <c r="AT365" s="10" t="s">
        <v>1113</v>
      </c>
      <c r="AU365" s="39" t="str">
        <f>データ!Q365</f>
        <v>パーティ全体の速度が中UP(3分間)</v>
      </c>
      <c r="AV365" s="10" t="s">
        <v>1024</v>
      </c>
      <c r="AW365" s="40" t="s">
        <v>1324</v>
      </c>
      <c r="AX365" s="39" t="str">
        <f>データ!R365</f>
        <v>-</v>
      </c>
      <c r="AY365" s="10" t="s">
        <v>1113</v>
      </c>
      <c r="AZ365" s="39" t="str">
        <f>データ!S365</f>
        <v>　</v>
      </c>
      <c r="BA365" s="41" t="s">
        <v>1024</v>
      </c>
      <c r="BB365" s="40" t="s">
        <v>1319</v>
      </c>
      <c r="BC365" s="39" t="str">
        <f>データ!T365</f>
        <v>-</v>
      </c>
      <c r="BD365" s="41" t="s">
        <v>1024</v>
      </c>
      <c r="BE365" s="40" t="s">
        <v>1320</v>
      </c>
      <c r="BF365" s="39" t="str">
        <f>データ!U365</f>
        <v>-</v>
      </c>
      <c r="BG365" s="41" t="s">
        <v>1024</v>
      </c>
      <c r="BH365" s="40" t="s">
        <v>1319</v>
      </c>
      <c r="BI365" s="39" t="str">
        <f>データ!V365</f>
        <v>魔女の追憶イベ</v>
      </c>
      <c r="BJ365" s="41" t="s">
        <v>1024</v>
      </c>
      <c r="BK365" s="10" t="s">
        <v>1019</v>
      </c>
    </row>
    <row r="366" spans="1:63" x14ac:dyDescent="0.15">
      <c r="A366" s="10" t="s">
        <v>1016</v>
      </c>
      <c r="B366" s="10" t="s">
        <v>1454</v>
      </c>
      <c r="C366" s="38" t="str">
        <f>"./images/thumbnail/"&amp;データ!B366&amp;".jpg"</f>
        <v>./images/thumbnail/1642.jpg</v>
      </c>
      <c r="D366" s="38" t="s">
        <v>1455</v>
      </c>
      <c r="E366" s="38" t="str">
        <f>"./images/thumbnail/"&amp;データ!B366&amp;".jpg"</f>
        <v>./images/thumbnail/1642.jpg</v>
      </c>
      <c r="F366" s="38" t="s">
        <v>1116</v>
      </c>
      <c r="G366" s="38" t="s">
        <v>1319</v>
      </c>
      <c r="H366" s="38" t="str">
        <f>データ!C366</f>
        <v>クロード</v>
      </c>
      <c r="I366" s="38" t="s">
        <v>1024</v>
      </c>
      <c r="J366" s="38" t="s">
        <v>1320</v>
      </c>
      <c r="K366" s="38" t="str">
        <f>データ!D366</f>
        <v>SSR</v>
      </c>
      <c r="L366" s="38" t="s">
        <v>1024</v>
      </c>
      <c r="M366" s="38" t="s">
        <v>1321</v>
      </c>
      <c r="N366" s="38">
        <f>データ!E366</f>
        <v>13</v>
      </c>
      <c r="O366" s="38" t="s">
        <v>1024</v>
      </c>
      <c r="P366" s="38" t="s">
        <v>1319</v>
      </c>
      <c r="Q366" s="38" t="str">
        <f>データ!F366</f>
        <v>突</v>
      </c>
      <c r="R366" s="38" t="s">
        <v>1024</v>
      </c>
      <c r="S366" s="38" t="s">
        <v>1319</v>
      </c>
      <c r="T366" s="39">
        <f>データ!G366</f>
        <v>17495</v>
      </c>
      <c r="U366" s="40" t="s">
        <v>1024</v>
      </c>
      <c r="V366" s="40" t="s">
        <v>1319</v>
      </c>
      <c r="W366" s="39">
        <f>データ!H366</f>
        <v>5509</v>
      </c>
      <c r="X366" s="40" t="s">
        <v>1024</v>
      </c>
      <c r="Y366" s="40" t="s">
        <v>1319</v>
      </c>
      <c r="Z366" s="39">
        <f>データ!I366</f>
        <v>5476</v>
      </c>
      <c r="AA366" s="40" t="s">
        <v>1024</v>
      </c>
      <c r="AB366" s="40" t="s">
        <v>1322</v>
      </c>
      <c r="AC366" s="39" t="str">
        <f>データ!J366</f>
        <v>SS1</v>
      </c>
      <c r="AD366" s="38" t="s">
        <v>1024</v>
      </c>
      <c r="AE366" s="40" t="s">
        <v>1323</v>
      </c>
      <c r="AF366" s="39">
        <f>データ!K366</f>
        <v>28480</v>
      </c>
      <c r="AG366" s="40" t="s">
        <v>1024</v>
      </c>
      <c r="AH366" s="40" t="s">
        <v>1324</v>
      </c>
      <c r="AI366" s="39" t="str">
        <f>データ!L366</f>
        <v>破天の五連撃</v>
      </c>
      <c r="AJ366" s="10" t="s">
        <v>1113</v>
      </c>
      <c r="AK366" s="39" t="str">
        <f>データ!M366</f>
        <v>ランダムで5連固定ダメージ[小]</v>
      </c>
      <c r="AL366" s="10" t="s">
        <v>1024</v>
      </c>
      <c r="AM366" s="40" t="s">
        <v>1325</v>
      </c>
      <c r="AN366" s="39" t="str">
        <f>データ!N366</f>
        <v>-</v>
      </c>
      <c r="AO366" s="10" t="s">
        <v>1113</v>
      </c>
      <c r="AP366" s="39" t="str">
        <f>データ!O366</f>
        <v>　</v>
      </c>
      <c r="AQ366" s="41" t="s">
        <v>1024</v>
      </c>
      <c r="AR366" s="40" t="s">
        <v>1324</v>
      </c>
      <c r="AS366" s="39" t="str">
        <f>データ!P366</f>
        <v>ハイド／真</v>
      </c>
      <c r="AT366" s="10" t="s">
        <v>1113</v>
      </c>
      <c r="AU366" s="39" t="str">
        <f>データ!Q366</f>
        <v>攻撃される確率が中DOWN(3分間)</v>
      </c>
      <c r="AV366" s="10" t="s">
        <v>1024</v>
      </c>
      <c r="AW366" s="40" t="s">
        <v>1324</v>
      </c>
      <c r="AX366" s="39" t="str">
        <f>データ!R366</f>
        <v>-</v>
      </c>
      <c r="AY366" s="10" t="s">
        <v>1113</v>
      </c>
      <c r="AZ366" s="39" t="str">
        <f>データ!S366</f>
        <v>　</v>
      </c>
      <c r="BA366" s="41" t="s">
        <v>1024</v>
      </c>
      <c r="BB366" s="40" t="s">
        <v>1319</v>
      </c>
      <c r="BC366" s="39" t="str">
        <f>データ!T366</f>
        <v>-</v>
      </c>
      <c r="BD366" s="41" t="s">
        <v>1024</v>
      </c>
      <c r="BE366" s="40" t="s">
        <v>1320</v>
      </c>
      <c r="BF366" s="39" t="str">
        <f>データ!U366</f>
        <v>-</v>
      </c>
      <c r="BG366" s="41" t="s">
        <v>1024</v>
      </c>
      <c r="BH366" s="40" t="s">
        <v>1319</v>
      </c>
      <c r="BI366" s="39" t="str">
        <f>データ!V366</f>
        <v>メダル</v>
      </c>
      <c r="BJ366" s="41" t="s">
        <v>1024</v>
      </c>
      <c r="BK366" s="10" t="s">
        <v>1019</v>
      </c>
    </row>
    <row r="367" spans="1:63" x14ac:dyDescent="0.15">
      <c r="A367" s="10" t="s">
        <v>1016</v>
      </c>
      <c r="B367" s="10" t="s">
        <v>1454</v>
      </c>
      <c r="C367" s="38" t="str">
        <f>"./images/thumbnail/"&amp;データ!B367&amp;".jpg"</f>
        <v>./images/thumbnail/1643.jpg</v>
      </c>
      <c r="D367" s="38" t="s">
        <v>1455</v>
      </c>
      <c r="E367" s="38" t="str">
        <f>"./images/thumbnail/"&amp;データ!B367&amp;".jpg"</f>
        <v>./images/thumbnail/1643.jpg</v>
      </c>
      <c r="F367" s="38" t="s">
        <v>1116</v>
      </c>
      <c r="G367" s="38" t="s">
        <v>1319</v>
      </c>
      <c r="H367" s="38" t="str">
        <f>データ!C367</f>
        <v>アーデルハイド</v>
      </c>
      <c r="I367" s="38" t="s">
        <v>1024</v>
      </c>
      <c r="J367" s="38" t="s">
        <v>1320</v>
      </c>
      <c r="K367" s="38" t="str">
        <f>データ!D367</f>
        <v>UR</v>
      </c>
      <c r="L367" s="38" t="s">
        <v>1024</v>
      </c>
      <c r="M367" s="38" t="s">
        <v>1321</v>
      </c>
      <c r="N367" s="38">
        <f>データ!E367</f>
        <v>14</v>
      </c>
      <c r="O367" s="38" t="s">
        <v>1024</v>
      </c>
      <c r="P367" s="38" t="s">
        <v>1319</v>
      </c>
      <c r="Q367" s="38" t="str">
        <f>データ!F367</f>
        <v>突</v>
      </c>
      <c r="R367" s="38" t="s">
        <v>1024</v>
      </c>
      <c r="S367" s="38" t="s">
        <v>1319</v>
      </c>
      <c r="T367" s="39">
        <f>データ!G367</f>
        <v>18374</v>
      </c>
      <c r="U367" s="40" t="s">
        <v>1024</v>
      </c>
      <c r="V367" s="40" t="s">
        <v>1319</v>
      </c>
      <c r="W367" s="39">
        <f>データ!H367</f>
        <v>6280</v>
      </c>
      <c r="X367" s="40" t="s">
        <v>1024</v>
      </c>
      <c r="Y367" s="40" t="s">
        <v>1319</v>
      </c>
      <c r="Z367" s="39">
        <f>データ!I367</f>
        <v>7231</v>
      </c>
      <c r="AA367" s="40" t="s">
        <v>1024</v>
      </c>
      <c r="AB367" s="40" t="s">
        <v>1322</v>
      </c>
      <c r="AC367" s="39" t="str">
        <f>データ!J367</f>
        <v>SS+</v>
      </c>
      <c r="AD367" s="38" t="s">
        <v>1024</v>
      </c>
      <c r="AE367" s="40" t="s">
        <v>1323</v>
      </c>
      <c r="AF367" s="39">
        <f>データ!K367</f>
        <v>31885</v>
      </c>
      <c r="AG367" s="40" t="s">
        <v>1024</v>
      </c>
      <c r="AH367" s="40" t="s">
        <v>1324</v>
      </c>
      <c r="AI367" s="39" t="str">
        <f>データ!L367</f>
        <v>解除の一撃／絶</v>
      </c>
      <c r="AJ367" s="10" t="s">
        <v>1113</v>
      </c>
      <c r="AK367" s="39" t="str">
        <f>データ!M367</f>
        <v>単体固定ダメージ[大]+敵ステータスUP解除</v>
      </c>
      <c r="AL367" s="10" t="s">
        <v>1024</v>
      </c>
      <c r="AM367" s="40" t="s">
        <v>1325</v>
      </c>
      <c r="AN367" s="39" t="str">
        <f>データ!N367</f>
        <v>-</v>
      </c>
      <c r="AO367" s="10" t="s">
        <v>1113</v>
      </c>
      <c r="AP367" s="39" t="str">
        <f>データ!O367</f>
        <v>　</v>
      </c>
      <c r="AQ367" s="41" t="s">
        <v>1024</v>
      </c>
      <c r="AR367" s="40" t="s">
        <v>1324</v>
      </c>
      <c r="AS367" s="39" t="str">
        <f>データ!P367</f>
        <v>フォートレスオーダー／真</v>
      </c>
      <c r="AT367" s="10" t="s">
        <v>1113</v>
      </c>
      <c r="AU367" s="39" t="str">
        <f>データ!Q367</f>
        <v>騎士団全体の防御力が中UP(3分間)</v>
      </c>
      <c r="AV367" s="10" t="s">
        <v>1024</v>
      </c>
      <c r="AW367" s="40" t="s">
        <v>1324</v>
      </c>
      <c r="AX367" s="39" t="str">
        <f>データ!R367</f>
        <v>-</v>
      </c>
      <c r="AY367" s="10" t="s">
        <v>1113</v>
      </c>
      <c r="AZ367" s="39" t="str">
        <f>データ!S367</f>
        <v>　</v>
      </c>
      <c r="BA367" s="41" t="s">
        <v>1024</v>
      </c>
      <c r="BB367" s="40" t="s">
        <v>1319</v>
      </c>
      <c r="BC367" s="39" t="str">
        <f>データ!T367</f>
        <v>-</v>
      </c>
      <c r="BD367" s="41" t="s">
        <v>1024</v>
      </c>
      <c r="BE367" s="40" t="s">
        <v>1320</v>
      </c>
      <c r="BF367" s="39" t="str">
        <f>データ!U367</f>
        <v>-</v>
      </c>
      <c r="BG367" s="41" t="s">
        <v>1024</v>
      </c>
      <c r="BH367" s="40" t="s">
        <v>1319</v>
      </c>
      <c r="BI367" s="39" t="str">
        <f>データ!V367</f>
        <v>ガチャイベ</v>
      </c>
      <c r="BJ367" s="41" t="s">
        <v>1024</v>
      </c>
      <c r="BK367" s="10" t="s">
        <v>1019</v>
      </c>
    </row>
    <row r="368" spans="1:63" x14ac:dyDescent="0.15">
      <c r="A368" s="10" t="s">
        <v>1016</v>
      </c>
      <c r="B368" s="10" t="s">
        <v>1454</v>
      </c>
      <c r="C368" s="38" t="str">
        <f>"./images/thumbnail/"&amp;データ!B368&amp;".jpg"</f>
        <v>./images/thumbnail/1644.jpg</v>
      </c>
      <c r="D368" s="38" t="s">
        <v>1455</v>
      </c>
      <c r="E368" s="38" t="str">
        <f>"./images/thumbnail/"&amp;データ!B368&amp;".jpg"</f>
        <v>./images/thumbnail/1644.jpg</v>
      </c>
      <c r="F368" s="38" t="s">
        <v>1116</v>
      </c>
      <c r="G368" s="38" t="s">
        <v>1319</v>
      </c>
      <c r="H368" s="38" t="str">
        <f>データ!C368</f>
        <v>レオン</v>
      </c>
      <c r="I368" s="38" t="s">
        <v>1024</v>
      </c>
      <c r="J368" s="38" t="s">
        <v>1320</v>
      </c>
      <c r="K368" s="38" t="str">
        <f>データ!D368</f>
        <v>UR</v>
      </c>
      <c r="L368" s="38" t="s">
        <v>1024</v>
      </c>
      <c r="M368" s="38" t="s">
        <v>1321</v>
      </c>
      <c r="N368" s="38">
        <f>データ!E368</f>
        <v>14</v>
      </c>
      <c r="O368" s="38" t="s">
        <v>1024</v>
      </c>
      <c r="P368" s="38" t="s">
        <v>1319</v>
      </c>
      <c r="Q368" s="38" t="str">
        <f>データ!F368</f>
        <v>斬</v>
      </c>
      <c r="R368" s="38" t="s">
        <v>1024</v>
      </c>
      <c r="S368" s="38" t="s">
        <v>1319</v>
      </c>
      <c r="T368" s="39">
        <f>データ!G368</f>
        <v>18658</v>
      </c>
      <c r="U368" s="40" t="s">
        <v>1024</v>
      </c>
      <c r="V368" s="40" t="s">
        <v>1319</v>
      </c>
      <c r="W368" s="39">
        <f>データ!H368</f>
        <v>7468</v>
      </c>
      <c r="X368" s="40" t="s">
        <v>1024</v>
      </c>
      <c r="Y368" s="40" t="s">
        <v>1319</v>
      </c>
      <c r="Z368" s="39">
        <f>データ!I368</f>
        <v>6414</v>
      </c>
      <c r="AA368" s="40" t="s">
        <v>1024</v>
      </c>
      <c r="AB368" s="40" t="s">
        <v>1322</v>
      </c>
      <c r="AC368" s="39" t="str">
        <f>データ!J368</f>
        <v>S</v>
      </c>
      <c r="AD368" s="38" t="s">
        <v>1024</v>
      </c>
      <c r="AE368" s="40" t="s">
        <v>1323</v>
      </c>
      <c r="AF368" s="39">
        <f>データ!K368</f>
        <v>32540</v>
      </c>
      <c r="AG368" s="40" t="s">
        <v>1024</v>
      </c>
      <c r="AH368" s="40" t="s">
        <v>1324</v>
      </c>
      <c r="AI368" s="39" t="str">
        <f>データ!L368</f>
        <v>地魔幻の閃光／煌</v>
      </c>
      <c r="AJ368" s="10" t="s">
        <v>1113</v>
      </c>
      <c r="AK368" s="39" t="str">
        <f>データ!M368</f>
        <v>縦一列攻撃[特大]自分の防御力UP[特大]</v>
      </c>
      <c r="AL368" s="10" t="s">
        <v>1024</v>
      </c>
      <c r="AM368" s="40" t="s">
        <v>1325</v>
      </c>
      <c r="AN368" s="39" t="str">
        <f>データ!N368</f>
        <v>-</v>
      </c>
      <c r="AO368" s="10" t="s">
        <v>1113</v>
      </c>
      <c r="AP368" s="39" t="str">
        <f>データ!O368</f>
        <v>　</v>
      </c>
      <c r="AQ368" s="41" t="s">
        <v>1024</v>
      </c>
      <c r="AR368" s="40" t="s">
        <v>1324</v>
      </c>
      <c r="AS368" s="39" t="str">
        <f>データ!P368</f>
        <v>シャドウオーダー</v>
      </c>
      <c r="AT368" s="10" t="s">
        <v>1113</v>
      </c>
      <c r="AU368" s="39" t="str">
        <f>データ!Q368</f>
        <v>騎士団全体の強襲CB率が小UP(3分間)</v>
      </c>
      <c r="AV368" s="10" t="s">
        <v>1024</v>
      </c>
      <c r="AW368" s="40" t="s">
        <v>1324</v>
      </c>
      <c r="AX368" s="39" t="str">
        <f>データ!R368</f>
        <v>-</v>
      </c>
      <c r="AY368" s="10" t="s">
        <v>1113</v>
      </c>
      <c r="AZ368" s="39" t="str">
        <f>データ!S368</f>
        <v>　</v>
      </c>
      <c r="BA368" s="41" t="s">
        <v>1024</v>
      </c>
      <c r="BB368" s="40" t="s">
        <v>1319</v>
      </c>
      <c r="BC368" s="39" t="str">
        <f>データ!T368</f>
        <v>-</v>
      </c>
      <c r="BD368" s="41" t="s">
        <v>1024</v>
      </c>
      <c r="BE368" s="40" t="s">
        <v>1320</v>
      </c>
      <c r="BF368" s="39" t="str">
        <f>データ!U368</f>
        <v>-</v>
      </c>
      <c r="BG368" s="41" t="s">
        <v>1024</v>
      </c>
      <c r="BH368" s="40" t="s">
        <v>1319</v>
      </c>
      <c r="BI368" s="39" t="str">
        <f>データ!V368</f>
        <v>ガチャイベ</v>
      </c>
      <c r="BJ368" s="41" t="s">
        <v>1024</v>
      </c>
      <c r="BK368" s="10" t="s">
        <v>1019</v>
      </c>
    </row>
    <row r="369" spans="1:63" x14ac:dyDescent="0.15">
      <c r="A369" s="10" t="s">
        <v>1016</v>
      </c>
      <c r="B369" s="10" t="s">
        <v>1454</v>
      </c>
      <c r="C369" s="38" t="str">
        <f>"./images/thumbnail/"&amp;データ!B369&amp;".jpg"</f>
        <v>./images/thumbnail/1644_a.jpg</v>
      </c>
      <c r="D369" s="38" t="s">
        <v>1455</v>
      </c>
      <c r="E369" s="38" t="str">
        <f>"./images/thumbnail/"&amp;データ!B369&amp;".jpg"</f>
        <v>./images/thumbnail/1644_a.jpg</v>
      </c>
      <c r="F369" s="38" t="s">
        <v>1116</v>
      </c>
      <c r="G369" s="38" t="s">
        <v>1319</v>
      </c>
      <c r="H369" s="38" t="str">
        <f>データ!C369</f>
        <v>レオン</v>
      </c>
      <c r="I369" s="38" t="s">
        <v>1024</v>
      </c>
      <c r="J369" s="38" t="s">
        <v>1320</v>
      </c>
      <c r="K369" s="38" t="str">
        <f>データ!D369</f>
        <v>UR</v>
      </c>
      <c r="L369" s="38" t="s">
        <v>1024</v>
      </c>
      <c r="M369" s="38" t="s">
        <v>1321</v>
      </c>
      <c r="N369" s="38">
        <f>データ!E369</f>
        <v>14</v>
      </c>
      <c r="O369" s="38" t="s">
        <v>1024</v>
      </c>
      <c r="P369" s="38" t="s">
        <v>1319</v>
      </c>
      <c r="Q369" s="38" t="str">
        <f>データ!F369</f>
        <v>斬</v>
      </c>
      <c r="R369" s="38" t="s">
        <v>1024</v>
      </c>
      <c r="S369" s="38" t="s">
        <v>1319</v>
      </c>
      <c r="T369" s="39">
        <f>データ!G369</f>
        <v>24265</v>
      </c>
      <c r="U369" s="40" t="s">
        <v>1024</v>
      </c>
      <c r="V369" s="40" t="s">
        <v>1319</v>
      </c>
      <c r="W369" s="39">
        <f>データ!H369</f>
        <v>9337</v>
      </c>
      <c r="X369" s="40" t="s">
        <v>1024</v>
      </c>
      <c r="Y369" s="40" t="s">
        <v>1319</v>
      </c>
      <c r="Z369" s="39">
        <f>データ!I369</f>
        <v>8661</v>
      </c>
      <c r="AA369" s="40" t="s">
        <v>1024</v>
      </c>
      <c r="AB369" s="40" t="s">
        <v>1322</v>
      </c>
      <c r="AC369" s="39" t="str">
        <f>データ!J369</f>
        <v>SS+</v>
      </c>
      <c r="AD369" s="38" t="s">
        <v>1024</v>
      </c>
      <c r="AE369" s="40" t="s">
        <v>1323</v>
      </c>
      <c r="AF369" s="39">
        <f>データ!K369</f>
        <v>42263</v>
      </c>
      <c r="AG369" s="40" t="s">
        <v>1024</v>
      </c>
      <c r="AH369" s="40" t="s">
        <v>1324</v>
      </c>
      <c r="AI369" s="39" t="str">
        <f>データ!L369</f>
        <v>地魔幻の閃光／煌＋</v>
      </c>
      <c r="AJ369" s="10" t="s">
        <v>1113</v>
      </c>
      <c r="AK369" s="39" t="str">
        <f>データ!M369</f>
        <v>縦一列攻撃[極大]自分の防御力UP[特大]</v>
      </c>
      <c r="AL369" s="10" t="s">
        <v>1024</v>
      </c>
      <c r="AM369" s="40" t="s">
        <v>1325</v>
      </c>
      <c r="AN369" s="39" t="str">
        <f>データ!N369</f>
        <v>-</v>
      </c>
      <c r="AO369" s="10" t="s">
        <v>1113</v>
      </c>
      <c r="AP369" s="39" t="str">
        <f>データ!O369</f>
        <v>　</v>
      </c>
      <c r="AQ369" s="41" t="s">
        <v>1024</v>
      </c>
      <c r="AR369" s="40" t="s">
        <v>1324</v>
      </c>
      <c r="AS369" s="39" t="str">
        <f>データ!P369</f>
        <v>シャドウオーダー</v>
      </c>
      <c r="AT369" s="10" t="s">
        <v>1113</v>
      </c>
      <c r="AU369" s="39" t="str">
        <f>データ!Q369</f>
        <v>騎士団全体の強襲CB率が小UP(3分間)</v>
      </c>
      <c r="AV369" s="10" t="s">
        <v>1024</v>
      </c>
      <c r="AW369" s="40" t="s">
        <v>1324</v>
      </c>
      <c r="AX369" s="39" t="str">
        <f>データ!R369</f>
        <v>-</v>
      </c>
      <c r="AY369" s="10" t="s">
        <v>1113</v>
      </c>
      <c r="AZ369" s="39" t="str">
        <f>データ!S369</f>
        <v>　</v>
      </c>
      <c r="BA369" s="41" t="s">
        <v>1024</v>
      </c>
      <c r="BB369" s="40" t="s">
        <v>1319</v>
      </c>
      <c r="BC369" s="39" t="str">
        <f>データ!T369</f>
        <v>-</v>
      </c>
      <c r="BD369" s="41" t="s">
        <v>1024</v>
      </c>
      <c r="BE369" s="40" t="s">
        <v>1320</v>
      </c>
      <c r="BF369" s="39" t="str">
        <f>データ!U369</f>
        <v>-</v>
      </c>
      <c r="BG369" s="41" t="s">
        <v>1024</v>
      </c>
      <c r="BH369" s="40" t="s">
        <v>1319</v>
      </c>
      <c r="BI369" s="39" t="str">
        <f>データ!V369</f>
        <v>精鋭化ユニット</v>
      </c>
      <c r="BJ369" s="41" t="s">
        <v>1024</v>
      </c>
      <c r="BK369" s="10" t="s">
        <v>1019</v>
      </c>
    </row>
    <row r="370" spans="1:63" x14ac:dyDescent="0.15">
      <c r="A370" s="10" t="s">
        <v>1016</v>
      </c>
      <c r="B370" s="10" t="s">
        <v>1454</v>
      </c>
      <c r="C370" s="38" t="str">
        <f>"./images/thumbnail/"&amp;データ!B370&amp;".jpg"</f>
        <v>./images/thumbnail/1644_b.jpg</v>
      </c>
      <c r="D370" s="38" t="s">
        <v>1455</v>
      </c>
      <c r="E370" s="38" t="str">
        <f>"./images/thumbnail/"&amp;データ!B370&amp;".jpg"</f>
        <v>./images/thumbnail/1644_b.jpg</v>
      </c>
      <c r="F370" s="38" t="s">
        <v>1116</v>
      </c>
      <c r="G370" s="38" t="s">
        <v>1319</v>
      </c>
      <c r="H370" s="38" t="str">
        <f>データ!C370</f>
        <v>レオン</v>
      </c>
      <c r="I370" s="38" t="s">
        <v>1024</v>
      </c>
      <c r="J370" s="38" t="s">
        <v>1320</v>
      </c>
      <c r="K370" s="38" t="str">
        <f>データ!D370</f>
        <v>UR</v>
      </c>
      <c r="L370" s="38" t="s">
        <v>1024</v>
      </c>
      <c r="M370" s="38" t="s">
        <v>1321</v>
      </c>
      <c r="N370" s="38">
        <f>データ!E370</f>
        <v>14</v>
      </c>
      <c r="O370" s="38" t="s">
        <v>1024</v>
      </c>
      <c r="P370" s="38" t="s">
        <v>1319</v>
      </c>
      <c r="Q370" s="38" t="str">
        <f>データ!F370</f>
        <v>斬</v>
      </c>
      <c r="R370" s="38" t="s">
        <v>1024</v>
      </c>
      <c r="S370" s="38" t="s">
        <v>1319</v>
      </c>
      <c r="T370" s="39">
        <f>データ!G370</f>
        <v>22396</v>
      </c>
      <c r="U370" s="40" t="s">
        <v>1024</v>
      </c>
      <c r="V370" s="40" t="s">
        <v>1319</v>
      </c>
      <c r="W370" s="39">
        <f>データ!H370</f>
        <v>8959</v>
      </c>
      <c r="X370" s="40" t="s">
        <v>1024</v>
      </c>
      <c r="Y370" s="40" t="s">
        <v>1319</v>
      </c>
      <c r="Z370" s="39">
        <f>データ!I370</f>
        <v>7695</v>
      </c>
      <c r="AA370" s="40" t="s">
        <v>1024</v>
      </c>
      <c r="AB370" s="40" t="s">
        <v>1322</v>
      </c>
      <c r="AC370" s="39" t="str">
        <f>データ!J370</f>
        <v>SS+</v>
      </c>
      <c r="AD370" s="38" t="s">
        <v>1024</v>
      </c>
      <c r="AE370" s="40" t="s">
        <v>1323</v>
      </c>
      <c r="AF370" s="39">
        <f>データ!K370</f>
        <v>39050</v>
      </c>
      <c r="AG370" s="40" t="s">
        <v>1024</v>
      </c>
      <c r="AH370" s="40" t="s">
        <v>1324</v>
      </c>
      <c r="AI370" s="39" t="str">
        <f>データ!L370</f>
        <v>地魔幻の閃光／煌</v>
      </c>
      <c r="AJ370" s="10" t="s">
        <v>1113</v>
      </c>
      <c r="AK370" s="39" t="str">
        <f>データ!M370</f>
        <v>縦一列攻撃[特大]自分の防御力UP[特大]</v>
      </c>
      <c r="AL370" s="10" t="s">
        <v>1024</v>
      </c>
      <c r="AM370" s="40" t="s">
        <v>1325</v>
      </c>
      <c r="AN370" s="39" t="str">
        <f>データ!N370</f>
        <v>-</v>
      </c>
      <c r="AO370" s="10" t="s">
        <v>1113</v>
      </c>
      <c r="AP370" s="39" t="str">
        <f>データ!O370</f>
        <v>　</v>
      </c>
      <c r="AQ370" s="41" t="s">
        <v>1024</v>
      </c>
      <c r="AR370" s="40" t="s">
        <v>1324</v>
      </c>
      <c r="AS370" s="39" t="str">
        <f>データ!P370</f>
        <v>騎士と父の顔</v>
      </c>
      <c r="AT370" s="10" t="s">
        <v>1113</v>
      </c>
      <c r="AU370" s="39" t="str">
        <f>データ!Q370</f>
        <v>騎士団全体の強襲率が大UP(3分間)</v>
      </c>
      <c r="AV370" s="10" t="s">
        <v>1024</v>
      </c>
      <c r="AW370" s="40" t="s">
        <v>1324</v>
      </c>
      <c r="AX370" s="39" t="str">
        <f>データ!R370</f>
        <v>-</v>
      </c>
      <c r="AY370" s="10" t="s">
        <v>1113</v>
      </c>
      <c r="AZ370" s="39" t="str">
        <f>データ!S370</f>
        <v>　</v>
      </c>
      <c r="BA370" s="41" t="s">
        <v>1024</v>
      </c>
      <c r="BB370" s="40" t="s">
        <v>1319</v>
      </c>
      <c r="BC370" s="39" t="str">
        <f>データ!T370</f>
        <v>-</v>
      </c>
      <c r="BD370" s="41" t="s">
        <v>1024</v>
      </c>
      <c r="BE370" s="40" t="s">
        <v>1320</v>
      </c>
      <c r="BF370" s="39" t="str">
        <f>データ!U370</f>
        <v>-</v>
      </c>
      <c r="BG370" s="41" t="s">
        <v>1024</v>
      </c>
      <c r="BH370" s="40" t="s">
        <v>1319</v>
      </c>
      <c r="BI370" s="39" t="str">
        <f>データ!V370</f>
        <v>精鋭化ユニット</v>
      </c>
      <c r="BJ370" s="41" t="s">
        <v>1024</v>
      </c>
      <c r="BK370" s="10" t="s">
        <v>1019</v>
      </c>
    </row>
    <row r="371" spans="1:63" x14ac:dyDescent="0.15">
      <c r="A371" s="10" t="s">
        <v>1016</v>
      </c>
      <c r="B371" s="10" t="s">
        <v>1454</v>
      </c>
      <c r="C371" s="38" t="str">
        <f>"./images/thumbnail/"&amp;データ!B371&amp;".jpg"</f>
        <v>./images/thumbnail/1647.jpg</v>
      </c>
      <c r="D371" s="38" t="s">
        <v>1455</v>
      </c>
      <c r="E371" s="38" t="str">
        <f>"./images/thumbnail/"&amp;データ!B371&amp;".jpg"</f>
        <v>./images/thumbnail/1647.jpg</v>
      </c>
      <c r="F371" s="38" t="s">
        <v>1116</v>
      </c>
      <c r="G371" s="38" t="s">
        <v>1319</v>
      </c>
      <c r="H371" s="38" t="str">
        <f>データ!C371</f>
        <v>ドロシー</v>
      </c>
      <c r="I371" s="38" t="s">
        <v>1024</v>
      </c>
      <c r="J371" s="38" t="s">
        <v>1320</v>
      </c>
      <c r="K371" s="38" t="str">
        <f>データ!D371</f>
        <v>SSR</v>
      </c>
      <c r="L371" s="38" t="s">
        <v>1024</v>
      </c>
      <c r="M371" s="38" t="s">
        <v>1321</v>
      </c>
      <c r="N371" s="38">
        <f>データ!E371</f>
        <v>13</v>
      </c>
      <c r="O371" s="38" t="s">
        <v>1024</v>
      </c>
      <c r="P371" s="38" t="s">
        <v>1319</v>
      </c>
      <c r="Q371" s="38" t="str">
        <f>データ!F371</f>
        <v>突</v>
      </c>
      <c r="R371" s="38" t="s">
        <v>1024</v>
      </c>
      <c r="S371" s="38" t="s">
        <v>1319</v>
      </c>
      <c r="T371" s="39">
        <f>データ!G371</f>
        <v>17979</v>
      </c>
      <c r="U371" s="40" t="s">
        <v>1024</v>
      </c>
      <c r="V371" s="40" t="s">
        <v>1319</v>
      </c>
      <c r="W371" s="39">
        <f>データ!H371</f>
        <v>4658</v>
      </c>
      <c r="X371" s="40" t="s">
        <v>1024</v>
      </c>
      <c r="Y371" s="40" t="s">
        <v>1319</v>
      </c>
      <c r="Z371" s="39">
        <f>データ!I371</f>
        <v>6531</v>
      </c>
      <c r="AA371" s="40" t="s">
        <v>1024</v>
      </c>
      <c r="AB371" s="40" t="s">
        <v>1322</v>
      </c>
      <c r="AC371" s="39" t="str">
        <f>データ!J371</f>
        <v>SS-</v>
      </c>
      <c r="AD371" s="38" t="s">
        <v>1024</v>
      </c>
      <c r="AE371" s="40" t="s">
        <v>1323</v>
      </c>
      <c r="AF371" s="39">
        <f>データ!K371</f>
        <v>29168</v>
      </c>
      <c r="AG371" s="40" t="s">
        <v>1024</v>
      </c>
      <c r="AH371" s="40" t="s">
        <v>1324</v>
      </c>
      <c r="AI371" s="39" t="str">
        <f>データ!L371</f>
        <v>加護消滅／光芒</v>
      </c>
      <c r="AJ371" s="10" t="s">
        <v>1113</v>
      </c>
      <c r="AK371" s="39" t="str">
        <f>データ!M371</f>
        <v>敵全体の防御力をDOWN[中]</v>
      </c>
      <c r="AL371" s="10" t="s">
        <v>1024</v>
      </c>
      <c r="AM371" s="40" t="s">
        <v>1325</v>
      </c>
      <c r="AN371" s="39" t="str">
        <f>データ!N371</f>
        <v>-</v>
      </c>
      <c r="AO371" s="10" t="s">
        <v>1113</v>
      </c>
      <c r="AP371" s="39" t="str">
        <f>データ!O371</f>
        <v>　</v>
      </c>
      <c r="AQ371" s="41" t="s">
        <v>1024</v>
      </c>
      <c r="AR371" s="40" t="s">
        <v>1324</v>
      </c>
      <c r="AS371" s="39" t="str">
        <f>データ!P371</f>
        <v>キャッスルヴェール</v>
      </c>
      <c r="AT371" s="10" t="s">
        <v>1113</v>
      </c>
      <c r="AU371" s="39" t="str">
        <f>データ!Q371</f>
        <v>城の強度Lvが小UP(3分間)</v>
      </c>
      <c r="AV371" s="10" t="s">
        <v>1024</v>
      </c>
      <c r="AW371" s="40" t="s">
        <v>1324</v>
      </c>
      <c r="AX371" s="39" t="str">
        <f>データ!R371</f>
        <v>-</v>
      </c>
      <c r="AY371" s="10" t="s">
        <v>1113</v>
      </c>
      <c r="AZ371" s="39" t="str">
        <f>データ!S371</f>
        <v>　</v>
      </c>
      <c r="BA371" s="41" t="s">
        <v>1024</v>
      </c>
      <c r="BB371" s="40" t="s">
        <v>1319</v>
      </c>
      <c r="BC371" s="39" t="str">
        <f>データ!T371</f>
        <v>-</v>
      </c>
      <c r="BD371" s="41" t="s">
        <v>1024</v>
      </c>
      <c r="BE371" s="40" t="s">
        <v>1320</v>
      </c>
      <c r="BF371" s="39" t="str">
        <f>データ!U371</f>
        <v>-</v>
      </c>
      <c r="BG371" s="41" t="s">
        <v>1024</v>
      </c>
      <c r="BH371" s="40" t="s">
        <v>1319</v>
      </c>
      <c r="BI371" s="39" t="str">
        <f>データ!V371</f>
        <v>マゴニア</v>
      </c>
      <c r="BJ371" s="41" t="s">
        <v>1024</v>
      </c>
      <c r="BK371" s="10" t="s">
        <v>1019</v>
      </c>
    </row>
    <row r="372" spans="1:63" x14ac:dyDescent="0.15">
      <c r="A372" s="10" t="s">
        <v>1016</v>
      </c>
      <c r="B372" s="10" t="s">
        <v>1454</v>
      </c>
      <c r="C372" s="38" t="str">
        <f>"./images/thumbnail/"&amp;データ!B372&amp;".jpg"</f>
        <v>./images/thumbnail/1649.jpg</v>
      </c>
      <c r="D372" s="38" t="s">
        <v>1455</v>
      </c>
      <c r="E372" s="38" t="str">
        <f>"./images/thumbnail/"&amp;データ!B372&amp;".jpg"</f>
        <v>./images/thumbnail/1649.jpg</v>
      </c>
      <c r="F372" s="38" t="s">
        <v>1116</v>
      </c>
      <c r="G372" s="38" t="s">
        <v>1319</v>
      </c>
      <c r="H372" s="38" t="str">
        <f>データ!C372</f>
        <v>ロラン</v>
      </c>
      <c r="I372" s="38" t="s">
        <v>1024</v>
      </c>
      <c r="J372" s="38" t="s">
        <v>1320</v>
      </c>
      <c r="K372" s="38" t="str">
        <f>データ!D372</f>
        <v>UR</v>
      </c>
      <c r="L372" s="38" t="s">
        <v>1024</v>
      </c>
      <c r="M372" s="38" t="s">
        <v>1321</v>
      </c>
      <c r="N372" s="38">
        <f>データ!E372</f>
        <v>14</v>
      </c>
      <c r="O372" s="38" t="s">
        <v>1024</v>
      </c>
      <c r="P372" s="38" t="s">
        <v>1319</v>
      </c>
      <c r="Q372" s="38" t="str">
        <f>データ!F372</f>
        <v>斬</v>
      </c>
      <c r="R372" s="38" t="s">
        <v>1024</v>
      </c>
      <c r="S372" s="38" t="s">
        <v>1319</v>
      </c>
      <c r="T372" s="39">
        <f>データ!G372</f>
        <v>17738</v>
      </c>
      <c r="U372" s="40" t="s">
        <v>1024</v>
      </c>
      <c r="V372" s="40" t="s">
        <v>1319</v>
      </c>
      <c r="W372" s="39">
        <f>データ!H372</f>
        <v>8156</v>
      </c>
      <c r="X372" s="40" t="s">
        <v>1024</v>
      </c>
      <c r="Y372" s="40" t="s">
        <v>1319</v>
      </c>
      <c r="Z372" s="39">
        <f>データ!I372</f>
        <v>6164</v>
      </c>
      <c r="AA372" s="40" t="s">
        <v>1024</v>
      </c>
      <c r="AB372" s="40" t="s">
        <v>1322</v>
      </c>
      <c r="AC372" s="39" t="str">
        <f>データ!J372</f>
        <v>S</v>
      </c>
      <c r="AD372" s="38" t="s">
        <v>1024</v>
      </c>
      <c r="AE372" s="40" t="s">
        <v>1323</v>
      </c>
      <c r="AF372" s="39">
        <f>データ!K372</f>
        <v>32058</v>
      </c>
      <c r="AG372" s="40" t="s">
        <v>1024</v>
      </c>
      <c r="AH372" s="40" t="s">
        <v>1324</v>
      </c>
      <c r="AI372" s="39" t="str">
        <f>データ!L372</f>
        <v>斬紅の神護</v>
      </c>
      <c r="AJ372" s="10" t="s">
        <v>1113</v>
      </c>
      <c r="AK372" s="39" t="str">
        <f>データ!M372</f>
        <v>味方斬属性の防御力をUP[特大]</v>
      </c>
      <c r="AL372" s="10" t="s">
        <v>1024</v>
      </c>
      <c r="AM372" s="40" t="s">
        <v>1325</v>
      </c>
      <c r="AN372" s="39" t="str">
        <f>データ!N372</f>
        <v>-</v>
      </c>
      <c r="AO372" s="10" t="s">
        <v>1113</v>
      </c>
      <c r="AP372" s="39" t="str">
        <f>データ!O372</f>
        <v>　</v>
      </c>
      <c r="AQ372" s="41" t="s">
        <v>1024</v>
      </c>
      <c r="AR372" s="40" t="s">
        <v>1324</v>
      </c>
      <c r="AS372" s="39" t="str">
        <f>データ!P372</f>
        <v>ポイントライズ／絶</v>
      </c>
      <c r="AT372" s="10" t="s">
        <v>1113</v>
      </c>
      <c r="AU372" s="39" t="str">
        <f>データ!Q372</f>
        <v>獲得する騎士団戦スコアが大アップ(バトル3回)</v>
      </c>
      <c r="AV372" s="10" t="s">
        <v>1024</v>
      </c>
      <c r="AW372" s="40" t="s">
        <v>1324</v>
      </c>
      <c r="AX372" s="39" t="str">
        <f>データ!R372</f>
        <v>-</v>
      </c>
      <c r="AY372" s="10" t="s">
        <v>1113</v>
      </c>
      <c r="AZ372" s="39" t="str">
        <f>データ!S372</f>
        <v>　</v>
      </c>
      <c r="BA372" s="41" t="s">
        <v>1024</v>
      </c>
      <c r="BB372" s="40" t="s">
        <v>1319</v>
      </c>
      <c r="BC372" s="39" t="str">
        <f>データ!T372</f>
        <v>-</v>
      </c>
      <c r="BD372" s="41" t="s">
        <v>1024</v>
      </c>
      <c r="BE372" s="40" t="s">
        <v>1320</v>
      </c>
      <c r="BF372" s="39" t="str">
        <f>データ!U372</f>
        <v>-</v>
      </c>
      <c r="BG372" s="41" t="s">
        <v>1024</v>
      </c>
      <c r="BH372" s="40" t="s">
        <v>1319</v>
      </c>
      <c r="BI372" s="39" t="str">
        <f>データ!V372</f>
        <v>常設</v>
      </c>
      <c r="BJ372" s="41" t="s">
        <v>1024</v>
      </c>
      <c r="BK372" s="10" t="s">
        <v>1019</v>
      </c>
    </row>
    <row r="373" spans="1:63" x14ac:dyDescent="0.15">
      <c r="A373" s="10" t="s">
        <v>1016</v>
      </c>
      <c r="B373" s="10" t="s">
        <v>1454</v>
      </c>
      <c r="C373" s="38" t="str">
        <f>"./images/thumbnail/"&amp;データ!B373&amp;".jpg"</f>
        <v>./images/thumbnail/1651.jpg</v>
      </c>
      <c r="D373" s="38" t="s">
        <v>1455</v>
      </c>
      <c r="E373" s="38" t="str">
        <f>"./images/thumbnail/"&amp;データ!B373&amp;".jpg"</f>
        <v>./images/thumbnail/1651.jpg</v>
      </c>
      <c r="F373" s="38" t="s">
        <v>1116</v>
      </c>
      <c r="G373" s="38" t="s">
        <v>1319</v>
      </c>
      <c r="H373" s="38" t="str">
        <f>データ!C373</f>
        <v>ファイザ</v>
      </c>
      <c r="I373" s="38" t="s">
        <v>1024</v>
      </c>
      <c r="J373" s="38" t="s">
        <v>1320</v>
      </c>
      <c r="K373" s="38" t="str">
        <f>データ!D373</f>
        <v>SSR</v>
      </c>
      <c r="L373" s="38" t="s">
        <v>1024</v>
      </c>
      <c r="M373" s="38" t="s">
        <v>1321</v>
      </c>
      <c r="N373" s="38">
        <f>データ!E373</f>
        <v>13</v>
      </c>
      <c r="O373" s="38" t="s">
        <v>1024</v>
      </c>
      <c r="P373" s="38" t="s">
        <v>1319</v>
      </c>
      <c r="Q373" s="38" t="str">
        <f>データ!F373</f>
        <v>突</v>
      </c>
      <c r="R373" s="38" t="s">
        <v>1024</v>
      </c>
      <c r="S373" s="38" t="s">
        <v>1319</v>
      </c>
      <c r="T373" s="39">
        <f>データ!G373</f>
        <v>18875</v>
      </c>
      <c r="U373" s="40" t="s">
        <v>1024</v>
      </c>
      <c r="V373" s="40" t="s">
        <v>1319</v>
      </c>
      <c r="W373" s="39">
        <f>データ!H373</f>
        <v>5639</v>
      </c>
      <c r="X373" s="40" t="s">
        <v>1024</v>
      </c>
      <c r="Y373" s="40" t="s">
        <v>1319</v>
      </c>
      <c r="Z373" s="39">
        <f>データ!I373</f>
        <v>5407</v>
      </c>
      <c r="AA373" s="40" t="s">
        <v>1024</v>
      </c>
      <c r="AB373" s="40" t="s">
        <v>1322</v>
      </c>
      <c r="AC373" s="39" t="str">
        <f>データ!J373</f>
        <v>SS-</v>
      </c>
      <c r="AD373" s="38" t="s">
        <v>1024</v>
      </c>
      <c r="AE373" s="40" t="s">
        <v>1323</v>
      </c>
      <c r="AF373" s="39">
        <f>データ!K373</f>
        <v>29921</v>
      </c>
      <c r="AG373" s="40" t="s">
        <v>1024</v>
      </c>
      <c r="AH373" s="40" t="s">
        <v>1324</v>
      </c>
      <c r="AI373" s="39" t="str">
        <f>データ!L373</f>
        <v>天幻神の四連撃／真</v>
      </c>
      <c r="AJ373" s="10" t="s">
        <v>1113</v>
      </c>
      <c r="AK373" s="39" t="str">
        <f>データ!M373</f>
        <v>ランダム4連続攻撃[中]自分の攻撃力UP[中]</v>
      </c>
      <c r="AL373" s="10" t="s">
        <v>1024</v>
      </c>
      <c r="AM373" s="40" t="s">
        <v>1325</v>
      </c>
      <c r="AN373" s="39" t="str">
        <f>データ!N373</f>
        <v>-</v>
      </c>
      <c r="AO373" s="10" t="s">
        <v>1113</v>
      </c>
      <c r="AP373" s="39" t="str">
        <f>データ!O373</f>
        <v>　</v>
      </c>
      <c r="AQ373" s="41" t="s">
        <v>1024</v>
      </c>
      <c r="AR373" s="40" t="s">
        <v>1324</v>
      </c>
      <c r="AS373" s="39" t="str">
        <f>データ!P373</f>
        <v>ステルス／真</v>
      </c>
      <c r="AT373" s="10" t="s">
        <v>1113</v>
      </c>
      <c r="AU373" s="39" t="str">
        <f>データ!Q373</f>
        <v>強襲CBの発生確率・強襲時獲得ポイント中UP(3回)</v>
      </c>
      <c r="AV373" s="10" t="s">
        <v>1024</v>
      </c>
      <c r="AW373" s="40" t="s">
        <v>1324</v>
      </c>
      <c r="AX373" s="39" t="str">
        <f>データ!R373</f>
        <v>-</v>
      </c>
      <c r="AY373" s="10" t="s">
        <v>1113</v>
      </c>
      <c r="AZ373" s="39" t="str">
        <f>データ!S373</f>
        <v>　</v>
      </c>
      <c r="BA373" s="41" t="s">
        <v>1024</v>
      </c>
      <c r="BB373" s="40" t="s">
        <v>1319</v>
      </c>
      <c r="BC373" s="39" t="str">
        <f>データ!T373</f>
        <v>-</v>
      </c>
      <c r="BD373" s="41" t="s">
        <v>1024</v>
      </c>
      <c r="BE373" s="40" t="s">
        <v>1320</v>
      </c>
      <c r="BF373" s="39" t="str">
        <f>データ!U373</f>
        <v>-</v>
      </c>
      <c r="BG373" s="41" t="s">
        <v>1024</v>
      </c>
      <c r="BH373" s="40" t="s">
        <v>1319</v>
      </c>
      <c r="BI373" s="39" t="str">
        <f>データ!V373</f>
        <v>常設</v>
      </c>
      <c r="BJ373" s="41" t="s">
        <v>1024</v>
      </c>
      <c r="BK373" s="10" t="s">
        <v>1019</v>
      </c>
    </row>
    <row r="374" spans="1:63" x14ac:dyDescent="0.15">
      <c r="A374" s="10" t="s">
        <v>1016</v>
      </c>
      <c r="B374" s="10" t="s">
        <v>1454</v>
      </c>
      <c r="C374" s="38" t="str">
        <f>"./images/thumbnail/"&amp;データ!B374&amp;".jpg"</f>
        <v>./images/thumbnail/1653.jpg</v>
      </c>
      <c r="D374" s="38" t="s">
        <v>1455</v>
      </c>
      <c r="E374" s="38" t="str">
        <f>"./images/thumbnail/"&amp;データ!B374&amp;".jpg"</f>
        <v>./images/thumbnail/1653.jpg</v>
      </c>
      <c r="F374" s="38" t="s">
        <v>1116</v>
      </c>
      <c r="G374" s="38" t="s">
        <v>1319</v>
      </c>
      <c r="H374" s="38" t="str">
        <f>データ!C374</f>
        <v>ユルシュ</v>
      </c>
      <c r="I374" s="38" t="s">
        <v>1024</v>
      </c>
      <c r="J374" s="38" t="s">
        <v>1320</v>
      </c>
      <c r="K374" s="38" t="str">
        <f>データ!D374</f>
        <v>SSR</v>
      </c>
      <c r="L374" s="38" t="s">
        <v>1024</v>
      </c>
      <c r="M374" s="38" t="s">
        <v>1321</v>
      </c>
      <c r="N374" s="38">
        <f>データ!E374</f>
        <v>13</v>
      </c>
      <c r="O374" s="38" t="s">
        <v>1024</v>
      </c>
      <c r="P374" s="38" t="s">
        <v>1319</v>
      </c>
      <c r="Q374" s="38" t="str">
        <f>データ!F374</f>
        <v>打</v>
      </c>
      <c r="R374" s="38" t="s">
        <v>1024</v>
      </c>
      <c r="S374" s="38" t="s">
        <v>1319</v>
      </c>
      <c r="T374" s="39">
        <f>データ!G374</f>
        <v>17843</v>
      </c>
      <c r="U374" s="40" t="s">
        <v>1024</v>
      </c>
      <c r="V374" s="40" t="s">
        <v>1319</v>
      </c>
      <c r="W374" s="39">
        <f>データ!H374</f>
        <v>6613</v>
      </c>
      <c r="X374" s="40" t="s">
        <v>1024</v>
      </c>
      <c r="Y374" s="40" t="s">
        <v>1319</v>
      </c>
      <c r="Z374" s="39">
        <f>データ!I374</f>
        <v>6376</v>
      </c>
      <c r="AA374" s="40" t="s">
        <v>1024</v>
      </c>
      <c r="AB374" s="40" t="s">
        <v>1322</v>
      </c>
      <c r="AC374" s="39" t="str">
        <f>データ!J374</f>
        <v>A-</v>
      </c>
      <c r="AD374" s="38" t="s">
        <v>1024</v>
      </c>
      <c r="AE374" s="40" t="s">
        <v>1323</v>
      </c>
      <c r="AF374" s="39">
        <f>データ!K374</f>
        <v>30832</v>
      </c>
      <c r="AG374" s="40" t="s">
        <v>1024</v>
      </c>
      <c r="AH374" s="40" t="s">
        <v>1324</v>
      </c>
      <c r="AI374" s="39" t="str">
        <f>データ!L374</f>
        <v>挑発の舞踏／真</v>
      </c>
      <c r="AJ374" s="10" t="s">
        <v>1113</v>
      </c>
      <c r="AK374" s="39" t="str">
        <f>データ!M374</f>
        <v>一定確率で敵の攻撃を引き付ける[高確率]</v>
      </c>
      <c r="AL374" s="10" t="s">
        <v>1024</v>
      </c>
      <c r="AM374" s="40" t="s">
        <v>1325</v>
      </c>
      <c r="AN374" s="39" t="str">
        <f>データ!N374</f>
        <v>-</v>
      </c>
      <c r="AO374" s="10" t="s">
        <v>1113</v>
      </c>
      <c r="AP374" s="39" t="str">
        <f>データ!O374</f>
        <v>　</v>
      </c>
      <c r="AQ374" s="41" t="s">
        <v>1024</v>
      </c>
      <c r="AR374" s="40" t="s">
        <v>1324</v>
      </c>
      <c r="AS374" s="39" t="str">
        <f>データ!P374</f>
        <v>バーサク</v>
      </c>
      <c r="AT374" s="10" t="s">
        <v>1113</v>
      </c>
      <c r="AU374" s="39" t="str">
        <f>データ!Q374</f>
        <v>強襲が発生無効、バトル時に攻・防小UP(3分間)</v>
      </c>
      <c r="AV374" s="10" t="s">
        <v>1024</v>
      </c>
      <c r="AW374" s="40" t="s">
        <v>1324</v>
      </c>
      <c r="AX374" s="39" t="str">
        <f>データ!R374</f>
        <v>-</v>
      </c>
      <c r="AY374" s="10" t="s">
        <v>1113</v>
      </c>
      <c r="AZ374" s="39" t="str">
        <f>データ!S374</f>
        <v>　</v>
      </c>
      <c r="BA374" s="41" t="s">
        <v>1024</v>
      </c>
      <c r="BB374" s="40" t="s">
        <v>1319</v>
      </c>
      <c r="BC374" s="39" t="str">
        <f>データ!T374</f>
        <v>-</v>
      </c>
      <c r="BD374" s="41" t="s">
        <v>1024</v>
      </c>
      <c r="BE374" s="40" t="s">
        <v>1320</v>
      </c>
      <c r="BF374" s="39" t="str">
        <f>データ!U374</f>
        <v>-</v>
      </c>
      <c r="BG374" s="41" t="s">
        <v>1024</v>
      </c>
      <c r="BH374" s="40" t="s">
        <v>1319</v>
      </c>
      <c r="BI374" s="39" t="str">
        <f>データ!V374</f>
        <v>常設</v>
      </c>
      <c r="BJ374" s="41" t="s">
        <v>1024</v>
      </c>
      <c r="BK374" s="10" t="s">
        <v>1019</v>
      </c>
    </row>
    <row r="375" spans="1:63" x14ac:dyDescent="0.15">
      <c r="A375" s="10" t="s">
        <v>1016</v>
      </c>
      <c r="B375" s="10" t="s">
        <v>1454</v>
      </c>
      <c r="C375" s="38" t="str">
        <f>"./images/thumbnail/"&amp;データ!B375&amp;".jpg"</f>
        <v>./images/thumbnail/1655.jpg</v>
      </c>
      <c r="D375" s="38" t="s">
        <v>1455</v>
      </c>
      <c r="E375" s="38" t="str">
        <f>"./images/thumbnail/"&amp;データ!B375&amp;".jpg"</f>
        <v>./images/thumbnail/1655.jpg</v>
      </c>
      <c r="F375" s="38" t="s">
        <v>1116</v>
      </c>
      <c r="G375" s="38" t="s">
        <v>1319</v>
      </c>
      <c r="H375" s="38" t="str">
        <f>データ!C375</f>
        <v>ゼナイド</v>
      </c>
      <c r="I375" s="38" t="s">
        <v>1024</v>
      </c>
      <c r="J375" s="38" t="s">
        <v>1320</v>
      </c>
      <c r="K375" s="38" t="str">
        <f>データ!D375</f>
        <v>UR</v>
      </c>
      <c r="L375" s="38" t="s">
        <v>1024</v>
      </c>
      <c r="M375" s="38" t="s">
        <v>1321</v>
      </c>
      <c r="N375" s="38">
        <f>データ!E375</f>
        <v>14</v>
      </c>
      <c r="O375" s="38" t="s">
        <v>1024</v>
      </c>
      <c r="P375" s="38" t="s">
        <v>1319</v>
      </c>
      <c r="Q375" s="38" t="str">
        <f>データ!F375</f>
        <v>遠</v>
      </c>
      <c r="R375" s="38" t="s">
        <v>1024</v>
      </c>
      <c r="S375" s="38" t="s">
        <v>1319</v>
      </c>
      <c r="T375" s="39">
        <f>データ!G375</f>
        <v>19605</v>
      </c>
      <c r="U375" s="40" t="s">
        <v>1024</v>
      </c>
      <c r="V375" s="40" t="s">
        <v>1319</v>
      </c>
      <c r="W375" s="39">
        <f>データ!H375</f>
        <v>6842</v>
      </c>
      <c r="X375" s="40" t="s">
        <v>1024</v>
      </c>
      <c r="Y375" s="40" t="s">
        <v>1319</v>
      </c>
      <c r="Z375" s="39">
        <f>データ!I375</f>
        <v>5663</v>
      </c>
      <c r="AA375" s="40" t="s">
        <v>1024</v>
      </c>
      <c r="AB375" s="40" t="s">
        <v>1322</v>
      </c>
      <c r="AC375" s="39" t="str">
        <f>データ!J375</f>
        <v>S+</v>
      </c>
      <c r="AD375" s="38" t="s">
        <v>1024</v>
      </c>
      <c r="AE375" s="40" t="s">
        <v>1323</v>
      </c>
      <c r="AF375" s="39">
        <f>データ!K375</f>
        <v>32110</v>
      </c>
      <c r="AG375" s="40" t="s">
        <v>1024</v>
      </c>
      <c r="AH375" s="40" t="s">
        <v>1324</v>
      </c>
      <c r="AI375" s="39" t="str">
        <f>データ!L375</f>
        <v>焔幻の一閃／煌</v>
      </c>
      <c r="AJ375" s="10" t="s">
        <v>1113</v>
      </c>
      <c r="AK375" s="39" t="str">
        <f>データ!M375</f>
        <v>横一列に攻撃[特大]</v>
      </c>
      <c r="AL375" s="10" t="s">
        <v>1024</v>
      </c>
      <c r="AM375" s="40" t="s">
        <v>1325</v>
      </c>
      <c r="AN375" s="39" t="str">
        <f>データ!N375</f>
        <v>-</v>
      </c>
      <c r="AO375" s="10" t="s">
        <v>1113</v>
      </c>
      <c r="AP375" s="39" t="str">
        <f>データ!O375</f>
        <v>　</v>
      </c>
      <c r="AQ375" s="41" t="s">
        <v>1024</v>
      </c>
      <c r="AR375" s="40" t="s">
        <v>1324</v>
      </c>
      <c r="AS375" s="39" t="str">
        <f>データ!P375</f>
        <v>ジャガーノート／絶</v>
      </c>
      <c r="AT375" s="10" t="s">
        <v>1113</v>
      </c>
      <c r="AU375" s="39" t="str">
        <f>データ!Q375</f>
        <v>バトルで敵を全滅するとBPが大回復(バトル3回)</v>
      </c>
      <c r="AV375" s="10" t="s">
        <v>1024</v>
      </c>
      <c r="AW375" s="40" t="s">
        <v>1324</v>
      </c>
      <c r="AX375" s="39" t="str">
        <f>データ!R375</f>
        <v>-</v>
      </c>
      <c r="AY375" s="10" t="s">
        <v>1113</v>
      </c>
      <c r="AZ375" s="39" t="str">
        <f>データ!S375</f>
        <v>　</v>
      </c>
      <c r="BA375" s="41" t="s">
        <v>1024</v>
      </c>
      <c r="BB375" s="40" t="s">
        <v>1319</v>
      </c>
      <c r="BC375" s="39" t="str">
        <f>データ!T375</f>
        <v>-</v>
      </c>
      <c r="BD375" s="41" t="s">
        <v>1024</v>
      </c>
      <c r="BE375" s="40" t="s">
        <v>1320</v>
      </c>
      <c r="BF375" s="39" t="str">
        <f>データ!U375</f>
        <v>-</v>
      </c>
      <c r="BG375" s="41" t="s">
        <v>1024</v>
      </c>
      <c r="BH375" s="40" t="s">
        <v>1319</v>
      </c>
      <c r="BI375" s="39" t="str">
        <f>データ!V375</f>
        <v>常設</v>
      </c>
      <c r="BJ375" s="41" t="s">
        <v>1024</v>
      </c>
      <c r="BK375" s="10" t="s">
        <v>1019</v>
      </c>
    </row>
    <row r="376" spans="1:63" x14ac:dyDescent="0.15">
      <c r="A376" s="10" t="s">
        <v>1016</v>
      </c>
      <c r="B376" s="10" t="s">
        <v>1454</v>
      </c>
      <c r="C376" s="38" t="str">
        <f>"./images/thumbnail/"&amp;データ!B376&amp;".jpg"</f>
        <v>./images/thumbnail/1655_a.jpg</v>
      </c>
      <c r="D376" s="38" t="s">
        <v>1455</v>
      </c>
      <c r="E376" s="38" t="str">
        <f>"./images/thumbnail/"&amp;データ!B376&amp;".jpg"</f>
        <v>./images/thumbnail/1655_a.jpg</v>
      </c>
      <c r="F376" s="38" t="s">
        <v>1116</v>
      </c>
      <c r="G376" s="38" t="s">
        <v>1319</v>
      </c>
      <c r="H376" s="38" t="str">
        <f>データ!C376</f>
        <v>ゼナイド</v>
      </c>
      <c r="I376" s="38" t="s">
        <v>1024</v>
      </c>
      <c r="J376" s="38" t="s">
        <v>1320</v>
      </c>
      <c r="K376" s="38" t="str">
        <f>データ!D376</f>
        <v>UR</v>
      </c>
      <c r="L376" s="38" t="s">
        <v>1024</v>
      </c>
      <c r="M376" s="38" t="s">
        <v>1321</v>
      </c>
      <c r="N376" s="38">
        <f>データ!E376</f>
        <v>14</v>
      </c>
      <c r="O376" s="38" t="s">
        <v>1024</v>
      </c>
      <c r="P376" s="38" t="s">
        <v>1319</v>
      </c>
      <c r="Q376" s="38" t="str">
        <f>データ!F376</f>
        <v>遠</v>
      </c>
      <c r="R376" s="38" t="s">
        <v>1024</v>
      </c>
      <c r="S376" s="38" t="s">
        <v>1319</v>
      </c>
      <c r="T376" s="39">
        <f>データ!G376</f>
        <v>27249</v>
      </c>
      <c r="U376" s="40" t="s">
        <v>1024</v>
      </c>
      <c r="V376" s="40" t="s">
        <v>1319</v>
      </c>
      <c r="W376" s="39">
        <f>データ!H376</f>
        <v>8816</v>
      </c>
      <c r="X376" s="40" t="s">
        <v>1024</v>
      </c>
      <c r="Y376" s="40" t="s">
        <v>1319</v>
      </c>
      <c r="Z376" s="39">
        <f>データ!I376</f>
        <v>9002</v>
      </c>
      <c r="AA376" s="40" t="s">
        <v>1024</v>
      </c>
      <c r="AB376" s="40" t="s">
        <v>1322</v>
      </c>
      <c r="AC376" s="39" t="str">
        <f>データ!J376</f>
        <v>SS1</v>
      </c>
      <c r="AD376" s="38" t="s">
        <v>1024</v>
      </c>
      <c r="AE376" s="40" t="s">
        <v>1323</v>
      </c>
      <c r="AF376" s="39">
        <f>データ!K376</f>
        <v>45067</v>
      </c>
      <c r="AG376" s="40" t="s">
        <v>1024</v>
      </c>
      <c r="AH376" s="40" t="s">
        <v>1324</v>
      </c>
      <c r="AI376" s="39" t="str">
        <f>データ!L376</f>
        <v>焔幻の一閃／煌＋</v>
      </c>
      <c r="AJ376" s="10" t="s">
        <v>1113</v>
      </c>
      <c r="AK376" s="39" t="str">
        <f>データ!M376</f>
        <v>横一列に攻撃[超極大]</v>
      </c>
      <c r="AL376" s="10" t="s">
        <v>1024</v>
      </c>
      <c r="AM376" s="40" t="s">
        <v>1325</v>
      </c>
      <c r="AN376" s="39" t="str">
        <f>データ!N376</f>
        <v>-</v>
      </c>
      <c r="AO376" s="10" t="s">
        <v>1113</v>
      </c>
      <c r="AP376" s="39" t="str">
        <f>データ!O376</f>
        <v>　</v>
      </c>
      <c r="AQ376" s="41" t="s">
        <v>1024</v>
      </c>
      <c r="AR376" s="40" t="s">
        <v>1324</v>
      </c>
      <c r="AS376" s="39" t="str">
        <f>データ!P376</f>
        <v>ジャガーノート／絶</v>
      </c>
      <c r="AT376" s="10" t="s">
        <v>1113</v>
      </c>
      <c r="AU376" s="39" t="str">
        <f>データ!Q376</f>
        <v>バトルで敵を全滅するとBPが大回復(バトル3回)</v>
      </c>
      <c r="AV376" s="10" t="s">
        <v>1024</v>
      </c>
      <c r="AW376" s="40" t="s">
        <v>1324</v>
      </c>
      <c r="AX376" s="39" t="str">
        <f>データ!R376</f>
        <v>-</v>
      </c>
      <c r="AY376" s="10" t="s">
        <v>1113</v>
      </c>
      <c r="AZ376" s="39" t="str">
        <f>データ!S376</f>
        <v>　</v>
      </c>
      <c r="BA376" s="41" t="s">
        <v>1024</v>
      </c>
      <c r="BB376" s="40" t="s">
        <v>1319</v>
      </c>
      <c r="BC376" s="39" t="str">
        <f>データ!T376</f>
        <v>-</v>
      </c>
      <c r="BD376" s="41" t="s">
        <v>1024</v>
      </c>
      <c r="BE376" s="40" t="s">
        <v>1320</v>
      </c>
      <c r="BF376" s="39" t="str">
        <f>データ!U376</f>
        <v>-</v>
      </c>
      <c r="BG376" s="41" t="s">
        <v>1024</v>
      </c>
      <c r="BH376" s="40" t="s">
        <v>1319</v>
      </c>
      <c r="BI376" s="39" t="str">
        <f>データ!V376</f>
        <v>精鋭化ユニット</v>
      </c>
      <c r="BJ376" s="41" t="s">
        <v>1024</v>
      </c>
      <c r="BK376" s="10" t="s">
        <v>1019</v>
      </c>
    </row>
    <row r="377" spans="1:63" x14ac:dyDescent="0.15">
      <c r="A377" s="10" t="s">
        <v>1016</v>
      </c>
      <c r="B377" s="10" t="s">
        <v>1454</v>
      </c>
      <c r="C377" s="38" t="str">
        <f>"./images/thumbnail/"&amp;データ!B377&amp;".jpg"</f>
        <v>./images/thumbnail/1655_b.jpg</v>
      </c>
      <c r="D377" s="38" t="s">
        <v>1455</v>
      </c>
      <c r="E377" s="38" t="str">
        <f>"./images/thumbnail/"&amp;データ!B377&amp;".jpg"</f>
        <v>./images/thumbnail/1655_b.jpg</v>
      </c>
      <c r="F377" s="38" t="s">
        <v>1116</v>
      </c>
      <c r="G377" s="38" t="s">
        <v>1319</v>
      </c>
      <c r="H377" s="38" t="str">
        <f>データ!C377</f>
        <v>ゼナイド</v>
      </c>
      <c r="I377" s="38" t="s">
        <v>1024</v>
      </c>
      <c r="J377" s="38" t="s">
        <v>1320</v>
      </c>
      <c r="K377" s="38" t="str">
        <f>データ!D377</f>
        <v>UR</v>
      </c>
      <c r="L377" s="38" t="s">
        <v>1024</v>
      </c>
      <c r="M377" s="38" t="s">
        <v>1321</v>
      </c>
      <c r="N377" s="38">
        <f>データ!E377</f>
        <v>14</v>
      </c>
      <c r="O377" s="38" t="s">
        <v>1024</v>
      </c>
      <c r="P377" s="38" t="s">
        <v>1319</v>
      </c>
      <c r="Q377" s="38" t="str">
        <f>データ!F377</f>
        <v>遠</v>
      </c>
      <c r="R377" s="38" t="s">
        <v>1024</v>
      </c>
      <c r="S377" s="38" t="s">
        <v>1319</v>
      </c>
      <c r="T377" s="39">
        <f>データ!G377</f>
        <v>25296</v>
      </c>
      <c r="U377" s="40" t="s">
        <v>1024</v>
      </c>
      <c r="V377" s="40" t="s">
        <v>1319</v>
      </c>
      <c r="W377" s="39">
        <f>データ!H377</f>
        <v>8480</v>
      </c>
      <c r="X377" s="40" t="s">
        <v>1024</v>
      </c>
      <c r="Y377" s="40" t="s">
        <v>1319</v>
      </c>
      <c r="Z377" s="39">
        <f>データ!I377</f>
        <v>8435</v>
      </c>
      <c r="AA377" s="40" t="s">
        <v>1024</v>
      </c>
      <c r="AB377" s="40" t="s">
        <v>1322</v>
      </c>
      <c r="AC377" s="39" t="str">
        <f>データ!J377</f>
        <v>SS1</v>
      </c>
      <c r="AD377" s="38" t="s">
        <v>1024</v>
      </c>
      <c r="AE377" s="40" t="s">
        <v>1323</v>
      </c>
      <c r="AF377" s="39">
        <f>データ!K377</f>
        <v>42211</v>
      </c>
      <c r="AG377" s="40" t="s">
        <v>1024</v>
      </c>
      <c r="AH377" s="40" t="s">
        <v>1324</v>
      </c>
      <c r="AI377" s="39" t="str">
        <f>データ!L377</f>
        <v>焔幻の一閃／煌</v>
      </c>
      <c r="AJ377" s="10" t="s">
        <v>1113</v>
      </c>
      <c r="AK377" s="39" t="str">
        <f>データ!M377</f>
        <v>横一列に攻撃[特大]</v>
      </c>
      <c r="AL377" s="10" t="s">
        <v>1024</v>
      </c>
      <c r="AM377" s="40" t="s">
        <v>1325</v>
      </c>
      <c r="AN377" s="39" t="str">
        <f>データ!N377</f>
        <v>-</v>
      </c>
      <c r="AO377" s="10" t="s">
        <v>1113</v>
      </c>
      <c r="AP377" s="39" t="str">
        <f>データ!O377</f>
        <v>　</v>
      </c>
      <c r="AQ377" s="41" t="s">
        <v>1024</v>
      </c>
      <c r="AR377" s="40" t="s">
        <v>1324</v>
      </c>
      <c r="AS377" s="39" t="str">
        <f>データ!P377</f>
        <v>天射る紅矢</v>
      </c>
      <c r="AT377" s="10" t="s">
        <v>1113</v>
      </c>
      <c r="AU377" s="39" t="str">
        <f>データ!Q377</f>
        <v>バトルで敵を全滅するとBPが極大回復(バトル8回)</v>
      </c>
      <c r="AV377" s="10" t="s">
        <v>1024</v>
      </c>
      <c r="AW377" s="40" t="s">
        <v>1324</v>
      </c>
      <c r="AX377" s="39" t="str">
        <f>データ!R377</f>
        <v>-</v>
      </c>
      <c r="AY377" s="10" t="s">
        <v>1113</v>
      </c>
      <c r="AZ377" s="39" t="str">
        <f>データ!S377</f>
        <v>　</v>
      </c>
      <c r="BA377" s="41" t="s">
        <v>1024</v>
      </c>
      <c r="BB377" s="40" t="s">
        <v>1319</v>
      </c>
      <c r="BC377" s="39" t="str">
        <f>データ!T377</f>
        <v>-</v>
      </c>
      <c r="BD377" s="41" t="s">
        <v>1024</v>
      </c>
      <c r="BE377" s="40" t="s">
        <v>1320</v>
      </c>
      <c r="BF377" s="39" t="str">
        <f>データ!U377</f>
        <v>-</v>
      </c>
      <c r="BG377" s="41" t="s">
        <v>1024</v>
      </c>
      <c r="BH377" s="40" t="s">
        <v>1319</v>
      </c>
      <c r="BI377" s="39" t="str">
        <f>データ!V377</f>
        <v>精鋭化ユニット</v>
      </c>
      <c r="BJ377" s="41" t="s">
        <v>1024</v>
      </c>
      <c r="BK377" s="10" t="s">
        <v>1019</v>
      </c>
    </row>
    <row r="378" spans="1:63" x14ac:dyDescent="0.15">
      <c r="A378" s="10" t="s">
        <v>1016</v>
      </c>
      <c r="B378" s="10" t="s">
        <v>1454</v>
      </c>
      <c r="C378" s="38" t="str">
        <f>"./images/thumbnail/"&amp;データ!B378&amp;".jpg"</f>
        <v>./images/thumbnail/1656.jpg</v>
      </c>
      <c r="D378" s="38" t="s">
        <v>1455</v>
      </c>
      <c r="E378" s="38" t="str">
        <f>"./images/thumbnail/"&amp;データ!B378&amp;".jpg"</f>
        <v>./images/thumbnail/1656.jpg</v>
      </c>
      <c r="F378" s="38" t="s">
        <v>1116</v>
      </c>
      <c r="G378" s="38" t="s">
        <v>1319</v>
      </c>
      <c r="H378" s="38" t="str">
        <f>データ!C378</f>
        <v>ユリーカ</v>
      </c>
      <c r="I378" s="38" t="s">
        <v>1024</v>
      </c>
      <c r="J378" s="38" t="s">
        <v>1320</v>
      </c>
      <c r="K378" s="38" t="str">
        <f>データ!D378</f>
        <v>SSR</v>
      </c>
      <c r="L378" s="38" t="s">
        <v>1024</v>
      </c>
      <c r="M378" s="38" t="s">
        <v>1321</v>
      </c>
      <c r="N378" s="38">
        <f>データ!E378</f>
        <v>13</v>
      </c>
      <c r="O378" s="38" t="s">
        <v>1024</v>
      </c>
      <c r="P378" s="38" t="s">
        <v>1319</v>
      </c>
      <c r="Q378" s="38" t="str">
        <f>データ!F378</f>
        <v>遠</v>
      </c>
      <c r="R378" s="38" t="s">
        <v>1024</v>
      </c>
      <c r="S378" s="38" t="s">
        <v>1319</v>
      </c>
      <c r="T378" s="39">
        <f>データ!G378</f>
        <v>16460</v>
      </c>
      <c r="U378" s="40" t="s">
        <v>1024</v>
      </c>
      <c r="V378" s="40" t="s">
        <v>1319</v>
      </c>
      <c r="W378" s="39">
        <f>データ!H378</f>
        <v>6593</v>
      </c>
      <c r="X378" s="40" t="s">
        <v>1024</v>
      </c>
      <c r="Y378" s="40" t="s">
        <v>1319</v>
      </c>
      <c r="Z378" s="39">
        <f>データ!I378</f>
        <v>4957</v>
      </c>
      <c r="AA378" s="40" t="s">
        <v>1024</v>
      </c>
      <c r="AB378" s="40" t="s">
        <v>1322</v>
      </c>
      <c r="AC378" s="39" t="str">
        <f>データ!J378</f>
        <v>S-</v>
      </c>
      <c r="AD378" s="38" t="s">
        <v>1024</v>
      </c>
      <c r="AE378" s="40" t="s">
        <v>1323</v>
      </c>
      <c r="AF378" s="39">
        <f>データ!K378</f>
        <v>28010</v>
      </c>
      <c r="AG378" s="40" t="s">
        <v>1024</v>
      </c>
      <c r="AH378" s="40" t="s">
        <v>1324</v>
      </c>
      <c r="AI378" s="39" t="str">
        <f>データ!L378</f>
        <v>対紅の突風／絶</v>
      </c>
      <c r="AJ378" s="10" t="s">
        <v>1113</v>
      </c>
      <c r="AK378" s="39" t="str">
        <f>データ!M378</f>
        <v>斬に強く突に弱い縦一列攻撃[大]</v>
      </c>
      <c r="AL378" s="10" t="s">
        <v>1024</v>
      </c>
      <c r="AM378" s="40" t="s">
        <v>1325</v>
      </c>
      <c r="AN378" s="39" t="str">
        <f>データ!N378</f>
        <v>-</v>
      </c>
      <c r="AO378" s="10" t="s">
        <v>1113</v>
      </c>
      <c r="AP378" s="39" t="str">
        <f>データ!O378</f>
        <v>　</v>
      </c>
      <c r="AQ378" s="41" t="s">
        <v>1024</v>
      </c>
      <c r="AR378" s="40" t="s">
        <v>1324</v>
      </c>
      <c r="AS378" s="39" t="str">
        <f>データ!P378</f>
        <v>オラクル／真</v>
      </c>
      <c r="AT378" s="10" t="s">
        <v>1113</v>
      </c>
      <c r="AU378" s="39" t="str">
        <f>データ!Q378</f>
        <v>パーティ全体のスキル発動率が中UP(3分間)</v>
      </c>
      <c r="AV378" s="10" t="s">
        <v>1024</v>
      </c>
      <c r="AW378" s="40" t="s">
        <v>1324</v>
      </c>
      <c r="AX378" s="39" t="str">
        <f>データ!R378</f>
        <v>-</v>
      </c>
      <c r="AY378" s="10" t="s">
        <v>1113</v>
      </c>
      <c r="AZ378" s="39" t="str">
        <f>データ!S378</f>
        <v>　</v>
      </c>
      <c r="BA378" s="41" t="s">
        <v>1024</v>
      </c>
      <c r="BB378" s="40" t="s">
        <v>1319</v>
      </c>
      <c r="BC378" s="39" t="str">
        <f>データ!T378</f>
        <v>-</v>
      </c>
      <c r="BD378" s="41" t="s">
        <v>1024</v>
      </c>
      <c r="BE378" s="40" t="s">
        <v>1320</v>
      </c>
      <c r="BF378" s="39" t="str">
        <f>データ!U378</f>
        <v>-</v>
      </c>
      <c r="BG378" s="41" t="s">
        <v>1024</v>
      </c>
      <c r="BH378" s="40" t="s">
        <v>1319</v>
      </c>
      <c r="BI378" s="39" t="str">
        <f>データ!V378</f>
        <v>ガチャイベ</v>
      </c>
      <c r="BJ378" s="41" t="s">
        <v>1024</v>
      </c>
      <c r="BK378" s="10" t="s">
        <v>1019</v>
      </c>
    </row>
    <row r="379" spans="1:63" x14ac:dyDescent="0.15">
      <c r="A379" s="10" t="s">
        <v>1016</v>
      </c>
      <c r="B379" s="10" t="s">
        <v>1454</v>
      </c>
      <c r="C379" s="38" t="str">
        <f>"./images/thumbnail/"&amp;データ!B379&amp;".jpg"</f>
        <v>./images/thumbnail/1657.jpg</v>
      </c>
      <c r="D379" s="38" t="s">
        <v>1455</v>
      </c>
      <c r="E379" s="38" t="str">
        <f>"./images/thumbnail/"&amp;データ!B379&amp;".jpg"</f>
        <v>./images/thumbnail/1657.jpg</v>
      </c>
      <c r="F379" s="38" t="s">
        <v>1116</v>
      </c>
      <c r="G379" s="38" t="s">
        <v>1319</v>
      </c>
      <c r="H379" s="38" t="str">
        <f>データ!C379</f>
        <v>ギルバード</v>
      </c>
      <c r="I379" s="38" t="s">
        <v>1024</v>
      </c>
      <c r="J379" s="38" t="s">
        <v>1320</v>
      </c>
      <c r="K379" s="38" t="str">
        <f>データ!D379</f>
        <v>UR</v>
      </c>
      <c r="L379" s="38" t="s">
        <v>1024</v>
      </c>
      <c r="M379" s="38" t="s">
        <v>1321</v>
      </c>
      <c r="N379" s="38">
        <f>データ!E379</f>
        <v>14</v>
      </c>
      <c r="O379" s="38" t="s">
        <v>1024</v>
      </c>
      <c r="P379" s="38" t="s">
        <v>1319</v>
      </c>
      <c r="Q379" s="38" t="str">
        <f>データ!F379</f>
        <v>打</v>
      </c>
      <c r="R379" s="38" t="s">
        <v>1024</v>
      </c>
      <c r="S379" s="38" t="s">
        <v>1319</v>
      </c>
      <c r="T379" s="39">
        <f>データ!G379</f>
        <v>21236</v>
      </c>
      <c r="U379" s="40" t="s">
        <v>1024</v>
      </c>
      <c r="V379" s="40" t="s">
        <v>1319</v>
      </c>
      <c r="W379" s="39">
        <f>データ!H379</f>
        <v>6995</v>
      </c>
      <c r="X379" s="40" t="s">
        <v>1024</v>
      </c>
      <c r="Y379" s="40" t="s">
        <v>1319</v>
      </c>
      <c r="Z379" s="39">
        <f>データ!I379</f>
        <v>8222</v>
      </c>
      <c r="AA379" s="40" t="s">
        <v>1024</v>
      </c>
      <c r="AB379" s="40" t="s">
        <v>1322</v>
      </c>
      <c r="AC379" s="39" t="str">
        <f>データ!J379</f>
        <v>A+</v>
      </c>
      <c r="AD379" s="38" t="s">
        <v>1024</v>
      </c>
      <c r="AE379" s="40" t="s">
        <v>1323</v>
      </c>
      <c r="AF379" s="39">
        <f>データ!K379</f>
        <v>36453</v>
      </c>
      <c r="AG379" s="40" t="s">
        <v>1024</v>
      </c>
      <c r="AH379" s="40" t="s">
        <v>1324</v>
      </c>
      <c r="AI379" s="39" t="str">
        <f>データ!L379</f>
        <v>神威消滅／遠翠</v>
      </c>
      <c r="AJ379" s="10" t="s">
        <v>1113</v>
      </c>
      <c r="AK379" s="39" t="str">
        <f>データ!M379</f>
        <v>敵遠属性の攻撃力をDOWN[特大]</v>
      </c>
      <c r="AL379" s="10" t="s">
        <v>1024</v>
      </c>
      <c r="AM379" s="40" t="s">
        <v>1325</v>
      </c>
      <c r="AN379" s="39" t="str">
        <f>データ!N379</f>
        <v>-</v>
      </c>
      <c r="AO379" s="10" t="s">
        <v>1113</v>
      </c>
      <c r="AP379" s="39" t="str">
        <f>データ!O379</f>
        <v>　</v>
      </c>
      <c r="AQ379" s="41" t="s">
        <v>1024</v>
      </c>
      <c r="AR379" s="40" t="s">
        <v>1324</v>
      </c>
      <c r="AS379" s="39" t="str">
        <f>データ!P379</f>
        <v>キャッスルヴェール／真</v>
      </c>
      <c r="AT379" s="10" t="s">
        <v>1113</v>
      </c>
      <c r="AU379" s="39" t="str">
        <f>データ!Q379</f>
        <v>城の強度Lvが中UP(3分間)</v>
      </c>
      <c r="AV379" s="10" t="s">
        <v>1024</v>
      </c>
      <c r="AW379" s="40" t="s">
        <v>1324</v>
      </c>
      <c r="AX379" s="39" t="str">
        <f>データ!R379</f>
        <v>-</v>
      </c>
      <c r="AY379" s="10" t="s">
        <v>1113</v>
      </c>
      <c r="AZ379" s="39" t="str">
        <f>データ!S379</f>
        <v>　</v>
      </c>
      <c r="BA379" s="41" t="s">
        <v>1024</v>
      </c>
      <c r="BB379" s="40" t="s">
        <v>1319</v>
      </c>
      <c r="BC379" s="39" t="str">
        <f>データ!T379</f>
        <v>-</v>
      </c>
      <c r="BD379" s="41" t="s">
        <v>1024</v>
      </c>
      <c r="BE379" s="40" t="s">
        <v>1320</v>
      </c>
      <c r="BF379" s="39" t="str">
        <f>データ!U379</f>
        <v>-</v>
      </c>
      <c r="BG379" s="41" t="s">
        <v>1024</v>
      </c>
      <c r="BH379" s="40" t="s">
        <v>1319</v>
      </c>
      <c r="BI379" s="39" t="str">
        <f>データ!V379</f>
        <v>ガチャイベ</v>
      </c>
      <c r="BJ379" s="41" t="s">
        <v>1024</v>
      </c>
      <c r="BK379" s="10" t="s">
        <v>1019</v>
      </c>
    </row>
    <row r="380" spans="1:63" x14ac:dyDescent="0.15">
      <c r="A380" s="10" t="s">
        <v>1016</v>
      </c>
      <c r="B380" s="10" t="s">
        <v>1454</v>
      </c>
      <c r="C380" s="38" t="str">
        <f>"./images/thumbnail/"&amp;データ!B380&amp;".jpg"</f>
        <v>./images/thumbnail/1658.jpg</v>
      </c>
      <c r="D380" s="38" t="s">
        <v>1455</v>
      </c>
      <c r="E380" s="38" t="str">
        <f>"./images/thumbnail/"&amp;データ!B380&amp;".jpg"</f>
        <v>./images/thumbnail/1658.jpg</v>
      </c>
      <c r="F380" s="38" t="s">
        <v>1116</v>
      </c>
      <c r="G380" s="38" t="s">
        <v>1319</v>
      </c>
      <c r="H380" s="38" t="str">
        <f>データ!C380</f>
        <v>ヴェロニク</v>
      </c>
      <c r="I380" s="38" t="s">
        <v>1024</v>
      </c>
      <c r="J380" s="38" t="s">
        <v>1320</v>
      </c>
      <c r="K380" s="38" t="str">
        <f>データ!D380</f>
        <v>UR</v>
      </c>
      <c r="L380" s="38" t="s">
        <v>1024</v>
      </c>
      <c r="M380" s="38" t="s">
        <v>1321</v>
      </c>
      <c r="N380" s="38">
        <f>データ!E380</f>
        <v>14</v>
      </c>
      <c r="O380" s="38" t="s">
        <v>1024</v>
      </c>
      <c r="P380" s="38" t="s">
        <v>1319</v>
      </c>
      <c r="Q380" s="38" t="str">
        <f>データ!F380</f>
        <v>突</v>
      </c>
      <c r="R380" s="38" t="s">
        <v>1024</v>
      </c>
      <c r="S380" s="38" t="s">
        <v>1319</v>
      </c>
      <c r="T380" s="39">
        <f>データ!G380</f>
        <v>18250</v>
      </c>
      <c r="U380" s="40" t="s">
        <v>1024</v>
      </c>
      <c r="V380" s="40" t="s">
        <v>1319</v>
      </c>
      <c r="W380" s="39">
        <f>データ!H380</f>
        <v>6393</v>
      </c>
      <c r="X380" s="40" t="s">
        <v>1024</v>
      </c>
      <c r="Y380" s="40" t="s">
        <v>1319</v>
      </c>
      <c r="Z380" s="39">
        <f>データ!I380</f>
        <v>6812</v>
      </c>
      <c r="AA380" s="40" t="s">
        <v>1024</v>
      </c>
      <c r="AB380" s="40" t="s">
        <v>1322</v>
      </c>
      <c r="AC380" s="39" t="str">
        <f>データ!J380</f>
        <v>SS+</v>
      </c>
      <c r="AD380" s="38" t="s">
        <v>1024</v>
      </c>
      <c r="AE380" s="40" t="s">
        <v>1323</v>
      </c>
      <c r="AF380" s="39">
        <f>データ!K380</f>
        <v>31455</v>
      </c>
      <c r="AG380" s="40" t="s">
        <v>1024</v>
      </c>
      <c r="AH380" s="40" t="s">
        <v>1324</v>
      </c>
      <c r="AI380" s="39" t="str">
        <f>データ!L380</f>
        <v>幻神の六連撃／真</v>
      </c>
      <c r="AJ380" s="10" t="s">
        <v>1113</v>
      </c>
      <c r="AK380" s="39" t="str">
        <f>データ!M380</f>
        <v>ランダムで6連続攻撃[中]</v>
      </c>
      <c r="AL380" s="10" t="s">
        <v>1024</v>
      </c>
      <c r="AM380" s="40" t="s">
        <v>1325</v>
      </c>
      <c r="AN380" s="39" t="str">
        <f>データ!N380</f>
        <v>-</v>
      </c>
      <c r="AO380" s="10" t="s">
        <v>1113</v>
      </c>
      <c r="AP380" s="39" t="str">
        <f>データ!O380</f>
        <v>　</v>
      </c>
      <c r="AQ380" s="41" t="s">
        <v>1024</v>
      </c>
      <c r="AR380" s="40" t="s">
        <v>1324</v>
      </c>
      <c r="AS380" s="39" t="str">
        <f>データ!P380</f>
        <v>カーズ／真</v>
      </c>
      <c r="AT380" s="10" t="s">
        <v>1113</v>
      </c>
      <c r="AU380" s="39" t="str">
        <f>データ!Q380</f>
        <v>対戦騎士団全体のスキル発動率が中DOWN(3分間)</v>
      </c>
      <c r="AV380" s="10" t="s">
        <v>1024</v>
      </c>
      <c r="AW380" s="40" t="s">
        <v>1324</v>
      </c>
      <c r="AX380" s="39" t="str">
        <f>データ!R380</f>
        <v>-</v>
      </c>
      <c r="AY380" s="10" t="s">
        <v>1113</v>
      </c>
      <c r="AZ380" s="39" t="str">
        <f>データ!S380</f>
        <v>　</v>
      </c>
      <c r="BA380" s="41" t="s">
        <v>1024</v>
      </c>
      <c r="BB380" s="40" t="s">
        <v>1319</v>
      </c>
      <c r="BC380" s="39" t="str">
        <f>データ!T380</f>
        <v>-</v>
      </c>
      <c r="BD380" s="41" t="s">
        <v>1024</v>
      </c>
      <c r="BE380" s="40" t="s">
        <v>1320</v>
      </c>
      <c r="BF380" s="39" t="str">
        <f>データ!U380</f>
        <v>-</v>
      </c>
      <c r="BG380" s="41" t="s">
        <v>1024</v>
      </c>
      <c r="BH380" s="40" t="s">
        <v>1319</v>
      </c>
      <c r="BI380" s="39" t="str">
        <f>データ!V380</f>
        <v>ガチャイベ</v>
      </c>
      <c r="BJ380" s="41" t="s">
        <v>1024</v>
      </c>
      <c r="BK380" s="10" t="s">
        <v>1019</v>
      </c>
    </row>
    <row r="381" spans="1:63" x14ac:dyDescent="0.15">
      <c r="A381" s="10" t="s">
        <v>1016</v>
      </c>
      <c r="B381" s="10" t="s">
        <v>1454</v>
      </c>
      <c r="C381" s="38" t="str">
        <f>"./images/thumbnail/"&amp;データ!B381&amp;".jpg"</f>
        <v>./images/thumbnail/1659.jpg</v>
      </c>
      <c r="D381" s="38" t="s">
        <v>1455</v>
      </c>
      <c r="E381" s="38" t="str">
        <f>"./images/thumbnail/"&amp;データ!B381&amp;".jpg"</f>
        <v>./images/thumbnail/1659.jpg</v>
      </c>
      <c r="F381" s="38" t="s">
        <v>1116</v>
      </c>
      <c r="G381" s="38" t="s">
        <v>1319</v>
      </c>
      <c r="H381" s="38" t="str">
        <f>データ!C381</f>
        <v>イヴリス</v>
      </c>
      <c r="I381" s="38" t="s">
        <v>1024</v>
      </c>
      <c r="J381" s="38" t="s">
        <v>1320</v>
      </c>
      <c r="K381" s="38" t="str">
        <f>データ!D381</f>
        <v>UR</v>
      </c>
      <c r="L381" s="38" t="s">
        <v>1024</v>
      </c>
      <c r="M381" s="38" t="s">
        <v>1321</v>
      </c>
      <c r="N381" s="38">
        <f>データ!E381</f>
        <v>14</v>
      </c>
      <c r="O381" s="38" t="s">
        <v>1024</v>
      </c>
      <c r="P381" s="38" t="s">
        <v>1319</v>
      </c>
      <c r="Q381" s="38" t="str">
        <f>データ!F381</f>
        <v>斬</v>
      </c>
      <c r="R381" s="38" t="s">
        <v>1024</v>
      </c>
      <c r="S381" s="38" t="s">
        <v>1319</v>
      </c>
      <c r="T381" s="39">
        <f>データ!G381</f>
        <v>19984</v>
      </c>
      <c r="U381" s="40" t="s">
        <v>1024</v>
      </c>
      <c r="V381" s="40" t="s">
        <v>1319</v>
      </c>
      <c r="W381" s="39">
        <f>データ!H381</f>
        <v>7796</v>
      </c>
      <c r="X381" s="40" t="s">
        <v>1024</v>
      </c>
      <c r="Y381" s="40" t="s">
        <v>1319</v>
      </c>
      <c r="Z381" s="39">
        <f>データ!I381</f>
        <v>5769</v>
      </c>
      <c r="AA381" s="40" t="s">
        <v>1024</v>
      </c>
      <c r="AB381" s="40" t="s">
        <v>1322</v>
      </c>
      <c r="AC381" s="39" t="str">
        <f>データ!J381</f>
        <v>S</v>
      </c>
      <c r="AD381" s="38" t="s">
        <v>1024</v>
      </c>
      <c r="AE381" s="40" t="s">
        <v>1323</v>
      </c>
      <c r="AF381" s="39">
        <f>データ!K381</f>
        <v>33549</v>
      </c>
      <c r="AG381" s="40" t="s">
        <v>1024</v>
      </c>
      <c r="AH381" s="40" t="s">
        <v>1324</v>
      </c>
      <c r="AI381" s="39" t="str">
        <f>データ!L381</f>
        <v>猛毒の言霊／煌</v>
      </c>
      <c r="AJ381" s="10" t="s">
        <v>1113</v>
      </c>
      <c r="AK381" s="39" t="str">
        <f>データ!M381</f>
        <v>一定確率で敵を毒状態にする[超高確率]</v>
      </c>
      <c r="AL381" s="10" t="s">
        <v>1024</v>
      </c>
      <c r="AM381" s="40" t="s">
        <v>1325</v>
      </c>
      <c r="AN381" s="39" t="str">
        <f>データ!N381</f>
        <v>-</v>
      </c>
      <c r="AO381" s="10" t="s">
        <v>1113</v>
      </c>
      <c r="AP381" s="39" t="str">
        <f>データ!O381</f>
        <v>　</v>
      </c>
      <c r="AQ381" s="41" t="s">
        <v>1024</v>
      </c>
      <c r="AR381" s="40" t="s">
        <v>1324</v>
      </c>
      <c r="AS381" s="39" t="str">
        <f>データ!P381</f>
        <v>アサルト／絶</v>
      </c>
      <c r="AT381" s="10" t="s">
        <v>1113</v>
      </c>
      <c r="AU381" s="39" t="str">
        <f>データ!Q381</f>
        <v>パーティ全体の攻撃力が大UP(3分間)</v>
      </c>
      <c r="AV381" s="10" t="s">
        <v>1024</v>
      </c>
      <c r="AW381" s="40" t="s">
        <v>1324</v>
      </c>
      <c r="AX381" s="39" t="str">
        <f>データ!R381</f>
        <v>-</v>
      </c>
      <c r="AY381" s="10" t="s">
        <v>1113</v>
      </c>
      <c r="AZ381" s="39" t="str">
        <f>データ!S381</f>
        <v>　</v>
      </c>
      <c r="BA381" s="41" t="s">
        <v>1024</v>
      </c>
      <c r="BB381" s="40" t="s">
        <v>1319</v>
      </c>
      <c r="BC381" s="39" t="str">
        <f>データ!T381</f>
        <v>-</v>
      </c>
      <c r="BD381" s="41" t="s">
        <v>1024</v>
      </c>
      <c r="BE381" s="40" t="s">
        <v>1320</v>
      </c>
      <c r="BF381" s="39" t="str">
        <f>データ!U381</f>
        <v>-</v>
      </c>
      <c r="BG381" s="41" t="s">
        <v>1024</v>
      </c>
      <c r="BH381" s="40" t="s">
        <v>1319</v>
      </c>
      <c r="BI381" s="39" t="str">
        <f>データ!V381</f>
        <v>常設</v>
      </c>
      <c r="BJ381" s="41" t="s">
        <v>1024</v>
      </c>
      <c r="BK381" s="10" t="s">
        <v>1019</v>
      </c>
    </row>
    <row r="382" spans="1:63" x14ac:dyDescent="0.15">
      <c r="A382" s="10" t="s">
        <v>1016</v>
      </c>
      <c r="B382" s="10" t="s">
        <v>1454</v>
      </c>
      <c r="C382" s="38" t="str">
        <f>"./images/thumbnail/"&amp;データ!B382&amp;".jpg"</f>
        <v>./images/thumbnail/1662.jpg</v>
      </c>
      <c r="D382" s="38" t="s">
        <v>1455</v>
      </c>
      <c r="E382" s="38" t="str">
        <f>"./images/thumbnail/"&amp;データ!B382&amp;".jpg"</f>
        <v>./images/thumbnail/1662.jpg</v>
      </c>
      <c r="F382" s="38" t="s">
        <v>1116</v>
      </c>
      <c r="G382" s="38" t="s">
        <v>1319</v>
      </c>
      <c r="H382" s="38" t="str">
        <f>データ!C382</f>
        <v>大神一郎</v>
      </c>
      <c r="I382" s="38" t="s">
        <v>1024</v>
      </c>
      <c r="J382" s="38" t="s">
        <v>1320</v>
      </c>
      <c r="K382" s="38" t="str">
        <f>データ!D382</f>
        <v>SSR</v>
      </c>
      <c r="L382" s="38" t="s">
        <v>1024</v>
      </c>
      <c r="M382" s="38" t="s">
        <v>1321</v>
      </c>
      <c r="N382" s="38">
        <f>データ!E382</f>
        <v>13</v>
      </c>
      <c r="O382" s="38" t="s">
        <v>1024</v>
      </c>
      <c r="P382" s="38" t="s">
        <v>1319</v>
      </c>
      <c r="Q382" s="38" t="str">
        <f>データ!F382</f>
        <v>斬</v>
      </c>
      <c r="R382" s="38" t="s">
        <v>1024</v>
      </c>
      <c r="S382" s="38" t="s">
        <v>1319</v>
      </c>
      <c r="T382" s="39">
        <f>データ!G382</f>
        <v>14813</v>
      </c>
      <c r="U382" s="40" t="s">
        <v>1024</v>
      </c>
      <c r="V382" s="40" t="s">
        <v>1319</v>
      </c>
      <c r="W382" s="39">
        <f>データ!H382</f>
        <v>6815</v>
      </c>
      <c r="X382" s="40" t="s">
        <v>1024</v>
      </c>
      <c r="Y382" s="40" t="s">
        <v>1319</v>
      </c>
      <c r="Z382" s="39">
        <f>データ!I382</f>
        <v>5986</v>
      </c>
      <c r="AA382" s="40" t="s">
        <v>1024</v>
      </c>
      <c r="AB382" s="40" t="s">
        <v>1322</v>
      </c>
      <c r="AC382" s="39" t="str">
        <f>データ!J382</f>
        <v>A+</v>
      </c>
      <c r="AD382" s="38" t="s">
        <v>1024</v>
      </c>
      <c r="AE382" s="40" t="s">
        <v>1323</v>
      </c>
      <c r="AF382" s="39">
        <f>データ!K382</f>
        <v>27614</v>
      </c>
      <c r="AG382" s="40" t="s">
        <v>1024</v>
      </c>
      <c r="AH382" s="40" t="s">
        <v>1324</v>
      </c>
      <c r="AI382" s="39" t="str">
        <f>データ!L382</f>
        <v>狼虎滅却 天地神明</v>
      </c>
      <c r="AJ382" s="10" t="s">
        <v>1113</v>
      </c>
      <c r="AK382" s="39" t="str">
        <f>データ!M382</f>
        <v>X字型攻撃[大]自分の防御力UP[大]</v>
      </c>
      <c r="AL382" s="10" t="s">
        <v>1024</v>
      </c>
      <c r="AM382" s="40" t="s">
        <v>1325</v>
      </c>
      <c r="AN382" s="39" t="str">
        <f>データ!N382</f>
        <v>-</v>
      </c>
      <c r="AO382" s="10" t="s">
        <v>1113</v>
      </c>
      <c r="AP382" s="39" t="str">
        <f>データ!O382</f>
        <v>　</v>
      </c>
      <c r="AQ382" s="41" t="s">
        <v>1024</v>
      </c>
      <c r="AR382" s="40" t="s">
        <v>1324</v>
      </c>
      <c r="AS382" s="39" t="str">
        <f>データ!P382</f>
        <v>フォースオブウィッシュ／真</v>
      </c>
      <c r="AT382" s="10" t="s">
        <v>1113</v>
      </c>
      <c r="AU382" s="39" t="str">
        <f>データ!Q382</f>
        <v>騎士団全員のBPを中回復</v>
      </c>
      <c r="AV382" s="10" t="s">
        <v>1024</v>
      </c>
      <c r="AW382" s="40" t="s">
        <v>1324</v>
      </c>
      <c r="AX382" s="39" t="str">
        <f>データ!R382</f>
        <v>-</v>
      </c>
      <c r="AY382" s="10" t="s">
        <v>1113</v>
      </c>
      <c r="AZ382" s="39" t="str">
        <f>データ!S382</f>
        <v>　</v>
      </c>
      <c r="BA382" s="41" t="s">
        <v>1024</v>
      </c>
      <c r="BB382" s="40" t="s">
        <v>1319</v>
      </c>
      <c r="BC382" s="39" t="str">
        <f>データ!T382</f>
        <v>-</v>
      </c>
      <c r="BD382" s="41" t="s">
        <v>1024</v>
      </c>
      <c r="BE382" s="40" t="s">
        <v>1320</v>
      </c>
      <c r="BF382" s="39" t="str">
        <f>データ!U382</f>
        <v>-</v>
      </c>
      <c r="BG382" s="41" t="s">
        <v>1024</v>
      </c>
      <c r="BH382" s="40" t="s">
        <v>1319</v>
      </c>
      <c r="BI382" s="39" t="str">
        <f>データ!V382</f>
        <v>サクラ大戦コラボ</v>
      </c>
      <c r="BJ382" s="41" t="s">
        <v>1024</v>
      </c>
      <c r="BK382" s="10" t="s">
        <v>1019</v>
      </c>
    </row>
    <row r="383" spans="1:63" x14ac:dyDescent="0.15">
      <c r="A383" s="10" t="s">
        <v>1016</v>
      </c>
      <c r="B383" s="10" t="s">
        <v>1454</v>
      </c>
      <c r="C383" s="38" t="str">
        <f>"./images/thumbnail/"&amp;データ!B383&amp;".jpg"</f>
        <v>./images/thumbnail/1664.jpg</v>
      </c>
      <c r="D383" s="38" t="s">
        <v>1455</v>
      </c>
      <c r="E383" s="38" t="str">
        <f>"./images/thumbnail/"&amp;データ!B383&amp;".jpg"</f>
        <v>./images/thumbnail/1664.jpg</v>
      </c>
      <c r="F383" s="38" t="s">
        <v>1116</v>
      </c>
      <c r="G383" s="38" t="s">
        <v>1319</v>
      </c>
      <c r="H383" s="38" t="str">
        <f>データ!C383</f>
        <v>真宮寺さくら</v>
      </c>
      <c r="I383" s="38" t="s">
        <v>1024</v>
      </c>
      <c r="J383" s="38" t="s">
        <v>1320</v>
      </c>
      <c r="K383" s="38" t="str">
        <f>データ!D383</f>
        <v>UR</v>
      </c>
      <c r="L383" s="38" t="s">
        <v>1024</v>
      </c>
      <c r="M383" s="38" t="s">
        <v>1321</v>
      </c>
      <c r="N383" s="38">
        <f>データ!E383</f>
        <v>14</v>
      </c>
      <c r="O383" s="38" t="s">
        <v>1024</v>
      </c>
      <c r="P383" s="38" t="s">
        <v>1319</v>
      </c>
      <c r="Q383" s="38" t="str">
        <f>データ!F383</f>
        <v>斬</v>
      </c>
      <c r="R383" s="38" t="s">
        <v>1024</v>
      </c>
      <c r="S383" s="38" t="s">
        <v>1319</v>
      </c>
      <c r="T383" s="39">
        <f>データ!G383</f>
        <v>16418</v>
      </c>
      <c r="U383" s="40" t="s">
        <v>1024</v>
      </c>
      <c r="V383" s="40" t="s">
        <v>1319</v>
      </c>
      <c r="W383" s="39">
        <f>データ!H383</f>
        <v>8671</v>
      </c>
      <c r="X383" s="40" t="s">
        <v>1024</v>
      </c>
      <c r="Y383" s="40" t="s">
        <v>1319</v>
      </c>
      <c r="Z383" s="39">
        <f>データ!I383</f>
        <v>6349</v>
      </c>
      <c r="AA383" s="40" t="s">
        <v>1024</v>
      </c>
      <c r="AB383" s="40" t="s">
        <v>1322</v>
      </c>
      <c r="AC383" s="39" t="str">
        <f>データ!J383</f>
        <v>S</v>
      </c>
      <c r="AD383" s="38" t="s">
        <v>1024</v>
      </c>
      <c r="AE383" s="40" t="s">
        <v>1323</v>
      </c>
      <c r="AF383" s="39">
        <f>データ!K383</f>
        <v>31438</v>
      </c>
      <c r="AG383" s="40" t="s">
        <v>1024</v>
      </c>
      <c r="AH383" s="40" t="s">
        <v>1324</v>
      </c>
      <c r="AI383" s="39" t="str">
        <f>データ!L383</f>
        <v>破邪剣征 桜花天昇</v>
      </c>
      <c r="AJ383" s="10" t="s">
        <v>1113</v>
      </c>
      <c r="AK383" s="39" t="str">
        <f>データ!M383</f>
        <v>縦一列に攻撃[特大]</v>
      </c>
      <c r="AL383" s="10" t="s">
        <v>1024</v>
      </c>
      <c r="AM383" s="40" t="s">
        <v>1325</v>
      </c>
      <c r="AN383" s="39" t="str">
        <f>データ!N383</f>
        <v>-</v>
      </c>
      <c r="AO383" s="10" t="s">
        <v>1113</v>
      </c>
      <c r="AP383" s="39" t="str">
        <f>データ!O383</f>
        <v>　</v>
      </c>
      <c r="AQ383" s="41" t="s">
        <v>1024</v>
      </c>
      <c r="AR383" s="40" t="s">
        <v>1324</v>
      </c>
      <c r="AS383" s="39" t="str">
        <f>データ!P383</f>
        <v>フォートレスオーダー／真</v>
      </c>
      <c r="AT383" s="10" t="s">
        <v>1113</v>
      </c>
      <c r="AU383" s="39" t="str">
        <f>データ!Q383</f>
        <v>騎士団全体の防御力が中UP(3分間)</v>
      </c>
      <c r="AV383" s="10" t="s">
        <v>1024</v>
      </c>
      <c r="AW383" s="40" t="s">
        <v>1324</v>
      </c>
      <c r="AX383" s="39" t="str">
        <f>データ!R383</f>
        <v>-</v>
      </c>
      <c r="AY383" s="10" t="s">
        <v>1113</v>
      </c>
      <c r="AZ383" s="39" t="str">
        <f>データ!S383</f>
        <v>　</v>
      </c>
      <c r="BA383" s="41" t="s">
        <v>1024</v>
      </c>
      <c r="BB383" s="40" t="s">
        <v>1319</v>
      </c>
      <c r="BC383" s="39" t="str">
        <f>データ!T383</f>
        <v>-</v>
      </c>
      <c r="BD383" s="41" t="s">
        <v>1024</v>
      </c>
      <c r="BE383" s="40" t="s">
        <v>1320</v>
      </c>
      <c r="BF383" s="39" t="str">
        <f>データ!U383</f>
        <v>-</v>
      </c>
      <c r="BG383" s="41" t="s">
        <v>1024</v>
      </c>
      <c r="BH383" s="40" t="s">
        <v>1319</v>
      </c>
      <c r="BI383" s="39" t="str">
        <f>データ!V383</f>
        <v>サクラ大戦コラボ</v>
      </c>
      <c r="BJ383" s="41" t="s">
        <v>1024</v>
      </c>
      <c r="BK383" s="10" t="s">
        <v>1019</v>
      </c>
    </row>
    <row r="384" spans="1:63" x14ac:dyDescent="0.15">
      <c r="A384" s="10" t="s">
        <v>1016</v>
      </c>
      <c r="B384" s="10" t="s">
        <v>1454</v>
      </c>
      <c r="C384" s="38" t="str">
        <f>"./images/thumbnail/"&amp;データ!B384&amp;".jpg"</f>
        <v>./images/thumbnail/1666.jpg</v>
      </c>
      <c r="D384" s="38" t="s">
        <v>1455</v>
      </c>
      <c r="E384" s="38" t="str">
        <f>"./images/thumbnail/"&amp;データ!B384&amp;".jpg"</f>
        <v>./images/thumbnail/1666.jpg</v>
      </c>
      <c r="F384" s="38" t="s">
        <v>1116</v>
      </c>
      <c r="G384" s="38" t="s">
        <v>1319</v>
      </c>
      <c r="H384" s="38" t="str">
        <f>データ!C384</f>
        <v>ｴﾘｶ･ﾌｫﾝﾃｨｰﾇ</v>
      </c>
      <c r="I384" s="38" t="s">
        <v>1024</v>
      </c>
      <c r="J384" s="38" t="s">
        <v>1320</v>
      </c>
      <c r="K384" s="38" t="str">
        <f>データ!D384</f>
        <v>UR</v>
      </c>
      <c r="L384" s="38" t="s">
        <v>1024</v>
      </c>
      <c r="M384" s="38" t="s">
        <v>1321</v>
      </c>
      <c r="N384" s="38">
        <f>データ!E384</f>
        <v>14</v>
      </c>
      <c r="O384" s="38" t="s">
        <v>1024</v>
      </c>
      <c r="P384" s="38" t="s">
        <v>1319</v>
      </c>
      <c r="Q384" s="38" t="str">
        <f>データ!F384</f>
        <v>遠</v>
      </c>
      <c r="R384" s="38" t="s">
        <v>1024</v>
      </c>
      <c r="S384" s="38" t="s">
        <v>1319</v>
      </c>
      <c r="T384" s="39">
        <f>データ!G384</f>
        <v>19707</v>
      </c>
      <c r="U384" s="40" t="s">
        <v>1024</v>
      </c>
      <c r="V384" s="40" t="s">
        <v>1319</v>
      </c>
      <c r="W384" s="39">
        <f>データ!H384</f>
        <v>6878</v>
      </c>
      <c r="X384" s="40" t="s">
        <v>1024</v>
      </c>
      <c r="Y384" s="40" t="s">
        <v>1319</v>
      </c>
      <c r="Z384" s="39">
        <f>データ!I384</f>
        <v>5633</v>
      </c>
      <c r="AA384" s="40" t="s">
        <v>1024</v>
      </c>
      <c r="AB384" s="40" t="s">
        <v>1322</v>
      </c>
      <c r="AC384" s="39" t="str">
        <f>データ!J384</f>
        <v>S+</v>
      </c>
      <c r="AD384" s="38" t="s">
        <v>1024</v>
      </c>
      <c r="AE384" s="40" t="s">
        <v>1323</v>
      </c>
      <c r="AF384" s="39">
        <f>データ!K384</f>
        <v>32218</v>
      </c>
      <c r="AG384" s="40" t="s">
        <v>1024</v>
      </c>
      <c r="AH384" s="40" t="s">
        <v>1324</v>
      </c>
      <c r="AI384" s="39" t="str">
        <f>データ!L384</f>
        <v>グラース・オ・スィエル</v>
      </c>
      <c r="AJ384" s="10" t="s">
        <v>1113</v>
      </c>
      <c r="AK384" s="39" t="str">
        <f>データ!M384</f>
        <v>味方全員のHPを回復[大]</v>
      </c>
      <c r="AL384" s="10" t="s">
        <v>1024</v>
      </c>
      <c r="AM384" s="40" t="s">
        <v>1325</v>
      </c>
      <c r="AN384" s="39" t="str">
        <f>データ!N384</f>
        <v>-</v>
      </c>
      <c r="AO384" s="10" t="s">
        <v>1113</v>
      </c>
      <c r="AP384" s="39" t="str">
        <f>データ!O384</f>
        <v>　</v>
      </c>
      <c r="AQ384" s="41" t="s">
        <v>1024</v>
      </c>
      <c r="AR384" s="40" t="s">
        <v>1324</v>
      </c>
      <c r="AS384" s="39" t="str">
        <f>データ!P384</f>
        <v>ランページ／絶</v>
      </c>
      <c r="AT384" s="10" t="s">
        <v>1113</v>
      </c>
      <c r="AU384" s="39" t="str">
        <f>データ!Q384</f>
        <v>バトルで獲得する騎士団戦スコアが大アップ(3分間)</v>
      </c>
      <c r="AV384" s="10" t="s">
        <v>1024</v>
      </c>
      <c r="AW384" s="40" t="s">
        <v>1324</v>
      </c>
      <c r="AX384" s="39" t="str">
        <f>データ!R384</f>
        <v>-</v>
      </c>
      <c r="AY384" s="10" t="s">
        <v>1113</v>
      </c>
      <c r="AZ384" s="39" t="str">
        <f>データ!S384</f>
        <v>　</v>
      </c>
      <c r="BA384" s="41" t="s">
        <v>1024</v>
      </c>
      <c r="BB384" s="40" t="s">
        <v>1319</v>
      </c>
      <c r="BC384" s="39" t="str">
        <f>データ!T384</f>
        <v>-</v>
      </c>
      <c r="BD384" s="41" t="s">
        <v>1024</v>
      </c>
      <c r="BE384" s="40" t="s">
        <v>1320</v>
      </c>
      <c r="BF384" s="39" t="str">
        <f>データ!U384</f>
        <v>-</v>
      </c>
      <c r="BG384" s="41" t="s">
        <v>1024</v>
      </c>
      <c r="BH384" s="40" t="s">
        <v>1319</v>
      </c>
      <c r="BI384" s="39" t="str">
        <f>データ!V384</f>
        <v>サクラ大戦コラボ</v>
      </c>
      <c r="BJ384" s="41" t="s">
        <v>1024</v>
      </c>
      <c r="BK384" s="10" t="s">
        <v>1019</v>
      </c>
    </row>
    <row r="385" spans="1:63" x14ac:dyDescent="0.15">
      <c r="A385" s="10" t="s">
        <v>1016</v>
      </c>
      <c r="B385" s="10" t="s">
        <v>1454</v>
      </c>
      <c r="C385" s="38" t="str">
        <f>"./images/thumbnail/"&amp;データ!B385&amp;".jpg"</f>
        <v>./images/thumbnail/1668.jpg</v>
      </c>
      <c r="D385" s="38" t="s">
        <v>1455</v>
      </c>
      <c r="E385" s="38" t="str">
        <f>"./images/thumbnail/"&amp;データ!B385&amp;".jpg"</f>
        <v>./images/thumbnail/1668.jpg</v>
      </c>
      <c r="F385" s="38" t="s">
        <v>1116</v>
      </c>
      <c r="G385" s="38" t="s">
        <v>1319</v>
      </c>
      <c r="H385" s="38" t="str">
        <f>データ!C385</f>
        <v>コリーヌ</v>
      </c>
      <c r="I385" s="38" t="s">
        <v>1024</v>
      </c>
      <c r="J385" s="38" t="s">
        <v>1320</v>
      </c>
      <c r="K385" s="38" t="str">
        <f>データ!D385</f>
        <v>SSR</v>
      </c>
      <c r="L385" s="38" t="s">
        <v>1024</v>
      </c>
      <c r="M385" s="38" t="s">
        <v>1321</v>
      </c>
      <c r="N385" s="38">
        <f>データ!E385</f>
        <v>13</v>
      </c>
      <c r="O385" s="38" t="s">
        <v>1024</v>
      </c>
      <c r="P385" s="38" t="s">
        <v>1319</v>
      </c>
      <c r="Q385" s="38" t="str">
        <f>データ!F385</f>
        <v>斬</v>
      </c>
      <c r="R385" s="38" t="s">
        <v>1024</v>
      </c>
      <c r="S385" s="38" t="s">
        <v>1319</v>
      </c>
      <c r="T385" s="39">
        <f>データ!G385</f>
        <v>14997</v>
      </c>
      <c r="U385" s="40" t="s">
        <v>1024</v>
      </c>
      <c r="V385" s="40" t="s">
        <v>1319</v>
      </c>
      <c r="W385" s="39">
        <f>データ!H385</f>
        <v>6893</v>
      </c>
      <c r="X385" s="40" t="s">
        <v>1024</v>
      </c>
      <c r="Y385" s="40" t="s">
        <v>1319</v>
      </c>
      <c r="Z385" s="39">
        <f>データ!I385</f>
        <v>5916</v>
      </c>
      <c r="AA385" s="40" t="s">
        <v>1024</v>
      </c>
      <c r="AB385" s="40" t="s">
        <v>1322</v>
      </c>
      <c r="AC385" s="39" t="str">
        <f>データ!J385</f>
        <v>A+</v>
      </c>
      <c r="AD385" s="38" t="s">
        <v>1024</v>
      </c>
      <c r="AE385" s="40" t="s">
        <v>1323</v>
      </c>
      <c r="AF385" s="39">
        <f>データ!K385</f>
        <v>27806</v>
      </c>
      <c r="AG385" s="40" t="s">
        <v>1024</v>
      </c>
      <c r="AH385" s="40" t="s">
        <v>1324</v>
      </c>
      <c r="AI385" s="39" t="str">
        <f>データ!L385</f>
        <v>斬紅の聖天</v>
      </c>
      <c r="AJ385" s="10" t="s">
        <v>1113</v>
      </c>
      <c r="AK385" s="39" t="str">
        <f>データ!M385</f>
        <v>味方斬属性の攻撃力と防御力をUP[大]</v>
      </c>
      <c r="AL385" s="10" t="s">
        <v>1024</v>
      </c>
      <c r="AM385" s="40" t="s">
        <v>1325</v>
      </c>
      <c r="AN385" s="39" t="str">
        <f>データ!N385</f>
        <v>-</v>
      </c>
      <c r="AO385" s="10" t="s">
        <v>1113</v>
      </c>
      <c r="AP385" s="39" t="str">
        <f>データ!O385</f>
        <v>　</v>
      </c>
      <c r="AQ385" s="41" t="s">
        <v>1024</v>
      </c>
      <c r="AR385" s="40" t="s">
        <v>1324</v>
      </c>
      <c r="AS385" s="39" t="str">
        <f>データ!P385</f>
        <v>オラクル／真</v>
      </c>
      <c r="AT385" s="10" t="s">
        <v>1113</v>
      </c>
      <c r="AU385" s="39" t="str">
        <f>データ!Q385</f>
        <v>パーティ全体のスキル発動率が中UP(3分間)</v>
      </c>
      <c r="AV385" s="10" t="s">
        <v>1024</v>
      </c>
      <c r="AW385" s="40" t="s">
        <v>1324</v>
      </c>
      <c r="AX385" s="39" t="str">
        <f>データ!R385</f>
        <v>-</v>
      </c>
      <c r="AY385" s="10" t="s">
        <v>1113</v>
      </c>
      <c r="AZ385" s="39" t="str">
        <f>データ!S385</f>
        <v>　</v>
      </c>
      <c r="BA385" s="41" t="s">
        <v>1024</v>
      </c>
      <c r="BB385" s="40" t="s">
        <v>1319</v>
      </c>
      <c r="BC385" s="39" t="str">
        <f>データ!T385</f>
        <v>-</v>
      </c>
      <c r="BD385" s="41" t="s">
        <v>1024</v>
      </c>
      <c r="BE385" s="40" t="s">
        <v>1320</v>
      </c>
      <c r="BF385" s="39" t="str">
        <f>データ!U385</f>
        <v>-</v>
      </c>
      <c r="BG385" s="41" t="s">
        <v>1024</v>
      </c>
      <c r="BH385" s="40" t="s">
        <v>1319</v>
      </c>
      <c r="BI385" s="39" t="str">
        <f>データ!V385</f>
        <v>常設</v>
      </c>
      <c r="BJ385" s="41" t="s">
        <v>1024</v>
      </c>
      <c r="BK385" s="10" t="s">
        <v>1019</v>
      </c>
    </row>
    <row r="386" spans="1:63" x14ac:dyDescent="0.15">
      <c r="A386" s="10" t="s">
        <v>1016</v>
      </c>
      <c r="B386" s="10" t="s">
        <v>1454</v>
      </c>
      <c r="C386" s="38" t="str">
        <f>"./images/thumbnail/"&amp;データ!B386&amp;".jpg"</f>
        <v>./images/thumbnail/1670.jpg</v>
      </c>
      <c r="D386" s="38" t="s">
        <v>1455</v>
      </c>
      <c r="E386" s="38" t="str">
        <f>"./images/thumbnail/"&amp;データ!B386&amp;".jpg"</f>
        <v>./images/thumbnail/1670.jpg</v>
      </c>
      <c r="F386" s="38" t="s">
        <v>1116</v>
      </c>
      <c r="G386" s="38" t="s">
        <v>1319</v>
      </c>
      <c r="H386" s="38" t="str">
        <f>データ!C386</f>
        <v>フレーゲル</v>
      </c>
      <c r="I386" s="38" t="s">
        <v>1024</v>
      </c>
      <c r="J386" s="38" t="s">
        <v>1320</v>
      </c>
      <c r="K386" s="38" t="str">
        <f>データ!D386</f>
        <v>UR</v>
      </c>
      <c r="L386" s="38" t="s">
        <v>1024</v>
      </c>
      <c r="M386" s="38" t="s">
        <v>1321</v>
      </c>
      <c r="N386" s="38">
        <f>データ!E386</f>
        <v>14</v>
      </c>
      <c r="O386" s="38" t="s">
        <v>1024</v>
      </c>
      <c r="P386" s="38" t="s">
        <v>1319</v>
      </c>
      <c r="Q386" s="38" t="str">
        <f>データ!F386</f>
        <v>突</v>
      </c>
      <c r="R386" s="38" t="s">
        <v>1024</v>
      </c>
      <c r="S386" s="38" t="s">
        <v>1319</v>
      </c>
      <c r="T386" s="39">
        <f>データ!G386</f>
        <v>21214</v>
      </c>
      <c r="U386" s="40" t="s">
        <v>1024</v>
      </c>
      <c r="V386" s="40" t="s">
        <v>1319</v>
      </c>
      <c r="W386" s="39">
        <f>データ!H386</f>
        <v>6314</v>
      </c>
      <c r="X386" s="40" t="s">
        <v>1024</v>
      </c>
      <c r="Y386" s="40" t="s">
        <v>1319</v>
      </c>
      <c r="Z386" s="39">
        <f>データ!I386</f>
        <v>6262</v>
      </c>
      <c r="AA386" s="40" t="s">
        <v>1024</v>
      </c>
      <c r="AB386" s="40" t="s">
        <v>1322</v>
      </c>
      <c r="AC386" s="39" t="str">
        <f>データ!J386</f>
        <v>SS+</v>
      </c>
      <c r="AD386" s="38" t="s">
        <v>1024</v>
      </c>
      <c r="AE386" s="40" t="s">
        <v>1323</v>
      </c>
      <c r="AF386" s="39">
        <f>データ!K386</f>
        <v>33790</v>
      </c>
      <c r="AG386" s="40" t="s">
        <v>1024</v>
      </c>
      <c r="AH386" s="40" t="s">
        <v>1324</v>
      </c>
      <c r="AI386" s="39" t="str">
        <f>データ!L386</f>
        <v>蒼突の神護</v>
      </c>
      <c r="AJ386" s="10" t="s">
        <v>1113</v>
      </c>
      <c r="AK386" s="39" t="str">
        <f>データ!M386</f>
        <v>味方突属性の防御力をUP[特大]</v>
      </c>
      <c r="AL386" s="10" t="s">
        <v>1024</v>
      </c>
      <c r="AM386" s="40" t="s">
        <v>1325</v>
      </c>
      <c r="AN386" s="39" t="str">
        <f>データ!N386</f>
        <v>-</v>
      </c>
      <c r="AO386" s="10" t="s">
        <v>1113</v>
      </c>
      <c r="AP386" s="39" t="str">
        <f>データ!O386</f>
        <v>　</v>
      </c>
      <c r="AQ386" s="41" t="s">
        <v>1024</v>
      </c>
      <c r="AR386" s="40" t="s">
        <v>1324</v>
      </c>
      <c r="AS386" s="39" t="str">
        <f>データ!P386</f>
        <v>アクセラレーター／絶</v>
      </c>
      <c r="AT386" s="10" t="s">
        <v>1113</v>
      </c>
      <c r="AU386" s="39" t="str">
        <f>データ!Q386</f>
        <v>パーティ全体の速度が大UP(3分間)</v>
      </c>
      <c r="AV386" s="10" t="s">
        <v>1024</v>
      </c>
      <c r="AW386" s="40" t="s">
        <v>1324</v>
      </c>
      <c r="AX386" s="39" t="str">
        <f>データ!R386</f>
        <v>-</v>
      </c>
      <c r="AY386" s="10" t="s">
        <v>1113</v>
      </c>
      <c r="AZ386" s="39" t="str">
        <f>データ!S386</f>
        <v>　</v>
      </c>
      <c r="BA386" s="41" t="s">
        <v>1024</v>
      </c>
      <c r="BB386" s="40" t="s">
        <v>1319</v>
      </c>
      <c r="BC386" s="39" t="str">
        <f>データ!T386</f>
        <v>-</v>
      </c>
      <c r="BD386" s="41" t="s">
        <v>1024</v>
      </c>
      <c r="BE386" s="40" t="s">
        <v>1320</v>
      </c>
      <c r="BF386" s="39" t="str">
        <f>データ!U386</f>
        <v>-</v>
      </c>
      <c r="BG386" s="41" t="s">
        <v>1024</v>
      </c>
      <c r="BH386" s="40" t="s">
        <v>1319</v>
      </c>
      <c r="BI386" s="39" t="str">
        <f>データ!V386</f>
        <v>常設</v>
      </c>
      <c r="BJ386" s="41" t="s">
        <v>1024</v>
      </c>
      <c r="BK386" s="10" t="s">
        <v>1019</v>
      </c>
    </row>
    <row r="387" spans="1:63" x14ac:dyDescent="0.15">
      <c r="A387" s="10" t="s">
        <v>1016</v>
      </c>
      <c r="B387" s="10" t="s">
        <v>1454</v>
      </c>
      <c r="C387" s="38" t="str">
        <f>"./images/thumbnail/"&amp;データ!B387&amp;".jpg"</f>
        <v>./images/thumbnail/1670_a.jpg</v>
      </c>
      <c r="D387" s="38" t="s">
        <v>1455</v>
      </c>
      <c r="E387" s="38" t="str">
        <f>"./images/thumbnail/"&amp;データ!B387&amp;".jpg"</f>
        <v>./images/thumbnail/1670_a.jpg</v>
      </c>
      <c r="F387" s="38" t="s">
        <v>1116</v>
      </c>
      <c r="G387" s="38" t="s">
        <v>1319</v>
      </c>
      <c r="H387" s="38" t="str">
        <f>データ!C387</f>
        <v>フレーゲル</v>
      </c>
      <c r="I387" s="38" t="s">
        <v>1024</v>
      </c>
      <c r="J387" s="38" t="s">
        <v>1320</v>
      </c>
      <c r="K387" s="38" t="str">
        <f>データ!D387</f>
        <v>UR</v>
      </c>
      <c r="L387" s="38" t="s">
        <v>1024</v>
      </c>
      <c r="M387" s="38" t="s">
        <v>1321</v>
      </c>
      <c r="N387" s="38">
        <f>データ!E387</f>
        <v>14</v>
      </c>
      <c r="O387" s="38" t="s">
        <v>1024</v>
      </c>
      <c r="P387" s="38" t="s">
        <v>1319</v>
      </c>
      <c r="Q387" s="38" t="str">
        <f>データ!F387</f>
        <v>突</v>
      </c>
      <c r="R387" s="38" t="s">
        <v>1024</v>
      </c>
      <c r="S387" s="38" t="s">
        <v>1319</v>
      </c>
      <c r="T387" s="39">
        <f>データ!G387</f>
        <v>28648</v>
      </c>
      <c r="U387" s="40" t="s">
        <v>1024</v>
      </c>
      <c r="V387" s="40" t="s">
        <v>1319</v>
      </c>
      <c r="W387" s="39">
        <f>データ!H387</f>
        <v>7763</v>
      </c>
      <c r="X387" s="40" t="s">
        <v>1024</v>
      </c>
      <c r="Y387" s="40" t="s">
        <v>1319</v>
      </c>
      <c r="Z387" s="39">
        <f>データ!I387</f>
        <v>10651</v>
      </c>
      <c r="AA387" s="40" t="s">
        <v>1024</v>
      </c>
      <c r="AB387" s="40" t="s">
        <v>1322</v>
      </c>
      <c r="AC387" s="39" t="str">
        <f>データ!J387</f>
        <v>SS4</v>
      </c>
      <c r="AD387" s="38" t="s">
        <v>1024</v>
      </c>
      <c r="AE387" s="40" t="s">
        <v>1323</v>
      </c>
      <c r="AF387" s="39">
        <f>データ!K387</f>
        <v>47062</v>
      </c>
      <c r="AG387" s="40" t="s">
        <v>1024</v>
      </c>
      <c r="AH387" s="40" t="s">
        <v>1324</v>
      </c>
      <c r="AI387" s="39" t="str">
        <f>データ!L387</f>
        <v>蒼突の神護＋</v>
      </c>
      <c r="AJ387" s="10" t="s">
        <v>1113</v>
      </c>
      <c r="AK387" s="39" t="str">
        <f>データ!M387</f>
        <v>味方突属性の防御力をUP[超極大]</v>
      </c>
      <c r="AL387" s="10" t="s">
        <v>1024</v>
      </c>
      <c r="AM387" s="40" t="s">
        <v>1325</v>
      </c>
      <c r="AN387" s="39" t="str">
        <f>データ!N387</f>
        <v>-</v>
      </c>
      <c r="AO387" s="10" t="s">
        <v>1113</v>
      </c>
      <c r="AP387" s="39" t="str">
        <f>データ!O387</f>
        <v>　</v>
      </c>
      <c r="AQ387" s="41" t="s">
        <v>1024</v>
      </c>
      <c r="AR387" s="40" t="s">
        <v>1324</v>
      </c>
      <c r="AS387" s="39" t="str">
        <f>データ!P387</f>
        <v>アクセラレーター／絶</v>
      </c>
      <c r="AT387" s="10" t="s">
        <v>1113</v>
      </c>
      <c r="AU387" s="39" t="str">
        <f>データ!Q387</f>
        <v>パーティ全体の速度が大UP(3分間)</v>
      </c>
      <c r="AV387" s="10" t="s">
        <v>1024</v>
      </c>
      <c r="AW387" s="40" t="s">
        <v>1324</v>
      </c>
      <c r="AX387" s="39" t="str">
        <f>データ!R387</f>
        <v>-</v>
      </c>
      <c r="AY387" s="10" t="s">
        <v>1113</v>
      </c>
      <c r="AZ387" s="39" t="str">
        <f>データ!S387</f>
        <v>　</v>
      </c>
      <c r="BA387" s="41" t="s">
        <v>1024</v>
      </c>
      <c r="BB387" s="40" t="s">
        <v>1319</v>
      </c>
      <c r="BC387" s="39" t="str">
        <f>データ!T387</f>
        <v>-</v>
      </c>
      <c r="BD387" s="41" t="s">
        <v>1024</v>
      </c>
      <c r="BE387" s="40" t="s">
        <v>1320</v>
      </c>
      <c r="BF387" s="39" t="str">
        <f>データ!U387</f>
        <v>-</v>
      </c>
      <c r="BG387" s="41" t="s">
        <v>1024</v>
      </c>
      <c r="BH387" s="40" t="s">
        <v>1319</v>
      </c>
      <c r="BI387" s="39" t="str">
        <f>データ!V387</f>
        <v>精鋭化ユニット</v>
      </c>
      <c r="BJ387" s="41" t="s">
        <v>1024</v>
      </c>
      <c r="BK387" s="10" t="s">
        <v>1019</v>
      </c>
    </row>
    <row r="388" spans="1:63" x14ac:dyDescent="0.15">
      <c r="A388" s="10" t="s">
        <v>1016</v>
      </c>
      <c r="B388" s="10" t="s">
        <v>1454</v>
      </c>
      <c r="C388" s="38" t="str">
        <f>"./images/thumbnail/"&amp;データ!B388&amp;".jpg"</f>
        <v>./images/thumbnail/1670_b.jpg</v>
      </c>
      <c r="D388" s="38" t="s">
        <v>1455</v>
      </c>
      <c r="E388" s="38" t="str">
        <f>"./images/thumbnail/"&amp;データ!B388&amp;".jpg"</f>
        <v>./images/thumbnail/1670_b.jpg</v>
      </c>
      <c r="F388" s="38" t="s">
        <v>1116</v>
      </c>
      <c r="G388" s="38" t="s">
        <v>1319</v>
      </c>
      <c r="H388" s="38" t="str">
        <f>データ!C388</f>
        <v>フレーゲル</v>
      </c>
      <c r="I388" s="38" t="s">
        <v>1024</v>
      </c>
      <c r="J388" s="38" t="s">
        <v>1320</v>
      </c>
      <c r="K388" s="38" t="str">
        <f>データ!D388</f>
        <v>UR</v>
      </c>
      <c r="L388" s="38" t="s">
        <v>1024</v>
      </c>
      <c r="M388" s="38" t="s">
        <v>1321</v>
      </c>
      <c r="N388" s="38">
        <f>データ!E388</f>
        <v>14</v>
      </c>
      <c r="O388" s="38" t="s">
        <v>1024</v>
      </c>
      <c r="P388" s="38" t="s">
        <v>1319</v>
      </c>
      <c r="Q388" s="38" t="str">
        <f>データ!F388</f>
        <v>突</v>
      </c>
      <c r="R388" s="38" t="s">
        <v>1024</v>
      </c>
      <c r="S388" s="38" t="s">
        <v>1319</v>
      </c>
      <c r="T388" s="39">
        <f>データ!G388</f>
        <v>26527</v>
      </c>
      <c r="U388" s="40" t="s">
        <v>1024</v>
      </c>
      <c r="V388" s="40" t="s">
        <v>1319</v>
      </c>
      <c r="W388" s="39">
        <f>データ!H388</f>
        <v>7448</v>
      </c>
      <c r="X388" s="40" t="s">
        <v>1024</v>
      </c>
      <c r="Y388" s="40" t="s">
        <v>1319</v>
      </c>
      <c r="Z388" s="39">
        <f>データ!I388</f>
        <v>10021</v>
      </c>
      <c r="AA388" s="40" t="s">
        <v>1024</v>
      </c>
      <c r="AB388" s="40" t="s">
        <v>1322</v>
      </c>
      <c r="AC388" s="39" t="str">
        <f>データ!J388</f>
        <v>SS4</v>
      </c>
      <c r="AD388" s="38" t="s">
        <v>1024</v>
      </c>
      <c r="AE388" s="40" t="s">
        <v>1323</v>
      </c>
      <c r="AF388" s="39">
        <f>データ!K388</f>
        <v>43996</v>
      </c>
      <c r="AG388" s="40" t="s">
        <v>1024</v>
      </c>
      <c r="AH388" s="40" t="s">
        <v>1324</v>
      </c>
      <c r="AI388" s="39" t="str">
        <f>データ!L388</f>
        <v>蒼突の神護</v>
      </c>
      <c r="AJ388" s="10" t="s">
        <v>1113</v>
      </c>
      <c r="AK388" s="39" t="str">
        <f>データ!M388</f>
        <v>味方突属性の防御力をUP[特大]</v>
      </c>
      <c r="AL388" s="10" t="s">
        <v>1024</v>
      </c>
      <c r="AM388" s="40" t="s">
        <v>1325</v>
      </c>
      <c r="AN388" s="39" t="str">
        <f>データ!N388</f>
        <v>-</v>
      </c>
      <c r="AO388" s="10" t="s">
        <v>1113</v>
      </c>
      <c r="AP388" s="39" t="str">
        <f>データ!O388</f>
        <v>　</v>
      </c>
      <c r="AQ388" s="41" t="s">
        <v>1024</v>
      </c>
      <c r="AR388" s="40" t="s">
        <v>1324</v>
      </c>
      <c r="AS388" s="39" t="str">
        <f>データ!P388</f>
        <v>覚醒の血脈</v>
      </c>
      <c r="AT388" s="10" t="s">
        <v>1113</v>
      </c>
      <c r="AU388" s="39" t="str">
        <f>データ!Q388</f>
        <v>パーティ全体の速度が大UP(5分間)</v>
      </c>
      <c r="AV388" s="10" t="s">
        <v>1024</v>
      </c>
      <c r="AW388" s="40" t="s">
        <v>1324</v>
      </c>
      <c r="AX388" s="39" t="str">
        <f>データ!R388</f>
        <v>-</v>
      </c>
      <c r="AY388" s="10" t="s">
        <v>1113</v>
      </c>
      <c r="AZ388" s="39" t="str">
        <f>データ!S388</f>
        <v>　</v>
      </c>
      <c r="BA388" s="41" t="s">
        <v>1024</v>
      </c>
      <c r="BB388" s="40" t="s">
        <v>1319</v>
      </c>
      <c r="BC388" s="39" t="str">
        <f>データ!T388</f>
        <v>-</v>
      </c>
      <c r="BD388" s="41" t="s">
        <v>1024</v>
      </c>
      <c r="BE388" s="40" t="s">
        <v>1320</v>
      </c>
      <c r="BF388" s="39" t="str">
        <f>データ!U388</f>
        <v>-</v>
      </c>
      <c r="BG388" s="41" t="s">
        <v>1024</v>
      </c>
      <c r="BH388" s="40" t="s">
        <v>1319</v>
      </c>
      <c r="BI388" s="39" t="str">
        <f>データ!V388</f>
        <v>精鋭化ユニット</v>
      </c>
      <c r="BJ388" s="41" t="s">
        <v>1024</v>
      </c>
      <c r="BK388" s="10" t="s">
        <v>1019</v>
      </c>
    </row>
    <row r="389" spans="1:63" x14ac:dyDescent="0.15">
      <c r="A389" s="10" t="s">
        <v>1016</v>
      </c>
      <c r="B389" s="10" t="s">
        <v>1454</v>
      </c>
      <c r="C389" s="38" t="str">
        <f>"./images/thumbnail/"&amp;データ!B389&amp;".jpg"</f>
        <v>./images/thumbnail/1672.jpg</v>
      </c>
      <c r="D389" s="38" t="s">
        <v>1455</v>
      </c>
      <c r="E389" s="38" t="str">
        <f>"./images/thumbnail/"&amp;データ!B389&amp;".jpg"</f>
        <v>./images/thumbnail/1672.jpg</v>
      </c>
      <c r="F389" s="38" t="s">
        <v>1116</v>
      </c>
      <c r="G389" s="38" t="s">
        <v>1319</v>
      </c>
      <c r="H389" s="38" t="str">
        <f>データ!C389</f>
        <v>トト</v>
      </c>
      <c r="I389" s="38" t="s">
        <v>1024</v>
      </c>
      <c r="J389" s="38" t="s">
        <v>1320</v>
      </c>
      <c r="K389" s="38" t="str">
        <f>データ!D389</f>
        <v>SSR</v>
      </c>
      <c r="L389" s="38" t="s">
        <v>1024</v>
      </c>
      <c r="M389" s="38" t="s">
        <v>1321</v>
      </c>
      <c r="N389" s="38">
        <f>データ!E389</f>
        <v>13</v>
      </c>
      <c r="O389" s="38" t="s">
        <v>1024</v>
      </c>
      <c r="P389" s="38" t="s">
        <v>1319</v>
      </c>
      <c r="Q389" s="38" t="str">
        <f>データ!F389</f>
        <v>打</v>
      </c>
      <c r="R389" s="38" t="s">
        <v>1024</v>
      </c>
      <c r="S389" s="38" t="s">
        <v>1319</v>
      </c>
      <c r="T389" s="39">
        <f>データ!G389</f>
        <v>18554</v>
      </c>
      <c r="U389" s="40" t="s">
        <v>1024</v>
      </c>
      <c r="V389" s="40" t="s">
        <v>1319</v>
      </c>
      <c r="W389" s="39">
        <f>データ!H389</f>
        <v>5730</v>
      </c>
      <c r="X389" s="40" t="s">
        <v>1024</v>
      </c>
      <c r="Y389" s="40" t="s">
        <v>1319</v>
      </c>
      <c r="Z389" s="39">
        <f>データ!I389</f>
        <v>6625</v>
      </c>
      <c r="AA389" s="40" t="s">
        <v>1024</v>
      </c>
      <c r="AB389" s="40" t="s">
        <v>1322</v>
      </c>
      <c r="AC389" s="39" t="str">
        <f>データ!J389</f>
        <v>S-</v>
      </c>
      <c r="AD389" s="38" t="s">
        <v>1024</v>
      </c>
      <c r="AE389" s="40" t="s">
        <v>1323</v>
      </c>
      <c r="AF389" s="39">
        <f>データ!K389</f>
        <v>30909</v>
      </c>
      <c r="AG389" s="40" t="s">
        <v>1024</v>
      </c>
      <c r="AH389" s="40" t="s">
        <v>1324</v>
      </c>
      <c r="AI389" s="39" t="str">
        <f>データ!L389</f>
        <v>対紅の突風／絶</v>
      </c>
      <c r="AJ389" s="10" t="s">
        <v>1113</v>
      </c>
      <c r="AK389" s="39" t="str">
        <f>データ!M389</f>
        <v>斬に強く突に弱い縦一列攻撃[大]</v>
      </c>
      <c r="AL389" s="10" t="s">
        <v>1024</v>
      </c>
      <c r="AM389" s="40" t="s">
        <v>1325</v>
      </c>
      <c r="AN389" s="39" t="str">
        <f>データ!N389</f>
        <v>-</v>
      </c>
      <c r="AO389" s="10" t="s">
        <v>1113</v>
      </c>
      <c r="AP389" s="39" t="str">
        <f>データ!O389</f>
        <v>　</v>
      </c>
      <c r="AQ389" s="41" t="s">
        <v>1024</v>
      </c>
      <c r="AR389" s="40" t="s">
        <v>1324</v>
      </c>
      <c r="AS389" s="39" t="str">
        <f>データ!P389</f>
        <v>キャッスルウィークネス</v>
      </c>
      <c r="AT389" s="10" t="s">
        <v>1113</v>
      </c>
      <c r="AU389" s="39" t="str">
        <f>データ!Q389</f>
        <v>対戦騎士団の城強度Lvが小DOWN(3分間)</v>
      </c>
      <c r="AV389" s="10" t="s">
        <v>1024</v>
      </c>
      <c r="AW389" s="40" t="s">
        <v>1324</v>
      </c>
      <c r="AX389" s="39" t="str">
        <f>データ!R389</f>
        <v>-</v>
      </c>
      <c r="AY389" s="10" t="s">
        <v>1113</v>
      </c>
      <c r="AZ389" s="39" t="str">
        <f>データ!S389</f>
        <v>　</v>
      </c>
      <c r="BA389" s="41" t="s">
        <v>1024</v>
      </c>
      <c r="BB389" s="40" t="s">
        <v>1319</v>
      </c>
      <c r="BC389" s="39" t="str">
        <f>データ!T389</f>
        <v>-</v>
      </c>
      <c r="BD389" s="41" t="s">
        <v>1024</v>
      </c>
      <c r="BE389" s="40" t="s">
        <v>1320</v>
      </c>
      <c r="BF389" s="39" t="str">
        <f>データ!U389</f>
        <v>-</v>
      </c>
      <c r="BG389" s="41" t="s">
        <v>1024</v>
      </c>
      <c r="BH389" s="40" t="s">
        <v>1319</v>
      </c>
      <c r="BI389" s="39" t="str">
        <f>データ!V389</f>
        <v>常設</v>
      </c>
      <c r="BJ389" s="41" t="s">
        <v>1024</v>
      </c>
      <c r="BK389" s="10" t="s">
        <v>1019</v>
      </c>
    </row>
    <row r="390" spans="1:63" x14ac:dyDescent="0.15">
      <c r="A390" s="10" t="s">
        <v>1016</v>
      </c>
      <c r="B390" s="10" t="s">
        <v>1454</v>
      </c>
      <c r="C390" s="38" t="str">
        <f>"./images/thumbnail/"&amp;データ!B390&amp;".jpg"</f>
        <v>./images/thumbnail/1674.jpg</v>
      </c>
      <c r="D390" s="38" t="s">
        <v>1455</v>
      </c>
      <c r="E390" s="38" t="str">
        <f>"./images/thumbnail/"&amp;データ!B390&amp;".jpg"</f>
        <v>./images/thumbnail/1674.jpg</v>
      </c>
      <c r="F390" s="38" t="s">
        <v>1116</v>
      </c>
      <c r="G390" s="38" t="s">
        <v>1319</v>
      </c>
      <c r="H390" s="38" t="str">
        <f>データ!C390</f>
        <v>ナタン</v>
      </c>
      <c r="I390" s="38" t="s">
        <v>1024</v>
      </c>
      <c r="J390" s="38" t="s">
        <v>1320</v>
      </c>
      <c r="K390" s="38" t="str">
        <f>データ!D390</f>
        <v>UR</v>
      </c>
      <c r="L390" s="38" t="s">
        <v>1024</v>
      </c>
      <c r="M390" s="38" t="s">
        <v>1321</v>
      </c>
      <c r="N390" s="38">
        <f>データ!E390</f>
        <v>14</v>
      </c>
      <c r="O390" s="38" t="s">
        <v>1024</v>
      </c>
      <c r="P390" s="38" t="s">
        <v>1319</v>
      </c>
      <c r="Q390" s="38" t="str">
        <f>データ!F390</f>
        <v>遠</v>
      </c>
      <c r="R390" s="38" t="s">
        <v>1024</v>
      </c>
      <c r="S390" s="38" t="s">
        <v>1319</v>
      </c>
      <c r="T390" s="39">
        <f>データ!G390</f>
        <v>18735</v>
      </c>
      <c r="U390" s="40" t="s">
        <v>1024</v>
      </c>
      <c r="V390" s="40" t="s">
        <v>1319</v>
      </c>
      <c r="W390" s="39">
        <f>データ!H390</f>
        <v>6919</v>
      </c>
      <c r="X390" s="40" t="s">
        <v>1024</v>
      </c>
      <c r="Y390" s="40" t="s">
        <v>1319</v>
      </c>
      <c r="Z390" s="39">
        <f>データ!I390</f>
        <v>5299</v>
      </c>
      <c r="AA390" s="40" t="s">
        <v>1024</v>
      </c>
      <c r="AB390" s="40" t="s">
        <v>1322</v>
      </c>
      <c r="AC390" s="39" t="str">
        <f>データ!J390</f>
        <v>SS+</v>
      </c>
      <c r="AD390" s="38" t="s">
        <v>1024</v>
      </c>
      <c r="AE390" s="40" t="s">
        <v>1323</v>
      </c>
      <c r="AF390" s="39">
        <f>データ!K390</f>
        <v>30953</v>
      </c>
      <c r="AG390" s="40" t="s">
        <v>1024</v>
      </c>
      <c r="AH390" s="40" t="s">
        <v>1324</v>
      </c>
      <c r="AI390" s="39" t="str">
        <f>データ!L390</f>
        <v>対紫の薙風／煌</v>
      </c>
      <c r="AJ390" s="10" t="s">
        <v>1113</v>
      </c>
      <c r="AK390" s="39" t="str">
        <f>データ!M390</f>
        <v>打に強く遠に弱い横一列攻撃[特大]</v>
      </c>
      <c r="AL390" s="10" t="s">
        <v>1024</v>
      </c>
      <c r="AM390" s="40" t="s">
        <v>1325</v>
      </c>
      <c r="AN390" s="39" t="str">
        <f>データ!N390</f>
        <v>-</v>
      </c>
      <c r="AO390" s="10" t="s">
        <v>1113</v>
      </c>
      <c r="AP390" s="39" t="str">
        <f>データ!O390</f>
        <v>　</v>
      </c>
      <c r="AQ390" s="41" t="s">
        <v>1024</v>
      </c>
      <c r="AR390" s="40" t="s">
        <v>1324</v>
      </c>
      <c r="AS390" s="39" t="str">
        <f>データ!P390</f>
        <v>ストリーム／真</v>
      </c>
      <c r="AT390" s="10" t="s">
        <v>1113</v>
      </c>
      <c r="AU390" s="39" t="str">
        <f>データ!Q390</f>
        <v>パーティ全体の攻撃力・速度が中UP(3分間)</v>
      </c>
      <c r="AV390" s="10" t="s">
        <v>1024</v>
      </c>
      <c r="AW390" s="40" t="s">
        <v>1324</v>
      </c>
      <c r="AX390" s="39" t="str">
        <f>データ!R390</f>
        <v>-</v>
      </c>
      <c r="AY390" s="10" t="s">
        <v>1113</v>
      </c>
      <c r="AZ390" s="39" t="str">
        <f>データ!S390</f>
        <v>　</v>
      </c>
      <c r="BA390" s="41" t="s">
        <v>1024</v>
      </c>
      <c r="BB390" s="40" t="s">
        <v>1319</v>
      </c>
      <c r="BC390" s="39" t="str">
        <f>データ!T390</f>
        <v>-</v>
      </c>
      <c r="BD390" s="41" t="s">
        <v>1024</v>
      </c>
      <c r="BE390" s="40" t="s">
        <v>1320</v>
      </c>
      <c r="BF390" s="39" t="str">
        <f>データ!U390</f>
        <v>-</v>
      </c>
      <c r="BG390" s="41" t="s">
        <v>1024</v>
      </c>
      <c r="BH390" s="40" t="s">
        <v>1319</v>
      </c>
      <c r="BI390" s="39" t="str">
        <f>データ!V390</f>
        <v>常設</v>
      </c>
      <c r="BJ390" s="41" t="s">
        <v>1024</v>
      </c>
      <c r="BK390" s="10" t="s">
        <v>1019</v>
      </c>
    </row>
    <row r="391" spans="1:63" x14ac:dyDescent="0.15">
      <c r="A391" s="10" t="s">
        <v>1016</v>
      </c>
      <c r="B391" s="10" t="s">
        <v>1454</v>
      </c>
      <c r="C391" s="38" t="str">
        <f>"./images/thumbnail/"&amp;データ!B391&amp;".jpg"</f>
        <v>./images/thumbnail/1676.jpg</v>
      </c>
      <c r="D391" s="38" t="s">
        <v>1455</v>
      </c>
      <c r="E391" s="38" t="str">
        <f>"./images/thumbnail/"&amp;データ!B391&amp;".jpg"</f>
        <v>./images/thumbnail/1676.jpg</v>
      </c>
      <c r="F391" s="38" t="s">
        <v>1116</v>
      </c>
      <c r="G391" s="38" t="s">
        <v>1319</v>
      </c>
      <c r="H391" s="38" t="str">
        <f>データ!C391</f>
        <v>オディロン</v>
      </c>
      <c r="I391" s="38" t="s">
        <v>1024</v>
      </c>
      <c r="J391" s="38" t="s">
        <v>1320</v>
      </c>
      <c r="K391" s="38" t="str">
        <f>データ!D391</f>
        <v>UR</v>
      </c>
      <c r="L391" s="38" t="s">
        <v>1024</v>
      </c>
      <c r="M391" s="38" t="s">
        <v>1321</v>
      </c>
      <c r="N391" s="38">
        <f>データ!E391</f>
        <v>14</v>
      </c>
      <c r="O391" s="38" t="s">
        <v>1024</v>
      </c>
      <c r="P391" s="38" t="s">
        <v>1319</v>
      </c>
      <c r="Q391" s="38" t="str">
        <f>データ!F391</f>
        <v>打</v>
      </c>
      <c r="R391" s="38" t="s">
        <v>1024</v>
      </c>
      <c r="S391" s="38" t="s">
        <v>1319</v>
      </c>
      <c r="T391" s="39">
        <f>データ!G391</f>
        <v>21395</v>
      </c>
      <c r="U391" s="40" t="s">
        <v>1024</v>
      </c>
      <c r="V391" s="40" t="s">
        <v>1319</v>
      </c>
      <c r="W391" s="39">
        <f>データ!H391</f>
        <v>6121</v>
      </c>
      <c r="X391" s="40" t="s">
        <v>1024</v>
      </c>
      <c r="Y391" s="40" t="s">
        <v>1319</v>
      </c>
      <c r="Z391" s="39">
        <f>データ!I391</f>
        <v>9711</v>
      </c>
      <c r="AA391" s="40" t="s">
        <v>1024</v>
      </c>
      <c r="AB391" s="40" t="s">
        <v>1322</v>
      </c>
      <c r="AC391" s="39" t="str">
        <f>データ!J391</f>
        <v>A+</v>
      </c>
      <c r="AD391" s="38" t="s">
        <v>1024</v>
      </c>
      <c r="AE391" s="40" t="s">
        <v>1323</v>
      </c>
      <c r="AF391" s="39">
        <f>データ!K391</f>
        <v>37227</v>
      </c>
      <c r="AG391" s="40" t="s">
        <v>1024</v>
      </c>
      <c r="AH391" s="40" t="s">
        <v>1324</v>
      </c>
      <c r="AI391" s="39" t="str">
        <f>データ!L391</f>
        <v>対紫の突風／煌</v>
      </c>
      <c r="AJ391" s="10" t="s">
        <v>1113</v>
      </c>
      <c r="AK391" s="39" t="str">
        <f>データ!M391</f>
        <v>打に強く遠に弱い縦一列攻撃[特大]</v>
      </c>
      <c r="AL391" s="10" t="s">
        <v>1024</v>
      </c>
      <c r="AM391" s="40" t="s">
        <v>1325</v>
      </c>
      <c r="AN391" s="39" t="str">
        <f>データ!N391</f>
        <v>-</v>
      </c>
      <c r="AO391" s="10" t="s">
        <v>1113</v>
      </c>
      <c r="AP391" s="39" t="str">
        <f>データ!O391</f>
        <v>　</v>
      </c>
      <c r="AQ391" s="41" t="s">
        <v>1024</v>
      </c>
      <c r="AR391" s="40" t="s">
        <v>1324</v>
      </c>
      <c r="AS391" s="39" t="str">
        <f>データ!P391</f>
        <v>アサルトオーダー／真</v>
      </c>
      <c r="AT391" s="10" t="s">
        <v>1113</v>
      </c>
      <c r="AU391" s="39" t="str">
        <f>データ!Q391</f>
        <v>騎士団全体の攻撃力が中UP(3分間)</v>
      </c>
      <c r="AV391" s="10" t="s">
        <v>1024</v>
      </c>
      <c r="AW391" s="40" t="s">
        <v>1324</v>
      </c>
      <c r="AX391" s="39" t="str">
        <f>データ!R391</f>
        <v>-</v>
      </c>
      <c r="AY391" s="10" t="s">
        <v>1113</v>
      </c>
      <c r="AZ391" s="39" t="str">
        <f>データ!S391</f>
        <v>　</v>
      </c>
      <c r="BA391" s="41" t="s">
        <v>1024</v>
      </c>
      <c r="BB391" s="40" t="s">
        <v>1319</v>
      </c>
      <c r="BC391" s="39" t="str">
        <f>データ!T391</f>
        <v>-</v>
      </c>
      <c r="BD391" s="41" t="s">
        <v>1024</v>
      </c>
      <c r="BE391" s="40" t="s">
        <v>1320</v>
      </c>
      <c r="BF391" s="39" t="str">
        <f>データ!U391</f>
        <v>-</v>
      </c>
      <c r="BG391" s="41" t="s">
        <v>1024</v>
      </c>
      <c r="BH391" s="40" t="s">
        <v>1319</v>
      </c>
      <c r="BI391" s="39" t="str">
        <f>データ!V391</f>
        <v>覇者の塔</v>
      </c>
      <c r="BJ391" s="41" t="s">
        <v>1024</v>
      </c>
      <c r="BK391" s="10" t="s">
        <v>1019</v>
      </c>
    </row>
    <row r="392" spans="1:63" x14ac:dyDescent="0.15">
      <c r="A392" s="10" t="s">
        <v>1016</v>
      </c>
      <c r="B392" s="10" t="s">
        <v>1454</v>
      </c>
      <c r="C392" s="38" t="str">
        <f>"./images/thumbnail/"&amp;データ!B392&amp;".jpg"</f>
        <v>./images/thumbnail/1676_a.jpg</v>
      </c>
      <c r="D392" s="38" t="s">
        <v>1455</v>
      </c>
      <c r="E392" s="38" t="str">
        <f>"./images/thumbnail/"&amp;データ!B392&amp;".jpg"</f>
        <v>./images/thumbnail/1676_a.jpg</v>
      </c>
      <c r="F392" s="38" t="s">
        <v>1116</v>
      </c>
      <c r="G392" s="38" t="s">
        <v>1319</v>
      </c>
      <c r="H392" s="38" t="str">
        <f>データ!C392</f>
        <v>オディロン</v>
      </c>
      <c r="I392" s="38" t="s">
        <v>1024</v>
      </c>
      <c r="J392" s="38" t="s">
        <v>1320</v>
      </c>
      <c r="K392" s="38" t="str">
        <f>データ!D392</f>
        <v>UR</v>
      </c>
      <c r="L392" s="38" t="s">
        <v>1024</v>
      </c>
      <c r="M392" s="38" t="s">
        <v>1321</v>
      </c>
      <c r="N392" s="38">
        <f>データ!E392</f>
        <v>14</v>
      </c>
      <c r="O392" s="38" t="s">
        <v>1024</v>
      </c>
      <c r="P392" s="38" t="s">
        <v>1319</v>
      </c>
      <c r="Q392" s="38" t="str">
        <f>データ!F392</f>
        <v>打</v>
      </c>
      <c r="R392" s="38" t="s">
        <v>1024</v>
      </c>
      <c r="S392" s="38" t="s">
        <v>1319</v>
      </c>
      <c r="T392" s="39">
        <f>データ!G392</f>
        <v>29963</v>
      </c>
      <c r="U392" s="40" t="s">
        <v>1024</v>
      </c>
      <c r="V392" s="40" t="s">
        <v>1319</v>
      </c>
      <c r="W392" s="39">
        <f>データ!H392</f>
        <v>8578</v>
      </c>
      <c r="X392" s="40" t="s">
        <v>1024</v>
      </c>
      <c r="Y392" s="40" t="s">
        <v>1319</v>
      </c>
      <c r="Z392" s="39">
        <f>データ!I392</f>
        <v>12924</v>
      </c>
      <c r="AA392" s="40" t="s">
        <v>1024</v>
      </c>
      <c r="AB392" s="40" t="s">
        <v>1322</v>
      </c>
      <c r="AC392" s="39" t="str">
        <f>データ!J392</f>
        <v>SS-</v>
      </c>
      <c r="AD392" s="38" t="s">
        <v>1024</v>
      </c>
      <c r="AE392" s="40" t="s">
        <v>1323</v>
      </c>
      <c r="AF392" s="39">
        <f>データ!K392</f>
        <v>51465</v>
      </c>
      <c r="AG392" s="40" t="s">
        <v>1024</v>
      </c>
      <c r="AH392" s="40" t="s">
        <v>1324</v>
      </c>
      <c r="AI392" s="39" t="str">
        <f>データ!L392</f>
        <v>対紫の突風／煌＋</v>
      </c>
      <c r="AJ392" s="10" t="s">
        <v>1113</v>
      </c>
      <c r="AK392" s="39" t="str">
        <f>データ!M392</f>
        <v>打に強く遠に弱い縦一列攻撃[超極大]</v>
      </c>
      <c r="AL392" s="10" t="s">
        <v>1024</v>
      </c>
      <c r="AM392" s="40" t="s">
        <v>1325</v>
      </c>
      <c r="AN392" s="39" t="str">
        <f>データ!N392</f>
        <v>-</v>
      </c>
      <c r="AO392" s="10" t="s">
        <v>1113</v>
      </c>
      <c r="AP392" s="39" t="str">
        <f>データ!O392</f>
        <v>　</v>
      </c>
      <c r="AQ392" s="41" t="s">
        <v>1024</v>
      </c>
      <c r="AR392" s="40" t="s">
        <v>1324</v>
      </c>
      <c r="AS392" s="39" t="str">
        <f>データ!P392</f>
        <v>アサルトオーダー／真</v>
      </c>
      <c r="AT392" s="10" t="s">
        <v>1113</v>
      </c>
      <c r="AU392" s="39" t="str">
        <f>データ!Q392</f>
        <v>騎士団全体の攻撃力が中UP(3分間)</v>
      </c>
      <c r="AV392" s="10" t="s">
        <v>1024</v>
      </c>
      <c r="AW392" s="40" t="s">
        <v>1324</v>
      </c>
      <c r="AX392" s="39" t="str">
        <f>データ!R392</f>
        <v>-</v>
      </c>
      <c r="AY392" s="10" t="s">
        <v>1113</v>
      </c>
      <c r="AZ392" s="39" t="str">
        <f>データ!S392</f>
        <v>　</v>
      </c>
      <c r="BA392" s="41" t="s">
        <v>1024</v>
      </c>
      <c r="BB392" s="40" t="s">
        <v>1319</v>
      </c>
      <c r="BC392" s="39" t="str">
        <f>データ!T392</f>
        <v>-</v>
      </c>
      <c r="BD392" s="41" t="s">
        <v>1024</v>
      </c>
      <c r="BE392" s="40" t="s">
        <v>1320</v>
      </c>
      <c r="BF392" s="39" t="str">
        <f>データ!U392</f>
        <v>-</v>
      </c>
      <c r="BG392" s="41" t="s">
        <v>1024</v>
      </c>
      <c r="BH392" s="40" t="s">
        <v>1319</v>
      </c>
      <c r="BI392" s="39" t="str">
        <f>データ!V392</f>
        <v>精鋭化ユニット</v>
      </c>
      <c r="BJ392" s="41" t="s">
        <v>1024</v>
      </c>
      <c r="BK392" s="10" t="s">
        <v>1019</v>
      </c>
    </row>
    <row r="393" spans="1:63" x14ac:dyDescent="0.15">
      <c r="A393" s="10" t="s">
        <v>1016</v>
      </c>
      <c r="B393" s="10" t="s">
        <v>1454</v>
      </c>
      <c r="C393" s="38" t="str">
        <f>"./images/thumbnail/"&amp;データ!B393&amp;".jpg"</f>
        <v>./images/thumbnail/1676_b.jpg</v>
      </c>
      <c r="D393" s="38" t="s">
        <v>1455</v>
      </c>
      <c r="E393" s="38" t="str">
        <f>"./images/thumbnail/"&amp;データ!B393&amp;".jpg"</f>
        <v>./images/thumbnail/1676_b.jpg</v>
      </c>
      <c r="F393" s="38" t="s">
        <v>1116</v>
      </c>
      <c r="G393" s="38" t="s">
        <v>1319</v>
      </c>
      <c r="H393" s="38" t="str">
        <f>データ!C393</f>
        <v>オディロン</v>
      </c>
      <c r="I393" s="38" t="s">
        <v>1024</v>
      </c>
      <c r="J393" s="38" t="s">
        <v>1320</v>
      </c>
      <c r="K393" s="38" t="str">
        <f>データ!D393</f>
        <v>UR</v>
      </c>
      <c r="L393" s="38" t="s">
        <v>1024</v>
      </c>
      <c r="M393" s="38" t="s">
        <v>1321</v>
      </c>
      <c r="N393" s="38">
        <f>データ!E393</f>
        <v>14</v>
      </c>
      <c r="O393" s="38" t="s">
        <v>1024</v>
      </c>
      <c r="P393" s="38" t="s">
        <v>1319</v>
      </c>
      <c r="Q393" s="38" t="str">
        <f>データ!F393</f>
        <v>打</v>
      </c>
      <c r="R393" s="38" t="s">
        <v>1024</v>
      </c>
      <c r="S393" s="38" t="s">
        <v>1319</v>
      </c>
      <c r="T393" s="39">
        <f>データ!G393</f>
        <v>28892</v>
      </c>
      <c r="U393" s="40" t="s">
        <v>1024</v>
      </c>
      <c r="V393" s="40" t="s">
        <v>1319</v>
      </c>
      <c r="W393" s="39">
        <f>データ!H393</f>
        <v>8263</v>
      </c>
      <c r="X393" s="40" t="s">
        <v>1024</v>
      </c>
      <c r="Y393" s="40" t="s">
        <v>1319</v>
      </c>
      <c r="Z393" s="39">
        <f>データ!I393</f>
        <v>12420</v>
      </c>
      <c r="AA393" s="40" t="s">
        <v>1024</v>
      </c>
      <c r="AB393" s="40" t="s">
        <v>1322</v>
      </c>
      <c r="AC393" s="39" t="str">
        <f>データ!J393</f>
        <v>SS-</v>
      </c>
      <c r="AD393" s="38" t="s">
        <v>1024</v>
      </c>
      <c r="AE393" s="40" t="s">
        <v>1323</v>
      </c>
      <c r="AF393" s="39">
        <f>データ!K393</f>
        <v>49575</v>
      </c>
      <c r="AG393" s="40" t="s">
        <v>1024</v>
      </c>
      <c r="AH393" s="40" t="s">
        <v>1324</v>
      </c>
      <c r="AI393" s="39" t="str">
        <f>データ!L393</f>
        <v>対紫の突風／煌</v>
      </c>
      <c r="AJ393" s="10" t="s">
        <v>1113</v>
      </c>
      <c r="AK393" s="39" t="str">
        <f>データ!M393</f>
        <v>打に強く遠に弱い縦一列攻撃[特大]</v>
      </c>
      <c r="AL393" s="10" t="s">
        <v>1024</v>
      </c>
      <c r="AM393" s="40" t="s">
        <v>1325</v>
      </c>
      <c r="AN393" s="39" t="str">
        <f>データ!N393</f>
        <v>-</v>
      </c>
      <c r="AO393" s="10" t="s">
        <v>1113</v>
      </c>
      <c r="AP393" s="39" t="str">
        <f>データ!O393</f>
        <v>　</v>
      </c>
      <c r="AQ393" s="41" t="s">
        <v>1024</v>
      </c>
      <c r="AR393" s="40" t="s">
        <v>1324</v>
      </c>
      <c r="AS393" s="39" t="str">
        <f>データ!P393</f>
        <v>不屈の闘志</v>
      </c>
      <c r="AT393" s="10" t="s">
        <v>1113</v>
      </c>
      <c r="AU393" s="39" t="str">
        <f>データ!Q393</f>
        <v>騎士団全体の攻撃力が特大UP(3分間)</v>
      </c>
      <c r="AV393" s="10" t="s">
        <v>1024</v>
      </c>
      <c r="AW393" s="40" t="s">
        <v>1324</v>
      </c>
      <c r="AX393" s="39" t="str">
        <f>データ!R393</f>
        <v>-</v>
      </c>
      <c r="AY393" s="10" t="s">
        <v>1113</v>
      </c>
      <c r="AZ393" s="39" t="str">
        <f>データ!S393</f>
        <v>　</v>
      </c>
      <c r="BA393" s="41" t="s">
        <v>1024</v>
      </c>
      <c r="BB393" s="40" t="s">
        <v>1319</v>
      </c>
      <c r="BC393" s="39" t="str">
        <f>データ!T393</f>
        <v>-</v>
      </c>
      <c r="BD393" s="41" t="s">
        <v>1024</v>
      </c>
      <c r="BE393" s="40" t="s">
        <v>1320</v>
      </c>
      <c r="BF393" s="39" t="str">
        <f>データ!U393</f>
        <v>-</v>
      </c>
      <c r="BG393" s="41" t="s">
        <v>1024</v>
      </c>
      <c r="BH393" s="40" t="s">
        <v>1319</v>
      </c>
      <c r="BI393" s="39" t="str">
        <f>データ!V393</f>
        <v>精鋭化ユニット</v>
      </c>
      <c r="BJ393" s="41" t="s">
        <v>1024</v>
      </c>
      <c r="BK393" s="10" t="s">
        <v>1019</v>
      </c>
    </row>
    <row r="394" spans="1:63" x14ac:dyDescent="0.15">
      <c r="A394" s="10" t="s">
        <v>1016</v>
      </c>
      <c r="B394" s="10" t="s">
        <v>1454</v>
      </c>
      <c r="C394" s="38" t="str">
        <f>"./images/thumbnail/"&amp;データ!B394&amp;".jpg"</f>
        <v>./images/thumbnail/1678.jpg</v>
      </c>
      <c r="D394" s="38" t="s">
        <v>1455</v>
      </c>
      <c r="E394" s="38" t="str">
        <f>"./images/thumbnail/"&amp;データ!B394&amp;".jpg"</f>
        <v>./images/thumbnail/1678.jpg</v>
      </c>
      <c r="F394" s="38" t="s">
        <v>1116</v>
      </c>
      <c r="G394" s="38" t="s">
        <v>1319</v>
      </c>
      <c r="H394" s="38" t="str">
        <f>データ!C394</f>
        <v>ヴァルナル</v>
      </c>
      <c r="I394" s="38" t="s">
        <v>1024</v>
      </c>
      <c r="J394" s="38" t="s">
        <v>1320</v>
      </c>
      <c r="K394" s="38" t="str">
        <f>データ!D394</f>
        <v>SSR</v>
      </c>
      <c r="L394" s="38" t="s">
        <v>1024</v>
      </c>
      <c r="M394" s="38" t="s">
        <v>1321</v>
      </c>
      <c r="N394" s="38">
        <f>データ!E394</f>
        <v>13</v>
      </c>
      <c r="O394" s="38" t="s">
        <v>1024</v>
      </c>
      <c r="P394" s="38" t="s">
        <v>1319</v>
      </c>
      <c r="Q394" s="38" t="str">
        <f>データ!F394</f>
        <v>斬</v>
      </c>
      <c r="R394" s="38" t="s">
        <v>1024</v>
      </c>
      <c r="S394" s="38" t="s">
        <v>1319</v>
      </c>
      <c r="T394" s="39">
        <f>データ!G394</f>
        <v>14998</v>
      </c>
      <c r="U394" s="40" t="s">
        <v>1024</v>
      </c>
      <c r="V394" s="40" t="s">
        <v>1319</v>
      </c>
      <c r="W394" s="39">
        <f>データ!H394</f>
        <v>7295</v>
      </c>
      <c r="X394" s="40" t="s">
        <v>1024</v>
      </c>
      <c r="Y394" s="40" t="s">
        <v>1319</v>
      </c>
      <c r="Z394" s="39">
        <f>データ!I394</f>
        <v>5019</v>
      </c>
      <c r="AA394" s="40" t="s">
        <v>1024</v>
      </c>
      <c r="AB394" s="40" t="s">
        <v>1322</v>
      </c>
      <c r="AC394" s="39" t="str">
        <f>データ!J394</f>
        <v>S+</v>
      </c>
      <c r="AD394" s="38" t="s">
        <v>1024</v>
      </c>
      <c r="AE394" s="40" t="s">
        <v>1323</v>
      </c>
      <c r="AF394" s="39">
        <f>データ!K394</f>
        <v>27312</v>
      </c>
      <c r="AG394" s="40" t="s">
        <v>1024</v>
      </c>
      <c r="AH394" s="40" t="s">
        <v>1324</v>
      </c>
      <c r="AI394" s="39" t="str">
        <f>データ!L394</f>
        <v>覇道消滅／蒼突</v>
      </c>
      <c r="AJ394" s="10" t="s">
        <v>1113</v>
      </c>
      <c r="AK394" s="39" t="str">
        <f>データ!M394</f>
        <v>敵突属性の攻撃力をDOWN[大]</v>
      </c>
      <c r="AL394" s="10" t="s">
        <v>1024</v>
      </c>
      <c r="AM394" s="40" t="s">
        <v>1325</v>
      </c>
      <c r="AN394" s="39" t="str">
        <f>データ!N394</f>
        <v>-</v>
      </c>
      <c r="AO394" s="10" t="s">
        <v>1113</v>
      </c>
      <c r="AP394" s="39" t="str">
        <f>データ!O394</f>
        <v>　</v>
      </c>
      <c r="AQ394" s="41" t="s">
        <v>1024</v>
      </c>
      <c r="AR394" s="40" t="s">
        <v>1324</v>
      </c>
      <c r="AS394" s="39" t="str">
        <f>データ!P394</f>
        <v>フォートレス／真</v>
      </c>
      <c r="AT394" s="10" t="s">
        <v>1113</v>
      </c>
      <c r="AU394" s="39" t="str">
        <f>データ!Q394</f>
        <v>パーティ全体の防御力が中UP(3分間)</v>
      </c>
      <c r="AV394" s="10" t="s">
        <v>1024</v>
      </c>
      <c r="AW394" s="40" t="s">
        <v>1324</v>
      </c>
      <c r="AX394" s="39" t="str">
        <f>データ!R394</f>
        <v>-</v>
      </c>
      <c r="AY394" s="10" t="s">
        <v>1113</v>
      </c>
      <c r="AZ394" s="39" t="str">
        <f>データ!S394</f>
        <v>　</v>
      </c>
      <c r="BA394" s="41" t="s">
        <v>1024</v>
      </c>
      <c r="BB394" s="40" t="s">
        <v>1319</v>
      </c>
      <c r="BC394" s="39" t="str">
        <f>データ!T394</f>
        <v>-</v>
      </c>
      <c r="BD394" s="41" t="s">
        <v>1024</v>
      </c>
      <c r="BE394" s="40" t="s">
        <v>1320</v>
      </c>
      <c r="BF394" s="39" t="str">
        <f>データ!U394</f>
        <v>-</v>
      </c>
      <c r="BG394" s="41" t="s">
        <v>1024</v>
      </c>
      <c r="BH394" s="40" t="s">
        <v>1319</v>
      </c>
      <c r="BI394" s="39" t="str">
        <f>データ!V394</f>
        <v>メダル</v>
      </c>
      <c r="BJ394" s="41" t="s">
        <v>1024</v>
      </c>
      <c r="BK394" s="10" t="s">
        <v>1019</v>
      </c>
    </row>
    <row r="395" spans="1:63" x14ac:dyDescent="0.15">
      <c r="A395" s="10" t="s">
        <v>1016</v>
      </c>
      <c r="B395" s="10" t="s">
        <v>1454</v>
      </c>
      <c r="C395" s="38" t="str">
        <f>"./images/thumbnail/"&amp;データ!B395&amp;".jpg"</f>
        <v>./images/thumbnail/1679.jpg</v>
      </c>
      <c r="D395" s="38" t="s">
        <v>1455</v>
      </c>
      <c r="E395" s="38" t="str">
        <f>"./images/thumbnail/"&amp;データ!B395&amp;".jpg"</f>
        <v>./images/thumbnail/1679.jpg</v>
      </c>
      <c r="F395" s="38" t="s">
        <v>1116</v>
      </c>
      <c r="G395" s="38" t="s">
        <v>1319</v>
      </c>
      <c r="H395" s="38" t="str">
        <f>データ!C395</f>
        <v>エイラ</v>
      </c>
      <c r="I395" s="38" t="s">
        <v>1024</v>
      </c>
      <c r="J395" s="38" t="s">
        <v>1320</v>
      </c>
      <c r="K395" s="38" t="str">
        <f>データ!D395</f>
        <v>SSR</v>
      </c>
      <c r="L395" s="38" t="s">
        <v>1024</v>
      </c>
      <c r="M395" s="38" t="s">
        <v>1321</v>
      </c>
      <c r="N395" s="38">
        <f>データ!E395</f>
        <v>13</v>
      </c>
      <c r="O395" s="38" t="s">
        <v>1024</v>
      </c>
      <c r="P395" s="38" t="s">
        <v>1319</v>
      </c>
      <c r="Q395" s="38" t="str">
        <f>データ!F395</f>
        <v>斬</v>
      </c>
      <c r="R395" s="38" t="s">
        <v>1024</v>
      </c>
      <c r="S395" s="38" t="s">
        <v>1319</v>
      </c>
      <c r="T395" s="39">
        <f>データ!G395</f>
        <v>15717</v>
      </c>
      <c r="U395" s="40" t="s">
        <v>1024</v>
      </c>
      <c r="V395" s="40" t="s">
        <v>1319</v>
      </c>
      <c r="W395" s="39">
        <f>データ!H395</f>
        <v>7647</v>
      </c>
      <c r="X395" s="40" t="s">
        <v>1024</v>
      </c>
      <c r="Y395" s="40" t="s">
        <v>1319</v>
      </c>
      <c r="Z395" s="39">
        <f>データ!I395</f>
        <v>4788</v>
      </c>
      <c r="AA395" s="40" t="s">
        <v>1024</v>
      </c>
      <c r="AB395" s="40" t="s">
        <v>1322</v>
      </c>
      <c r="AC395" s="39" t="str">
        <f>データ!J395</f>
        <v>S+</v>
      </c>
      <c r="AD395" s="38" t="s">
        <v>1024</v>
      </c>
      <c r="AE395" s="40" t="s">
        <v>1323</v>
      </c>
      <c r="AF395" s="39">
        <f>データ!K395</f>
        <v>28152</v>
      </c>
      <c r="AG395" s="40" t="s">
        <v>1024</v>
      </c>
      <c r="AH395" s="40" t="s">
        <v>1324</v>
      </c>
      <c r="AI395" s="39" t="str">
        <f>データ!L395</f>
        <v>対蒼の突風／絶</v>
      </c>
      <c r="AJ395" s="10" t="s">
        <v>1113</v>
      </c>
      <c r="AK395" s="39" t="str">
        <f>データ!M395</f>
        <v>突に強く斬に弱い縦一列攻撃[大]</v>
      </c>
      <c r="AL395" s="10" t="s">
        <v>1024</v>
      </c>
      <c r="AM395" s="40" t="s">
        <v>1325</v>
      </c>
      <c r="AN395" s="39" t="str">
        <f>データ!N395</f>
        <v>-</v>
      </c>
      <c r="AO395" s="10" t="s">
        <v>1113</v>
      </c>
      <c r="AP395" s="39" t="str">
        <f>データ!O395</f>
        <v>　</v>
      </c>
      <c r="AQ395" s="41" t="s">
        <v>1024</v>
      </c>
      <c r="AR395" s="40" t="s">
        <v>1324</v>
      </c>
      <c r="AS395" s="39" t="str">
        <f>データ!P395</f>
        <v>エッジノート／真</v>
      </c>
      <c r="AT395" s="10" t="s">
        <v>1113</v>
      </c>
      <c r="AU395" s="39" t="str">
        <f>データ!Q395</f>
        <v>CB時に獲得ポイント中UP＆BPが中回復(3回)</v>
      </c>
      <c r="AV395" s="10" t="s">
        <v>1024</v>
      </c>
      <c r="AW395" s="40" t="s">
        <v>1324</v>
      </c>
      <c r="AX395" s="39" t="str">
        <f>データ!R395</f>
        <v>-</v>
      </c>
      <c r="AY395" s="10" t="s">
        <v>1113</v>
      </c>
      <c r="AZ395" s="39" t="str">
        <f>データ!S395</f>
        <v>　</v>
      </c>
      <c r="BA395" s="41" t="s">
        <v>1024</v>
      </c>
      <c r="BB395" s="40" t="s">
        <v>1319</v>
      </c>
      <c r="BC395" s="39" t="str">
        <f>データ!T395</f>
        <v>-</v>
      </c>
      <c r="BD395" s="41" t="s">
        <v>1024</v>
      </c>
      <c r="BE395" s="40" t="s">
        <v>1320</v>
      </c>
      <c r="BF395" s="39" t="str">
        <f>データ!U395</f>
        <v>-</v>
      </c>
      <c r="BG395" s="41" t="s">
        <v>1024</v>
      </c>
      <c r="BH395" s="40" t="s">
        <v>1319</v>
      </c>
      <c r="BI395" s="39" t="str">
        <f>データ!V395</f>
        <v>グラン</v>
      </c>
      <c r="BJ395" s="41" t="s">
        <v>1024</v>
      </c>
      <c r="BK395" s="10" t="s">
        <v>1019</v>
      </c>
    </row>
    <row r="396" spans="1:63" x14ac:dyDescent="0.15">
      <c r="A396" s="10" t="s">
        <v>1016</v>
      </c>
      <c r="B396" s="10" t="s">
        <v>1454</v>
      </c>
      <c r="C396" s="38" t="str">
        <f>"./images/thumbnail/"&amp;データ!B396&amp;".jpg"</f>
        <v>./images/thumbnail/1681.jpg</v>
      </c>
      <c r="D396" s="38" t="s">
        <v>1455</v>
      </c>
      <c r="E396" s="38" t="str">
        <f>"./images/thumbnail/"&amp;データ!B396&amp;".jpg"</f>
        <v>./images/thumbnail/1681.jpg</v>
      </c>
      <c r="F396" s="38" t="s">
        <v>1116</v>
      </c>
      <c r="G396" s="38" t="s">
        <v>1319</v>
      </c>
      <c r="H396" s="38" t="str">
        <f>データ!C396</f>
        <v>バルカス</v>
      </c>
      <c r="I396" s="38" t="s">
        <v>1024</v>
      </c>
      <c r="J396" s="38" t="s">
        <v>1320</v>
      </c>
      <c r="K396" s="38" t="str">
        <f>データ!D396</f>
        <v>SSR</v>
      </c>
      <c r="L396" s="38" t="s">
        <v>1024</v>
      </c>
      <c r="M396" s="38" t="s">
        <v>1321</v>
      </c>
      <c r="N396" s="38">
        <f>データ!E396</f>
        <v>12</v>
      </c>
      <c r="O396" s="38" t="s">
        <v>1024</v>
      </c>
      <c r="P396" s="38" t="s">
        <v>1319</v>
      </c>
      <c r="Q396" s="38" t="str">
        <f>データ!F396</f>
        <v>打</v>
      </c>
      <c r="R396" s="38" t="s">
        <v>1024</v>
      </c>
      <c r="S396" s="38" t="s">
        <v>1319</v>
      </c>
      <c r="T396" s="39">
        <f>データ!G396</f>
        <v>17758</v>
      </c>
      <c r="U396" s="40" t="s">
        <v>1024</v>
      </c>
      <c r="V396" s="40" t="s">
        <v>1319</v>
      </c>
      <c r="W396" s="39">
        <f>データ!H396</f>
        <v>5611</v>
      </c>
      <c r="X396" s="40" t="s">
        <v>1024</v>
      </c>
      <c r="Y396" s="40" t="s">
        <v>1319</v>
      </c>
      <c r="Z396" s="39">
        <f>データ!I396</f>
        <v>6507</v>
      </c>
      <c r="AA396" s="40" t="s">
        <v>1024</v>
      </c>
      <c r="AB396" s="40" t="s">
        <v>1322</v>
      </c>
      <c r="AC396" s="39" t="str">
        <f>データ!J396</f>
        <v>A-</v>
      </c>
      <c r="AD396" s="38" t="s">
        <v>1024</v>
      </c>
      <c r="AE396" s="40" t="s">
        <v>1323</v>
      </c>
      <c r="AF396" s="39">
        <f>データ!K396</f>
        <v>29876</v>
      </c>
      <c r="AG396" s="40" t="s">
        <v>1024</v>
      </c>
      <c r="AH396" s="40" t="s">
        <v>1324</v>
      </c>
      <c r="AI396" s="39" t="str">
        <f>データ!L396</f>
        <v>天幻光の交叉線／絶</v>
      </c>
      <c r="AJ396" s="10" t="s">
        <v>1113</v>
      </c>
      <c r="AK396" s="39" t="str">
        <f>データ!M396</f>
        <v>X字型攻撃[大]自分の攻撃力UP[大]</v>
      </c>
      <c r="AL396" s="10" t="s">
        <v>1024</v>
      </c>
      <c r="AM396" s="40" t="s">
        <v>1325</v>
      </c>
      <c r="AN396" s="39" t="str">
        <f>データ!N396</f>
        <v>-</v>
      </c>
      <c r="AO396" s="10" t="s">
        <v>1113</v>
      </c>
      <c r="AP396" s="39" t="str">
        <f>データ!O396</f>
        <v>　</v>
      </c>
      <c r="AQ396" s="41" t="s">
        <v>1024</v>
      </c>
      <c r="AR396" s="40" t="s">
        <v>1324</v>
      </c>
      <c r="AS396" s="39" t="str">
        <f>データ!P396</f>
        <v>ランページ／真</v>
      </c>
      <c r="AT396" s="10" t="s">
        <v>1113</v>
      </c>
      <c r="AU396" s="39" t="str">
        <f>データ!Q396</f>
        <v>バトルで獲得する騎士団戦スコアが中アップ(3分間)</v>
      </c>
      <c r="AV396" s="10" t="s">
        <v>1024</v>
      </c>
      <c r="AW396" s="40" t="s">
        <v>1324</v>
      </c>
      <c r="AX396" s="39" t="str">
        <f>データ!R396</f>
        <v>-</v>
      </c>
      <c r="AY396" s="10" t="s">
        <v>1113</v>
      </c>
      <c r="AZ396" s="39" t="str">
        <f>データ!S396</f>
        <v>　</v>
      </c>
      <c r="BA396" s="41" t="s">
        <v>1024</v>
      </c>
      <c r="BB396" s="40" t="s">
        <v>1319</v>
      </c>
      <c r="BC396" s="39" t="str">
        <f>データ!T396</f>
        <v>-</v>
      </c>
      <c r="BD396" s="41" t="s">
        <v>1024</v>
      </c>
      <c r="BE396" s="40" t="s">
        <v>1320</v>
      </c>
      <c r="BF396" s="39" t="str">
        <f>データ!U396</f>
        <v>-</v>
      </c>
      <c r="BG396" s="41" t="s">
        <v>1024</v>
      </c>
      <c r="BH396" s="40" t="s">
        <v>1319</v>
      </c>
      <c r="BI396" s="39" t="str">
        <f>データ!V396</f>
        <v>第9回統一報酬</v>
      </c>
      <c r="BJ396" s="41" t="s">
        <v>1024</v>
      </c>
      <c r="BK396" s="10" t="s">
        <v>1019</v>
      </c>
    </row>
    <row r="397" spans="1:63" x14ac:dyDescent="0.15">
      <c r="A397" s="10" t="s">
        <v>1016</v>
      </c>
      <c r="B397" s="10" t="s">
        <v>1454</v>
      </c>
      <c r="C397" s="38" t="str">
        <f>"./images/thumbnail/"&amp;データ!B397&amp;".jpg"</f>
        <v>./images/thumbnail/1682.jpg</v>
      </c>
      <c r="D397" s="38" t="s">
        <v>1455</v>
      </c>
      <c r="E397" s="38" t="str">
        <f>"./images/thumbnail/"&amp;データ!B397&amp;".jpg"</f>
        <v>./images/thumbnail/1682.jpg</v>
      </c>
      <c r="F397" s="38" t="s">
        <v>1116</v>
      </c>
      <c r="G397" s="38" t="s">
        <v>1319</v>
      </c>
      <c r="H397" s="38" t="str">
        <f>データ!C397</f>
        <v>バルカス</v>
      </c>
      <c r="I397" s="38" t="s">
        <v>1024</v>
      </c>
      <c r="J397" s="38" t="s">
        <v>1320</v>
      </c>
      <c r="K397" s="38" t="str">
        <f>データ!D397</f>
        <v>SSR</v>
      </c>
      <c r="L397" s="38" t="s">
        <v>1024</v>
      </c>
      <c r="M397" s="38" t="s">
        <v>1321</v>
      </c>
      <c r="N397" s="38">
        <f>データ!E397</f>
        <v>13</v>
      </c>
      <c r="O397" s="38" t="s">
        <v>1024</v>
      </c>
      <c r="P397" s="38" t="s">
        <v>1319</v>
      </c>
      <c r="Q397" s="38" t="str">
        <f>データ!F397</f>
        <v>打</v>
      </c>
      <c r="R397" s="38" t="s">
        <v>1024</v>
      </c>
      <c r="S397" s="38" t="s">
        <v>1319</v>
      </c>
      <c r="T397" s="39">
        <f>データ!G397</f>
        <v>19978</v>
      </c>
      <c r="U397" s="40" t="s">
        <v>1024</v>
      </c>
      <c r="V397" s="40" t="s">
        <v>1319</v>
      </c>
      <c r="W397" s="39">
        <f>データ!H397</f>
        <v>6635</v>
      </c>
      <c r="X397" s="40" t="s">
        <v>1024</v>
      </c>
      <c r="Y397" s="40" t="s">
        <v>1319</v>
      </c>
      <c r="Z397" s="39">
        <f>データ!I397</f>
        <v>7216</v>
      </c>
      <c r="AA397" s="40" t="s">
        <v>1024</v>
      </c>
      <c r="AB397" s="40" t="s">
        <v>1322</v>
      </c>
      <c r="AC397" s="39" t="str">
        <f>データ!J397</f>
        <v>A-</v>
      </c>
      <c r="AD397" s="38" t="s">
        <v>1024</v>
      </c>
      <c r="AE397" s="40" t="s">
        <v>1323</v>
      </c>
      <c r="AF397" s="39">
        <f>データ!K397</f>
        <v>33829</v>
      </c>
      <c r="AG397" s="40" t="s">
        <v>1024</v>
      </c>
      <c r="AH397" s="40" t="s">
        <v>1324</v>
      </c>
      <c r="AI397" s="39" t="str">
        <f>データ!L397</f>
        <v>天幻光の交叉線／絶</v>
      </c>
      <c r="AJ397" s="10" t="s">
        <v>1113</v>
      </c>
      <c r="AK397" s="39" t="str">
        <f>データ!M397</f>
        <v>X字型攻撃[大]自分の攻撃力UP[大]</v>
      </c>
      <c r="AL397" s="10" t="s">
        <v>1024</v>
      </c>
      <c r="AM397" s="40" t="s">
        <v>1325</v>
      </c>
      <c r="AN397" s="39" t="str">
        <f>データ!N397</f>
        <v>-</v>
      </c>
      <c r="AO397" s="10" t="s">
        <v>1113</v>
      </c>
      <c r="AP397" s="39" t="str">
        <f>データ!O397</f>
        <v>　</v>
      </c>
      <c r="AQ397" s="41" t="s">
        <v>1024</v>
      </c>
      <c r="AR397" s="40" t="s">
        <v>1324</v>
      </c>
      <c r="AS397" s="39" t="str">
        <f>データ!P397</f>
        <v>ランページ／真</v>
      </c>
      <c r="AT397" s="10" t="s">
        <v>1113</v>
      </c>
      <c r="AU397" s="39" t="str">
        <f>データ!Q397</f>
        <v>バトルで獲得する騎士団戦スコアが中アップ(3分間)</v>
      </c>
      <c r="AV397" s="10" t="s">
        <v>1024</v>
      </c>
      <c r="AW397" s="40" t="s">
        <v>1324</v>
      </c>
      <c r="AX397" s="39" t="str">
        <f>データ!R397</f>
        <v>-</v>
      </c>
      <c r="AY397" s="10" t="s">
        <v>1113</v>
      </c>
      <c r="AZ397" s="39" t="str">
        <f>データ!S397</f>
        <v>　</v>
      </c>
      <c r="BA397" s="41" t="s">
        <v>1024</v>
      </c>
      <c r="BB397" s="40" t="s">
        <v>1319</v>
      </c>
      <c r="BC397" s="39" t="str">
        <f>データ!T397</f>
        <v>-</v>
      </c>
      <c r="BD397" s="41" t="s">
        <v>1024</v>
      </c>
      <c r="BE397" s="40" t="s">
        <v>1320</v>
      </c>
      <c r="BF397" s="39" t="str">
        <f>データ!U397</f>
        <v>-</v>
      </c>
      <c r="BG397" s="41" t="s">
        <v>1024</v>
      </c>
      <c r="BH397" s="40" t="s">
        <v>1319</v>
      </c>
      <c r="BI397" s="39" t="str">
        <f>データ!V397</f>
        <v>第9回統一報酬</v>
      </c>
      <c r="BJ397" s="41" t="s">
        <v>1024</v>
      </c>
      <c r="BK397" s="10" t="s">
        <v>1019</v>
      </c>
    </row>
    <row r="398" spans="1:63" x14ac:dyDescent="0.15">
      <c r="A398" s="10" t="s">
        <v>1016</v>
      </c>
      <c r="B398" s="10" t="s">
        <v>1454</v>
      </c>
      <c r="C398" s="38" t="str">
        <f>"./images/thumbnail/"&amp;データ!B398&amp;".jpg"</f>
        <v>./images/thumbnail/1683.jpg</v>
      </c>
      <c r="D398" s="38" t="s">
        <v>1455</v>
      </c>
      <c r="E398" s="38" t="str">
        <f>"./images/thumbnail/"&amp;データ!B398&amp;".jpg"</f>
        <v>./images/thumbnail/1683.jpg</v>
      </c>
      <c r="F398" s="38" t="s">
        <v>1116</v>
      </c>
      <c r="G398" s="38" t="s">
        <v>1319</v>
      </c>
      <c r="H398" s="38" t="str">
        <f>データ!C398</f>
        <v>バルカス</v>
      </c>
      <c r="I398" s="38" t="s">
        <v>1024</v>
      </c>
      <c r="J398" s="38" t="s">
        <v>1320</v>
      </c>
      <c r="K398" s="38" t="str">
        <f>データ!D398</f>
        <v>UR</v>
      </c>
      <c r="L398" s="38" t="s">
        <v>1024</v>
      </c>
      <c r="M398" s="38" t="s">
        <v>1321</v>
      </c>
      <c r="N398" s="38">
        <f>データ!E398</f>
        <v>14</v>
      </c>
      <c r="O398" s="38" t="s">
        <v>1024</v>
      </c>
      <c r="P398" s="38" t="s">
        <v>1319</v>
      </c>
      <c r="Q398" s="38" t="str">
        <f>データ!F398</f>
        <v>打</v>
      </c>
      <c r="R398" s="38" t="s">
        <v>1024</v>
      </c>
      <c r="S398" s="38" t="s">
        <v>1319</v>
      </c>
      <c r="T398" s="39">
        <f>データ!G398</f>
        <v>22055</v>
      </c>
      <c r="U398" s="40" t="s">
        <v>1024</v>
      </c>
      <c r="V398" s="40" t="s">
        <v>1319</v>
      </c>
      <c r="W398" s="39">
        <f>データ!H398</f>
        <v>7428</v>
      </c>
      <c r="X398" s="40" t="s">
        <v>1024</v>
      </c>
      <c r="Y398" s="40" t="s">
        <v>1319</v>
      </c>
      <c r="Z398" s="39">
        <f>データ!I398</f>
        <v>8004</v>
      </c>
      <c r="AA398" s="40" t="s">
        <v>1024</v>
      </c>
      <c r="AB398" s="40" t="s">
        <v>1322</v>
      </c>
      <c r="AC398" s="39" t="str">
        <f>データ!J398</f>
        <v>A+</v>
      </c>
      <c r="AD398" s="38" t="s">
        <v>1024</v>
      </c>
      <c r="AE398" s="40" t="s">
        <v>1323</v>
      </c>
      <c r="AF398" s="39">
        <f>データ!K398</f>
        <v>37487</v>
      </c>
      <c r="AG398" s="40" t="s">
        <v>1024</v>
      </c>
      <c r="AH398" s="40" t="s">
        <v>1324</v>
      </c>
      <c r="AI398" s="39" t="str">
        <f>データ!L398</f>
        <v>天幻光の交叉線／煌</v>
      </c>
      <c r="AJ398" s="10" t="s">
        <v>1113</v>
      </c>
      <c r="AK398" s="39" t="str">
        <f>データ!M398</f>
        <v>X字型攻撃[特大]自分の攻撃力UP[特大]</v>
      </c>
      <c r="AL398" s="10" t="s">
        <v>1024</v>
      </c>
      <c r="AM398" s="40" t="s">
        <v>1325</v>
      </c>
      <c r="AN398" s="39" t="str">
        <f>データ!N398</f>
        <v>-</v>
      </c>
      <c r="AO398" s="10" t="s">
        <v>1113</v>
      </c>
      <c r="AP398" s="39" t="str">
        <f>データ!O398</f>
        <v>　</v>
      </c>
      <c r="AQ398" s="41" t="s">
        <v>1024</v>
      </c>
      <c r="AR398" s="40" t="s">
        <v>1324</v>
      </c>
      <c r="AS398" s="39" t="str">
        <f>データ!P398</f>
        <v>ランページ／絶</v>
      </c>
      <c r="AT398" s="10" t="s">
        <v>1113</v>
      </c>
      <c r="AU398" s="39" t="str">
        <f>データ!Q398</f>
        <v>バトルで獲得する騎士団戦スコアが大アップ(3分間)</v>
      </c>
      <c r="AV398" s="10" t="s">
        <v>1024</v>
      </c>
      <c r="AW398" s="40" t="s">
        <v>1324</v>
      </c>
      <c r="AX398" s="39" t="str">
        <f>データ!R398</f>
        <v>-</v>
      </c>
      <c r="AY398" s="10" t="s">
        <v>1113</v>
      </c>
      <c r="AZ398" s="39" t="str">
        <f>データ!S398</f>
        <v>　</v>
      </c>
      <c r="BA398" s="41" t="s">
        <v>1024</v>
      </c>
      <c r="BB398" s="40" t="s">
        <v>1319</v>
      </c>
      <c r="BC398" s="39" t="str">
        <f>データ!T398</f>
        <v>-</v>
      </c>
      <c r="BD398" s="41" t="s">
        <v>1024</v>
      </c>
      <c r="BE398" s="40" t="s">
        <v>1320</v>
      </c>
      <c r="BF398" s="39" t="str">
        <f>データ!U398</f>
        <v>-</v>
      </c>
      <c r="BG398" s="41" t="s">
        <v>1024</v>
      </c>
      <c r="BH398" s="40" t="s">
        <v>1319</v>
      </c>
      <c r="BI398" s="39" t="str">
        <f>データ!V398</f>
        <v>第9回統一報酬</v>
      </c>
      <c r="BJ398" s="41" t="s">
        <v>1024</v>
      </c>
      <c r="BK398" s="10" t="s">
        <v>1019</v>
      </c>
    </row>
    <row r="399" spans="1:63" x14ac:dyDescent="0.15">
      <c r="A399" s="10" t="s">
        <v>1016</v>
      </c>
      <c r="B399" s="10" t="s">
        <v>1454</v>
      </c>
      <c r="C399" s="38" t="str">
        <f>"./images/thumbnail/"&amp;データ!B399&amp;".jpg"</f>
        <v>./images/thumbnail/1684.jpg</v>
      </c>
      <c r="D399" s="38" t="s">
        <v>1455</v>
      </c>
      <c r="E399" s="38" t="str">
        <f>"./images/thumbnail/"&amp;データ!B399&amp;".jpg"</f>
        <v>./images/thumbnail/1684.jpg</v>
      </c>
      <c r="F399" s="38" t="s">
        <v>1116</v>
      </c>
      <c r="G399" s="38" t="s">
        <v>1319</v>
      </c>
      <c r="H399" s="38" t="str">
        <f>データ!C399</f>
        <v>ヴェール</v>
      </c>
      <c r="I399" s="38" t="s">
        <v>1024</v>
      </c>
      <c r="J399" s="38" t="s">
        <v>1320</v>
      </c>
      <c r="K399" s="38" t="str">
        <f>データ!D399</f>
        <v>SSR</v>
      </c>
      <c r="L399" s="38" t="s">
        <v>1024</v>
      </c>
      <c r="M399" s="38" t="s">
        <v>1321</v>
      </c>
      <c r="N399" s="38">
        <f>データ!E399</f>
        <v>13</v>
      </c>
      <c r="O399" s="38" t="s">
        <v>1024</v>
      </c>
      <c r="P399" s="38" t="s">
        <v>1319</v>
      </c>
      <c r="Q399" s="38" t="str">
        <f>データ!F399</f>
        <v>突</v>
      </c>
      <c r="R399" s="38" t="s">
        <v>1024</v>
      </c>
      <c r="S399" s="38" t="s">
        <v>1319</v>
      </c>
      <c r="T399" s="39">
        <f>データ!G399</f>
        <v>19061</v>
      </c>
      <c r="U399" s="40" t="s">
        <v>1024</v>
      </c>
      <c r="V399" s="40" t="s">
        <v>1319</v>
      </c>
      <c r="W399" s="39">
        <f>データ!H399</f>
        <v>5673</v>
      </c>
      <c r="X399" s="40" t="s">
        <v>1024</v>
      </c>
      <c r="Y399" s="40" t="s">
        <v>1319</v>
      </c>
      <c r="Z399" s="39">
        <f>データ!I399</f>
        <v>5392</v>
      </c>
      <c r="AA399" s="40" t="s">
        <v>1024</v>
      </c>
      <c r="AB399" s="40" t="s">
        <v>1322</v>
      </c>
      <c r="AC399" s="39" t="str">
        <f>データ!J399</f>
        <v>SS-</v>
      </c>
      <c r="AD399" s="38" t="s">
        <v>1024</v>
      </c>
      <c r="AE399" s="40" t="s">
        <v>1323</v>
      </c>
      <c r="AF399" s="39">
        <f>データ!K399</f>
        <v>30126</v>
      </c>
      <c r="AG399" s="40" t="s">
        <v>1024</v>
      </c>
      <c r="AH399" s="40" t="s">
        <v>1324</v>
      </c>
      <c r="AI399" s="39" t="str">
        <f>データ!L399</f>
        <v>魔幻の閃光／絶</v>
      </c>
      <c r="AJ399" s="10" t="s">
        <v>1113</v>
      </c>
      <c r="AK399" s="39" t="str">
        <f>データ!M399</f>
        <v>縦一列に攻撃[大]</v>
      </c>
      <c r="AL399" s="10" t="s">
        <v>1024</v>
      </c>
      <c r="AM399" s="40" t="s">
        <v>1325</v>
      </c>
      <c r="AN399" s="39" t="str">
        <f>データ!N399</f>
        <v>-</v>
      </c>
      <c r="AO399" s="10" t="s">
        <v>1113</v>
      </c>
      <c r="AP399" s="39" t="str">
        <f>データ!O399</f>
        <v>　</v>
      </c>
      <c r="AQ399" s="41" t="s">
        <v>1024</v>
      </c>
      <c r="AR399" s="40" t="s">
        <v>1324</v>
      </c>
      <c r="AS399" s="39" t="str">
        <f>データ!P399</f>
        <v>フォートレスオーダー</v>
      </c>
      <c r="AT399" s="10" t="s">
        <v>1113</v>
      </c>
      <c r="AU399" s="39" t="str">
        <f>データ!Q399</f>
        <v>騎士団全体の防御力が小UP(3分間)</v>
      </c>
      <c r="AV399" s="10" t="s">
        <v>1024</v>
      </c>
      <c r="AW399" s="40" t="s">
        <v>1324</v>
      </c>
      <c r="AX399" s="39" t="str">
        <f>データ!R399</f>
        <v>-</v>
      </c>
      <c r="AY399" s="10" t="s">
        <v>1113</v>
      </c>
      <c r="AZ399" s="39" t="str">
        <f>データ!S399</f>
        <v>　</v>
      </c>
      <c r="BA399" s="41" t="s">
        <v>1024</v>
      </c>
      <c r="BB399" s="40" t="s">
        <v>1319</v>
      </c>
      <c r="BC399" s="39" t="str">
        <f>データ!T399</f>
        <v>-</v>
      </c>
      <c r="BD399" s="41" t="s">
        <v>1024</v>
      </c>
      <c r="BE399" s="40" t="s">
        <v>1320</v>
      </c>
      <c r="BF399" s="39" t="str">
        <f>データ!U399</f>
        <v>-</v>
      </c>
      <c r="BG399" s="41" t="s">
        <v>1024</v>
      </c>
      <c r="BH399" s="40" t="s">
        <v>1319</v>
      </c>
      <c r="BI399" s="39" t="str">
        <f>データ!V399</f>
        <v>誓いイベ</v>
      </c>
      <c r="BJ399" s="41" t="s">
        <v>1024</v>
      </c>
      <c r="BK399" s="10" t="s">
        <v>1019</v>
      </c>
    </row>
    <row r="400" spans="1:63" x14ac:dyDescent="0.15">
      <c r="A400" s="10" t="s">
        <v>1016</v>
      </c>
      <c r="B400" s="10" t="s">
        <v>1454</v>
      </c>
      <c r="C400" s="38" t="str">
        <f>"./images/thumbnail/"&amp;データ!B400&amp;".jpg"</f>
        <v>./images/thumbnail/1685.jpg</v>
      </c>
      <c r="D400" s="38" t="s">
        <v>1455</v>
      </c>
      <c r="E400" s="38" t="str">
        <f>"./images/thumbnail/"&amp;データ!B400&amp;".jpg"</f>
        <v>./images/thumbnail/1685.jpg</v>
      </c>
      <c r="F400" s="38" t="s">
        <v>1116</v>
      </c>
      <c r="G400" s="38" t="s">
        <v>1319</v>
      </c>
      <c r="H400" s="38" t="str">
        <f>データ!C400</f>
        <v>ノエル</v>
      </c>
      <c r="I400" s="38" t="s">
        <v>1024</v>
      </c>
      <c r="J400" s="38" t="s">
        <v>1320</v>
      </c>
      <c r="K400" s="38" t="str">
        <f>データ!D400</f>
        <v>UR</v>
      </c>
      <c r="L400" s="38" t="s">
        <v>1024</v>
      </c>
      <c r="M400" s="38" t="s">
        <v>1321</v>
      </c>
      <c r="N400" s="38">
        <f>データ!E400</f>
        <v>14</v>
      </c>
      <c r="O400" s="38" t="s">
        <v>1024</v>
      </c>
      <c r="P400" s="38" t="s">
        <v>1319</v>
      </c>
      <c r="Q400" s="38" t="str">
        <f>データ!F400</f>
        <v>斬</v>
      </c>
      <c r="R400" s="38" t="s">
        <v>1024</v>
      </c>
      <c r="S400" s="38" t="s">
        <v>1319</v>
      </c>
      <c r="T400" s="39">
        <f>データ!G400</f>
        <v>18958</v>
      </c>
      <c r="U400" s="40" t="s">
        <v>1024</v>
      </c>
      <c r="V400" s="40" t="s">
        <v>1319</v>
      </c>
      <c r="W400" s="39">
        <f>データ!H400</f>
        <v>7588</v>
      </c>
      <c r="X400" s="40" t="s">
        <v>1024</v>
      </c>
      <c r="Y400" s="40" t="s">
        <v>1319</v>
      </c>
      <c r="Z400" s="39">
        <f>データ!I400</f>
        <v>6314</v>
      </c>
      <c r="AA400" s="40" t="s">
        <v>1024</v>
      </c>
      <c r="AB400" s="40" t="s">
        <v>1322</v>
      </c>
      <c r="AC400" s="39" t="str">
        <f>データ!J400</f>
        <v>S</v>
      </c>
      <c r="AD400" s="38" t="s">
        <v>1024</v>
      </c>
      <c r="AE400" s="40" t="s">
        <v>1323</v>
      </c>
      <c r="AF400" s="39">
        <f>データ!K400</f>
        <v>32860</v>
      </c>
      <c r="AG400" s="40" t="s">
        <v>1024</v>
      </c>
      <c r="AH400" s="40" t="s">
        <v>1324</v>
      </c>
      <c r="AI400" s="39" t="str">
        <f>データ!L400</f>
        <v>天焔幻の一閃／煌</v>
      </c>
      <c r="AJ400" s="10" t="s">
        <v>1113</v>
      </c>
      <c r="AK400" s="39" t="str">
        <f>データ!M400</f>
        <v>横一列攻撃[特大]自分の攻撃力UP[特大]</v>
      </c>
      <c r="AL400" s="10" t="s">
        <v>1024</v>
      </c>
      <c r="AM400" s="40" t="s">
        <v>1325</v>
      </c>
      <c r="AN400" s="39" t="str">
        <f>データ!N400</f>
        <v>-</v>
      </c>
      <c r="AO400" s="10" t="s">
        <v>1113</v>
      </c>
      <c r="AP400" s="39" t="str">
        <f>データ!O400</f>
        <v>　</v>
      </c>
      <c r="AQ400" s="41" t="s">
        <v>1024</v>
      </c>
      <c r="AR400" s="40" t="s">
        <v>1324</v>
      </c>
      <c r="AS400" s="39" t="str">
        <f>データ!P400</f>
        <v>メナス／真</v>
      </c>
      <c r="AT400" s="10" t="s">
        <v>1113</v>
      </c>
      <c r="AU400" s="39" t="str">
        <f>データ!Q400</f>
        <v>対戦騎士団全体の防御力が中DOWN(3分間)</v>
      </c>
      <c r="AV400" s="10" t="s">
        <v>1024</v>
      </c>
      <c r="AW400" s="40" t="s">
        <v>1324</v>
      </c>
      <c r="AX400" s="39" t="str">
        <f>データ!R400</f>
        <v>-</v>
      </c>
      <c r="AY400" s="10" t="s">
        <v>1113</v>
      </c>
      <c r="AZ400" s="39" t="str">
        <f>データ!S400</f>
        <v>　</v>
      </c>
      <c r="BA400" s="41" t="s">
        <v>1024</v>
      </c>
      <c r="BB400" s="40" t="s">
        <v>1319</v>
      </c>
      <c r="BC400" s="39" t="str">
        <f>データ!T400</f>
        <v>-</v>
      </c>
      <c r="BD400" s="41" t="s">
        <v>1024</v>
      </c>
      <c r="BE400" s="40" t="s">
        <v>1320</v>
      </c>
      <c r="BF400" s="39" t="str">
        <f>データ!U400</f>
        <v>-</v>
      </c>
      <c r="BG400" s="41" t="s">
        <v>1024</v>
      </c>
      <c r="BH400" s="40" t="s">
        <v>1319</v>
      </c>
      <c r="BI400" s="39" t="str">
        <f>データ!V400</f>
        <v>ポーカー</v>
      </c>
      <c r="BJ400" s="41" t="s">
        <v>1024</v>
      </c>
      <c r="BK400" s="10" t="s">
        <v>1019</v>
      </c>
    </row>
    <row r="401" spans="1:63" x14ac:dyDescent="0.15">
      <c r="A401" s="10" t="s">
        <v>1016</v>
      </c>
      <c r="B401" s="10" t="s">
        <v>1454</v>
      </c>
      <c r="C401" s="38" t="str">
        <f>"./images/thumbnail/"&amp;データ!B401&amp;".jpg"</f>
        <v>./images/thumbnail/1686.jpg</v>
      </c>
      <c r="D401" s="38" t="s">
        <v>1455</v>
      </c>
      <c r="E401" s="38" t="str">
        <f>"./images/thumbnail/"&amp;データ!B401&amp;".jpg"</f>
        <v>./images/thumbnail/1686.jpg</v>
      </c>
      <c r="F401" s="38" t="s">
        <v>1116</v>
      </c>
      <c r="G401" s="38" t="s">
        <v>1319</v>
      </c>
      <c r="H401" s="38" t="str">
        <f>データ!C401</f>
        <v>カノン</v>
      </c>
      <c r="I401" s="38" t="s">
        <v>1024</v>
      </c>
      <c r="J401" s="38" t="s">
        <v>1320</v>
      </c>
      <c r="K401" s="38" t="str">
        <f>データ!D401</f>
        <v>UR</v>
      </c>
      <c r="L401" s="38" t="s">
        <v>1024</v>
      </c>
      <c r="M401" s="38" t="s">
        <v>1321</v>
      </c>
      <c r="N401" s="38">
        <f>データ!E401</f>
        <v>14</v>
      </c>
      <c r="O401" s="38" t="s">
        <v>1024</v>
      </c>
      <c r="P401" s="38" t="s">
        <v>1319</v>
      </c>
      <c r="Q401" s="38" t="str">
        <f>データ!F401</f>
        <v>打</v>
      </c>
      <c r="R401" s="38" t="s">
        <v>1024</v>
      </c>
      <c r="S401" s="38" t="s">
        <v>1319</v>
      </c>
      <c r="T401" s="39">
        <f>データ!G401</f>
        <v>26139</v>
      </c>
      <c r="U401" s="40" t="s">
        <v>1024</v>
      </c>
      <c r="V401" s="40" t="s">
        <v>1319</v>
      </c>
      <c r="W401" s="39">
        <f>データ!H401</f>
        <v>6335</v>
      </c>
      <c r="X401" s="40" t="s">
        <v>1024</v>
      </c>
      <c r="Y401" s="40" t="s">
        <v>1319</v>
      </c>
      <c r="Z401" s="39">
        <f>データ!I401</f>
        <v>7961</v>
      </c>
      <c r="AA401" s="40" t="s">
        <v>1024</v>
      </c>
      <c r="AB401" s="40" t="s">
        <v>1322</v>
      </c>
      <c r="AC401" s="39" t="str">
        <f>データ!J401</f>
        <v>A+</v>
      </c>
      <c r="AD401" s="38" t="s">
        <v>1024</v>
      </c>
      <c r="AE401" s="40" t="s">
        <v>1323</v>
      </c>
      <c r="AF401" s="39">
        <f>データ!K401</f>
        <v>40435</v>
      </c>
      <c r="AG401" s="40" t="s">
        <v>1024</v>
      </c>
      <c r="AH401" s="40" t="s">
        <v>1324</v>
      </c>
      <c r="AI401" s="39" t="str">
        <f>データ!L401</f>
        <v>地幻光の交叉線／煌</v>
      </c>
      <c r="AJ401" s="10" t="s">
        <v>1113</v>
      </c>
      <c r="AK401" s="39" t="str">
        <f>データ!M401</f>
        <v>X字型攻撃[特大]自分の防御力UP[特大]</v>
      </c>
      <c r="AL401" s="10" t="s">
        <v>1024</v>
      </c>
      <c r="AM401" s="40" t="s">
        <v>1325</v>
      </c>
      <c r="AN401" s="39" t="str">
        <f>データ!N401</f>
        <v>-</v>
      </c>
      <c r="AO401" s="10" t="s">
        <v>1113</v>
      </c>
      <c r="AP401" s="39" t="str">
        <f>データ!O401</f>
        <v>　</v>
      </c>
      <c r="AQ401" s="41" t="s">
        <v>1024</v>
      </c>
      <c r="AR401" s="40" t="s">
        <v>1324</v>
      </c>
      <c r="AS401" s="39" t="str">
        <f>データ!P401</f>
        <v>フォートレスオーダー／真</v>
      </c>
      <c r="AT401" s="10" t="s">
        <v>1113</v>
      </c>
      <c r="AU401" s="39" t="str">
        <f>データ!Q401</f>
        <v>騎士団全体の防御力が中UP(3分間)</v>
      </c>
      <c r="AV401" s="10" t="s">
        <v>1024</v>
      </c>
      <c r="AW401" s="40" t="s">
        <v>1324</v>
      </c>
      <c r="AX401" s="39" t="str">
        <f>データ!R401</f>
        <v>-</v>
      </c>
      <c r="AY401" s="10" t="s">
        <v>1113</v>
      </c>
      <c r="AZ401" s="39" t="str">
        <f>データ!S401</f>
        <v>　</v>
      </c>
      <c r="BA401" s="41" t="s">
        <v>1024</v>
      </c>
      <c r="BB401" s="40" t="s">
        <v>1319</v>
      </c>
      <c r="BC401" s="39" t="str">
        <f>データ!T401</f>
        <v>-</v>
      </c>
      <c r="BD401" s="41" t="s">
        <v>1024</v>
      </c>
      <c r="BE401" s="40" t="s">
        <v>1320</v>
      </c>
      <c r="BF401" s="39" t="str">
        <f>データ!U401</f>
        <v>-</v>
      </c>
      <c r="BG401" s="41" t="s">
        <v>1024</v>
      </c>
      <c r="BH401" s="40" t="s">
        <v>1319</v>
      </c>
      <c r="BI401" s="39" t="str">
        <f>データ!V401</f>
        <v>ポーカー</v>
      </c>
      <c r="BJ401" s="41" t="s">
        <v>1024</v>
      </c>
      <c r="BK401" s="10" t="s">
        <v>1019</v>
      </c>
    </row>
    <row r="402" spans="1:63" x14ac:dyDescent="0.15">
      <c r="A402" s="10" t="s">
        <v>1016</v>
      </c>
      <c r="B402" s="10" t="s">
        <v>1454</v>
      </c>
      <c r="C402" s="38" t="str">
        <f>"./images/thumbnail/"&amp;データ!B402&amp;".jpg"</f>
        <v>./images/thumbnail/1688.jpg</v>
      </c>
      <c r="D402" s="38" t="s">
        <v>1455</v>
      </c>
      <c r="E402" s="38" t="str">
        <f>"./images/thumbnail/"&amp;データ!B402&amp;".jpg"</f>
        <v>./images/thumbnail/1688.jpg</v>
      </c>
      <c r="F402" s="38" t="s">
        <v>1116</v>
      </c>
      <c r="G402" s="38" t="s">
        <v>1319</v>
      </c>
      <c r="H402" s="38" t="str">
        <f>データ!C402</f>
        <v>ケルヴィン</v>
      </c>
      <c r="I402" s="38" t="s">
        <v>1024</v>
      </c>
      <c r="J402" s="38" t="s">
        <v>1320</v>
      </c>
      <c r="K402" s="38" t="str">
        <f>データ!D402</f>
        <v>UR</v>
      </c>
      <c r="L402" s="38" t="s">
        <v>1024</v>
      </c>
      <c r="M402" s="38" t="s">
        <v>1321</v>
      </c>
      <c r="N402" s="38">
        <f>データ!E402</f>
        <v>14</v>
      </c>
      <c r="O402" s="38" t="s">
        <v>1024</v>
      </c>
      <c r="P402" s="38" t="s">
        <v>1319</v>
      </c>
      <c r="Q402" s="38" t="str">
        <f>データ!F402</f>
        <v>斬</v>
      </c>
      <c r="R402" s="38" t="s">
        <v>1024</v>
      </c>
      <c r="S402" s="38" t="s">
        <v>1319</v>
      </c>
      <c r="T402" s="39">
        <f>データ!G402</f>
        <v>17241</v>
      </c>
      <c r="U402" s="40" t="s">
        <v>1024</v>
      </c>
      <c r="V402" s="40" t="s">
        <v>1319</v>
      </c>
      <c r="W402" s="39">
        <f>データ!H402</f>
        <v>7922</v>
      </c>
      <c r="X402" s="40" t="s">
        <v>1024</v>
      </c>
      <c r="Y402" s="40" t="s">
        <v>1319</v>
      </c>
      <c r="Z402" s="39">
        <f>データ!I402</f>
        <v>6328</v>
      </c>
      <c r="AA402" s="40" t="s">
        <v>1024</v>
      </c>
      <c r="AB402" s="40" t="s">
        <v>1322</v>
      </c>
      <c r="AC402" s="39" t="str">
        <f>データ!J402</f>
        <v>S</v>
      </c>
      <c r="AD402" s="38" t="s">
        <v>1024</v>
      </c>
      <c r="AE402" s="40" t="s">
        <v>1323</v>
      </c>
      <c r="AF402" s="39">
        <f>データ!K402</f>
        <v>31491</v>
      </c>
      <c r="AG402" s="40" t="s">
        <v>1024</v>
      </c>
      <c r="AH402" s="40" t="s">
        <v>1324</v>
      </c>
      <c r="AI402" s="39" t="str">
        <f>データ!L402</f>
        <v>幻氷の縦十字／煌</v>
      </c>
      <c r="AJ402" s="10" t="s">
        <v>1113</v>
      </c>
      <c r="AK402" s="39" t="str">
        <f>データ!M402</f>
        <v>十字型に攻撃[特大]</v>
      </c>
      <c r="AL402" s="10" t="s">
        <v>1024</v>
      </c>
      <c r="AM402" s="40" t="s">
        <v>1325</v>
      </c>
      <c r="AN402" s="39" t="str">
        <f>データ!N402</f>
        <v>-</v>
      </c>
      <c r="AO402" s="10" t="s">
        <v>1113</v>
      </c>
      <c r="AP402" s="39" t="str">
        <f>データ!O402</f>
        <v>　</v>
      </c>
      <c r="AQ402" s="41" t="s">
        <v>1024</v>
      </c>
      <c r="AR402" s="40" t="s">
        <v>1324</v>
      </c>
      <c r="AS402" s="39" t="str">
        <f>データ!P402</f>
        <v>キャッスルヴェール／真</v>
      </c>
      <c r="AT402" s="10" t="s">
        <v>1113</v>
      </c>
      <c r="AU402" s="39" t="str">
        <f>データ!Q402</f>
        <v>城の強度Lvが中UP(3分間)</v>
      </c>
      <c r="AV402" s="10" t="s">
        <v>1024</v>
      </c>
      <c r="AW402" s="40" t="s">
        <v>1324</v>
      </c>
      <c r="AX402" s="39" t="str">
        <f>データ!R402</f>
        <v>-</v>
      </c>
      <c r="AY402" s="10" t="s">
        <v>1113</v>
      </c>
      <c r="AZ402" s="39" t="str">
        <f>データ!S402</f>
        <v>　</v>
      </c>
      <c r="BA402" s="41" t="s">
        <v>1024</v>
      </c>
      <c r="BB402" s="40" t="s">
        <v>1319</v>
      </c>
      <c r="BC402" s="39" t="str">
        <f>データ!T402</f>
        <v>-</v>
      </c>
      <c r="BD402" s="41" t="s">
        <v>1024</v>
      </c>
      <c r="BE402" s="40" t="s">
        <v>1320</v>
      </c>
      <c r="BF402" s="39" t="str">
        <f>データ!U402</f>
        <v>-</v>
      </c>
      <c r="BG402" s="41" t="s">
        <v>1024</v>
      </c>
      <c r="BH402" s="40" t="s">
        <v>1319</v>
      </c>
      <c r="BI402" s="39" t="str">
        <f>データ!V402</f>
        <v>常設</v>
      </c>
      <c r="BJ402" s="41" t="s">
        <v>1024</v>
      </c>
      <c r="BK402" s="10" t="s">
        <v>1019</v>
      </c>
    </row>
    <row r="403" spans="1:63" x14ac:dyDescent="0.15">
      <c r="A403" s="10" t="s">
        <v>1016</v>
      </c>
      <c r="B403" s="10" t="s">
        <v>1454</v>
      </c>
      <c r="C403" s="38" t="str">
        <f>"./images/thumbnail/"&amp;データ!B403&amp;".jpg"</f>
        <v>./images/thumbnail/1690.jpg</v>
      </c>
      <c r="D403" s="38" t="s">
        <v>1455</v>
      </c>
      <c r="E403" s="38" t="str">
        <f>"./images/thumbnail/"&amp;データ!B403&amp;".jpg"</f>
        <v>./images/thumbnail/1690.jpg</v>
      </c>
      <c r="F403" s="38" t="s">
        <v>1116</v>
      </c>
      <c r="G403" s="38" t="s">
        <v>1319</v>
      </c>
      <c r="H403" s="38" t="str">
        <f>データ!C403</f>
        <v>カルディナ</v>
      </c>
      <c r="I403" s="38" t="s">
        <v>1024</v>
      </c>
      <c r="J403" s="38" t="s">
        <v>1320</v>
      </c>
      <c r="K403" s="38" t="str">
        <f>データ!D403</f>
        <v>UR</v>
      </c>
      <c r="L403" s="38" t="s">
        <v>1024</v>
      </c>
      <c r="M403" s="38" t="s">
        <v>1321</v>
      </c>
      <c r="N403" s="38">
        <f>データ!E403</f>
        <v>14</v>
      </c>
      <c r="O403" s="38" t="s">
        <v>1024</v>
      </c>
      <c r="P403" s="38" t="s">
        <v>1319</v>
      </c>
      <c r="Q403" s="38" t="str">
        <f>データ!F403</f>
        <v>突</v>
      </c>
      <c r="R403" s="38" t="s">
        <v>1024</v>
      </c>
      <c r="S403" s="38" t="s">
        <v>1319</v>
      </c>
      <c r="T403" s="39">
        <f>データ!G403</f>
        <v>20385</v>
      </c>
      <c r="U403" s="40" t="s">
        <v>1024</v>
      </c>
      <c r="V403" s="40" t="s">
        <v>1319</v>
      </c>
      <c r="W403" s="39">
        <f>データ!H403</f>
        <v>6268</v>
      </c>
      <c r="X403" s="40" t="s">
        <v>1024</v>
      </c>
      <c r="Y403" s="40" t="s">
        <v>1319</v>
      </c>
      <c r="Z403" s="39">
        <f>データ!I403</f>
        <v>6842</v>
      </c>
      <c r="AA403" s="40" t="s">
        <v>1024</v>
      </c>
      <c r="AB403" s="40" t="s">
        <v>1322</v>
      </c>
      <c r="AC403" s="39" t="str">
        <f>データ!J403</f>
        <v>SS+</v>
      </c>
      <c r="AD403" s="38" t="s">
        <v>1024</v>
      </c>
      <c r="AE403" s="40" t="s">
        <v>1323</v>
      </c>
      <c r="AF403" s="39">
        <f>データ!K403</f>
        <v>33495</v>
      </c>
      <c r="AG403" s="40" t="s">
        <v>1024</v>
      </c>
      <c r="AH403" s="40" t="s">
        <v>1324</v>
      </c>
      <c r="AI403" s="39" t="str">
        <f>データ!L403</f>
        <v>地幻神の五連撃／真</v>
      </c>
      <c r="AJ403" s="10" t="s">
        <v>1113</v>
      </c>
      <c r="AK403" s="39" t="str">
        <f>データ!M403</f>
        <v>ランダム5連続攻撃[中]自分の防御力UP[中]</v>
      </c>
      <c r="AL403" s="10" t="s">
        <v>1024</v>
      </c>
      <c r="AM403" s="40" t="s">
        <v>1325</v>
      </c>
      <c r="AN403" s="39" t="str">
        <f>データ!N403</f>
        <v>-</v>
      </c>
      <c r="AO403" s="10" t="s">
        <v>1113</v>
      </c>
      <c r="AP403" s="39" t="str">
        <f>データ!O403</f>
        <v>　</v>
      </c>
      <c r="AQ403" s="41" t="s">
        <v>1024</v>
      </c>
      <c r="AR403" s="40" t="s">
        <v>1324</v>
      </c>
      <c r="AS403" s="39" t="str">
        <f>データ!P403</f>
        <v>アサルト／絶</v>
      </c>
      <c r="AT403" s="10" t="s">
        <v>1113</v>
      </c>
      <c r="AU403" s="39" t="str">
        <f>データ!Q403</f>
        <v>パーティ全体の攻撃力が大UP(3分間)</v>
      </c>
      <c r="AV403" s="10" t="s">
        <v>1024</v>
      </c>
      <c r="AW403" s="40" t="s">
        <v>1324</v>
      </c>
      <c r="AX403" s="39" t="str">
        <f>データ!R403</f>
        <v>-</v>
      </c>
      <c r="AY403" s="10" t="s">
        <v>1113</v>
      </c>
      <c r="AZ403" s="39" t="str">
        <f>データ!S403</f>
        <v>　</v>
      </c>
      <c r="BA403" s="41" t="s">
        <v>1024</v>
      </c>
      <c r="BB403" s="40" t="s">
        <v>1319</v>
      </c>
      <c r="BC403" s="39" t="str">
        <f>データ!T403</f>
        <v>-</v>
      </c>
      <c r="BD403" s="41" t="s">
        <v>1024</v>
      </c>
      <c r="BE403" s="40" t="s">
        <v>1320</v>
      </c>
      <c r="BF403" s="39" t="str">
        <f>データ!U403</f>
        <v>-</v>
      </c>
      <c r="BG403" s="41" t="s">
        <v>1024</v>
      </c>
      <c r="BH403" s="40" t="s">
        <v>1319</v>
      </c>
      <c r="BI403" s="39" t="str">
        <f>データ!V403</f>
        <v>常設</v>
      </c>
      <c r="BJ403" s="41" t="s">
        <v>1024</v>
      </c>
      <c r="BK403" s="10" t="s">
        <v>1019</v>
      </c>
    </row>
    <row r="404" spans="1:63" x14ac:dyDescent="0.15">
      <c r="A404" s="10" t="s">
        <v>1016</v>
      </c>
      <c r="B404" s="10" t="s">
        <v>1454</v>
      </c>
      <c r="C404" s="38" t="str">
        <f>"./images/thumbnail/"&amp;データ!B404&amp;".jpg"</f>
        <v>./images/thumbnail/1692.jpg</v>
      </c>
      <c r="D404" s="38" t="s">
        <v>1455</v>
      </c>
      <c r="E404" s="38" t="str">
        <f>"./images/thumbnail/"&amp;データ!B404&amp;".jpg"</f>
        <v>./images/thumbnail/1692.jpg</v>
      </c>
      <c r="F404" s="38" t="s">
        <v>1116</v>
      </c>
      <c r="G404" s="38" t="s">
        <v>1319</v>
      </c>
      <c r="H404" s="38" t="str">
        <f>データ!C404</f>
        <v>ジェラルド</v>
      </c>
      <c r="I404" s="38" t="s">
        <v>1024</v>
      </c>
      <c r="J404" s="38" t="s">
        <v>1320</v>
      </c>
      <c r="K404" s="38" t="str">
        <f>データ!D404</f>
        <v>SSR</v>
      </c>
      <c r="L404" s="38" t="s">
        <v>1024</v>
      </c>
      <c r="M404" s="38" t="s">
        <v>1321</v>
      </c>
      <c r="N404" s="38">
        <f>データ!E404</f>
        <v>13</v>
      </c>
      <c r="O404" s="38" t="s">
        <v>1024</v>
      </c>
      <c r="P404" s="38" t="s">
        <v>1319</v>
      </c>
      <c r="Q404" s="38" t="str">
        <f>データ!F404</f>
        <v>打</v>
      </c>
      <c r="R404" s="38" t="s">
        <v>1024</v>
      </c>
      <c r="S404" s="38" t="s">
        <v>1319</v>
      </c>
      <c r="T404" s="39">
        <f>データ!G404</f>
        <v>18677</v>
      </c>
      <c r="U404" s="40" t="s">
        <v>1024</v>
      </c>
      <c r="V404" s="40" t="s">
        <v>1319</v>
      </c>
      <c r="W404" s="39">
        <f>データ!H404</f>
        <v>6338</v>
      </c>
      <c r="X404" s="40" t="s">
        <v>1024</v>
      </c>
      <c r="Y404" s="40" t="s">
        <v>1319</v>
      </c>
      <c r="Z404" s="39">
        <f>データ!I404</f>
        <v>6665</v>
      </c>
      <c r="AA404" s="40" t="s">
        <v>1024</v>
      </c>
      <c r="AB404" s="40" t="s">
        <v>1322</v>
      </c>
      <c r="AC404" s="39" t="str">
        <f>データ!J404</f>
        <v>A-</v>
      </c>
      <c r="AD404" s="38" t="s">
        <v>1024</v>
      </c>
      <c r="AE404" s="40" t="s">
        <v>1323</v>
      </c>
      <c r="AF404" s="39">
        <f>データ!K404</f>
        <v>31680</v>
      </c>
      <c r="AG404" s="40" t="s">
        <v>1024</v>
      </c>
      <c r="AH404" s="40" t="s">
        <v>1324</v>
      </c>
      <c r="AI404" s="39" t="str">
        <f>データ!L404</f>
        <v>対蒼の突風／絶</v>
      </c>
      <c r="AJ404" s="10" t="s">
        <v>1113</v>
      </c>
      <c r="AK404" s="39" t="str">
        <f>データ!M404</f>
        <v>突に強く斬に弱い縦一列攻撃[大]</v>
      </c>
      <c r="AL404" s="10" t="s">
        <v>1024</v>
      </c>
      <c r="AM404" s="40" t="s">
        <v>1325</v>
      </c>
      <c r="AN404" s="39" t="str">
        <f>データ!N404</f>
        <v>-</v>
      </c>
      <c r="AO404" s="10" t="s">
        <v>1113</v>
      </c>
      <c r="AP404" s="39" t="str">
        <f>データ!O404</f>
        <v>　</v>
      </c>
      <c r="AQ404" s="41" t="s">
        <v>1024</v>
      </c>
      <c r="AR404" s="40" t="s">
        <v>1324</v>
      </c>
      <c r="AS404" s="39" t="str">
        <f>データ!P404</f>
        <v>クラウストルム</v>
      </c>
      <c r="AT404" s="10" t="s">
        <v>1113</v>
      </c>
      <c r="AU404" s="39" t="str">
        <f>データ!Q404</f>
        <v>ヘイトUP＆迎撃時にパーティ全体の攻・防が小UP(3分間)</v>
      </c>
      <c r="AV404" s="10" t="s">
        <v>1024</v>
      </c>
      <c r="AW404" s="40" t="s">
        <v>1324</v>
      </c>
      <c r="AX404" s="39" t="str">
        <f>データ!R404</f>
        <v>-</v>
      </c>
      <c r="AY404" s="10" t="s">
        <v>1113</v>
      </c>
      <c r="AZ404" s="39" t="str">
        <f>データ!S404</f>
        <v>　</v>
      </c>
      <c r="BA404" s="41" t="s">
        <v>1024</v>
      </c>
      <c r="BB404" s="40" t="s">
        <v>1319</v>
      </c>
      <c r="BC404" s="39" t="str">
        <f>データ!T404</f>
        <v>-</v>
      </c>
      <c r="BD404" s="41" t="s">
        <v>1024</v>
      </c>
      <c r="BE404" s="40" t="s">
        <v>1320</v>
      </c>
      <c r="BF404" s="39" t="str">
        <f>データ!U404</f>
        <v>-</v>
      </c>
      <c r="BG404" s="41" t="s">
        <v>1024</v>
      </c>
      <c r="BH404" s="40" t="s">
        <v>1319</v>
      </c>
      <c r="BI404" s="39" t="str">
        <f>データ!V404</f>
        <v>常設</v>
      </c>
      <c r="BJ404" s="41" t="s">
        <v>1024</v>
      </c>
      <c r="BK404" s="10" t="s">
        <v>1019</v>
      </c>
    </row>
    <row r="405" spans="1:63" x14ac:dyDescent="0.15">
      <c r="A405" s="10" t="s">
        <v>1016</v>
      </c>
      <c r="B405" s="10" t="s">
        <v>1454</v>
      </c>
      <c r="C405" s="38" t="str">
        <f>"./images/thumbnail/"&amp;データ!B405&amp;".jpg"</f>
        <v>./images/thumbnail/1694.jpg</v>
      </c>
      <c r="D405" s="38" t="s">
        <v>1455</v>
      </c>
      <c r="E405" s="38" t="str">
        <f>"./images/thumbnail/"&amp;データ!B405&amp;".jpg"</f>
        <v>./images/thumbnail/1694.jpg</v>
      </c>
      <c r="F405" s="38" t="s">
        <v>1116</v>
      </c>
      <c r="G405" s="38" t="s">
        <v>1319</v>
      </c>
      <c r="H405" s="38" t="str">
        <f>データ!C405</f>
        <v>レニエ</v>
      </c>
      <c r="I405" s="38" t="s">
        <v>1024</v>
      </c>
      <c r="J405" s="38" t="s">
        <v>1320</v>
      </c>
      <c r="K405" s="38" t="str">
        <f>データ!D405</f>
        <v>SSR</v>
      </c>
      <c r="L405" s="38" t="s">
        <v>1024</v>
      </c>
      <c r="M405" s="38" t="s">
        <v>1321</v>
      </c>
      <c r="N405" s="38">
        <f>データ!E405</f>
        <v>13</v>
      </c>
      <c r="O405" s="38" t="s">
        <v>1024</v>
      </c>
      <c r="P405" s="38" t="s">
        <v>1319</v>
      </c>
      <c r="Q405" s="38" t="str">
        <f>データ!F405</f>
        <v>遠</v>
      </c>
      <c r="R405" s="38" t="s">
        <v>1024</v>
      </c>
      <c r="S405" s="38" t="s">
        <v>1319</v>
      </c>
      <c r="T405" s="39">
        <f>データ!G405</f>
        <v>16857</v>
      </c>
      <c r="U405" s="40" t="s">
        <v>1024</v>
      </c>
      <c r="V405" s="40" t="s">
        <v>1319</v>
      </c>
      <c r="W405" s="39">
        <f>データ!H405</f>
        <v>6237</v>
      </c>
      <c r="X405" s="40" t="s">
        <v>1024</v>
      </c>
      <c r="Y405" s="40" t="s">
        <v>1319</v>
      </c>
      <c r="Z405" s="39">
        <f>データ!I405</f>
        <v>4533</v>
      </c>
      <c r="AA405" s="40" t="s">
        <v>1024</v>
      </c>
      <c r="AB405" s="40" t="s">
        <v>1322</v>
      </c>
      <c r="AC405" s="39" t="str">
        <f>データ!J405</f>
        <v>SS-</v>
      </c>
      <c r="AD405" s="38" t="s">
        <v>1024</v>
      </c>
      <c r="AE405" s="40" t="s">
        <v>1323</v>
      </c>
      <c r="AF405" s="39">
        <f>データ!K405</f>
        <v>27627</v>
      </c>
      <c r="AG405" s="40" t="s">
        <v>1024</v>
      </c>
      <c r="AH405" s="40" t="s">
        <v>1324</v>
      </c>
      <c r="AI405" s="39" t="str">
        <f>データ!L405</f>
        <v>地幻射の四連撃／真</v>
      </c>
      <c r="AJ405" s="10" t="s">
        <v>1113</v>
      </c>
      <c r="AK405" s="39" t="str">
        <f>データ!M405</f>
        <v>ランダム4連続攻撃[中]自分の防御力UP[中]</v>
      </c>
      <c r="AL405" s="10" t="s">
        <v>1024</v>
      </c>
      <c r="AM405" s="40" t="s">
        <v>1325</v>
      </c>
      <c r="AN405" s="39" t="str">
        <f>データ!N405</f>
        <v>-</v>
      </c>
      <c r="AO405" s="10" t="s">
        <v>1113</v>
      </c>
      <c r="AP405" s="39" t="str">
        <f>データ!O405</f>
        <v>　</v>
      </c>
      <c r="AQ405" s="41" t="s">
        <v>1024</v>
      </c>
      <c r="AR405" s="40" t="s">
        <v>1324</v>
      </c>
      <c r="AS405" s="39" t="str">
        <f>データ!P405</f>
        <v>ヒール／絶</v>
      </c>
      <c r="AT405" s="10" t="s">
        <v>1113</v>
      </c>
      <c r="AU405" s="39" t="str">
        <f>データ!Q405</f>
        <v>生存ユニットのHPを大回復</v>
      </c>
      <c r="AV405" s="10" t="s">
        <v>1024</v>
      </c>
      <c r="AW405" s="40" t="s">
        <v>1324</v>
      </c>
      <c r="AX405" s="39" t="str">
        <f>データ!R405</f>
        <v>-</v>
      </c>
      <c r="AY405" s="10" t="s">
        <v>1113</v>
      </c>
      <c r="AZ405" s="39" t="str">
        <f>データ!S405</f>
        <v>　</v>
      </c>
      <c r="BA405" s="41" t="s">
        <v>1024</v>
      </c>
      <c r="BB405" s="40" t="s">
        <v>1319</v>
      </c>
      <c r="BC405" s="39" t="str">
        <f>データ!T405</f>
        <v>-</v>
      </c>
      <c r="BD405" s="41" t="s">
        <v>1024</v>
      </c>
      <c r="BE405" s="40" t="s">
        <v>1320</v>
      </c>
      <c r="BF405" s="39" t="str">
        <f>データ!U405</f>
        <v>-</v>
      </c>
      <c r="BG405" s="41" t="s">
        <v>1024</v>
      </c>
      <c r="BH405" s="40" t="s">
        <v>1319</v>
      </c>
      <c r="BI405" s="39" t="str">
        <f>データ!V405</f>
        <v>常設</v>
      </c>
      <c r="BJ405" s="41" t="s">
        <v>1024</v>
      </c>
      <c r="BK405" s="10" t="s">
        <v>1019</v>
      </c>
    </row>
    <row r="406" spans="1:63" x14ac:dyDescent="0.15">
      <c r="A406" s="10" t="s">
        <v>1016</v>
      </c>
      <c r="B406" s="10" t="s">
        <v>1454</v>
      </c>
      <c r="C406" s="38" t="str">
        <f>"./images/thumbnail/"&amp;データ!B406&amp;".jpg"</f>
        <v>./images/thumbnail/1699.jpg</v>
      </c>
      <c r="D406" s="38" t="s">
        <v>1455</v>
      </c>
      <c r="E406" s="38" t="str">
        <f>"./images/thumbnail/"&amp;データ!B406&amp;".jpg"</f>
        <v>./images/thumbnail/1699.jpg</v>
      </c>
      <c r="F406" s="38" t="s">
        <v>1116</v>
      </c>
      <c r="G406" s="38" t="s">
        <v>1319</v>
      </c>
      <c r="H406" s="38" t="str">
        <f>データ!C406</f>
        <v>リシェラ</v>
      </c>
      <c r="I406" s="38" t="s">
        <v>1024</v>
      </c>
      <c r="J406" s="38" t="s">
        <v>1320</v>
      </c>
      <c r="K406" s="38" t="str">
        <f>データ!D406</f>
        <v>SSR</v>
      </c>
      <c r="L406" s="38" t="s">
        <v>1024</v>
      </c>
      <c r="M406" s="38" t="s">
        <v>1321</v>
      </c>
      <c r="N406" s="38">
        <f>データ!E406</f>
        <v>13</v>
      </c>
      <c r="O406" s="38" t="s">
        <v>1024</v>
      </c>
      <c r="P406" s="38" t="s">
        <v>1319</v>
      </c>
      <c r="Q406" s="38" t="str">
        <f>データ!F406</f>
        <v>斬</v>
      </c>
      <c r="R406" s="38" t="s">
        <v>1024</v>
      </c>
      <c r="S406" s="38" t="s">
        <v>1319</v>
      </c>
      <c r="T406" s="39">
        <f>データ!G406</f>
        <v>15221</v>
      </c>
      <c r="U406" s="40" t="s">
        <v>1024</v>
      </c>
      <c r="V406" s="40" t="s">
        <v>1319</v>
      </c>
      <c r="W406" s="39">
        <f>データ!H406</f>
        <v>7002</v>
      </c>
      <c r="X406" s="40" t="s">
        <v>1024</v>
      </c>
      <c r="Y406" s="40" t="s">
        <v>1319</v>
      </c>
      <c r="Z406" s="39">
        <f>データ!I406</f>
        <v>5832</v>
      </c>
      <c r="AA406" s="40" t="s">
        <v>1024</v>
      </c>
      <c r="AB406" s="40" t="s">
        <v>1322</v>
      </c>
      <c r="AC406" s="39" t="str">
        <f>データ!J406</f>
        <v>A+</v>
      </c>
      <c r="AD406" s="38" t="s">
        <v>1024</v>
      </c>
      <c r="AE406" s="40" t="s">
        <v>1323</v>
      </c>
      <c r="AF406" s="39">
        <f>データ!K406</f>
        <v>28055</v>
      </c>
      <c r="AG406" s="40" t="s">
        <v>1024</v>
      </c>
      <c r="AH406" s="40" t="s">
        <v>1324</v>
      </c>
      <c r="AI406" s="39" t="str">
        <f>データ!L406</f>
        <v>対翠の突風／絶</v>
      </c>
      <c r="AJ406" s="10" t="s">
        <v>1113</v>
      </c>
      <c r="AK406" s="39" t="str">
        <f>データ!M406</f>
        <v>遠に強く打に弱い縦一列攻撃[大]</v>
      </c>
      <c r="AL406" s="10" t="s">
        <v>1024</v>
      </c>
      <c r="AM406" s="40" t="s">
        <v>1325</v>
      </c>
      <c r="AN406" s="39" t="str">
        <f>データ!N406</f>
        <v>-</v>
      </c>
      <c r="AO406" s="10" t="s">
        <v>1113</v>
      </c>
      <c r="AP406" s="39" t="str">
        <f>データ!O406</f>
        <v>　</v>
      </c>
      <c r="AQ406" s="41" t="s">
        <v>1024</v>
      </c>
      <c r="AR406" s="40" t="s">
        <v>1324</v>
      </c>
      <c r="AS406" s="39" t="str">
        <f>データ!P406</f>
        <v>ポイントライズ／真</v>
      </c>
      <c r="AT406" s="10" t="s">
        <v>1113</v>
      </c>
      <c r="AU406" s="39" t="str">
        <f>データ!Q406</f>
        <v>獲得する騎士団戦スコアが中アップ(バトル3回)</v>
      </c>
      <c r="AV406" s="10" t="s">
        <v>1024</v>
      </c>
      <c r="AW406" s="40" t="s">
        <v>1324</v>
      </c>
      <c r="AX406" s="39" t="str">
        <f>データ!R406</f>
        <v>-</v>
      </c>
      <c r="AY406" s="10" t="s">
        <v>1113</v>
      </c>
      <c r="AZ406" s="39" t="str">
        <f>データ!S406</f>
        <v>　</v>
      </c>
      <c r="BA406" s="41" t="s">
        <v>1024</v>
      </c>
      <c r="BB406" s="40" t="s">
        <v>1319</v>
      </c>
      <c r="BC406" s="39" t="str">
        <f>データ!T406</f>
        <v>-</v>
      </c>
      <c r="BD406" s="41" t="s">
        <v>1024</v>
      </c>
      <c r="BE406" s="40" t="s">
        <v>1320</v>
      </c>
      <c r="BF406" s="39" t="str">
        <f>データ!U406</f>
        <v>-</v>
      </c>
      <c r="BG406" s="41" t="s">
        <v>1024</v>
      </c>
      <c r="BH406" s="40" t="s">
        <v>1319</v>
      </c>
      <c r="BI406" s="39" t="str">
        <f>データ!V406</f>
        <v>魔女の追憶イベ</v>
      </c>
      <c r="BJ406" s="41" t="s">
        <v>1024</v>
      </c>
      <c r="BK406" s="10" t="s">
        <v>1019</v>
      </c>
    </row>
    <row r="407" spans="1:63" x14ac:dyDescent="0.15">
      <c r="A407" s="10" t="s">
        <v>1016</v>
      </c>
      <c r="B407" s="10" t="s">
        <v>1454</v>
      </c>
      <c r="C407" s="38" t="str">
        <f>"./images/thumbnail/"&amp;データ!B407&amp;".jpg"</f>
        <v>./images/thumbnail/1701.jpg</v>
      </c>
      <c r="D407" s="38" t="s">
        <v>1455</v>
      </c>
      <c r="E407" s="38" t="str">
        <f>"./images/thumbnail/"&amp;データ!B407&amp;".jpg"</f>
        <v>./images/thumbnail/1701.jpg</v>
      </c>
      <c r="F407" s="38" t="s">
        <v>1116</v>
      </c>
      <c r="G407" s="38" t="s">
        <v>1319</v>
      </c>
      <c r="H407" s="38" t="str">
        <f>データ!C407</f>
        <v>シュエット</v>
      </c>
      <c r="I407" s="38" t="s">
        <v>1024</v>
      </c>
      <c r="J407" s="38" t="s">
        <v>1320</v>
      </c>
      <c r="K407" s="38" t="str">
        <f>データ!D407</f>
        <v>UR</v>
      </c>
      <c r="L407" s="38" t="s">
        <v>1024</v>
      </c>
      <c r="M407" s="38" t="s">
        <v>1321</v>
      </c>
      <c r="N407" s="38">
        <f>データ!E407</f>
        <v>14</v>
      </c>
      <c r="O407" s="38" t="s">
        <v>1024</v>
      </c>
      <c r="P407" s="38" t="s">
        <v>1319</v>
      </c>
      <c r="Q407" s="38" t="str">
        <f>データ!F407</f>
        <v>斬</v>
      </c>
      <c r="R407" s="38" t="s">
        <v>1024</v>
      </c>
      <c r="S407" s="38" t="s">
        <v>1319</v>
      </c>
      <c r="T407" s="39">
        <f>データ!G407</f>
        <v>17223</v>
      </c>
      <c r="U407" s="40" t="s">
        <v>1024</v>
      </c>
      <c r="V407" s="40" t="s">
        <v>1319</v>
      </c>
      <c r="W407" s="39">
        <f>データ!H407</f>
        <v>7917</v>
      </c>
      <c r="X407" s="40" t="s">
        <v>1024</v>
      </c>
      <c r="Y407" s="40" t="s">
        <v>1319</v>
      </c>
      <c r="Z407" s="39">
        <f>データ!I407</f>
        <v>6690</v>
      </c>
      <c r="AA407" s="40" t="s">
        <v>1024</v>
      </c>
      <c r="AB407" s="40" t="s">
        <v>1322</v>
      </c>
      <c r="AC407" s="39" t="str">
        <f>データ!J407</f>
        <v>S</v>
      </c>
      <c r="AD407" s="38" t="s">
        <v>1024</v>
      </c>
      <c r="AE407" s="40" t="s">
        <v>1323</v>
      </c>
      <c r="AF407" s="39">
        <f>データ!K407</f>
        <v>31830</v>
      </c>
      <c r="AG407" s="40" t="s">
        <v>1024</v>
      </c>
      <c r="AH407" s="40" t="s">
        <v>1324</v>
      </c>
      <c r="AI407" s="39" t="str">
        <f>データ!L407</f>
        <v>地幻氷の縦十字／煌</v>
      </c>
      <c r="AJ407" s="10" t="s">
        <v>1113</v>
      </c>
      <c r="AK407" s="39" t="str">
        <f>データ!M407</f>
        <v>十字型攻撃[特大]自分の防御力UP[特大]</v>
      </c>
      <c r="AL407" s="10" t="s">
        <v>1024</v>
      </c>
      <c r="AM407" s="40" t="s">
        <v>1325</v>
      </c>
      <c r="AN407" s="39" t="str">
        <f>データ!N407</f>
        <v>-</v>
      </c>
      <c r="AO407" s="10" t="s">
        <v>1113</v>
      </c>
      <c r="AP407" s="39" t="str">
        <f>データ!O407</f>
        <v>　</v>
      </c>
      <c r="AQ407" s="41" t="s">
        <v>1024</v>
      </c>
      <c r="AR407" s="40" t="s">
        <v>1324</v>
      </c>
      <c r="AS407" s="39" t="str">
        <f>データ!P407</f>
        <v>エッジノート／絶</v>
      </c>
      <c r="AT407" s="10" t="s">
        <v>1113</v>
      </c>
      <c r="AU407" s="39" t="str">
        <f>データ!Q407</f>
        <v>CB時に獲得ポイント大UP＆BPが大回復(3回)</v>
      </c>
      <c r="AV407" s="10" t="s">
        <v>1024</v>
      </c>
      <c r="AW407" s="40" t="s">
        <v>1324</v>
      </c>
      <c r="AX407" s="39" t="str">
        <f>データ!R407</f>
        <v>-</v>
      </c>
      <c r="AY407" s="10" t="s">
        <v>1113</v>
      </c>
      <c r="AZ407" s="39" t="str">
        <f>データ!S407</f>
        <v>　</v>
      </c>
      <c r="BA407" s="41" t="s">
        <v>1024</v>
      </c>
      <c r="BB407" s="40" t="s">
        <v>1319</v>
      </c>
      <c r="BC407" s="39" t="str">
        <f>データ!T407</f>
        <v>-</v>
      </c>
      <c r="BD407" s="41" t="s">
        <v>1024</v>
      </c>
      <c r="BE407" s="40" t="s">
        <v>1320</v>
      </c>
      <c r="BF407" s="39" t="str">
        <f>データ!U407</f>
        <v>-</v>
      </c>
      <c r="BG407" s="41" t="s">
        <v>1024</v>
      </c>
      <c r="BH407" s="40" t="s">
        <v>1319</v>
      </c>
      <c r="BI407" s="39" t="str">
        <f>データ!V407</f>
        <v>ガチャイベ</v>
      </c>
      <c r="BJ407" s="41" t="s">
        <v>1024</v>
      </c>
      <c r="BK407" s="10" t="s">
        <v>1019</v>
      </c>
    </row>
    <row r="408" spans="1:63" x14ac:dyDescent="0.15">
      <c r="A408" s="10" t="s">
        <v>1016</v>
      </c>
      <c r="B408" s="10" t="s">
        <v>1454</v>
      </c>
      <c r="C408" s="38" t="str">
        <f>"./images/thumbnail/"&amp;データ!B408&amp;".jpg"</f>
        <v>./images/thumbnail/1703.jpg</v>
      </c>
      <c r="D408" s="38" t="s">
        <v>1455</v>
      </c>
      <c r="E408" s="38" t="str">
        <f>"./images/thumbnail/"&amp;データ!B408&amp;".jpg"</f>
        <v>./images/thumbnail/1703.jpg</v>
      </c>
      <c r="F408" s="38" t="s">
        <v>1116</v>
      </c>
      <c r="G408" s="38" t="s">
        <v>1319</v>
      </c>
      <c r="H408" s="38" t="str">
        <f>データ!C408</f>
        <v>アストル</v>
      </c>
      <c r="I408" s="38" t="s">
        <v>1024</v>
      </c>
      <c r="J408" s="38" t="s">
        <v>1320</v>
      </c>
      <c r="K408" s="38" t="str">
        <f>データ!D408</f>
        <v>UR</v>
      </c>
      <c r="L408" s="38" t="s">
        <v>1024</v>
      </c>
      <c r="M408" s="38" t="s">
        <v>1321</v>
      </c>
      <c r="N408" s="38">
        <f>データ!E408</f>
        <v>14</v>
      </c>
      <c r="O408" s="38" t="s">
        <v>1024</v>
      </c>
      <c r="P408" s="38" t="s">
        <v>1319</v>
      </c>
      <c r="Q408" s="38" t="str">
        <f>データ!F408</f>
        <v>遠</v>
      </c>
      <c r="R408" s="38" t="s">
        <v>1024</v>
      </c>
      <c r="S408" s="38" t="s">
        <v>1319</v>
      </c>
      <c r="T408" s="39">
        <f>データ!G408</f>
        <v>19914</v>
      </c>
      <c r="U408" s="40" t="s">
        <v>1024</v>
      </c>
      <c r="V408" s="40" t="s">
        <v>1319</v>
      </c>
      <c r="W408" s="39">
        <f>データ!H408</f>
        <v>6951</v>
      </c>
      <c r="X408" s="40" t="s">
        <v>1024</v>
      </c>
      <c r="Y408" s="40" t="s">
        <v>1319</v>
      </c>
      <c r="Z408" s="39">
        <f>データ!I408</f>
        <v>5574</v>
      </c>
      <c r="AA408" s="40" t="s">
        <v>1024</v>
      </c>
      <c r="AB408" s="40" t="s">
        <v>1322</v>
      </c>
      <c r="AC408" s="39" t="str">
        <f>データ!J408</f>
        <v>S+</v>
      </c>
      <c r="AD408" s="38" t="s">
        <v>1024</v>
      </c>
      <c r="AE408" s="40" t="s">
        <v>1323</v>
      </c>
      <c r="AF408" s="39">
        <f>データ!K408</f>
        <v>32439</v>
      </c>
      <c r="AG408" s="40" t="s">
        <v>1024</v>
      </c>
      <c r="AH408" s="40" t="s">
        <v>1324</v>
      </c>
      <c r="AI408" s="39" t="str">
        <f>データ!L408</f>
        <v>遠翠の略奪／煌</v>
      </c>
      <c r="AJ408" s="10" t="s">
        <v>1113</v>
      </c>
      <c r="AK408" s="39" t="str">
        <f>データ!M408</f>
        <v>敵単体に攻撃しつつHP回復[特大]</v>
      </c>
      <c r="AL408" s="10" t="s">
        <v>1024</v>
      </c>
      <c r="AM408" s="40" t="s">
        <v>1325</v>
      </c>
      <c r="AN408" s="39" t="str">
        <f>データ!N408</f>
        <v>-</v>
      </c>
      <c r="AO408" s="10" t="s">
        <v>1113</v>
      </c>
      <c r="AP408" s="39" t="str">
        <f>データ!O408</f>
        <v>　</v>
      </c>
      <c r="AQ408" s="41" t="s">
        <v>1024</v>
      </c>
      <c r="AR408" s="40" t="s">
        <v>1324</v>
      </c>
      <c r="AS408" s="39" t="str">
        <f>データ!P408</f>
        <v>キャッスルウィークネス／真</v>
      </c>
      <c r="AT408" s="10" t="s">
        <v>1113</v>
      </c>
      <c r="AU408" s="39" t="str">
        <f>データ!Q408</f>
        <v>対戦騎士団の城強度Lvが中DOWN(3分間)</v>
      </c>
      <c r="AV408" s="10" t="s">
        <v>1024</v>
      </c>
      <c r="AW408" s="40" t="s">
        <v>1324</v>
      </c>
      <c r="AX408" s="39" t="str">
        <f>データ!R408</f>
        <v>-</v>
      </c>
      <c r="AY408" s="10" t="s">
        <v>1113</v>
      </c>
      <c r="AZ408" s="39" t="str">
        <f>データ!S408</f>
        <v>　</v>
      </c>
      <c r="BA408" s="41" t="s">
        <v>1024</v>
      </c>
      <c r="BB408" s="40" t="s">
        <v>1319</v>
      </c>
      <c r="BC408" s="39" t="str">
        <f>データ!T408</f>
        <v>-</v>
      </c>
      <c r="BD408" s="41" t="s">
        <v>1024</v>
      </c>
      <c r="BE408" s="40" t="s">
        <v>1320</v>
      </c>
      <c r="BF408" s="39" t="str">
        <f>データ!U408</f>
        <v>-</v>
      </c>
      <c r="BG408" s="41" t="s">
        <v>1024</v>
      </c>
      <c r="BH408" s="40" t="s">
        <v>1319</v>
      </c>
      <c r="BI408" s="39" t="str">
        <f>データ!V408</f>
        <v>ガチャイベ</v>
      </c>
      <c r="BJ408" s="41" t="s">
        <v>1024</v>
      </c>
      <c r="BK408" s="10" t="s">
        <v>1019</v>
      </c>
    </row>
    <row r="409" spans="1:63" x14ac:dyDescent="0.15">
      <c r="A409" s="10" t="s">
        <v>1016</v>
      </c>
      <c r="B409" s="10" t="s">
        <v>1454</v>
      </c>
      <c r="C409" s="38" t="str">
        <f>"./images/thumbnail/"&amp;データ!B409&amp;".jpg"</f>
        <v>./images/thumbnail/1709.jpg</v>
      </c>
      <c r="D409" s="38" t="s">
        <v>1455</v>
      </c>
      <c r="E409" s="38" t="str">
        <f>"./images/thumbnail/"&amp;データ!B409&amp;".jpg"</f>
        <v>./images/thumbnail/1709.jpg</v>
      </c>
      <c r="F409" s="38" t="s">
        <v>1116</v>
      </c>
      <c r="G409" s="38" t="s">
        <v>1319</v>
      </c>
      <c r="H409" s="38" t="str">
        <f>データ!C409</f>
        <v>レイ</v>
      </c>
      <c r="I409" s="38" t="s">
        <v>1024</v>
      </c>
      <c r="J409" s="38" t="s">
        <v>1320</v>
      </c>
      <c r="K409" s="38" t="str">
        <f>データ!D409</f>
        <v>SSR</v>
      </c>
      <c r="L409" s="38" t="s">
        <v>1024</v>
      </c>
      <c r="M409" s="38" t="s">
        <v>1321</v>
      </c>
      <c r="N409" s="38">
        <f>データ!E409</f>
        <v>13</v>
      </c>
      <c r="O409" s="38" t="s">
        <v>1024</v>
      </c>
      <c r="P409" s="38" t="s">
        <v>1319</v>
      </c>
      <c r="Q409" s="38" t="str">
        <f>データ!F409</f>
        <v>斬</v>
      </c>
      <c r="R409" s="38" t="s">
        <v>1024</v>
      </c>
      <c r="S409" s="38" t="s">
        <v>1319</v>
      </c>
      <c r="T409" s="39">
        <f>データ!G409</f>
        <v>15528</v>
      </c>
      <c r="U409" s="40" t="s">
        <v>1024</v>
      </c>
      <c r="V409" s="40" t="s">
        <v>1319</v>
      </c>
      <c r="W409" s="39">
        <f>データ!H409</f>
        <v>7138</v>
      </c>
      <c r="X409" s="40" t="s">
        <v>1024</v>
      </c>
      <c r="Y409" s="40" t="s">
        <v>1319</v>
      </c>
      <c r="Z409" s="39">
        <f>データ!I409</f>
        <v>5429</v>
      </c>
      <c r="AA409" s="40" t="s">
        <v>1024</v>
      </c>
      <c r="AB409" s="40" t="s">
        <v>1322</v>
      </c>
      <c r="AC409" s="39" t="str">
        <f>データ!J409</f>
        <v>A+</v>
      </c>
      <c r="AD409" s="38" t="s">
        <v>1024</v>
      </c>
      <c r="AE409" s="40" t="s">
        <v>1323</v>
      </c>
      <c r="AF409" s="39">
        <f>データ!K409</f>
        <v>28095</v>
      </c>
      <c r="AG409" s="40" t="s">
        <v>1024</v>
      </c>
      <c r="AH409" s="40" t="s">
        <v>1324</v>
      </c>
      <c r="AI409" s="39" t="str">
        <f>データ!L409</f>
        <v>地幻氷の縦十字／絶</v>
      </c>
      <c r="AJ409" s="10" t="s">
        <v>1113</v>
      </c>
      <c r="AK409" s="39" t="str">
        <f>データ!M409</f>
        <v>十字型攻撃[大]自分の防御力UP[大]</v>
      </c>
      <c r="AL409" s="10" t="s">
        <v>1024</v>
      </c>
      <c r="AM409" s="40" t="s">
        <v>1325</v>
      </c>
      <c r="AN409" s="39" t="str">
        <f>データ!N409</f>
        <v>-</v>
      </c>
      <c r="AO409" s="10" t="s">
        <v>1113</v>
      </c>
      <c r="AP409" s="39" t="str">
        <f>データ!O409</f>
        <v>　</v>
      </c>
      <c r="AQ409" s="41" t="s">
        <v>1024</v>
      </c>
      <c r="AR409" s="40" t="s">
        <v>1324</v>
      </c>
      <c r="AS409" s="39" t="str">
        <f>データ!P409</f>
        <v>エースオーダー</v>
      </c>
      <c r="AT409" s="10" t="s">
        <v>1113</v>
      </c>
      <c r="AU409" s="39" t="str">
        <f>データ!Q409</f>
        <v>騎士団全体の攻・防が小UP(3分間)</v>
      </c>
      <c r="AV409" s="10" t="s">
        <v>1024</v>
      </c>
      <c r="AW409" s="40" t="s">
        <v>1324</v>
      </c>
      <c r="AX409" s="39" t="str">
        <f>データ!R409</f>
        <v>-</v>
      </c>
      <c r="AY409" s="10" t="s">
        <v>1113</v>
      </c>
      <c r="AZ409" s="39" t="str">
        <f>データ!S409</f>
        <v>　</v>
      </c>
      <c r="BA409" s="41" t="s">
        <v>1024</v>
      </c>
      <c r="BB409" s="40" t="s">
        <v>1319</v>
      </c>
      <c r="BC409" s="39" t="str">
        <f>データ!T409</f>
        <v>-</v>
      </c>
      <c r="BD409" s="41" t="s">
        <v>1024</v>
      </c>
      <c r="BE409" s="40" t="s">
        <v>1320</v>
      </c>
      <c r="BF409" s="39" t="str">
        <f>データ!U409</f>
        <v>-</v>
      </c>
      <c r="BG409" s="41" t="s">
        <v>1024</v>
      </c>
      <c r="BH409" s="40" t="s">
        <v>1319</v>
      </c>
      <c r="BI409" s="39" t="str">
        <f>データ!V409</f>
        <v>ヱヴァンゲリヲンコラボ</v>
      </c>
      <c r="BJ409" s="41" t="s">
        <v>1024</v>
      </c>
      <c r="BK409" s="10" t="s">
        <v>1019</v>
      </c>
    </row>
    <row r="410" spans="1:63" x14ac:dyDescent="0.15">
      <c r="A410" s="10" t="s">
        <v>1016</v>
      </c>
      <c r="B410" s="10" t="s">
        <v>1454</v>
      </c>
      <c r="C410" s="38" t="str">
        <f>"./images/thumbnail/"&amp;データ!B410&amp;".jpg"</f>
        <v>./images/thumbnail/1710.jpg</v>
      </c>
      <c r="D410" s="38" t="s">
        <v>1455</v>
      </c>
      <c r="E410" s="38" t="str">
        <f>"./images/thumbnail/"&amp;データ!B410&amp;".jpg"</f>
        <v>./images/thumbnail/1710.jpg</v>
      </c>
      <c r="F410" s="38" t="s">
        <v>1116</v>
      </c>
      <c r="G410" s="38" t="s">
        <v>1319</v>
      </c>
      <c r="H410" s="38" t="str">
        <f>データ!C410</f>
        <v>レイ</v>
      </c>
      <c r="I410" s="38" t="s">
        <v>1024</v>
      </c>
      <c r="J410" s="38" t="s">
        <v>1320</v>
      </c>
      <c r="K410" s="38" t="str">
        <f>データ!D410</f>
        <v>UR</v>
      </c>
      <c r="L410" s="38" t="s">
        <v>1024</v>
      </c>
      <c r="M410" s="38" t="s">
        <v>1321</v>
      </c>
      <c r="N410" s="38">
        <f>データ!E410</f>
        <v>14</v>
      </c>
      <c r="O410" s="38" t="s">
        <v>1024</v>
      </c>
      <c r="P410" s="38" t="s">
        <v>1319</v>
      </c>
      <c r="Q410" s="38" t="str">
        <f>データ!F410</f>
        <v>斬</v>
      </c>
      <c r="R410" s="38" t="s">
        <v>1024</v>
      </c>
      <c r="S410" s="38" t="s">
        <v>1319</v>
      </c>
      <c r="T410" s="39">
        <f>データ!G410</f>
        <v>17422</v>
      </c>
      <c r="U410" s="40" t="s">
        <v>1024</v>
      </c>
      <c r="V410" s="40" t="s">
        <v>1319</v>
      </c>
      <c r="W410" s="39">
        <f>データ!H410</f>
        <v>8004</v>
      </c>
      <c r="X410" s="40" t="s">
        <v>1024</v>
      </c>
      <c r="Y410" s="40" t="s">
        <v>1319</v>
      </c>
      <c r="Z410" s="39">
        <f>データ!I410</f>
        <v>6279</v>
      </c>
      <c r="AA410" s="40" t="s">
        <v>1024</v>
      </c>
      <c r="AB410" s="40" t="s">
        <v>1322</v>
      </c>
      <c r="AC410" s="39" t="str">
        <f>データ!J410</f>
        <v>S</v>
      </c>
      <c r="AD410" s="38" t="s">
        <v>1024</v>
      </c>
      <c r="AE410" s="40" t="s">
        <v>1323</v>
      </c>
      <c r="AF410" s="39">
        <f>データ!K410</f>
        <v>31705</v>
      </c>
      <c r="AG410" s="40" t="s">
        <v>1024</v>
      </c>
      <c r="AH410" s="40" t="s">
        <v>1324</v>
      </c>
      <c r="AI410" s="39" t="str">
        <f>データ!L410</f>
        <v>私が守るから</v>
      </c>
      <c r="AJ410" s="10" t="s">
        <v>1113</v>
      </c>
      <c r="AK410" s="39" t="str">
        <f>データ!M410</f>
        <v>突に強く斬に弱い十字型攻撃[特大]</v>
      </c>
      <c r="AL410" s="10" t="s">
        <v>1024</v>
      </c>
      <c r="AM410" s="40" t="s">
        <v>1325</v>
      </c>
      <c r="AN410" s="39" t="str">
        <f>データ!N410</f>
        <v>-</v>
      </c>
      <c r="AO410" s="10" t="s">
        <v>1113</v>
      </c>
      <c r="AP410" s="39" t="str">
        <f>データ!O410</f>
        <v>　</v>
      </c>
      <c r="AQ410" s="41" t="s">
        <v>1024</v>
      </c>
      <c r="AR410" s="40" t="s">
        <v>1324</v>
      </c>
      <c r="AS410" s="39" t="str">
        <f>データ!P410</f>
        <v>メナス／真</v>
      </c>
      <c r="AT410" s="10" t="s">
        <v>1113</v>
      </c>
      <c r="AU410" s="39" t="str">
        <f>データ!Q410</f>
        <v>対戦騎士団全体の防御力が中DOWN(3分間)</v>
      </c>
      <c r="AV410" s="10" t="s">
        <v>1024</v>
      </c>
      <c r="AW410" s="40" t="s">
        <v>1324</v>
      </c>
      <c r="AX410" s="39" t="str">
        <f>データ!R410</f>
        <v>-</v>
      </c>
      <c r="AY410" s="10" t="s">
        <v>1113</v>
      </c>
      <c r="AZ410" s="39" t="str">
        <f>データ!S410</f>
        <v>　</v>
      </c>
      <c r="BA410" s="41" t="s">
        <v>1024</v>
      </c>
      <c r="BB410" s="40" t="s">
        <v>1319</v>
      </c>
      <c r="BC410" s="39" t="str">
        <f>データ!T410</f>
        <v>-</v>
      </c>
      <c r="BD410" s="41" t="s">
        <v>1024</v>
      </c>
      <c r="BE410" s="40" t="s">
        <v>1320</v>
      </c>
      <c r="BF410" s="39" t="str">
        <f>データ!U410</f>
        <v>-</v>
      </c>
      <c r="BG410" s="41" t="s">
        <v>1024</v>
      </c>
      <c r="BH410" s="40" t="s">
        <v>1319</v>
      </c>
      <c r="BI410" s="39" t="str">
        <f>データ!V410</f>
        <v>ヱヴァンゲリヲンコラボ</v>
      </c>
      <c r="BJ410" s="41" t="s">
        <v>1024</v>
      </c>
      <c r="BK410" s="10" t="s">
        <v>1019</v>
      </c>
    </row>
    <row r="411" spans="1:63" x14ac:dyDescent="0.15">
      <c r="A411" s="10" t="s">
        <v>1016</v>
      </c>
      <c r="B411" s="10" t="s">
        <v>1454</v>
      </c>
      <c r="C411" s="38" t="str">
        <f>"./images/thumbnail/"&amp;データ!B411&amp;".jpg"</f>
        <v>./images/thumbnail/1712.jpg</v>
      </c>
      <c r="D411" s="38" t="s">
        <v>1455</v>
      </c>
      <c r="E411" s="38" t="str">
        <f>"./images/thumbnail/"&amp;データ!B411&amp;".jpg"</f>
        <v>./images/thumbnail/1712.jpg</v>
      </c>
      <c r="F411" s="38" t="s">
        <v>1116</v>
      </c>
      <c r="G411" s="38" t="s">
        <v>1319</v>
      </c>
      <c r="H411" s="38" t="str">
        <f>データ!C411</f>
        <v>シンジ</v>
      </c>
      <c r="I411" s="38" t="s">
        <v>1024</v>
      </c>
      <c r="J411" s="38" t="s">
        <v>1320</v>
      </c>
      <c r="K411" s="38" t="str">
        <f>データ!D411</f>
        <v>SSR</v>
      </c>
      <c r="L411" s="38" t="s">
        <v>1024</v>
      </c>
      <c r="M411" s="38" t="s">
        <v>1321</v>
      </c>
      <c r="N411" s="38">
        <f>データ!E411</f>
        <v>13</v>
      </c>
      <c r="O411" s="38" t="s">
        <v>1024</v>
      </c>
      <c r="P411" s="38" t="s">
        <v>1319</v>
      </c>
      <c r="Q411" s="38" t="str">
        <f>データ!F411</f>
        <v>斬</v>
      </c>
      <c r="R411" s="38" t="s">
        <v>1024</v>
      </c>
      <c r="S411" s="38" t="s">
        <v>1319</v>
      </c>
      <c r="T411" s="39">
        <f>データ!G411</f>
        <v>14651</v>
      </c>
      <c r="U411" s="40" t="s">
        <v>1024</v>
      </c>
      <c r="V411" s="40" t="s">
        <v>1319</v>
      </c>
      <c r="W411" s="39">
        <f>データ!H411</f>
        <v>6721</v>
      </c>
      <c r="X411" s="40" t="s">
        <v>1024</v>
      </c>
      <c r="Y411" s="40" t="s">
        <v>1319</v>
      </c>
      <c r="Z411" s="39">
        <f>データ!I411</f>
        <v>6099</v>
      </c>
      <c r="AA411" s="40" t="s">
        <v>1024</v>
      </c>
      <c r="AB411" s="40" t="s">
        <v>1322</v>
      </c>
      <c r="AC411" s="39" t="str">
        <f>データ!J411</f>
        <v>A+</v>
      </c>
      <c r="AD411" s="38" t="s">
        <v>1024</v>
      </c>
      <c r="AE411" s="40" t="s">
        <v>1323</v>
      </c>
      <c r="AF411" s="39">
        <f>データ!K411</f>
        <v>27471</v>
      </c>
      <c r="AG411" s="40" t="s">
        <v>1024</v>
      </c>
      <c r="AH411" s="40" t="s">
        <v>1324</v>
      </c>
      <c r="AI411" s="39" t="str">
        <f>データ!L411</f>
        <v>天焔幻の一閃／絶</v>
      </c>
      <c r="AJ411" s="10" t="s">
        <v>1113</v>
      </c>
      <c r="AK411" s="39" t="str">
        <f>データ!M411</f>
        <v>横一列攻撃[大]自分の攻撃力UP[大]</v>
      </c>
      <c r="AL411" s="10" t="s">
        <v>1024</v>
      </c>
      <c r="AM411" s="40" t="s">
        <v>1325</v>
      </c>
      <c r="AN411" s="39" t="str">
        <f>データ!N411</f>
        <v>-</v>
      </c>
      <c r="AO411" s="10" t="s">
        <v>1113</v>
      </c>
      <c r="AP411" s="39" t="str">
        <f>データ!O411</f>
        <v>　</v>
      </c>
      <c r="AQ411" s="41" t="s">
        <v>1024</v>
      </c>
      <c r="AR411" s="40" t="s">
        <v>1324</v>
      </c>
      <c r="AS411" s="39" t="str">
        <f>データ!P411</f>
        <v>ジャガーノート／真</v>
      </c>
      <c r="AT411" s="10" t="s">
        <v>1113</v>
      </c>
      <c r="AU411" s="39" t="str">
        <f>データ!Q411</f>
        <v>バトルで敵を全滅するとBPが中回復(バトル3回)</v>
      </c>
      <c r="AV411" s="10" t="s">
        <v>1024</v>
      </c>
      <c r="AW411" s="40" t="s">
        <v>1324</v>
      </c>
      <c r="AX411" s="39" t="str">
        <f>データ!R411</f>
        <v>-</v>
      </c>
      <c r="AY411" s="10" t="s">
        <v>1113</v>
      </c>
      <c r="AZ411" s="39" t="str">
        <f>データ!S411</f>
        <v>　</v>
      </c>
      <c r="BA411" s="41" t="s">
        <v>1024</v>
      </c>
      <c r="BB411" s="40" t="s">
        <v>1319</v>
      </c>
      <c r="BC411" s="39" t="str">
        <f>データ!T411</f>
        <v>-</v>
      </c>
      <c r="BD411" s="41" t="s">
        <v>1024</v>
      </c>
      <c r="BE411" s="40" t="s">
        <v>1320</v>
      </c>
      <c r="BF411" s="39" t="str">
        <f>データ!U411</f>
        <v>-</v>
      </c>
      <c r="BG411" s="41" t="s">
        <v>1024</v>
      </c>
      <c r="BH411" s="40" t="s">
        <v>1319</v>
      </c>
      <c r="BI411" s="39" t="str">
        <f>データ!V411</f>
        <v>ヱヴァンゲリヲンコラボ</v>
      </c>
      <c r="BJ411" s="41" t="s">
        <v>1024</v>
      </c>
      <c r="BK411" s="10" t="s">
        <v>1019</v>
      </c>
    </row>
    <row r="412" spans="1:63" x14ac:dyDescent="0.15">
      <c r="A412" s="10" t="s">
        <v>1016</v>
      </c>
      <c r="B412" s="10" t="s">
        <v>1454</v>
      </c>
      <c r="C412" s="38" t="str">
        <f>"./images/thumbnail/"&amp;データ!B412&amp;".jpg"</f>
        <v>./images/thumbnail/1713.jpg</v>
      </c>
      <c r="D412" s="38" t="s">
        <v>1455</v>
      </c>
      <c r="E412" s="38" t="str">
        <f>"./images/thumbnail/"&amp;データ!B412&amp;".jpg"</f>
        <v>./images/thumbnail/1713.jpg</v>
      </c>
      <c r="F412" s="38" t="s">
        <v>1116</v>
      </c>
      <c r="G412" s="38" t="s">
        <v>1319</v>
      </c>
      <c r="H412" s="38" t="str">
        <f>データ!C412</f>
        <v>シンジ</v>
      </c>
      <c r="I412" s="38" t="s">
        <v>1024</v>
      </c>
      <c r="J412" s="38" t="s">
        <v>1320</v>
      </c>
      <c r="K412" s="38" t="str">
        <f>データ!D412</f>
        <v>UR</v>
      </c>
      <c r="L412" s="38" t="s">
        <v>1024</v>
      </c>
      <c r="M412" s="38" t="s">
        <v>1321</v>
      </c>
      <c r="N412" s="38">
        <f>データ!E412</f>
        <v>14</v>
      </c>
      <c r="O412" s="38" t="s">
        <v>1024</v>
      </c>
      <c r="P412" s="38" t="s">
        <v>1319</v>
      </c>
      <c r="Q412" s="38" t="str">
        <f>データ!F412</f>
        <v>斬</v>
      </c>
      <c r="R412" s="38" t="s">
        <v>1024</v>
      </c>
      <c r="S412" s="38" t="s">
        <v>1319</v>
      </c>
      <c r="T412" s="39">
        <f>データ!G412</f>
        <v>16171</v>
      </c>
      <c r="U412" s="40" t="s">
        <v>1024</v>
      </c>
      <c r="V412" s="40" t="s">
        <v>1319</v>
      </c>
      <c r="W412" s="39">
        <f>データ!H412</f>
        <v>7428</v>
      </c>
      <c r="X412" s="40" t="s">
        <v>1024</v>
      </c>
      <c r="Y412" s="40" t="s">
        <v>1319</v>
      </c>
      <c r="Z412" s="39">
        <f>データ!I412</f>
        <v>7105</v>
      </c>
      <c r="AA412" s="40" t="s">
        <v>1024</v>
      </c>
      <c r="AB412" s="40" t="s">
        <v>1322</v>
      </c>
      <c r="AC412" s="39" t="str">
        <f>データ!J412</f>
        <v>S</v>
      </c>
      <c r="AD412" s="38" t="s">
        <v>1024</v>
      </c>
      <c r="AE412" s="40" t="s">
        <v>1323</v>
      </c>
      <c r="AF412" s="39">
        <f>データ!K412</f>
        <v>30704</v>
      </c>
      <c r="AG412" s="40" t="s">
        <v>1024</v>
      </c>
      <c r="AH412" s="40" t="s">
        <v>1324</v>
      </c>
      <c r="AI412" s="39" t="str">
        <f>データ!L412</f>
        <v>逃げちゃだめだ！</v>
      </c>
      <c r="AJ412" s="10" t="s">
        <v>1113</v>
      </c>
      <c r="AK412" s="39" t="str">
        <f>データ!M412</f>
        <v>横一列に攻撃[特大]</v>
      </c>
      <c r="AL412" s="10" t="s">
        <v>1024</v>
      </c>
      <c r="AM412" s="40" t="s">
        <v>1325</v>
      </c>
      <c r="AN412" s="39" t="str">
        <f>データ!N412</f>
        <v>-</v>
      </c>
      <c r="AO412" s="10" t="s">
        <v>1113</v>
      </c>
      <c r="AP412" s="39" t="str">
        <f>データ!O412</f>
        <v>　</v>
      </c>
      <c r="AQ412" s="41" t="s">
        <v>1024</v>
      </c>
      <c r="AR412" s="40" t="s">
        <v>1324</v>
      </c>
      <c r="AS412" s="39" t="str">
        <f>データ!P412</f>
        <v>バーサク／真</v>
      </c>
      <c r="AT412" s="10" t="s">
        <v>1113</v>
      </c>
      <c r="AU412" s="39" t="str">
        <f>データ!Q412</f>
        <v>強襲が発生無効、バトル時に攻・防中UP(3分間)</v>
      </c>
      <c r="AV412" s="10" t="s">
        <v>1024</v>
      </c>
      <c r="AW412" s="40" t="s">
        <v>1324</v>
      </c>
      <c r="AX412" s="39" t="str">
        <f>データ!R412</f>
        <v>-</v>
      </c>
      <c r="AY412" s="10" t="s">
        <v>1113</v>
      </c>
      <c r="AZ412" s="39" t="str">
        <f>データ!S412</f>
        <v>　</v>
      </c>
      <c r="BA412" s="41" t="s">
        <v>1024</v>
      </c>
      <c r="BB412" s="40" t="s">
        <v>1319</v>
      </c>
      <c r="BC412" s="39" t="str">
        <f>データ!T412</f>
        <v>-</v>
      </c>
      <c r="BD412" s="41" t="s">
        <v>1024</v>
      </c>
      <c r="BE412" s="40" t="s">
        <v>1320</v>
      </c>
      <c r="BF412" s="39" t="str">
        <f>データ!U412</f>
        <v>-</v>
      </c>
      <c r="BG412" s="41" t="s">
        <v>1024</v>
      </c>
      <c r="BH412" s="40" t="s">
        <v>1319</v>
      </c>
      <c r="BI412" s="39" t="str">
        <f>データ!V412</f>
        <v>ヱヴァンゲリヲンコラボ</v>
      </c>
      <c r="BJ412" s="41" t="s">
        <v>1024</v>
      </c>
      <c r="BK412" s="10" t="s">
        <v>1019</v>
      </c>
    </row>
    <row r="413" spans="1:63" x14ac:dyDescent="0.15">
      <c r="A413" s="10" t="s">
        <v>1016</v>
      </c>
      <c r="B413" s="10" t="s">
        <v>1454</v>
      </c>
      <c r="C413" s="38" t="str">
        <f>"./images/thumbnail/"&amp;データ!B413&amp;".jpg"</f>
        <v>./images/thumbnail/1715.jpg</v>
      </c>
      <c r="D413" s="38" t="s">
        <v>1455</v>
      </c>
      <c r="E413" s="38" t="str">
        <f>"./images/thumbnail/"&amp;データ!B413&amp;".jpg"</f>
        <v>./images/thumbnail/1715.jpg</v>
      </c>
      <c r="F413" s="38" t="s">
        <v>1116</v>
      </c>
      <c r="G413" s="38" t="s">
        <v>1319</v>
      </c>
      <c r="H413" s="38" t="str">
        <f>データ!C413</f>
        <v>カヲル</v>
      </c>
      <c r="I413" s="38" t="s">
        <v>1024</v>
      </c>
      <c r="J413" s="38" t="s">
        <v>1320</v>
      </c>
      <c r="K413" s="38" t="str">
        <f>データ!D413</f>
        <v>SSR</v>
      </c>
      <c r="L413" s="38" t="s">
        <v>1024</v>
      </c>
      <c r="M413" s="38" t="s">
        <v>1321</v>
      </c>
      <c r="N413" s="38">
        <f>データ!E413</f>
        <v>13</v>
      </c>
      <c r="O413" s="38" t="s">
        <v>1024</v>
      </c>
      <c r="P413" s="38" t="s">
        <v>1319</v>
      </c>
      <c r="Q413" s="38" t="str">
        <f>データ!F413</f>
        <v>突</v>
      </c>
      <c r="R413" s="38" t="s">
        <v>1024</v>
      </c>
      <c r="S413" s="38" t="s">
        <v>1319</v>
      </c>
      <c r="T413" s="39">
        <f>データ!G413</f>
        <v>16437</v>
      </c>
      <c r="U413" s="40" t="s">
        <v>1024</v>
      </c>
      <c r="V413" s="40" t="s">
        <v>1319</v>
      </c>
      <c r="W413" s="39">
        <f>データ!H413</f>
        <v>5176</v>
      </c>
      <c r="X413" s="40" t="s">
        <v>1024</v>
      </c>
      <c r="Y413" s="40" t="s">
        <v>1319</v>
      </c>
      <c r="Z413" s="39">
        <f>データ!I413</f>
        <v>5841</v>
      </c>
      <c r="AA413" s="40" t="s">
        <v>1024</v>
      </c>
      <c r="AB413" s="40" t="s">
        <v>1322</v>
      </c>
      <c r="AC413" s="39" t="str">
        <f>データ!J413</f>
        <v>SS1</v>
      </c>
      <c r="AD413" s="38" t="s">
        <v>1024</v>
      </c>
      <c r="AE413" s="40" t="s">
        <v>1323</v>
      </c>
      <c r="AF413" s="39">
        <f>データ!K413</f>
        <v>27454</v>
      </c>
      <c r="AG413" s="40" t="s">
        <v>1024</v>
      </c>
      <c r="AH413" s="40" t="s">
        <v>1324</v>
      </c>
      <c r="AI413" s="39" t="str">
        <f>データ!L413</f>
        <v>幻神の五連撃</v>
      </c>
      <c r="AJ413" s="10" t="s">
        <v>1113</v>
      </c>
      <c r="AK413" s="39" t="str">
        <f>データ!M413</f>
        <v>ランダムで5連続攻撃[小]</v>
      </c>
      <c r="AL413" s="10" t="s">
        <v>1024</v>
      </c>
      <c r="AM413" s="40" t="s">
        <v>1325</v>
      </c>
      <c r="AN413" s="39" t="str">
        <f>データ!N413</f>
        <v>-</v>
      </c>
      <c r="AO413" s="10" t="s">
        <v>1113</v>
      </c>
      <c r="AP413" s="39" t="str">
        <f>データ!O413</f>
        <v>　</v>
      </c>
      <c r="AQ413" s="41" t="s">
        <v>1024</v>
      </c>
      <c r="AR413" s="40" t="s">
        <v>1324</v>
      </c>
      <c r="AS413" s="39" t="str">
        <f>データ!P413</f>
        <v>アサルトオーダー</v>
      </c>
      <c r="AT413" s="10" t="s">
        <v>1113</v>
      </c>
      <c r="AU413" s="39" t="str">
        <f>データ!Q413</f>
        <v>騎士団全体の攻撃力が小UP(3分間)</v>
      </c>
      <c r="AV413" s="10" t="s">
        <v>1024</v>
      </c>
      <c r="AW413" s="40" t="s">
        <v>1324</v>
      </c>
      <c r="AX413" s="39" t="str">
        <f>データ!R413</f>
        <v>-</v>
      </c>
      <c r="AY413" s="10" t="s">
        <v>1113</v>
      </c>
      <c r="AZ413" s="39" t="str">
        <f>データ!S413</f>
        <v>　</v>
      </c>
      <c r="BA413" s="41" t="s">
        <v>1024</v>
      </c>
      <c r="BB413" s="40" t="s">
        <v>1319</v>
      </c>
      <c r="BC413" s="39" t="str">
        <f>データ!T413</f>
        <v>-</v>
      </c>
      <c r="BD413" s="41" t="s">
        <v>1024</v>
      </c>
      <c r="BE413" s="40" t="s">
        <v>1320</v>
      </c>
      <c r="BF413" s="39" t="str">
        <f>データ!U413</f>
        <v>-</v>
      </c>
      <c r="BG413" s="41" t="s">
        <v>1024</v>
      </c>
      <c r="BH413" s="40" t="s">
        <v>1319</v>
      </c>
      <c r="BI413" s="39" t="str">
        <f>データ!V413</f>
        <v>ヱヴァンゲリヲンコラボ</v>
      </c>
      <c r="BJ413" s="41" t="s">
        <v>1024</v>
      </c>
      <c r="BK413" s="10" t="s">
        <v>1019</v>
      </c>
    </row>
    <row r="414" spans="1:63" x14ac:dyDescent="0.15">
      <c r="A414" s="10" t="s">
        <v>1016</v>
      </c>
      <c r="B414" s="10" t="s">
        <v>1454</v>
      </c>
      <c r="C414" s="38" t="str">
        <f>"./images/thumbnail/"&amp;データ!B414&amp;".jpg"</f>
        <v>./images/thumbnail/1716.jpg</v>
      </c>
      <c r="D414" s="38" t="s">
        <v>1455</v>
      </c>
      <c r="E414" s="38" t="str">
        <f>"./images/thumbnail/"&amp;データ!B414&amp;".jpg"</f>
        <v>./images/thumbnail/1716.jpg</v>
      </c>
      <c r="F414" s="38" t="s">
        <v>1116</v>
      </c>
      <c r="G414" s="38" t="s">
        <v>1319</v>
      </c>
      <c r="H414" s="38" t="str">
        <f>データ!C414</f>
        <v>カヲル</v>
      </c>
      <c r="I414" s="38" t="s">
        <v>1024</v>
      </c>
      <c r="J414" s="38" t="s">
        <v>1320</v>
      </c>
      <c r="K414" s="38" t="str">
        <f>データ!D414</f>
        <v>UR</v>
      </c>
      <c r="L414" s="38" t="s">
        <v>1024</v>
      </c>
      <c r="M414" s="38" t="s">
        <v>1321</v>
      </c>
      <c r="N414" s="38">
        <f>データ!E414</f>
        <v>14</v>
      </c>
      <c r="O414" s="38" t="s">
        <v>1024</v>
      </c>
      <c r="P414" s="38" t="s">
        <v>1319</v>
      </c>
      <c r="Q414" s="38" t="str">
        <f>データ!F414</f>
        <v>突</v>
      </c>
      <c r="R414" s="38" t="s">
        <v>1024</v>
      </c>
      <c r="S414" s="38" t="s">
        <v>1319</v>
      </c>
      <c r="T414" s="39">
        <f>データ!G414</f>
        <v>19376</v>
      </c>
      <c r="U414" s="40" t="s">
        <v>1024</v>
      </c>
      <c r="V414" s="40" t="s">
        <v>1319</v>
      </c>
      <c r="W414" s="39">
        <f>データ!H414</f>
        <v>6105</v>
      </c>
      <c r="X414" s="40" t="s">
        <v>1024</v>
      </c>
      <c r="Y414" s="40" t="s">
        <v>1319</v>
      </c>
      <c r="Z414" s="39">
        <f>データ!I414</f>
        <v>6436</v>
      </c>
      <c r="AA414" s="40" t="s">
        <v>1024</v>
      </c>
      <c r="AB414" s="40" t="s">
        <v>1322</v>
      </c>
      <c r="AC414" s="39" t="str">
        <f>データ!J414</f>
        <v>SS3</v>
      </c>
      <c r="AD414" s="38" t="s">
        <v>1024</v>
      </c>
      <c r="AE414" s="40" t="s">
        <v>1323</v>
      </c>
      <c r="AF414" s="39">
        <f>データ!K414</f>
        <v>31917</v>
      </c>
      <c r="AG414" s="40" t="s">
        <v>1024</v>
      </c>
      <c r="AH414" s="40" t="s">
        <v>1324</v>
      </c>
      <c r="AI414" s="39" t="str">
        <f>データ!L414</f>
        <v>時が満ちた</v>
      </c>
      <c r="AJ414" s="10" t="s">
        <v>1113</v>
      </c>
      <c r="AK414" s="39" t="str">
        <f>データ!M414</f>
        <v>敵全体の攻撃力をDOWN[特大]</v>
      </c>
      <c r="AL414" s="10" t="s">
        <v>1024</v>
      </c>
      <c r="AM414" s="40" t="s">
        <v>1325</v>
      </c>
      <c r="AN414" s="39" t="str">
        <f>データ!N414</f>
        <v>-</v>
      </c>
      <c r="AO414" s="10" t="s">
        <v>1113</v>
      </c>
      <c r="AP414" s="39" t="str">
        <f>データ!O414</f>
        <v>　</v>
      </c>
      <c r="AQ414" s="41" t="s">
        <v>1024</v>
      </c>
      <c r="AR414" s="40" t="s">
        <v>1324</v>
      </c>
      <c r="AS414" s="39" t="str">
        <f>データ!P414</f>
        <v>シャドウオーダー</v>
      </c>
      <c r="AT414" s="10" t="s">
        <v>1113</v>
      </c>
      <c r="AU414" s="39" t="str">
        <f>データ!Q414</f>
        <v>騎士団全体の強襲CB率が小UP(3分間)</v>
      </c>
      <c r="AV414" s="10" t="s">
        <v>1024</v>
      </c>
      <c r="AW414" s="40" t="s">
        <v>1324</v>
      </c>
      <c r="AX414" s="39" t="str">
        <f>データ!R414</f>
        <v>-</v>
      </c>
      <c r="AY414" s="10" t="s">
        <v>1113</v>
      </c>
      <c r="AZ414" s="39" t="str">
        <f>データ!S414</f>
        <v>　</v>
      </c>
      <c r="BA414" s="41" t="s">
        <v>1024</v>
      </c>
      <c r="BB414" s="40" t="s">
        <v>1319</v>
      </c>
      <c r="BC414" s="39" t="str">
        <f>データ!T414</f>
        <v>-</v>
      </c>
      <c r="BD414" s="41" t="s">
        <v>1024</v>
      </c>
      <c r="BE414" s="40" t="s">
        <v>1320</v>
      </c>
      <c r="BF414" s="39" t="str">
        <f>データ!U414</f>
        <v>-</v>
      </c>
      <c r="BG414" s="41" t="s">
        <v>1024</v>
      </c>
      <c r="BH414" s="40" t="s">
        <v>1319</v>
      </c>
      <c r="BI414" s="39" t="str">
        <f>データ!V414</f>
        <v>ヱヴァンゲリヲンコラボ</v>
      </c>
      <c r="BJ414" s="41" t="s">
        <v>1024</v>
      </c>
      <c r="BK414" s="10" t="s">
        <v>1019</v>
      </c>
    </row>
    <row r="415" spans="1:63" x14ac:dyDescent="0.15">
      <c r="A415" s="10" t="s">
        <v>1016</v>
      </c>
      <c r="B415" s="10" t="s">
        <v>1454</v>
      </c>
      <c r="C415" s="38" t="str">
        <f>"./images/thumbnail/"&amp;データ!B415&amp;".jpg"</f>
        <v>./images/thumbnail/1718.jpg</v>
      </c>
      <c r="D415" s="38" t="s">
        <v>1455</v>
      </c>
      <c r="E415" s="38" t="str">
        <f>"./images/thumbnail/"&amp;データ!B415&amp;".jpg"</f>
        <v>./images/thumbnail/1718.jpg</v>
      </c>
      <c r="F415" s="38" t="s">
        <v>1116</v>
      </c>
      <c r="G415" s="38" t="s">
        <v>1319</v>
      </c>
      <c r="H415" s="38" t="str">
        <f>データ!C415</f>
        <v>アスカ</v>
      </c>
      <c r="I415" s="38" t="s">
        <v>1024</v>
      </c>
      <c r="J415" s="38" t="s">
        <v>1320</v>
      </c>
      <c r="K415" s="38" t="str">
        <f>データ!D415</f>
        <v>SSR</v>
      </c>
      <c r="L415" s="38" t="s">
        <v>1024</v>
      </c>
      <c r="M415" s="38" t="s">
        <v>1321</v>
      </c>
      <c r="N415" s="38">
        <f>データ!E415</f>
        <v>13</v>
      </c>
      <c r="O415" s="38" t="s">
        <v>1024</v>
      </c>
      <c r="P415" s="38" t="s">
        <v>1319</v>
      </c>
      <c r="Q415" s="38" t="str">
        <f>データ!F415</f>
        <v>打</v>
      </c>
      <c r="R415" s="38" t="s">
        <v>1024</v>
      </c>
      <c r="S415" s="38" t="s">
        <v>1319</v>
      </c>
      <c r="T415" s="39">
        <f>データ!G415</f>
        <v>21779</v>
      </c>
      <c r="U415" s="40" t="s">
        <v>1024</v>
      </c>
      <c r="V415" s="40" t="s">
        <v>1319</v>
      </c>
      <c r="W415" s="39">
        <f>データ!H415</f>
        <v>5780</v>
      </c>
      <c r="X415" s="40" t="s">
        <v>1024</v>
      </c>
      <c r="Y415" s="40" t="s">
        <v>1319</v>
      </c>
      <c r="Z415" s="39">
        <f>データ!I415</f>
        <v>6682</v>
      </c>
      <c r="AA415" s="40" t="s">
        <v>1024</v>
      </c>
      <c r="AB415" s="40" t="s">
        <v>1322</v>
      </c>
      <c r="AC415" s="39" t="str">
        <f>データ!J415</f>
        <v>A-</v>
      </c>
      <c r="AD415" s="38" t="s">
        <v>1024</v>
      </c>
      <c r="AE415" s="40" t="s">
        <v>1323</v>
      </c>
      <c r="AF415" s="39">
        <f>データ!K415</f>
        <v>34241</v>
      </c>
      <c r="AG415" s="40" t="s">
        <v>1024</v>
      </c>
      <c r="AH415" s="40" t="s">
        <v>1324</v>
      </c>
      <c r="AI415" s="39" t="str">
        <f>データ!L415</f>
        <v>打鋭の四連星／真</v>
      </c>
      <c r="AJ415" s="10" t="s">
        <v>1113</v>
      </c>
      <c r="AK415" s="39" t="str">
        <f>データ!M415</f>
        <v>ランダムで1～4連撃。攻撃毎に与ダメ2倍[低確率]</v>
      </c>
      <c r="AL415" s="10" t="s">
        <v>1024</v>
      </c>
      <c r="AM415" s="40" t="s">
        <v>1325</v>
      </c>
      <c r="AN415" s="39" t="str">
        <f>データ!N415</f>
        <v>-</v>
      </c>
      <c r="AO415" s="10" t="s">
        <v>1113</v>
      </c>
      <c r="AP415" s="39" t="str">
        <f>データ!O415</f>
        <v>　</v>
      </c>
      <c r="AQ415" s="41" t="s">
        <v>1024</v>
      </c>
      <c r="AR415" s="40" t="s">
        <v>1324</v>
      </c>
      <c r="AS415" s="39" t="str">
        <f>データ!P415</f>
        <v>アサルト／真</v>
      </c>
      <c r="AT415" s="10" t="s">
        <v>1113</v>
      </c>
      <c r="AU415" s="39" t="str">
        <f>データ!Q415</f>
        <v>パーティ全体の攻撃力が中UP(3分間)</v>
      </c>
      <c r="AV415" s="10" t="s">
        <v>1024</v>
      </c>
      <c r="AW415" s="40" t="s">
        <v>1324</v>
      </c>
      <c r="AX415" s="39" t="str">
        <f>データ!R415</f>
        <v>-</v>
      </c>
      <c r="AY415" s="10" t="s">
        <v>1113</v>
      </c>
      <c r="AZ415" s="39" t="str">
        <f>データ!S415</f>
        <v>　</v>
      </c>
      <c r="BA415" s="41" t="s">
        <v>1024</v>
      </c>
      <c r="BB415" s="40" t="s">
        <v>1319</v>
      </c>
      <c r="BC415" s="39" t="str">
        <f>データ!T415</f>
        <v>-</v>
      </c>
      <c r="BD415" s="41" t="s">
        <v>1024</v>
      </c>
      <c r="BE415" s="40" t="s">
        <v>1320</v>
      </c>
      <c r="BF415" s="39" t="str">
        <f>データ!U415</f>
        <v>-</v>
      </c>
      <c r="BG415" s="41" t="s">
        <v>1024</v>
      </c>
      <c r="BH415" s="40" t="s">
        <v>1319</v>
      </c>
      <c r="BI415" s="39" t="str">
        <f>データ!V415</f>
        <v>ヱヴァンゲリヲンコラボ</v>
      </c>
      <c r="BJ415" s="41" t="s">
        <v>1024</v>
      </c>
      <c r="BK415" s="10" t="s">
        <v>1019</v>
      </c>
    </row>
    <row r="416" spans="1:63" x14ac:dyDescent="0.15">
      <c r="A416" s="10" t="s">
        <v>1016</v>
      </c>
      <c r="B416" s="10" t="s">
        <v>1454</v>
      </c>
      <c r="C416" s="38" t="str">
        <f>"./images/thumbnail/"&amp;データ!B416&amp;".jpg"</f>
        <v>./images/thumbnail/1719.jpg</v>
      </c>
      <c r="D416" s="38" t="s">
        <v>1455</v>
      </c>
      <c r="E416" s="38" t="str">
        <f>"./images/thumbnail/"&amp;データ!B416&amp;".jpg"</f>
        <v>./images/thumbnail/1719.jpg</v>
      </c>
      <c r="F416" s="38" t="s">
        <v>1116</v>
      </c>
      <c r="G416" s="38" t="s">
        <v>1319</v>
      </c>
      <c r="H416" s="38" t="str">
        <f>データ!C416</f>
        <v>アスカ</v>
      </c>
      <c r="I416" s="38" t="s">
        <v>1024</v>
      </c>
      <c r="J416" s="38" t="s">
        <v>1320</v>
      </c>
      <c r="K416" s="38" t="str">
        <f>データ!D416</f>
        <v>UR</v>
      </c>
      <c r="L416" s="38" t="s">
        <v>1024</v>
      </c>
      <c r="M416" s="38" t="s">
        <v>1321</v>
      </c>
      <c r="N416" s="38">
        <f>データ!E416</f>
        <v>14</v>
      </c>
      <c r="O416" s="38" t="s">
        <v>1024</v>
      </c>
      <c r="P416" s="38" t="s">
        <v>1319</v>
      </c>
      <c r="Q416" s="38" t="str">
        <f>データ!F416</f>
        <v>打</v>
      </c>
      <c r="R416" s="38" t="s">
        <v>1024</v>
      </c>
      <c r="S416" s="38" t="s">
        <v>1319</v>
      </c>
      <c r="T416" s="39">
        <f>データ!G416</f>
        <v>24663</v>
      </c>
      <c r="U416" s="40" t="s">
        <v>1024</v>
      </c>
      <c r="V416" s="40" t="s">
        <v>1319</v>
      </c>
      <c r="W416" s="39">
        <f>データ!H416</f>
        <v>7048</v>
      </c>
      <c r="X416" s="40" t="s">
        <v>1024</v>
      </c>
      <c r="Y416" s="40" t="s">
        <v>1319</v>
      </c>
      <c r="Z416" s="39">
        <f>データ!I416</f>
        <v>7630</v>
      </c>
      <c r="AA416" s="40" t="s">
        <v>1024</v>
      </c>
      <c r="AB416" s="40" t="s">
        <v>1322</v>
      </c>
      <c r="AC416" s="39" t="str">
        <f>データ!J416</f>
        <v>A+</v>
      </c>
      <c r="AD416" s="38" t="s">
        <v>1024</v>
      </c>
      <c r="AE416" s="40" t="s">
        <v>1323</v>
      </c>
      <c r="AF416" s="39">
        <f>データ!K416</f>
        <v>39341</v>
      </c>
      <c r="AG416" s="40" t="s">
        <v>1024</v>
      </c>
      <c r="AH416" s="40" t="s">
        <v>1324</v>
      </c>
      <c r="AI416" s="39" t="str">
        <f>データ!L416</f>
        <v>あんたバカぁ！？</v>
      </c>
      <c r="AJ416" s="10" t="s">
        <v>1113</v>
      </c>
      <c r="AK416" s="39" t="str">
        <f>データ!M416</f>
        <v>X字型攻撃[特大]自分の攻撃力UP[特大]</v>
      </c>
      <c r="AL416" s="10" t="s">
        <v>1024</v>
      </c>
      <c r="AM416" s="40" t="s">
        <v>1325</v>
      </c>
      <c r="AN416" s="39" t="str">
        <f>データ!N416</f>
        <v>-</v>
      </c>
      <c r="AO416" s="10" t="s">
        <v>1113</v>
      </c>
      <c r="AP416" s="39" t="str">
        <f>データ!O416</f>
        <v>　</v>
      </c>
      <c r="AQ416" s="41" t="s">
        <v>1024</v>
      </c>
      <c r="AR416" s="40" t="s">
        <v>1324</v>
      </c>
      <c r="AS416" s="39" t="str">
        <f>データ!P416</f>
        <v>ストリーム／真</v>
      </c>
      <c r="AT416" s="10" t="s">
        <v>1113</v>
      </c>
      <c r="AU416" s="39" t="str">
        <f>データ!Q416</f>
        <v>パーティ全体の攻撃力・速度が中UP(3分間)</v>
      </c>
      <c r="AV416" s="10" t="s">
        <v>1024</v>
      </c>
      <c r="AW416" s="40" t="s">
        <v>1324</v>
      </c>
      <c r="AX416" s="39" t="str">
        <f>データ!R416</f>
        <v>-</v>
      </c>
      <c r="AY416" s="10" t="s">
        <v>1113</v>
      </c>
      <c r="AZ416" s="39" t="str">
        <f>データ!S416</f>
        <v>　</v>
      </c>
      <c r="BA416" s="41" t="s">
        <v>1024</v>
      </c>
      <c r="BB416" s="40" t="s">
        <v>1319</v>
      </c>
      <c r="BC416" s="39" t="str">
        <f>データ!T416</f>
        <v>-</v>
      </c>
      <c r="BD416" s="41" t="s">
        <v>1024</v>
      </c>
      <c r="BE416" s="40" t="s">
        <v>1320</v>
      </c>
      <c r="BF416" s="39" t="str">
        <f>データ!U416</f>
        <v>-</v>
      </c>
      <c r="BG416" s="41" t="s">
        <v>1024</v>
      </c>
      <c r="BH416" s="40" t="s">
        <v>1319</v>
      </c>
      <c r="BI416" s="39" t="str">
        <f>データ!V416</f>
        <v>ヱヴァンゲリヲンコラボ</v>
      </c>
      <c r="BJ416" s="41" t="s">
        <v>1024</v>
      </c>
      <c r="BK416" s="10" t="s">
        <v>1019</v>
      </c>
    </row>
    <row r="417" spans="1:63" x14ac:dyDescent="0.15">
      <c r="A417" s="10" t="s">
        <v>1016</v>
      </c>
      <c r="B417" s="10" t="s">
        <v>1454</v>
      </c>
      <c r="C417" s="38" t="str">
        <f>"./images/thumbnail/"&amp;データ!B417&amp;".jpg"</f>
        <v>./images/thumbnail/1721.jpg</v>
      </c>
      <c r="D417" s="38" t="s">
        <v>1455</v>
      </c>
      <c r="E417" s="38" t="str">
        <f>"./images/thumbnail/"&amp;データ!B417&amp;".jpg"</f>
        <v>./images/thumbnail/1721.jpg</v>
      </c>
      <c r="F417" s="38" t="s">
        <v>1116</v>
      </c>
      <c r="G417" s="38" t="s">
        <v>1319</v>
      </c>
      <c r="H417" s="38" t="str">
        <f>データ!C417</f>
        <v>マリ</v>
      </c>
      <c r="I417" s="38" t="s">
        <v>1024</v>
      </c>
      <c r="J417" s="38" t="s">
        <v>1320</v>
      </c>
      <c r="K417" s="38" t="str">
        <f>データ!D417</f>
        <v>SSR</v>
      </c>
      <c r="L417" s="38" t="s">
        <v>1024</v>
      </c>
      <c r="M417" s="38" t="s">
        <v>1321</v>
      </c>
      <c r="N417" s="38">
        <f>データ!E417</f>
        <v>13</v>
      </c>
      <c r="O417" s="38" t="s">
        <v>1024</v>
      </c>
      <c r="P417" s="38" t="s">
        <v>1319</v>
      </c>
      <c r="Q417" s="38" t="str">
        <f>データ!F417</f>
        <v>遠</v>
      </c>
      <c r="R417" s="38" t="s">
        <v>1024</v>
      </c>
      <c r="S417" s="38" t="s">
        <v>1319</v>
      </c>
      <c r="T417" s="39">
        <f>データ!G417</f>
        <v>16199</v>
      </c>
      <c r="U417" s="40" t="s">
        <v>1024</v>
      </c>
      <c r="V417" s="40" t="s">
        <v>1319</v>
      </c>
      <c r="W417" s="39">
        <f>データ!H417</f>
        <v>6676</v>
      </c>
      <c r="X417" s="40" t="s">
        <v>1024</v>
      </c>
      <c r="Y417" s="40" t="s">
        <v>1319</v>
      </c>
      <c r="Z417" s="39">
        <f>データ!I417</f>
        <v>4707</v>
      </c>
      <c r="AA417" s="40" t="s">
        <v>1024</v>
      </c>
      <c r="AB417" s="40" t="s">
        <v>1322</v>
      </c>
      <c r="AC417" s="39" t="str">
        <f>データ!J417</f>
        <v>S-</v>
      </c>
      <c r="AD417" s="38" t="s">
        <v>1024</v>
      </c>
      <c r="AE417" s="40" t="s">
        <v>1323</v>
      </c>
      <c r="AF417" s="39">
        <f>データ!K417</f>
        <v>27582</v>
      </c>
      <c r="AG417" s="40" t="s">
        <v>1024</v>
      </c>
      <c r="AH417" s="40" t="s">
        <v>1324</v>
      </c>
      <c r="AI417" s="39" t="str">
        <f>データ!L417</f>
        <v>天幻射の四連撃／真</v>
      </c>
      <c r="AJ417" s="10" t="s">
        <v>1113</v>
      </c>
      <c r="AK417" s="39" t="str">
        <f>データ!M417</f>
        <v>ランダム4連続攻撃[中]自分の攻撃力UP[中]</v>
      </c>
      <c r="AL417" s="10" t="s">
        <v>1024</v>
      </c>
      <c r="AM417" s="40" t="s">
        <v>1325</v>
      </c>
      <c r="AN417" s="39" t="str">
        <f>データ!N417</f>
        <v>-</v>
      </c>
      <c r="AO417" s="10" t="s">
        <v>1113</v>
      </c>
      <c r="AP417" s="39" t="str">
        <f>データ!O417</f>
        <v>　</v>
      </c>
      <c r="AQ417" s="41" t="s">
        <v>1024</v>
      </c>
      <c r="AR417" s="40" t="s">
        <v>1324</v>
      </c>
      <c r="AS417" s="39" t="str">
        <f>データ!P417</f>
        <v>バーサク</v>
      </c>
      <c r="AT417" s="10" t="s">
        <v>1113</v>
      </c>
      <c r="AU417" s="39" t="str">
        <f>データ!Q417</f>
        <v>強襲が発生無効、バトル時に攻・防小UP(3分間)</v>
      </c>
      <c r="AV417" s="10" t="s">
        <v>1024</v>
      </c>
      <c r="AW417" s="40" t="s">
        <v>1324</v>
      </c>
      <c r="AX417" s="39" t="str">
        <f>データ!R417</f>
        <v>-</v>
      </c>
      <c r="AY417" s="10" t="s">
        <v>1113</v>
      </c>
      <c r="AZ417" s="39" t="str">
        <f>データ!S417</f>
        <v>　</v>
      </c>
      <c r="BA417" s="41" t="s">
        <v>1024</v>
      </c>
      <c r="BB417" s="40" t="s">
        <v>1319</v>
      </c>
      <c r="BC417" s="39" t="str">
        <f>データ!T417</f>
        <v>-</v>
      </c>
      <c r="BD417" s="41" t="s">
        <v>1024</v>
      </c>
      <c r="BE417" s="40" t="s">
        <v>1320</v>
      </c>
      <c r="BF417" s="39" t="str">
        <f>データ!U417</f>
        <v>-</v>
      </c>
      <c r="BG417" s="41" t="s">
        <v>1024</v>
      </c>
      <c r="BH417" s="40" t="s">
        <v>1319</v>
      </c>
      <c r="BI417" s="39" t="str">
        <f>データ!V417</f>
        <v>ヱヴァンゲリヲンコラボ</v>
      </c>
      <c r="BJ417" s="41" t="s">
        <v>1024</v>
      </c>
      <c r="BK417" s="10" t="s">
        <v>1019</v>
      </c>
    </row>
    <row r="418" spans="1:63" x14ac:dyDescent="0.15">
      <c r="A418" s="10" t="s">
        <v>1016</v>
      </c>
      <c r="B418" s="10" t="s">
        <v>1454</v>
      </c>
      <c r="C418" s="38" t="str">
        <f>"./images/thumbnail/"&amp;データ!B418&amp;".jpg"</f>
        <v>./images/thumbnail/1722.jpg</v>
      </c>
      <c r="D418" s="38" t="s">
        <v>1455</v>
      </c>
      <c r="E418" s="38" t="str">
        <f>"./images/thumbnail/"&amp;データ!B418&amp;".jpg"</f>
        <v>./images/thumbnail/1722.jpg</v>
      </c>
      <c r="F418" s="38" t="s">
        <v>1116</v>
      </c>
      <c r="G418" s="38" t="s">
        <v>1319</v>
      </c>
      <c r="H418" s="38" t="str">
        <f>データ!C418</f>
        <v>マリ</v>
      </c>
      <c r="I418" s="38" t="s">
        <v>1024</v>
      </c>
      <c r="J418" s="38" t="s">
        <v>1320</v>
      </c>
      <c r="K418" s="38" t="str">
        <f>データ!D418</f>
        <v>UR</v>
      </c>
      <c r="L418" s="38" t="s">
        <v>1024</v>
      </c>
      <c r="M418" s="38" t="s">
        <v>1321</v>
      </c>
      <c r="N418" s="38">
        <f>データ!E418</f>
        <v>14</v>
      </c>
      <c r="O418" s="38" t="s">
        <v>1024</v>
      </c>
      <c r="P418" s="38" t="s">
        <v>1319</v>
      </c>
      <c r="Q418" s="38" t="str">
        <f>データ!F418</f>
        <v>遠</v>
      </c>
      <c r="R418" s="38" t="s">
        <v>1024</v>
      </c>
      <c r="S418" s="38" t="s">
        <v>1319</v>
      </c>
      <c r="T418" s="39">
        <f>データ!G418</f>
        <v>17640</v>
      </c>
      <c r="U418" s="40" t="s">
        <v>1024</v>
      </c>
      <c r="V418" s="40" t="s">
        <v>1319</v>
      </c>
      <c r="W418" s="39">
        <f>データ!H418</f>
        <v>7248</v>
      </c>
      <c r="X418" s="40" t="s">
        <v>1024</v>
      </c>
      <c r="Y418" s="40" t="s">
        <v>1319</v>
      </c>
      <c r="Z418" s="39">
        <f>データ!I418</f>
        <v>5597</v>
      </c>
      <c r="AA418" s="40" t="s">
        <v>1024</v>
      </c>
      <c r="AB418" s="40" t="s">
        <v>1322</v>
      </c>
      <c r="AC418" s="39" t="str">
        <f>データ!J418</f>
        <v>S+</v>
      </c>
      <c r="AD418" s="38" t="s">
        <v>1024</v>
      </c>
      <c r="AE418" s="40" t="s">
        <v>1323</v>
      </c>
      <c r="AF418" s="39">
        <f>データ!K418</f>
        <v>30485</v>
      </c>
      <c r="AG418" s="40" t="s">
        <v>1024</v>
      </c>
      <c r="AH418" s="40" t="s">
        <v>1324</v>
      </c>
      <c r="AI418" s="39" t="str">
        <f>データ!L418</f>
        <v>ワンツーパンチ！</v>
      </c>
      <c r="AJ418" s="10" t="s">
        <v>1113</v>
      </c>
      <c r="AK418" s="39" t="str">
        <f>データ!M418</f>
        <v>敵全体に攻撃[特大]</v>
      </c>
      <c r="AL418" s="10" t="s">
        <v>1024</v>
      </c>
      <c r="AM418" s="40" t="s">
        <v>1325</v>
      </c>
      <c r="AN418" s="39" t="str">
        <f>データ!N418</f>
        <v>-</v>
      </c>
      <c r="AO418" s="10" t="s">
        <v>1113</v>
      </c>
      <c r="AP418" s="39" t="str">
        <f>データ!O418</f>
        <v>　</v>
      </c>
      <c r="AQ418" s="41" t="s">
        <v>1024</v>
      </c>
      <c r="AR418" s="40" t="s">
        <v>1324</v>
      </c>
      <c r="AS418" s="39" t="str">
        <f>データ!P418</f>
        <v>フォートレスオーダー／真</v>
      </c>
      <c r="AT418" s="10" t="s">
        <v>1113</v>
      </c>
      <c r="AU418" s="39" t="str">
        <f>データ!Q418</f>
        <v>騎士団全体の防御力が中UP(3分間)</v>
      </c>
      <c r="AV418" s="10" t="s">
        <v>1024</v>
      </c>
      <c r="AW418" s="40" t="s">
        <v>1324</v>
      </c>
      <c r="AX418" s="39" t="str">
        <f>データ!R418</f>
        <v>-</v>
      </c>
      <c r="AY418" s="10" t="s">
        <v>1113</v>
      </c>
      <c r="AZ418" s="39" t="str">
        <f>データ!S418</f>
        <v>　</v>
      </c>
      <c r="BA418" s="41" t="s">
        <v>1024</v>
      </c>
      <c r="BB418" s="40" t="s">
        <v>1319</v>
      </c>
      <c r="BC418" s="39" t="str">
        <f>データ!T418</f>
        <v>-</v>
      </c>
      <c r="BD418" s="41" t="s">
        <v>1024</v>
      </c>
      <c r="BE418" s="40" t="s">
        <v>1320</v>
      </c>
      <c r="BF418" s="39" t="str">
        <f>データ!U418</f>
        <v>-</v>
      </c>
      <c r="BG418" s="41" t="s">
        <v>1024</v>
      </c>
      <c r="BH418" s="40" t="s">
        <v>1319</v>
      </c>
      <c r="BI418" s="39" t="str">
        <f>データ!V418</f>
        <v>ヱヴァンゲリヲンコラボ</v>
      </c>
      <c r="BJ418" s="41" t="s">
        <v>1024</v>
      </c>
      <c r="BK418" s="10" t="s">
        <v>1019</v>
      </c>
    </row>
    <row r="419" spans="1:63" x14ac:dyDescent="0.15">
      <c r="A419" s="10" t="s">
        <v>1016</v>
      </c>
      <c r="B419" s="10" t="s">
        <v>1454</v>
      </c>
      <c r="C419" s="38" t="str">
        <f>"./images/thumbnail/"&amp;データ!B419&amp;".jpg"</f>
        <v>./images/thumbnail/1724.jpg</v>
      </c>
      <c r="D419" s="38" t="s">
        <v>1455</v>
      </c>
      <c r="E419" s="38" t="str">
        <f>"./images/thumbnail/"&amp;データ!B419&amp;".jpg"</f>
        <v>./images/thumbnail/1724.jpg</v>
      </c>
      <c r="F419" s="38" t="s">
        <v>1116</v>
      </c>
      <c r="G419" s="38" t="s">
        <v>1319</v>
      </c>
      <c r="H419" s="38" t="str">
        <f>データ!C419</f>
        <v>ジョーヌ</v>
      </c>
      <c r="I419" s="38" t="s">
        <v>1024</v>
      </c>
      <c r="J419" s="38" t="s">
        <v>1320</v>
      </c>
      <c r="K419" s="38" t="str">
        <f>データ!D419</f>
        <v>SSR</v>
      </c>
      <c r="L419" s="38" t="s">
        <v>1024</v>
      </c>
      <c r="M419" s="38" t="s">
        <v>1321</v>
      </c>
      <c r="N419" s="38">
        <f>データ!E419</f>
        <v>13</v>
      </c>
      <c r="O419" s="38" t="s">
        <v>1024</v>
      </c>
      <c r="P419" s="38" t="s">
        <v>1319</v>
      </c>
      <c r="Q419" s="38" t="str">
        <f>データ!F419</f>
        <v>遠</v>
      </c>
      <c r="R419" s="38" t="s">
        <v>1024</v>
      </c>
      <c r="S419" s="38" t="s">
        <v>1319</v>
      </c>
      <c r="T419" s="39">
        <f>データ!G419</f>
        <v>15702</v>
      </c>
      <c r="U419" s="40" t="s">
        <v>1024</v>
      </c>
      <c r="V419" s="40" t="s">
        <v>1319</v>
      </c>
      <c r="W419" s="39">
        <f>データ!H419</f>
        <v>5796</v>
      </c>
      <c r="X419" s="40" t="s">
        <v>1024</v>
      </c>
      <c r="Y419" s="40" t="s">
        <v>1319</v>
      </c>
      <c r="Z419" s="39">
        <f>データ!I419</f>
        <v>4863</v>
      </c>
      <c r="AA419" s="40" t="s">
        <v>1024</v>
      </c>
      <c r="AB419" s="40" t="s">
        <v>1322</v>
      </c>
      <c r="AC419" s="39" t="str">
        <f>データ!J419</f>
        <v>SS-</v>
      </c>
      <c r="AD419" s="38" t="s">
        <v>1024</v>
      </c>
      <c r="AE419" s="40" t="s">
        <v>1323</v>
      </c>
      <c r="AF419" s="39">
        <f>データ!K419</f>
        <v>26361</v>
      </c>
      <c r="AG419" s="40" t="s">
        <v>1024</v>
      </c>
      <c r="AH419" s="40" t="s">
        <v>1324</v>
      </c>
      <c r="AI419" s="39" t="str">
        <f>データ!L419</f>
        <v>暗闇の言霊／絶</v>
      </c>
      <c r="AJ419" s="10" t="s">
        <v>1113</v>
      </c>
      <c r="AK419" s="39" t="str">
        <f>データ!M419</f>
        <v>一定確率で敵を暗闇状態にする[高確率]</v>
      </c>
      <c r="AL419" s="10" t="s">
        <v>1024</v>
      </c>
      <c r="AM419" s="40" t="s">
        <v>1325</v>
      </c>
      <c r="AN419" s="39" t="str">
        <f>データ!N419</f>
        <v>-</v>
      </c>
      <c r="AO419" s="10" t="s">
        <v>1113</v>
      </c>
      <c r="AP419" s="39" t="str">
        <f>データ!O419</f>
        <v>　</v>
      </c>
      <c r="AQ419" s="41" t="s">
        <v>1024</v>
      </c>
      <c r="AR419" s="40" t="s">
        <v>1324</v>
      </c>
      <c r="AS419" s="39" t="str">
        <f>データ!P419</f>
        <v>カウンター／真</v>
      </c>
      <c r="AT419" s="10" t="s">
        <v>1113</v>
      </c>
      <c r="AU419" s="39" t="str">
        <f>データ!Q419</f>
        <v>迎撃時にパーティ全体の攻・防が中UP(3分間)</v>
      </c>
      <c r="AV419" s="10" t="s">
        <v>1024</v>
      </c>
      <c r="AW419" s="40" t="s">
        <v>1324</v>
      </c>
      <c r="AX419" s="39" t="str">
        <f>データ!R419</f>
        <v>-</v>
      </c>
      <c r="AY419" s="10" t="s">
        <v>1113</v>
      </c>
      <c r="AZ419" s="39" t="str">
        <f>データ!S419</f>
        <v>　</v>
      </c>
      <c r="BA419" s="41" t="s">
        <v>1024</v>
      </c>
      <c r="BB419" s="40" t="s">
        <v>1319</v>
      </c>
      <c r="BC419" s="39" t="str">
        <f>データ!T419</f>
        <v>-</v>
      </c>
      <c r="BD419" s="41" t="s">
        <v>1024</v>
      </c>
      <c r="BE419" s="40" t="s">
        <v>1320</v>
      </c>
      <c r="BF419" s="39" t="str">
        <f>データ!U419</f>
        <v>-</v>
      </c>
      <c r="BG419" s="41" t="s">
        <v>1024</v>
      </c>
      <c r="BH419" s="40" t="s">
        <v>1319</v>
      </c>
      <c r="BI419" s="39" t="str">
        <f>データ!V419</f>
        <v>メダル</v>
      </c>
      <c r="BJ419" s="41" t="s">
        <v>1024</v>
      </c>
      <c r="BK419" s="10" t="s">
        <v>1019</v>
      </c>
    </row>
    <row r="420" spans="1:63" x14ac:dyDescent="0.15">
      <c r="A420" s="10" t="s">
        <v>1016</v>
      </c>
      <c r="B420" s="10" t="s">
        <v>1454</v>
      </c>
      <c r="C420" s="38" t="str">
        <f>"./images/thumbnail/"&amp;データ!B420&amp;".jpg"</f>
        <v>./images/thumbnail/1726.jpg</v>
      </c>
      <c r="D420" s="38" t="s">
        <v>1455</v>
      </c>
      <c r="E420" s="38" t="str">
        <f>"./images/thumbnail/"&amp;データ!B420&amp;".jpg"</f>
        <v>./images/thumbnail/1726.jpg</v>
      </c>
      <c r="F420" s="38" t="s">
        <v>1116</v>
      </c>
      <c r="G420" s="38" t="s">
        <v>1319</v>
      </c>
      <c r="H420" s="38" t="str">
        <f>データ!C420</f>
        <v>ジム</v>
      </c>
      <c r="I420" s="38" t="s">
        <v>1024</v>
      </c>
      <c r="J420" s="38" t="s">
        <v>1320</v>
      </c>
      <c r="K420" s="38" t="str">
        <f>データ!D420</f>
        <v>UR</v>
      </c>
      <c r="L420" s="38" t="s">
        <v>1024</v>
      </c>
      <c r="M420" s="38" t="s">
        <v>1321</v>
      </c>
      <c r="N420" s="38">
        <f>データ!E420</f>
        <v>14</v>
      </c>
      <c r="O420" s="38" t="s">
        <v>1024</v>
      </c>
      <c r="P420" s="38" t="s">
        <v>1319</v>
      </c>
      <c r="Q420" s="38" t="str">
        <f>データ!F420</f>
        <v>斬</v>
      </c>
      <c r="R420" s="38" t="s">
        <v>1024</v>
      </c>
      <c r="S420" s="38" t="s">
        <v>1319</v>
      </c>
      <c r="T420" s="39">
        <f>データ!G420</f>
        <v>19157</v>
      </c>
      <c r="U420" s="40" t="s">
        <v>1024</v>
      </c>
      <c r="V420" s="40" t="s">
        <v>1319</v>
      </c>
      <c r="W420" s="39">
        <f>データ!H420</f>
        <v>7666</v>
      </c>
      <c r="X420" s="40" t="s">
        <v>1024</v>
      </c>
      <c r="Y420" s="40" t="s">
        <v>1319</v>
      </c>
      <c r="Z420" s="39">
        <f>データ!I420</f>
        <v>6249</v>
      </c>
      <c r="AA420" s="40" t="s">
        <v>1024</v>
      </c>
      <c r="AB420" s="40" t="s">
        <v>1322</v>
      </c>
      <c r="AC420" s="39" t="str">
        <f>データ!J420</f>
        <v>S</v>
      </c>
      <c r="AD420" s="38" t="s">
        <v>1024</v>
      </c>
      <c r="AE420" s="40" t="s">
        <v>1323</v>
      </c>
      <c r="AF420" s="39">
        <f>データ!K420</f>
        <v>33072</v>
      </c>
      <c r="AG420" s="40" t="s">
        <v>1024</v>
      </c>
      <c r="AH420" s="40" t="s">
        <v>1324</v>
      </c>
      <c r="AI420" s="39" t="str">
        <f>データ!L420</f>
        <v>地焔幻の一閃／煌</v>
      </c>
      <c r="AJ420" s="10" t="s">
        <v>1113</v>
      </c>
      <c r="AK420" s="39" t="str">
        <f>データ!M420</f>
        <v>横一列攻撃[特大]自分の防御力UP[特大]</v>
      </c>
      <c r="AL420" s="10" t="s">
        <v>1024</v>
      </c>
      <c r="AM420" s="40" t="s">
        <v>1325</v>
      </c>
      <c r="AN420" s="39" t="str">
        <f>データ!N420</f>
        <v>-</v>
      </c>
      <c r="AO420" s="10" t="s">
        <v>1113</v>
      </c>
      <c r="AP420" s="39" t="str">
        <f>データ!O420</f>
        <v>　</v>
      </c>
      <c r="AQ420" s="41" t="s">
        <v>1024</v>
      </c>
      <c r="AR420" s="40" t="s">
        <v>1324</v>
      </c>
      <c r="AS420" s="39" t="str">
        <f>データ!P420</f>
        <v>ブリッツ</v>
      </c>
      <c r="AT420" s="10" t="s">
        <v>1113</v>
      </c>
      <c r="AU420" s="39" t="str">
        <f>データ!Q420</f>
        <v>強襲CBの発生確率・強襲時獲得ポイントUP(3分間)</v>
      </c>
      <c r="AV420" s="10" t="s">
        <v>1024</v>
      </c>
      <c r="AW420" s="40" t="s">
        <v>1324</v>
      </c>
      <c r="AX420" s="39" t="str">
        <f>データ!R420</f>
        <v>-</v>
      </c>
      <c r="AY420" s="10" t="s">
        <v>1113</v>
      </c>
      <c r="AZ420" s="39" t="str">
        <f>データ!S420</f>
        <v>　</v>
      </c>
      <c r="BA420" s="41" t="s">
        <v>1024</v>
      </c>
      <c r="BB420" s="40" t="s">
        <v>1319</v>
      </c>
      <c r="BC420" s="39" t="str">
        <f>データ!T420</f>
        <v>-</v>
      </c>
      <c r="BD420" s="41" t="s">
        <v>1024</v>
      </c>
      <c r="BE420" s="40" t="s">
        <v>1320</v>
      </c>
      <c r="BF420" s="39" t="str">
        <f>データ!U420</f>
        <v>-</v>
      </c>
      <c r="BG420" s="41" t="s">
        <v>1024</v>
      </c>
      <c r="BH420" s="40" t="s">
        <v>1319</v>
      </c>
      <c r="BI420" s="39" t="str">
        <f>データ!V420</f>
        <v>ガチャイベ</v>
      </c>
      <c r="BJ420" s="41" t="s">
        <v>1024</v>
      </c>
      <c r="BK420" s="10" t="s">
        <v>1019</v>
      </c>
    </row>
    <row r="421" spans="1:63" x14ac:dyDescent="0.15">
      <c r="A421" s="10" t="s">
        <v>1016</v>
      </c>
      <c r="B421" s="10" t="s">
        <v>1454</v>
      </c>
      <c r="C421" s="38" t="str">
        <f>"./images/thumbnail/"&amp;データ!B421&amp;".jpg"</f>
        <v>./images/thumbnail/1728.jpg</v>
      </c>
      <c r="D421" s="38" t="s">
        <v>1455</v>
      </c>
      <c r="E421" s="38" t="str">
        <f>"./images/thumbnail/"&amp;データ!B421&amp;".jpg"</f>
        <v>./images/thumbnail/1728.jpg</v>
      </c>
      <c r="F421" s="38" t="s">
        <v>1116</v>
      </c>
      <c r="G421" s="38" t="s">
        <v>1319</v>
      </c>
      <c r="H421" s="38" t="str">
        <f>データ!C421</f>
        <v>ベルナデッタ</v>
      </c>
      <c r="I421" s="38" t="s">
        <v>1024</v>
      </c>
      <c r="J421" s="38" t="s">
        <v>1320</v>
      </c>
      <c r="K421" s="38" t="str">
        <f>データ!D421</f>
        <v>UR</v>
      </c>
      <c r="L421" s="38" t="s">
        <v>1024</v>
      </c>
      <c r="M421" s="38" t="s">
        <v>1321</v>
      </c>
      <c r="N421" s="38">
        <f>データ!E421</f>
        <v>14</v>
      </c>
      <c r="O421" s="38" t="s">
        <v>1024</v>
      </c>
      <c r="P421" s="38" t="s">
        <v>1319</v>
      </c>
      <c r="Q421" s="38" t="str">
        <f>データ!F421</f>
        <v>突</v>
      </c>
      <c r="R421" s="38" t="s">
        <v>1024</v>
      </c>
      <c r="S421" s="38" t="s">
        <v>1319</v>
      </c>
      <c r="T421" s="39">
        <f>データ!G421</f>
        <v>19694</v>
      </c>
      <c r="U421" s="40" t="s">
        <v>1024</v>
      </c>
      <c r="V421" s="40" t="s">
        <v>1319</v>
      </c>
      <c r="W421" s="39">
        <f>データ!H421</f>
        <v>5857</v>
      </c>
      <c r="X421" s="40" t="s">
        <v>1024</v>
      </c>
      <c r="Y421" s="40" t="s">
        <v>1319</v>
      </c>
      <c r="Z421" s="39">
        <f>データ!I421</f>
        <v>7072</v>
      </c>
      <c r="AA421" s="40" t="s">
        <v>1024</v>
      </c>
      <c r="AB421" s="40" t="s">
        <v>1322</v>
      </c>
      <c r="AC421" s="39" t="str">
        <f>データ!J421</f>
        <v>SS+</v>
      </c>
      <c r="AD421" s="38" t="s">
        <v>1024</v>
      </c>
      <c r="AE421" s="40" t="s">
        <v>1323</v>
      </c>
      <c r="AF421" s="39">
        <f>データ!K421</f>
        <v>32623</v>
      </c>
      <c r="AG421" s="40" t="s">
        <v>1024</v>
      </c>
      <c r="AH421" s="40" t="s">
        <v>1324</v>
      </c>
      <c r="AI421" s="39" t="str">
        <f>データ!L421</f>
        <v>蒼突の神護</v>
      </c>
      <c r="AJ421" s="10" t="s">
        <v>1113</v>
      </c>
      <c r="AK421" s="39" t="str">
        <f>データ!M421</f>
        <v>味方突属性の防御力をUP[特大]</v>
      </c>
      <c r="AL421" s="10" t="s">
        <v>1024</v>
      </c>
      <c r="AM421" s="40" t="s">
        <v>1325</v>
      </c>
      <c r="AN421" s="39" t="str">
        <f>データ!N421</f>
        <v>-</v>
      </c>
      <c r="AO421" s="10" t="s">
        <v>1113</v>
      </c>
      <c r="AP421" s="39" t="str">
        <f>データ!O421</f>
        <v>　</v>
      </c>
      <c r="AQ421" s="41" t="s">
        <v>1024</v>
      </c>
      <c r="AR421" s="40" t="s">
        <v>1324</v>
      </c>
      <c r="AS421" s="39" t="str">
        <f>データ!P421</f>
        <v>アサルトオーダー／真</v>
      </c>
      <c r="AT421" s="10" t="s">
        <v>1113</v>
      </c>
      <c r="AU421" s="39" t="str">
        <f>データ!Q421</f>
        <v>騎士団全体の攻撃力が中UP(3分間)</v>
      </c>
      <c r="AV421" s="10" t="s">
        <v>1024</v>
      </c>
      <c r="AW421" s="40" t="s">
        <v>1324</v>
      </c>
      <c r="AX421" s="39" t="str">
        <f>データ!R421</f>
        <v>-</v>
      </c>
      <c r="AY421" s="10" t="s">
        <v>1113</v>
      </c>
      <c r="AZ421" s="39" t="str">
        <f>データ!S421</f>
        <v>　</v>
      </c>
      <c r="BA421" s="41" t="s">
        <v>1024</v>
      </c>
      <c r="BB421" s="40" t="s">
        <v>1319</v>
      </c>
      <c r="BC421" s="39" t="str">
        <f>データ!T421</f>
        <v>-</v>
      </c>
      <c r="BD421" s="41" t="s">
        <v>1024</v>
      </c>
      <c r="BE421" s="40" t="s">
        <v>1320</v>
      </c>
      <c r="BF421" s="39" t="str">
        <f>データ!U421</f>
        <v>-</v>
      </c>
      <c r="BG421" s="41" t="s">
        <v>1024</v>
      </c>
      <c r="BH421" s="40" t="s">
        <v>1319</v>
      </c>
      <c r="BI421" s="39" t="str">
        <f>データ!V421</f>
        <v>ガチャイベ</v>
      </c>
      <c r="BJ421" s="41" t="s">
        <v>1024</v>
      </c>
      <c r="BK421" s="10" t="s">
        <v>1019</v>
      </c>
    </row>
    <row r="422" spans="1:63" x14ac:dyDescent="0.15">
      <c r="A422" s="10" t="s">
        <v>1016</v>
      </c>
      <c r="B422" s="10" t="s">
        <v>1454</v>
      </c>
      <c r="C422" s="38" t="str">
        <f>"./images/thumbnail/"&amp;データ!B422&amp;".jpg"</f>
        <v>./images/thumbnail/1728_a.jpg</v>
      </c>
      <c r="D422" s="38" t="s">
        <v>1455</v>
      </c>
      <c r="E422" s="38" t="str">
        <f>"./images/thumbnail/"&amp;データ!B422&amp;".jpg"</f>
        <v>./images/thumbnail/1728_a.jpg</v>
      </c>
      <c r="F422" s="38" t="s">
        <v>1116</v>
      </c>
      <c r="G422" s="38" t="s">
        <v>1319</v>
      </c>
      <c r="H422" s="38" t="str">
        <f>データ!C422</f>
        <v>ベルナデッタ</v>
      </c>
      <c r="I422" s="38" t="s">
        <v>1024</v>
      </c>
      <c r="J422" s="38" t="s">
        <v>1320</v>
      </c>
      <c r="K422" s="38" t="str">
        <f>データ!D422</f>
        <v>UR</v>
      </c>
      <c r="L422" s="38" t="s">
        <v>1024</v>
      </c>
      <c r="M422" s="38" t="s">
        <v>1321</v>
      </c>
      <c r="N422" s="38">
        <f>データ!E422</f>
        <v>14</v>
      </c>
      <c r="O422" s="38" t="s">
        <v>1024</v>
      </c>
      <c r="P422" s="38" t="s">
        <v>1319</v>
      </c>
      <c r="Q422" s="38" t="str">
        <f>データ!F422</f>
        <v>突</v>
      </c>
      <c r="R422" s="38" t="s">
        <v>1024</v>
      </c>
      <c r="S422" s="38" t="s">
        <v>1319</v>
      </c>
      <c r="T422" s="39">
        <f>データ!G422</f>
        <v>27569</v>
      </c>
      <c r="U422" s="40" t="s">
        <v>1024</v>
      </c>
      <c r="V422" s="40" t="s">
        <v>1319</v>
      </c>
      <c r="W422" s="39">
        <f>データ!H422</f>
        <v>7789</v>
      </c>
      <c r="X422" s="40" t="s">
        <v>1024</v>
      </c>
      <c r="Y422" s="40" t="s">
        <v>1319</v>
      </c>
      <c r="Z422" s="39">
        <f>データ!I422</f>
        <v>10600</v>
      </c>
      <c r="AA422" s="40" t="s">
        <v>1024</v>
      </c>
      <c r="AB422" s="40" t="s">
        <v>1322</v>
      </c>
      <c r="AC422" s="39" t="str">
        <f>データ!J422</f>
        <v>SS4</v>
      </c>
      <c r="AD422" s="38" t="s">
        <v>1024</v>
      </c>
      <c r="AE422" s="40" t="s">
        <v>1323</v>
      </c>
      <c r="AF422" s="39">
        <f>データ!K422</f>
        <v>45958</v>
      </c>
      <c r="AG422" s="40" t="s">
        <v>1024</v>
      </c>
      <c r="AH422" s="40" t="s">
        <v>1324</v>
      </c>
      <c r="AI422" s="39" t="str">
        <f>データ!L422</f>
        <v>蒼突の神護＋</v>
      </c>
      <c r="AJ422" s="10" t="s">
        <v>1113</v>
      </c>
      <c r="AK422" s="39" t="str">
        <f>データ!M422</f>
        <v>味方突属性の防御力をUP[超極大]</v>
      </c>
      <c r="AL422" s="10" t="s">
        <v>1024</v>
      </c>
      <c r="AM422" s="40" t="s">
        <v>1325</v>
      </c>
      <c r="AN422" s="39" t="str">
        <f>データ!N422</f>
        <v>-</v>
      </c>
      <c r="AO422" s="10" t="s">
        <v>1113</v>
      </c>
      <c r="AP422" s="39" t="str">
        <f>データ!O422</f>
        <v>　</v>
      </c>
      <c r="AQ422" s="41" t="s">
        <v>1024</v>
      </c>
      <c r="AR422" s="40" t="s">
        <v>1324</v>
      </c>
      <c r="AS422" s="39" t="str">
        <f>データ!P422</f>
        <v>アサルトオーダー／真</v>
      </c>
      <c r="AT422" s="10" t="s">
        <v>1113</v>
      </c>
      <c r="AU422" s="39" t="str">
        <f>データ!Q422</f>
        <v>騎士団全体の攻撃力が中UP(3分間)</v>
      </c>
      <c r="AV422" s="10" t="s">
        <v>1024</v>
      </c>
      <c r="AW422" s="40" t="s">
        <v>1324</v>
      </c>
      <c r="AX422" s="39" t="str">
        <f>データ!R422</f>
        <v>-</v>
      </c>
      <c r="AY422" s="10" t="s">
        <v>1113</v>
      </c>
      <c r="AZ422" s="39" t="str">
        <f>データ!S422</f>
        <v>　</v>
      </c>
      <c r="BA422" s="41" t="s">
        <v>1024</v>
      </c>
      <c r="BB422" s="40" t="s">
        <v>1319</v>
      </c>
      <c r="BC422" s="39" t="str">
        <f>データ!T422</f>
        <v>-</v>
      </c>
      <c r="BD422" s="41" t="s">
        <v>1024</v>
      </c>
      <c r="BE422" s="40" t="s">
        <v>1320</v>
      </c>
      <c r="BF422" s="39" t="str">
        <f>データ!U422</f>
        <v>-</v>
      </c>
      <c r="BG422" s="41" t="s">
        <v>1024</v>
      </c>
      <c r="BH422" s="40" t="s">
        <v>1319</v>
      </c>
      <c r="BI422" s="39" t="str">
        <f>データ!V422</f>
        <v>精鋭化ユニット</v>
      </c>
      <c r="BJ422" s="41" t="s">
        <v>1024</v>
      </c>
      <c r="BK422" s="10" t="s">
        <v>1019</v>
      </c>
    </row>
    <row r="423" spans="1:63" x14ac:dyDescent="0.15">
      <c r="A423" s="10" t="s">
        <v>1016</v>
      </c>
      <c r="B423" s="10" t="s">
        <v>1454</v>
      </c>
      <c r="C423" s="38" t="str">
        <f>"./images/thumbnail/"&amp;データ!B423&amp;".jpg"</f>
        <v>./images/thumbnail/1728_b.jpg</v>
      </c>
      <c r="D423" s="38" t="s">
        <v>1455</v>
      </c>
      <c r="E423" s="38" t="str">
        <f>"./images/thumbnail/"&amp;データ!B423&amp;".jpg"</f>
        <v>./images/thumbnail/1728_b.jpg</v>
      </c>
      <c r="F423" s="38" t="s">
        <v>1116</v>
      </c>
      <c r="G423" s="38" t="s">
        <v>1319</v>
      </c>
      <c r="H423" s="38" t="str">
        <f>データ!C423</f>
        <v>ベルナデッタ</v>
      </c>
      <c r="I423" s="38" t="s">
        <v>1024</v>
      </c>
      <c r="J423" s="38" t="s">
        <v>1320</v>
      </c>
      <c r="K423" s="38" t="str">
        <f>データ!D423</f>
        <v>UR</v>
      </c>
      <c r="L423" s="38" t="s">
        <v>1024</v>
      </c>
      <c r="M423" s="38" t="s">
        <v>1321</v>
      </c>
      <c r="N423" s="38">
        <f>データ!E423</f>
        <v>14</v>
      </c>
      <c r="O423" s="38" t="s">
        <v>1024</v>
      </c>
      <c r="P423" s="38" t="s">
        <v>1319</v>
      </c>
      <c r="Q423" s="38" t="str">
        <f>データ!F423</f>
        <v>突</v>
      </c>
      <c r="R423" s="38" t="s">
        <v>1024</v>
      </c>
      <c r="S423" s="38" t="s">
        <v>1319</v>
      </c>
      <c r="T423" s="39">
        <f>データ!G423</f>
        <v>25595</v>
      </c>
      <c r="U423" s="40" t="s">
        <v>1024</v>
      </c>
      <c r="V423" s="40" t="s">
        <v>1319</v>
      </c>
      <c r="W423" s="39">
        <f>データ!H423</f>
        <v>7495</v>
      </c>
      <c r="X423" s="40" t="s">
        <v>1024</v>
      </c>
      <c r="Y423" s="40" t="s">
        <v>1319</v>
      </c>
      <c r="Z423" s="39">
        <f>データ!I423</f>
        <v>9907</v>
      </c>
      <c r="AA423" s="40" t="s">
        <v>1024</v>
      </c>
      <c r="AB423" s="40" t="s">
        <v>1322</v>
      </c>
      <c r="AC423" s="39" t="str">
        <f>データ!J423</f>
        <v>SS4</v>
      </c>
      <c r="AD423" s="38" t="s">
        <v>1024</v>
      </c>
      <c r="AE423" s="40" t="s">
        <v>1323</v>
      </c>
      <c r="AF423" s="39">
        <f>データ!K423</f>
        <v>42997</v>
      </c>
      <c r="AG423" s="40" t="s">
        <v>1024</v>
      </c>
      <c r="AH423" s="40" t="s">
        <v>1324</v>
      </c>
      <c r="AI423" s="39" t="str">
        <f>データ!L423</f>
        <v>蒼突の神護</v>
      </c>
      <c r="AJ423" s="10" t="s">
        <v>1113</v>
      </c>
      <c r="AK423" s="39" t="str">
        <f>データ!M423</f>
        <v>味方突属性の防御力をUP[特大]</v>
      </c>
      <c r="AL423" s="10" t="s">
        <v>1024</v>
      </c>
      <c r="AM423" s="40" t="s">
        <v>1325</v>
      </c>
      <c r="AN423" s="39" t="str">
        <f>データ!N423</f>
        <v>-</v>
      </c>
      <c r="AO423" s="10" t="s">
        <v>1113</v>
      </c>
      <c r="AP423" s="39" t="str">
        <f>データ!O423</f>
        <v>　</v>
      </c>
      <c r="AQ423" s="41" t="s">
        <v>1024</v>
      </c>
      <c r="AR423" s="40" t="s">
        <v>1324</v>
      </c>
      <c r="AS423" s="39" t="str">
        <f>データ!P423</f>
        <v>紡ぐ思い出</v>
      </c>
      <c r="AT423" s="10" t="s">
        <v>1113</v>
      </c>
      <c r="AU423" s="39" t="str">
        <f>データ!Q423</f>
        <v>騎士団全体の攻撃力が特大UP(3分間)</v>
      </c>
      <c r="AV423" s="10" t="s">
        <v>1024</v>
      </c>
      <c r="AW423" s="40" t="s">
        <v>1324</v>
      </c>
      <c r="AX423" s="39" t="str">
        <f>データ!R423</f>
        <v>-</v>
      </c>
      <c r="AY423" s="10" t="s">
        <v>1113</v>
      </c>
      <c r="AZ423" s="39" t="str">
        <f>データ!S423</f>
        <v>　</v>
      </c>
      <c r="BA423" s="41" t="s">
        <v>1024</v>
      </c>
      <c r="BB423" s="40" t="s">
        <v>1319</v>
      </c>
      <c r="BC423" s="39" t="str">
        <f>データ!T423</f>
        <v>-</v>
      </c>
      <c r="BD423" s="41" t="s">
        <v>1024</v>
      </c>
      <c r="BE423" s="40" t="s">
        <v>1320</v>
      </c>
      <c r="BF423" s="39" t="str">
        <f>データ!U423</f>
        <v>-</v>
      </c>
      <c r="BG423" s="41" t="s">
        <v>1024</v>
      </c>
      <c r="BH423" s="40" t="s">
        <v>1319</v>
      </c>
      <c r="BI423" s="39" t="str">
        <f>データ!V423</f>
        <v>精鋭化ユニット</v>
      </c>
      <c r="BJ423" s="41" t="s">
        <v>1024</v>
      </c>
      <c r="BK423" s="10" t="s">
        <v>1019</v>
      </c>
    </row>
    <row r="424" spans="1:63" x14ac:dyDescent="0.15">
      <c r="A424" s="10" t="s">
        <v>1016</v>
      </c>
      <c r="B424" s="10" t="s">
        <v>1454</v>
      </c>
      <c r="C424" s="38" t="str">
        <f>"./images/thumbnail/"&amp;データ!B424&amp;".jpg"</f>
        <v>./images/thumbnail/1730.jpg</v>
      </c>
      <c r="D424" s="38" t="s">
        <v>1455</v>
      </c>
      <c r="E424" s="38" t="str">
        <f>"./images/thumbnail/"&amp;データ!B424&amp;".jpg"</f>
        <v>./images/thumbnail/1730.jpg</v>
      </c>
      <c r="F424" s="38" t="s">
        <v>1116</v>
      </c>
      <c r="G424" s="38" t="s">
        <v>1319</v>
      </c>
      <c r="H424" s="38" t="str">
        <f>データ!C424</f>
        <v>アーロン</v>
      </c>
      <c r="I424" s="38" t="s">
        <v>1024</v>
      </c>
      <c r="J424" s="38" t="s">
        <v>1320</v>
      </c>
      <c r="K424" s="38" t="str">
        <f>データ!D424</f>
        <v>UR</v>
      </c>
      <c r="L424" s="38" t="s">
        <v>1024</v>
      </c>
      <c r="M424" s="38" t="s">
        <v>1321</v>
      </c>
      <c r="N424" s="38">
        <f>データ!E424</f>
        <v>14</v>
      </c>
      <c r="O424" s="38" t="s">
        <v>1024</v>
      </c>
      <c r="P424" s="38" t="s">
        <v>1319</v>
      </c>
      <c r="Q424" s="38" t="str">
        <f>データ!F424</f>
        <v>打</v>
      </c>
      <c r="R424" s="38" t="s">
        <v>1024</v>
      </c>
      <c r="S424" s="38" t="s">
        <v>1319</v>
      </c>
      <c r="T424" s="39">
        <f>データ!G424</f>
        <v>24793</v>
      </c>
      <c r="U424" s="40" t="s">
        <v>1024</v>
      </c>
      <c r="V424" s="40" t="s">
        <v>1319</v>
      </c>
      <c r="W424" s="39">
        <f>データ!H424</f>
        <v>6169</v>
      </c>
      <c r="X424" s="40" t="s">
        <v>1024</v>
      </c>
      <c r="Y424" s="40" t="s">
        <v>1319</v>
      </c>
      <c r="Z424" s="39">
        <f>データ!I424</f>
        <v>8715</v>
      </c>
      <c r="AA424" s="40" t="s">
        <v>1024</v>
      </c>
      <c r="AB424" s="40" t="s">
        <v>1322</v>
      </c>
      <c r="AC424" s="39" t="str">
        <f>データ!J424</f>
        <v>A+</v>
      </c>
      <c r="AD424" s="38" t="s">
        <v>1024</v>
      </c>
      <c r="AE424" s="40" t="s">
        <v>1323</v>
      </c>
      <c r="AF424" s="39">
        <f>データ!K424</f>
        <v>39677</v>
      </c>
      <c r="AG424" s="40" t="s">
        <v>1024</v>
      </c>
      <c r="AH424" s="40" t="s">
        <v>1324</v>
      </c>
      <c r="AI424" s="39" t="str">
        <f>データ!L424</f>
        <v>対翠の交叉線／煌</v>
      </c>
      <c r="AJ424" s="10" t="s">
        <v>1113</v>
      </c>
      <c r="AK424" s="39" t="str">
        <f>データ!M424</f>
        <v>遠に強く打に弱いX字型攻撃[特大]</v>
      </c>
      <c r="AL424" s="10" t="s">
        <v>1024</v>
      </c>
      <c r="AM424" s="40" t="s">
        <v>1325</v>
      </c>
      <c r="AN424" s="39" t="str">
        <f>データ!N424</f>
        <v>-</v>
      </c>
      <c r="AO424" s="10" t="s">
        <v>1113</v>
      </c>
      <c r="AP424" s="39" t="str">
        <f>データ!O424</f>
        <v>　</v>
      </c>
      <c r="AQ424" s="41" t="s">
        <v>1024</v>
      </c>
      <c r="AR424" s="40" t="s">
        <v>1324</v>
      </c>
      <c r="AS424" s="39" t="str">
        <f>データ!P424</f>
        <v>アサルト／絶</v>
      </c>
      <c r="AT424" s="10" t="s">
        <v>1113</v>
      </c>
      <c r="AU424" s="39" t="str">
        <f>データ!Q424</f>
        <v>パーティ全体の攻撃力が大UP(3分間)</v>
      </c>
      <c r="AV424" s="10" t="s">
        <v>1024</v>
      </c>
      <c r="AW424" s="40" t="s">
        <v>1324</v>
      </c>
      <c r="AX424" s="39" t="str">
        <f>データ!R424</f>
        <v>-</v>
      </c>
      <c r="AY424" s="10" t="s">
        <v>1113</v>
      </c>
      <c r="AZ424" s="39" t="str">
        <f>データ!S424</f>
        <v>　</v>
      </c>
      <c r="BA424" s="41" t="s">
        <v>1024</v>
      </c>
      <c r="BB424" s="40" t="s">
        <v>1319</v>
      </c>
      <c r="BC424" s="39" t="str">
        <f>データ!T424</f>
        <v>-</v>
      </c>
      <c r="BD424" s="41" t="s">
        <v>1024</v>
      </c>
      <c r="BE424" s="40" t="s">
        <v>1320</v>
      </c>
      <c r="BF424" s="39" t="str">
        <f>データ!U424</f>
        <v>-</v>
      </c>
      <c r="BG424" s="41" t="s">
        <v>1024</v>
      </c>
      <c r="BH424" s="40" t="s">
        <v>1319</v>
      </c>
      <c r="BI424" s="39" t="str">
        <f>データ!V424</f>
        <v>ガチャイベ</v>
      </c>
      <c r="BJ424" s="41" t="s">
        <v>1024</v>
      </c>
      <c r="BK424" s="10" t="s">
        <v>1019</v>
      </c>
    </row>
    <row r="425" spans="1:63" x14ac:dyDescent="0.15">
      <c r="A425" s="10" t="s">
        <v>1016</v>
      </c>
      <c r="B425" s="10" t="s">
        <v>1454</v>
      </c>
      <c r="C425" s="38" t="str">
        <f>"./images/thumbnail/"&amp;データ!B425&amp;".jpg"</f>
        <v>./images/thumbnail/1730_a.jpg</v>
      </c>
      <c r="D425" s="38" t="s">
        <v>1455</v>
      </c>
      <c r="E425" s="38" t="str">
        <f>"./images/thumbnail/"&amp;データ!B425&amp;".jpg"</f>
        <v>./images/thumbnail/1730_a.jpg</v>
      </c>
      <c r="F425" s="38" t="s">
        <v>1116</v>
      </c>
      <c r="G425" s="38" t="s">
        <v>1319</v>
      </c>
      <c r="H425" s="38" t="str">
        <f>データ!C425</f>
        <v>アーロン</v>
      </c>
      <c r="I425" s="38" t="s">
        <v>1024</v>
      </c>
      <c r="J425" s="38" t="s">
        <v>1320</v>
      </c>
      <c r="K425" s="38" t="str">
        <f>データ!D425</f>
        <v>UR</v>
      </c>
      <c r="L425" s="38" t="s">
        <v>1024</v>
      </c>
      <c r="M425" s="38" t="s">
        <v>1321</v>
      </c>
      <c r="N425" s="38">
        <f>データ!E425</f>
        <v>14</v>
      </c>
      <c r="O425" s="38" t="s">
        <v>1024</v>
      </c>
      <c r="P425" s="38" t="s">
        <v>1319</v>
      </c>
      <c r="Q425" s="38" t="str">
        <f>データ!F425</f>
        <v>打</v>
      </c>
      <c r="R425" s="38" t="s">
        <v>1024</v>
      </c>
      <c r="S425" s="38" t="s">
        <v>1319</v>
      </c>
      <c r="T425" s="39">
        <f>データ!G425</f>
        <v>32227</v>
      </c>
      <c r="U425" s="40" t="s">
        <v>1024</v>
      </c>
      <c r="V425" s="40" t="s">
        <v>1319</v>
      </c>
      <c r="W425" s="39">
        <f>データ!H425</f>
        <v>8521</v>
      </c>
      <c r="X425" s="40" t="s">
        <v>1024</v>
      </c>
      <c r="Y425" s="40" t="s">
        <v>1319</v>
      </c>
      <c r="Z425" s="39">
        <f>データ!I425</f>
        <v>12201</v>
      </c>
      <c r="AA425" s="40" t="s">
        <v>1024</v>
      </c>
      <c r="AB425" s="40" t="s">
        <v>1322</v>
      </c>
      <c r="AC425" s="39" t="str">
        <f>データ!J425</f>
        <v>SS-</v>
      </c>
      <c r="AD425" s="38" t="s">
        <v>1024</v>
      </c>
      <c r="AE425" s="40" t="s">
        <v>1323</v>
      </c>
      <c r="AF425" s="39">
        <f>データ!K425</f>
        <v>52949</v>
      </c>
      <c r="AG425" s="40" t="s">
        <v>1024</v>
      </c>
      <c r="AH425" s="40" t="s">
        <v>1324</v>
      </c>
      <c r="AI425" s="39" t="str">
        <f>データ!L425</f>
        <v>対翠の交叉線／煌＋</v>
      </c>
      <c r="AJ425" s="10" t="s">
        <v>1113</v>
      </c>
      <c r="AK425" s="39" t="str">
        <f>データ!M425</f>
        <v>遠に強く打に弱いX字型攻撃[極大]</v>
      </c>
      <c r="AL425" s="10" t="s">
        <v>1024</v>
      </c>
      <c r="AM425" s="40" t="s">
        <v>1325</v>
      </c>
      <c r="AN425" s="39" t="str">
        <f>データ!N425</f>
        <v>-</v>
      </c>
      <c r="AO425" s="10" t="s">
        <v>1113</v>
      </c>
      <c r="AP425" s="39" t="str">
        <f>データ!O425</f>
        <v>　</v>
      </c>
      <c r="AQ425" s="41" t="s">
        <v>1024</v>
      </c>
      <c r="AR425" s="40" t="s">
        <v>1324</v>
      </c>
      <c r="AS425" s="39" t="str">
        <f>データ!P425</f>
        <v>アサルト／絶</v>
      </c>
      <c r="AT425" s="10" t="s">
        <v>1113</v>
      </c>
      <c r="AU425" s="39" t="str">
        <f>データ!Q425</f>
        <v>パーティ全体の攻撃力が大UP(3分間)</v>
      </c>
      <c r="AV425" s="10" t="s">
        <v>1024</v>
      </c>
      <c r="AW425" s="40" t="s">
        <v>1324</v>
      </c>
      <c r="AX425" s="39" t="str">
        <f>データ!R425</f>
        <v>-</v>
      </c>
      <c r="AY425" s="10" t="s">
        <v>1113</v>
      </c>
      <c r="AZ425" s="39" t="str">
        <f>データ!S425</f>
        <v>　</v>
      </c>
      <c r="BA425" s="41" t="s">
        <v>1024</v>
      </c>
      <c r="BB425" s="40" t="s">
        <v>1319</v>
      </c>
      <c r="BC425" s="39" t="str">
        <f>データ!T425</f>
        <v>-</v>
      </c>
      <c r="BD425" s="41" t="s">
        <v>1024</v>
      </c>
      <c r="BE425" s="40" t="s">
        <v>1320</v>
      </c>
      <c r="BF425" s="39" t="str">
        <f>データ!U425</f>
        <v>-</v>
      </c>
      <c r="BG425" s="41" t="s">
        <v>1024</v>
      </c>
      <c r="BH425" s="40" t="s">
        <v>1319</v>
      </c>
      <c r="BI425" s="39" t="str">
        <f>データ!V425</f>
        <v>精鋭化ユニット</v>
      </c>
      <c r="BJ425" s="41" t="s">
        <v>1024</v>
      </c>
      <c r="BK425" s="10" t="s">
        <v>1019</v>
      </c>
    </row>
    <row r="426" spans="1:63" x14ac:dyDescent="0.15">
      <c r="A426" s="10" t="s">
        <v>1016</v>
      </c>
      <c r="B426" s="10" t="s">
        <v>1454</v>
      </c>
      <c r="C426" s="38" t="str">
        <f>"./images/thumbnail/"&amp;データ!B426&amp;".jpg"</f>
        <v>./images/thumbnail/1730_b.jpg</v>
      </c>
      <c r="D426" s="38" t="s">
        <v>1455</v>
      </c>
      <c r="E426" s="38" t="str">
        <f>"./images/thumbnail/"&amp;データ!B426&amp;".jpg"</f>
        <v>./images/thumbnail/1730_b.jpg</v>
      </c>
      <c r="F426" s="38" t="s">
        <v>1116</v>
      </c>
      <c r="G426" s="38" t="s">
        <v>1319</v>
      </c>
      <c r="H426" s="38" t="str">
        <f>データ!C426</f>
        <v>アーロン</v>
      </c>
      <c r="I426" s="38" t="s">
        <v>1024</v>
      </c>
      <c r="J426" s="38" t="s">
        <v>1320</v>
      </c>
      <c r="K426" s="38" t="str">
        <f>データ!D426</f>
        <v>UR</v>
      </c>
      <c r="L426" s="38" t="s">
        <v>1024</v>
      </c>
      <c r="M426" s="38" t="s">
        <v>1321</v>
      </c>
      <c r="N426" s="38">
        <f>データ!E426</f>
        <v>14</v>
      </c>
      <c r="O426" s="38" t="s">
        <v>1024</v>
      </c>
      <c r="P426" s="38" t="s">
        <v>1319</v>
      </c>
      <c r="Q426" s="38" t="str">
        <f>データ!F426</f>
        <v>打</v>
      </c>
      <c r="R426" s="38" t="s">
        <v>1024</v>
      </c>
      <c r="S426" s="38" t="s">
        <v>1319</v>
      </c>
      <c r="T426" s="39">
        <f>データ!G426</f>
        <v>30988</v>
      </c>
      <c r="U426" s="40" t="s">
        <v>1024</v>
      </c>
      <c r="V426" s="40" t="s">
        <v>1319</v>
      </c>
      <c r="W426" s="39">
        <f>データ!H426</f>
        <v>8206</v>
      </c>
      <c r="X426" s="40" t="s">
        <v>1024</v>
      </c>
      <c r="Y426" s="40" t="s">
        <v>1319</v>
      </c>
      <c r="Z426" s="39">
        <f>データ!I426</f>
        <v>11760</v>
      </c>
      <c r="AA426" s="40" t="s">
        <v>1024</v>
      </c>
      <c r="AB426" s="40" t="s">
        <v>1322</v>
      </c>
      <c r="AC426" s="39" t="str">
        <f>データ!J426</f>
        <v>SS-</v>
      </c>
      <c r="AD426" s="38" t="s">
        <v>1024</v>
      </c>
      <c r="AE426" s="40" t="s">
        <v>1323</v>
      </c>
      <c r="AF426" s="39">
        <f>データ!K426</f>
        <v>50954</v>
      </c>
      <c r="AG426" s="40" t="s">
        <v>1024</v>
      </c>
      <c r="AH426" s="40" t="s">
        <v>1324</v>
      </c>
      <c r="AI426" s="39" t="str">
        <f>データ!L426</f>
        <v>対翠の交叉線／煌</v>
      </c>
      <c r="AJ426" s="10" t="s">
        <v>1113</v>
      </c>
      <c r="AK426" s="39" t="str">
        <f>データ!M426</f>
        <v>遠に強く打に弱いX字型攻撃[特大]</v>
      </c>
      <c r="AL426" s="10" t="s">
        <v>1024</v>
      </c>
      <c r="AM426" s="40" t="s">
        <v>1325</v>
      </c>
      <c r="AN426" s="39" t="str">
        <f>データ!N426</f>
        <v>-</v>
      </c>
      <c r="AO426" s="10" t="s">
        <v>1113</v>
      </c>
      <c r="AP426" s="39" t="str">
        <f>データ!O426</f>
        <v>　</v>
      </c>
      <c r="AQ426" s="41" t="s">
        <v>1024</v>
      </c>
      <c r="AR426" s="40" t="s">
        <v>1324</v>
      </c>
      <c r="AS426" s="39" t="str">
        <f>データ!P426</f>
        <v>聖雪の伊達男</v>
      </c>
      <c r="AT426" s="10" t="s">
        <v>1113</v>
      </c>
      <c r="AU426" s="39" t="str">
        <f>データ!Q426</f>
        <v>パーティ全体の攻撃力が極大UP(5分間)</v>
      </c>
      <c r="AV426" s="10" t="s">
        <v>1024</v>
      </c>
      <c r="AW426" s="40" t="s">
        <v>1324</v>
      </c>
      <c r="AX426" s="39" t="str">
        <f>データ!R426</f>
        <v>-</v>
      </c>
      <c r="AY426" s="10" t="s">
        <v>1113</v>
      </c>
      <c r="AZ426" s="39" t="str">
        <f>データ!S426</f>
        <v>　</v>
      </c>
      <c r="BA426" s="41" t="s">
        <v>1024</v>
      </c>
      <c r="BB426" s="40" t="s">
        <v>1319</v>
      </c>
      <c r="BC426" s="39" t="str">
        <f>データ!T426</f>
        <v>-</v>
      </c>
      <c r="BD426" s="41" t="s">
        <v>1024</v>
      </c>
      <c r="BE426" s="40" t="s">
        <v>1320</v>
      </c>
      <c r="BF426" s="39" t="str">
        <f>データ!U426</f>
        <v>-</v>
      </c>
      <c r="BG426" s="41" t="s">
        <v>1024</v>
      </c>
      <c r="BH426" s="40" t="s">
        <v>1319</v>
      </c>
      <c r="BI426" s="39" t="str">
        <f>データ!V426</f>
        <v>精鋭化ユニット</v>
      </c>
      <c r="BJ426" s="41" t="s">
        <v>1024</v>
      </c>
      <c r="BK426" s="10" t="s">
        <v>1019</v>
      </c>
    </row>
    <row r="427" spans="1:63" x14ac:dyDescent="0.15">
      <c r="A427" s="10" t="s">
        <v>1016</v>
      </c>
      <c r="B427" s="10" t="s">
        <v>1454</v>
      </c>
      <c r="C427" s="38" t="str">
        <f>"./images/thumbnail/"&amp;データ!B427&amp;".jpg"</f>
        <v>./images/thumbnail/1732.jpg</v>
      </c>
      <c r="D427" s="38" t="s">
        <v>1455</v>
      </c>
      <c r="E427" s="38" t="str">
        <f>"./images/thumbnail/"&amp;データ!B427&amp;".jpg"</f>
        <v>./images/thumbnail/1732.jpg</v>
      </c>
      <c r="F427" s="38" t="s">
        <v>1116</v>
      </c>
      <c r="G427" s="38" t="s">
        <v>1319</v>
      </c>
      <c r="H427" s="38" t="str">
        <f>データ!C427</f>
        <v>ロベリア</v>
      </c>
      <c r="I427" s="38" t="s">
        <v>1024</v>
      </c>
      <c r="J427" s="38" t="s">
        <v>1320</v>
      </c>
      <c r="K427" s="38" t="str">
        <f>データ!D427</f>
        <v>UR</v>
      </c>
      <c r="L427" s="38" t="s">
        <v>1024</v>
      </c>
      <c r="M427" s="38" t="s">
        <v>1321</v>
      </c>
      <c r="N427" s="38">
        <f>データ!E427</f>
        <v>14</v>
      </c>
      <c r="O427" s="38" t="s">
        <v>1024</v>
      </c>
      <c r="P427" s="38" t="s">
        <v>1319</v>
      </c>
      <c r="Q427" s="38" t="str">
        <f>データ!F427</f>
        <v>遠</v>
      </c>
      <c r="R427" s="38" t="s">
        <v>1024</v>
      </c>
      <c r="S427" s="38" t="s">
        <v>1319</v>
      </c>
      <c r="T427" s="39">
        <f>データ!G427</f>
        <v>17720</v>
      </c>
      <c r="U427" s="40" t="s">
        <v>1024</v>
      </c>
      <c r="V427" s="40" t="s">
        <v>1319</v>
      </c>
      <c r="W427" s="39">
        <f>データ!H427</f>
        <v>6544</v>
      </c>
      <c r="X427" s="40" t="s">
        <v>1024</v>
      </c>
      <c r="Y427" s="40" t="s">
        <v>1319</v>
      </c>
      <c r="Z427" s="39">
        <f>データ!I427</f>
        <v>5582</v>
      </c>
      <c r="AA427" s="40" t="s">
        <v>1024</v>
      </c>
      <c r="AB427" s="40" t="s">
        <v>1322</v>
      </c>
      <c r="AC427" s="39" t="str">
        <f>データ!J427</f>
        <v>SS+</v>
      </c>
      <c r="AD427" s="38" t="s">
        <v>1024</v>
      </c>
      <c r="AE427" s="40" t="s">
        <v>1323</v>
      </c>
      <c r="AF427" s="39">
        <f>データ!K427</f>
        <v>29846</v>
      </c>
      <c r="AG427" s="40" t="s">
        <v>1024</v>
      </c>
      <c r="AH427" s="40" t="s">
        <v>1324</v>
      </c>
      <c r="AI427" s="39" t="str">
        <f>データ!L427</f>
        <v>対紅の薙風／煌</v>
      </c>
      <c r="AJ427" s="10" t="s">
        <v>1113</v>
      </c>
      <c r="AK427" s="39" t="str">
        <f>データ!M427</f>
        <v>斬に強く突に弱い横一列攻撃[特大]</v>
      </c>
      <c r="AL427" s="10" t="s">
        <v>1024</v>
      </c>
      <c r="AM427" s="40" t="s">
        <v>1325</v>
      </c>
      <c r="AN427" s="39" t="str">
        <f>データ!N427</f>
        <v>-</v>
      </c>
      <c r="AO427" s="10" t="s">
        <v>1113</v>
      </c>
      <c r="AP427" s="39" t="str">
        <f>データ!O427</f>
        <v>　</v>
      </c>
      <c r="AQ427" s="41" t="s">
        <v>1024</v>
      </c>
      <c r="AR427" s="40" t="s">
        <v>1324</v>
      </c>
      <c r="AS427" s="39" t="str">
        <f>データ!P427</f>
        <v>ランページ／絶</v>
      </c>
      <c r="AT427" s="10" t="s">
        <v>1113</v>
      </c>
      <c r="AU427" s="39" t="str">
        <f>データ!Q427</f>
        <v>バトルで獲得する騎士団戦スコアが大アップ(3分間)</v>
      </c>
      <c r="AV427" s="10" t="s">
        <v>1024</v>
      </c>
      <c r="AW427" s="40" t="s">
        <v>1324</v>
      </c>
      <c r="AX427" s="39" t="str">
        <f>データ!R427</f>
        <v>-</v>
      </c>
      <c r="AY427" s="10" t="s">
        <v>1113</v>
      </c>
      <c r="AZ427" s="39" t="str">
        <f>データ!S427</f>
        <v>　</v>
      </c>
      <c r="BA427" s="41" t="s">
        <v>1024</v>
      </c>
      <c r="BB427" s="40" t="s">
        <v>1319</v>
      </c>
      <c r="BC427" s="39" t="str">
        <f>データ!T427</f>
        <v>-</v>
      </c>
      <c r="BD427" s="41" t="s">
        <v>1024</v>
      </c>
      <c r="BE427" s="40" t="s">
        <v>1320</v>
      </c>
      <c r="BF427" s="39" t="str">
        <f>データ!U427</f>
        <v>-</v>
      </c>
      <c r="BG427" s="41" t="s">
        <v>1024</v>
      </c>
      <c r="BH427" s="40" t="s">
        <v>1319</v>
      </c>
      <c r="BI427" s="39" t="str">
        <f>データ!V427</f>
        <v>ガチャイベ</v>
      </c>
      <c r="BJ427" s="41" t="s">
        <v>1024</v>
      </c>
      <c r="BK427" s="10" t="s">
        <v>1019</v>
      </c>
    </row>
    <row r="428" spans="1:63" x14ac:dyDescent="0.15">
      <c r="A428" s="10" t="s">
        <v>1016</v>
      </c>
      <c r="B428" s="10" t="s">
        <v>1454</v>
      </c>
      <c r="C428" s="38" t="str">
        <f>"./images/thumbnail/"&amp;データ!B428&amp;".jpg"</f>
        <v>./images/thumbnail/1732_a.jpg</v>
      </c>
      <c r="D428" s="38" t="s">
        <v>1455</v>
      </c>
      <c r="E428" s="38" t="str">
        <f>"./images/thumbnail/"&amp;データ!B428&amp;".jpg"</f>
        <v>./images/thumbnail/1732_a.jpg</v>
      </c>
      <c r="F428" s="38" t="s">
        <v>1116</v>
      </c>
      <c r="G428" s="38" t="s">
        <v>1319</v>
      </c>
      <c r="H428" s="38" t="str">
        <f>データ!C428</f>
        <v>ロベリア</v>
      </c>
      <c r="I428" s="38" t="s">
        <v>1024</v>
      </c>
      <c r="J428" s="38" t="s">
        <v>1320</v>
      </c>
      <c r="K428" s="38" t="str">
        <f>データ!D428</f>
        <v>UR</v>
      </c>
      <c r="L428" s="38" t="s">
        <v>1024</v>
      </c>
      <c r="M428" s="38" t="s">
        <v>1321</v>
      </c>
      <c r="N428" s="38">
        <f>データ!E428</f>
        <v>14</v>
      </c>
      <c r="O428" s="38" t="s">
        <v>1024</v>
      </c>
      <c r="P428" s="38" t="s">
        <v>1319</v>
      </c>
      <c r="Q428" s="38" t="str">
        <f>データ!F428</f>
        <v>遠</v>
      </c>
      <c r="R428" s="38" t="s">
        <v>1024</v>
      </c>
      <c r="S428" s="38" t="s">
        <v>1319</v>
      </c>
      <c r="T428" s="39">
        <f>データ!G428</f>
        <v>26582</v>
      </c>
      <c r="U428" s="40" t="s">
        <v>1024</v>
      </c>
      <c r="V428" s="40" t="s">
        <v>1319</v>
      </c>
      <c r="W428" s="39">
        <f>データ!H428</f>
        <v>8833</v>
      </c>
      <c r="X428" s="40" t="s">
        <v>1024</v>
      </c>
      <c r="Y428" s="40" t="s">
        <v>1319</v>
      </c>
      <c r="Z428" s="39">
        <f>データ!I428</f>
        <v>8102</v>
      </c>
      <c r="AA428" s="40" t="s">
        <v>1024</v>
      </c>
      <c r="AB428" s="40" t="s">
        <v>1322</v>
      </c>
      <c r="AC428" s="39" t="str">
        <f>データ!J428</f>
        <v>SS4</v>
      </c>
      <c r="AD428" s="38" t="s">
        <v>1024</v>
      </c>
      <c r="AE428" s="40" t="s">
        <v>1323</v>
      </c>
      <c r="AF428" s="39">
        <f>データ!K428</f>
        <v>43517</v>
      </c>
      <c r="AG428" s="40" t="s">
        <v>1024</v>
      </c>
      <c r="AH428" s="40" t="s">
        <v>1324</v>
      </c>
      <c r="AI428" s="39" t="str">
        <f>データ!L428</f>
        <v>対紅の薙風／煌＋</v>
      </c>
      <c r="AJ428" s="10" t="s">
        <v>1113</v>
      </c>
      <c r="AK428" s="39" t="str">
        <f>データ!M428</f>
        <v>斬に強く突に弱い横一列攻撃[極大]</v>
      </c>
      <c r="AL428" s="10" t="s">
        <v>1024</v>
      </c>
      <c r="AM428" s="40" t="s">
        <v>1325</v>
      </c>
      <c r="AN428" s="39" t="str">
        <f>データ!N428</f>
        <v>-</v>
      </c>
      <c r="AO428" s="10" t="s">
        <v>1113</v>
      </c>
      <c r="AP428" s="39" t="str">
        <f>データ!O428</f>
        <v>　</v>
      </c>
      <c r="AQ428" s="41" t="s">
        <v>1024</v>
      </c>
      <c r="AR428" s="40" t="s">
        <v>1324</v>
      </c>
      <c r="AS428" s="39" t="str">
        <f>データ!P428</f>
        <v>ランページ／絶</v>
      </c>
      <c r="AT428" s="10" t="s">
        <v>1113</v>
      </c>
      <c r="AU428" s="39" t="str">
        <f>データ!Q428</f>
        <v>バトルで獲得する騎士団戦スコアが大アップ(3分間)</v>
      </c>
      <c r="AV428" s="10" t="s">
        <v>1024</v>
      </c>
      <c r="AW428" s="40" t="s">
        <v>1324</v>
      </c>
      <c r="AX428" s="39" t="str">
        <f>データ!R428</f>
        <v>-</v>
      </c>
      <c r="AY428" s="10" t="s">
        <v>1113</v>
      </c>
      <c r="AZ428" s="39" t="str">
        <f>データ!S428</f>
        <v>　</v>
      </c>
      <c r="BA428" s="41" t="s">
        <v>1024</v>
      </c>
      <c r="BB428" s="40" t="s">
        <v>1319</v>
      </c>
      <c r="BC428" s="39" t="str">
        <f>データ!T428</f>
        <v>-</v>
      </c>
      <c r="BD428" s="41" t="s">
        <v>1024</v>
      </c>
      <c r="BE428" s="40" t="s">
        <v>1320</v>
      </c>
      <c r="BF428" s="39" t="str">
        <f>データ!U428</f>
        <v>-</v>
      </c>
      <c r="BG428" s="41" t="s">
        <v>1024</v>
      </c>
      <c r="BH428" s="40" t="s">
        <v>1319</v>
      </c>
      <c r="BI428" s="39" t="str">
        <f>データ!V428</f>
        <v>精鋭化ユニット</v>
      </c>
      <c r="BJ428" s="41" t="s">
        <v>1024</v>
      </c>
      <c r="BK428" s="10" t="s">
        <v>1019</v>
      </c>
    </row>
    <row r="429" spans="1:63" x14ac:dyDescent="0.15">
      <c r="A429" s="10" t="s">
        <v>1016</v>
      </c>
      <c r="B429" s="10" t="s">
        <v>1454</v>
      </c>
      <c r="C429" s="38" t="str">
        <f>"./images/thumbnail/"&amp;データ!B429&amp;".jpg"</f>
        <v>./images/thumbnail/1732_b.jpg</v>
      </c>
      <c r="D429" s="38" t="s">
        <v>1455</v>
      </c>
      <c r="E429" s="38" t="str">
        <f>"./images/thumbnail/"&amp;データ!B429&amp;".jpg"</f>
        <v>./images/thumbnail/1732_b.jpg</v>
      </c>
      <c r="F429" s="38" t="s">
        <v>1116</v>
      </c>
      <c r="G429" s="38" t="s">
        <v>1319</v>
      </c>
      <c r="H429" s="38" t="str">
        <f>データ!C429</f>
        <v>ロベリア</v>
      </c>
      <c r="I429" s="38" t="s">
        <v>1024</v>
      </c>
      <c r="J429" s="38" t="s">
        <v>1320</v>
      </c>
      <c r="K429" s="38" t="str">
        <f>データ!D429</f>
        <v>UR</v>
      </c>
      <c r="L429" s="38" t="s">
        <v>1024</v>
      </c>
      <c r="M429" s="38" t="s">
        <v>1321</v>
      </c>
      <c r="N429" s="38">
        <f>データ!E429</f>
        <v>14</v>
      </c>
      <c r="O429" s="38" t="s">
        <v>1024</v>
      </c>
      <c r="P429" s="38" t="s">
        <v>1319</v>
      </c>
      <c r="Q429" s="38" t="str">
        <f>データ!F429</f>
        <v>遠</v>
      </c>
      <c r="R429" s="38" t="s">
        <v>1024</v>
      </c>
      <c r="S429" s="38" t="s">
        <v>1319</v>
      </c>
      <c r="T429" s="39">
        <f>データ!G429</f>
        <v>24818</v>
      </c>
      <c r="U429" s="40" t="s">
        <v>1024</v>
      </c>
      <c r="V429" s="40" t="s">
        <v>1319</v>
      </c>
      <c r="W429" s="39">
        <f>データ!H429</f>
        <v>8497</v>
      </c>
      <c r="X429" s="40" t="s">
        <v>1024</v>
      </c>
      <c r="Y429" s="40" t="s">
        <v>1319</v>
      </c>
      <c r="Z429" s="39">
        <f>データ!I429</f>
        <v>7535</v>
      </c>
      <c r="AA429" s="40" t="s">
        <v>1024</v>
      </c>
      <c r="AB429" s="40" t="s">
        <v>1322</v>
      </c>
      <c r="AC429" s="39" t="str">
        <f>データ!J429</f>
        <v>SS4</v>
      </c>
      <c r="AD429" s="38" t="s">
        <v>1024</v>
      </c>
      <c r="AE429" s="40" t="s">
        <v>1323</v>
      </c>
      <c r="AF429" s="39">
        <f>データ!K429</f>
        <v>40850</v>
      </c>
      <c r="AG429" s="40" t="s">
        <v>1024</v>
      </c>
      <c r="AH429" s="40" t="s">
        <v>1324</v>
      </c>
      <c r="AI429" s="39" t="str">
        <f>データ!L429</f>
        <v>対紅の薙風／煌</v>
      </c>
      <c r="AJ429" s="10" t="s">
        <v>1113</v>
      </c>
      <c r="AK429" s="39" t="str">
        <f>データ!M429</f>
        <v>斬に強く突に弱い横一列攻撃[特大]</v>
      </c>
      <c r="AL429" s="10" t="s">
        <v>1024</v>
      </c>
      <c r="AM429" s="40" t="s">
        <v>1325</v>
      </c>
      <c r="AN429" s="39" t="str">
        <f>データ!N429</f>
        <v>-</v>
      </c>
      <c r="AO429" s="10" t="s">
        <v>1113</v>
      </c>
      <c r="AP429" s="39" t="str">
        <f>データ!O429</f>
        <v>　</v>
      </c>
      <c r="AQ429" s="41" t="s">
        <v>1024</v>
      </c>
      <c r="AR429" s="40" t="s">
        <v>1324</v>
      </c>
      <c r="AS429" s="39" t="str">
        <f>データ!P429</f>
        <v>聖夜に躍る蝶</v>
      </c>
      <c r="AT429" s="10" t="s">
        <v>1113</v>
      </c>
      <c r="AU429" s="39" t="str">
        <f>データ!Q429</f>
        <v>バトルで獲得する騎士団戦スコアが極大アップ(5分間)</v>
      </c>
      <c r="AV429" s="10" t="s">
        <v>1024</v>
      </c>
      <c r="AW429" s="40" t="s">
        <v>1324</v>
      </c>
      <c r="AX429" s="39" t="str">
        <f>データ!R429</f>
        <v>-</v>
      </c>
      <c r="AY429" s="10" t="s">
        <v>1113</v>
      </c>
      <c r="AZ429" s="39" t="str">
        <f>データ!S429</f>
        <v>　</v>
      </c>
      <c r="BA429" s="41" t="s">
        <v>1024</v>
      </c>
      <c r="BB429" s="40" t="s">
        <v>1319</v>
      </c>
      <c r="BC429" s="39" t="str">
        <f>データ!T429</f>
        <v>-</v>
      </c>
      <c r="BD429" s="41" t="s">
        <v>1024</v>
      </c>
      <c r="BE429" s="40" t="s">
        <v>1320</v>
      </c>
      <c r="BF429" s="39" t="str">
        <f>データ!U429</f>
        <v>-</v>
      </c>
      <c r="BG429" s="41" t="s">
        <v>1024</v>
      </c>
      <c r="BH429" s="40" t="s">
        <v>1319</v>
      </c>
      <c r="BI429" s="39" t="str">
        <f>データ!V429</f>
        <v>精鋭化ユニット</v>
      </c>
      <c r="BJ429" s="41" t="s">
        <v>1024</v>
      </c>
      <c r="BK429" s="10" t="s">
        <v>1019</v>
      </c>
    </row>
    <row r="430" spans="1:63" x14ac:dyDescent="0.15">
      <c r="A430" s="10" t="s">
        <v>1016</v>
      </c>
      <c r="B430" s="10" t="s">
        <v>1454</v>
      </c>
      <c r="C430" s="38" t="str">
        <f>"./images/thumbnail/"&amp;データ!B430&amp;".jpg"</f>
        <v>./images/thumbnail/1734.jpg</v>
      </c>
      <c r="D430" s="38" t="s">
        <v>1455</v>
      </c>
      <c r="E430" s="38" t="str">
        <f>"./images/thumbnail/"&amp;データ!B430&amp;".jpg"</f>
        <v>./images/thumbnail/1734.jpg</v>
      </c>
      <c r="F430" s="38" t="s">
        <v>1116</v>
      </c>
      <c r="G430" s="38" t="s">
        <v>1319</v>
      </c>
      <c r="H430" s="38" t="str">
        <f>データ!C430</f>
        <v>エロディ</v>
      </c>
      <c r="I430" s="38" t="s">
        <v>1024</v>
      </c>
      <c r="J430" s="38" t="s">
        <v>1320</v>
      </c>
      <c r="K430" s="38" t="str">
        <f>データ!D430</f>
        <v>UR</v>
      </c>
      <c r="L430" s="38" t="s">
        <v>1024</v>
      </c>
      <c r="M430" s="38" t="s">
        <v>1321</v>
      </c>
      <c r="N430" s="38">
        <f>データ!E430</f>
        <v>14</v>
      </c>
      <c r="O430" s="38" t="s">
        <v>1024</v>
      </c>
      <c r="P430" s="38" t="s">
        <v>1319</v>
      </c>
      <c r="Q430" s="38" t="str">
        <f>データ!F430</f>
        <v>斬</v>
      </c>
      <c r="R430" s="38" t="s">
        <v>1024</v>
      </c>
      <c r="S430" s="38" t="s">
        <v>1319</v>
      </c>
      <c r="T430" s="39">
        <f>データ!G430</f>
        <v>20476</v>
      </c>
      <c r="U430" s="40" t="s">
        <v>1024</v>
      </c>
      <c r="V430" s="40" t="s">
        <v>1319</v>
      </c>
      <c r="W430" s="39">
        <f>データ!H430</f>
        <v>7973</v>
      </c>
      <c r="X430" s="40" t="s">
        <v>1024</v>
      </c>
      <c r="Y430" s="40" t="s">
        <v>1319</v>
      </c>
      <c r="Z430" s="39">
        <f>データ!I430</f>
        <v>5632</v>
      </c>
      <c r="AA430" s="40" t="s">
        <v>1024</v>
      </c>
      <c r="AB430" s="40" t="s">
        <v>1322</v>
      </c>
      <c r="AC430" s="39" t="str">
        <f>データ!J430</f>
        <v>S</v>
      </c>
      <c r="AD430" s="38" t="s">
        <v>1024</v>
      </c>
      <c r="AE430" s="40" t="s">
        <v>1323</v>
      </c>
      <c r="AF430" s="39">
        <f>データ!K430</f>
        <v>34081</v>
      </c>
      <c r="AG430" s="40" t="s">
        <v>1024</v>
      </c>
      <c r="AH430" s="40" t="s">
        <v>1324</v>
      </c>
      <c r="AI430" s="39" t="str">
        <f>データ!L430</f>
        <v>対紫の突風／煌</v>
      </c>
      <c r="AJ430" s="10" t="s">
        <v>1113</v>
      </c>
      <c r="AK430" s="39" t="str">
        <f>データ!M430</f>
        <v>打に強く遠に弱い縦一列攻撃[特大]</v>
      </c>
      <c r="AL430" s="10" t="s">
        <v>1024</v>
      </c>
      <c r="AM430" s="40" t="s">
        <v>1325</v>
      </c>
      <c r="AN430" s="39" t="str">
        <f>データ!N430</f>
        <v>-</v>
      </c>
      <c r="AO430" s="10" t="s">
        <v>1113</v>
      </c>
      <c r="AP430" s="39" t="str">
        <f>データ!O430</f>
        <v>　</v>
      </c>
      <c r="AQ430" s="41" t="s">
        <v>1024</v>
      </c>
      <c r="AR430" s="40" t="s">
        <v>1324</v>
      </c>
      <c r="AS430" s="39" t="str">
        <f>データ!P430</f>
        <v>キャッスルウィークネス／真</v>
      </c>
      <c r="AT430" s="10" t="s">
        <v>1113</v>
      </c>
      <c r="AU430" s="39" t="str">
        <f>データ!Q430</f>
        <v>対戦騎士団の城強度Lvが中DOWN(3分間)</v>
      </c>
      <c r="AV430" s="10" t="s">
        <v>1024</v>
      </c>
      <c r="AW430" s="40" t="s">
        <v>1324</v>
      </c>
      <c r="AX430" s="39" t="str">
        <f>データ!R430</f>
        <v>-</v>
      </c>
      <c r="AY430" s="10" t="s">
        <v>1113</v>
      </c>
      <c r="AZ430" s="39" t="str">
        <f>データ!S430</f>
        <v>　</v>
      </c>
      <c r="BA430" s="41" t="s">
        <v>1024</v>
      </c>
      <c r="BB430" s="40" t="s">
        <v>1319</v>
      </c>
      <c r="BC430" s="39" t="str">
        <f>データ!T430</f>
        <v>-</v>
      </c>
      <c r="BD430" s="41" t="s">
        <v>1024</v>
      </c>
      <c r="BE430" s="40" t="s">
        <v>1320</v>
      </c>
      <c r="BF430" s="39" t="str">
        <f>データ!U430</f>
        <v>-</v>
      </c>
      <c r="BG430" s="41" t="s">
        <v>1024</v>
      </c>
      <c r="BH430" s="40" t="s">
        <v>1319</v>
      </c>
      <c r="BI430" s="39" t="str">
        <f>データ!V430</f>
        <v>常設</v>
      </c>
      <c r="BJ430" s="41" t="s">
        <v>1024</v>
      </c>
      <c r="BK430" s="10" t="s">
        <v>1019</v>
      </c>
    </row>
    <row r="431" spans="1:63" x14ac:dyDescent="0.15">
      <c r="A431" s="10" t="s">
        <v>1016</v>
      </c>
      <c r="B431" s="10" t="s">
        <v>1454</v>
      </c>
      <c r="C431" s="38" t="str">
        <f>"./images/thumbnail/"&amp;データ!B431&amp;".jpg"</f>
        <v>./images/thumbnail/1734_a.jpg</v>
      </c>
      <c r="D431" s="38" t="s">
        <v>1455</v>
      </c>
      <c r="E431" s="38" t="str">
        <f>"./images/thumbnail/"&amp;データ!B431&amp;".jpg"</f>
        <v>./images/thumbnail/1734_a.jpg</v>
      </c>
      <c r="F431" s="38" t="s">
        <v>1116</v>
      </c>
      <c r="G431" s="38" t="s">
        <v>1319</v>
      </c>
      <c r="H431" s="38" t="str">
        <f>データ!C431</f>
        <v>エロディ</v>
      </c>
      <c r="I431" s="38" t="s">
        <v>1024</v>
      </c>
      <c r="J431" s="38" t="s">
        <v>1320</v>
      </c>
      <c r="K431" s="38" t="str">
        <f>データ!D431</f>
        <v>UR</v>
      </c>
      <c r="L431" s="38" t="s">
        <v>1024</v>
      </c>
      <c r="M431" s="38" t="s">
        <v>1321</v>
      </c>
      <c r="N431" s="38">
        <f>データ!E431</f>
        <v>14</v>
      </c>
      <c r="O431" s="38" t="s">
        <v>1024</v>
      </c>
      <c r="P431" s="38" t="s">
        <v>1319</v>
      </c>
      <c r="Q431" s="38" t="str">
        <f>データ!F431</f>
        <v>斬</v>
      </c>
      <c r="R431" s="38" t="s">
        <v>1024</v>
      </c>
      <c r="S431" s="38" t="s">
        <v>1319</v>
      </c>
      <c r="T431" s="39">
        <f>データ!G431</f>
        <v>25180</v>
      </c>
      <c r="U431" s="40" t="s">
        <v>1024</v>
      </c>
      <c r="V431" s="40" t="s">
        <v>1319</v>
      </c>
      <c r="W431" s="39">
        <f>データ!H431</f>
        <v>11165</v>
      </c>
      <c r="X431" s="40" t="s">
        <v>1024</v>
      </c>
      <c r="Y431" s="40" t="s">
        <v>1319</v>
      </c>
      <c r="Z431" s="39">
        <f>データ!I431</f>
        <v>7837</v>
      </c>
      <c r="AA431" s="40" t="s">
        <v>1024</v>
      </c>
      <c r="AB431" s="40" t="s">
        <v>1322</v>
      </c>
      <c r="AC431" s="39" t="str">
        <f>データ!J431</f>
        <v>SS+</v>
      </c>
      <c r="AD431" s="38" t="s">
        <v>1024</v>
      </c>
      <c r="AE431" s="40" t="s">
        <v>1323</v>
      </c>
      <c r="AF431" s="39">
        <f>データ!K431</f>
        <v>44182</v>
      </c>
      <c r="AG431" s="40" t="s">
        <v>1024</v>
      </c>
      <c r="AH431" s="40" t="s">
        <v>1324</v>
      </c>
      <c r="AI431" s="39" t="str">
        <f>データ!L431</f>
        <v>対紫の突風／煌＋</v>
      </c>
      <c r="AJ431" s="10" t="s">
        <v>1113</v>
      </c>
      <c r="AK431" s="39" t="str">
        <f>データ!M431</f>
        <v>打に強く遠に弱い縦一列攻撃[超極大]</v>
      </c>
      <c r="AL431" s="10" t="s">
        <v>1024</v>
      </c>
      <c r="AM431" s="40" t="s">
        <v>1325</v>
      </c>
      <c r="AN431" s="39" t="str">
        <f>データ!N431</f>
        <v>-</v>
      </c>
      <c r="AO431" s="10" t="s">
        <v>1113</v>
      </c>
      <c r="AP431" s="39" t="str">
        <f>データ!O431</f>
        <v>　</v>
      </c>
      <c r="AQ431" s="41" t="s">
        <v>1024</v>
      </c>
      <c r="AR431" s="40" t="s">
        <v>1324</v>
      </c>
      <c r="AS431" s="39" t="str">
        <f>データ!P431</f>
        <v>キャッスルウィークネス／真</v>
      </c>
      <c r="AT431" s="10" t="s">
        <v>1113</v>
      </c>
      <c r="AU431" s="39" t="str">
        <f>データ!Q431</f>
        <v>対戦騎士団の城強度Lvが中DOWN(3分間)</v>
      </c>
      <c r="AV431" s="10" t="s">
        <v>1024</v>
      </c>
      <c r="AW431" s="40" t="s">
        <v>1324</v>
      </c>
      <c r="AX431" s="39" t="str">
        <f>データ!R431</f>
        <v>-</v>
      </c>
      <c r="AY431" s="10" t="s">
        <v>1113</v>
      </c>
      <c r="AZ431" s="39" t="str">
        <f>データ!S431</f>
        <v>　</v>
      </c>
      <c r="BA431" s="41" t="s">
        <v>1024</v>
      </c>
      <c r="BB431" s="40" t="s">
        <v>1319</v>
      </c>
      <c r="BC431" s="39" t="str">
        <f>データ!T431</f>
        <v>-</v>
      </c>
      <c r="BD431" s="41" t="s">
        <v>1024</v>
      </c>
      <c r="BE431" s="40" t="s">
        <v>1320</v>
      </c>
      <c r="BF431" s="39" t="str">
        <f>データ!U431</f>
        <v>-</v>
      </c>
      <c r="BG431" s="41" t="s">
        <v>1024</v>
      </c>
      <c r="BH431" s="40" t="s">
        <v>1319</v>
      </c>
      <c r="BI431" s="39" t="str">
        <f>データ!V431</f>
        <v>精鋭化ユニット</v>
      </c>
      <c r="BJ431" s="41" t="s">
        <v>1024</v>
      </c>
      <c r="BK431" s="10" t="s">
        <v>1019</v>
      </c>
    </row>
    <row r="432" spans="1:63" x14ac:dyDescent="0.15">
      <c r="A432" s="10" t="s">
        <v>1016</v>
      </c>
      <c r="B432" s="10" t="s">
        <v>1454</v>
      </c>
      <c r="C432" s="38" t="str">
        <f>"./images/thumbnail/"&amp;データ!B432&amp;".jpg"</f>
        <v>./images/thumbnail/1734_b.jpg</v>
      </c>
      <c r="D432" s="38" t="s">
        <v>1455</v>
      </c>
      <c r="E432" s="38" t="str">
        <f>"./images/thumbnail/"&amp;データ!B432&amp;".jpg"</f>
        <v>./images/thumbnail/1734_b.jpg</v>
      </c>
      <c r="F432" s="38" t="s">
        <v>1116</v>
      </c>
      <c r="G432" s="38" t="s">
        <v>1319</v>
      </c>
      <c r="H432" s="38" t="str">
        <f>データ!C432</f>
        <v>エロディ</v>
      </c>
      <c r="I432" s="38" t="s">
        <v>1024</v>
      </c>
      <c r="J432" s="38" t="s">
        <v>1320</v>
      </c>
      <c r="K432" s="38" t="str">
        <f>データ!D432</f>
        <v>UR</v>
      </c>
      <c r="L432" s="38" t="s">
        <v>1024</v>
      </c>
      <c r="M432" s="38" t="s">
        <v>1321</v>
      </c>
      <c r="N432" s="38">
        <f>データ!E432</f>
        <v>14</v>
      </c>
      <c r="O432" s="38" t="s">
        <v>1024</v>
      </c>
      <c r="P432" s="38" t="s">
        <v>1319</v>
      </c>
      <c r="Q432" s="38" t="str">
        <f>データ!F432</f>
        <v>斬</v>
      </c>
      <c r="R432" s="38" t="s">
        <v>1024</v>
      </c>
      <c r="S432" s="38" t="s">
        <v>1319</v>
      </c>
      <c r="T432" s="39">
        <f>データ!G432</f>
        <v>24172</v>
      </c>
      <c r="U432" s="40" t="s">
        <v>1024</v>
      </c>
      <c r="V432" s="40" t="s">
        <v>1319</v>
      </c>
      <c r="W432" s="39">
        <f>データ!H432</f>
        <v>10766</v>
      </c>
      <c r="X432" s="40" t="s">
        <v>1024</v>
      </c>
      <c r="Y432" s="40" t="s">
        <v>1319</v>
      </c>
      <c r="Z432" s="39">
        <f>データ!I432</f>
        <v>7543</v>
      </c>
      <c r="AA432" s="40" t="s">
        <v>1024</v>
      </c>
      <c r="AB432" s="40" t="s">
        <v>1322</v>
      </c>
      <c r="AC432" s="39" t="str">
        <f>データ!J432</f>
        <v>SS+</v>
      </c>
      <c r="AD432" s="38" t="s">
        <v>1024</v>
      </c>
      <c r="AE432" s="40" t="s">
        <v>1323</v>
      </c>
      <c r="AF432" s="39">
        <f>データ!K432</f>
        <v>42481</v>
      </c>
      <c r="AG432" s="40" t="s">
        <v>1024</v>
      </c>
      <c r="AH432" s="40" t="s">
        <v>1324</v>
      </c>
      <c r="AI432" s="39" t="str">
        <f>データ!L432</f>
        <v>対紫の突風／煌</v>
      </c>
      <c r="AJ432" s="10" t="s">
        <v>1113</v>
      </c>
      <c r="AK432" s="39" t="str">
        <f>データ!M432</f>
        <v>打に強く遠に弱い縦一列攻撃[特大]</v>
      </c>
      <c r="AL432" s="10" t="s">
        <v>1024</v>
      </c>
      <c r="AM432" s="40" t="s">
        <v>1325</v>
      </c>
      <c r="AN432" s="39" t="str">
        <f>データ!N432</f>
        <v>-</v>
      </c>
      <c r="AO432" s="10" t="s">
        <v>1113</v>
      </c>
      <c r="AP432" s="39" t="str">
        <f>データ!O432</f>
        <v>　</v>
      </c>
      <c r="AQ432" s="41" t="s">
        <v>1024</v>
      </c>
      <c r="AR432" s="40" t="s">
        <v>1324</v>
      </c>
      <c r="AS432" s="39" t="str">
        <f>データ!P432</f>
        <v>灼砂の魔双剣</v>
      </c>
      <c r="AT432" s="10" t="s">
        <v>1113</v>
      </c>
      <c r="AU432" s="39" t="str">
        <f>データ!Q432</f>
        <v>対戦騎士団の城強度Lvが特大DOWN(3分間)</v>
      </c>
      <c r="AV432" s="10" t="s">
        <v>1024</v>
      </c>
      <c r="AW432" s="40" t="s">
        <v>1324</v>
      </c>
      <c r="AX432" s="39" t="str">
        <f>データ!R432</f>
        <v>-</v>
      </c>
      <c r="AY432" s="10" t="s">
        <v>1113</v>
      </c>
      <c r="AZ432" s="39" t="str">
        <f>データ!S432</f>
        <v>　</v>
      </c>
      <c r="BA432" s="41" t="s">
        <v>1024</v>
      </c>
      <c r="BB432" s="40" t="s">
        <v>1319</v>
      </c>
      <c r="BC432" s="39" t="str">
        <f>データ!T432</f>
        <v>-</v>
      </c>
      <c r="BD432" s="41" t="s">
        <v>1024</v>
      </c>
      <c r="BE432" s="40" t="s">
        <v>1320</v>
      </c>
      <c r="BF432" s="39" t="str">
        <f>データ!U432</f>
        <v>-</v>
      </c>
      <c r="BG432" s="41" t="s">
        <v>1024</v>
      </c>
      <c r="BH432" s="40" t="s">
        <v>1319</v>
      </c>
      <c r="BI432" s="39" t="str">
        <f>データ!V432</f>
        <v>精鋭化ユニット</v>
      </c>
      <c r="BJ432" s="41" t="s">
        <v>1024</v>
      </c>
      <c r="BK432" s="10" t="s">
        <v>1019</v>
      </c>
    </row>
    <row r="433" spans="1:63" x14ac:dyDescent="0.15">
      <c r="A433" s="10" t="s">
        <v>1016</v>
      </c>
      <c r="B433" s="10" t="s">
        <v>1454</v>
      </c>
      <c r="C433" s="38" t="str">
        <f>"./images/thumbnail/"&amp;データ!B433&amp;".jpg"</f>
        <v>./images/thumbnail/1736.jpg</v>
      </c>
      <c r="D433" s="38" t="s">
        <v>1455</v>
      </c>
      <c r="E433" s="38" t="str">
        <f>"./images/thumbnail/"&amp;データ!B433&amp;".jpg"</f>
        <v>./images/thumbnail/1736.jpg</v>
      </c>
      <c r="F433" s="38" t="s">
        <v>1116</v>
      </c>
      <c r="G433" s="38" t="s">
        <v>1319</v>
      </c>
      <c r="H433" s="38" t="str">
        <f>データ!C433</f>
        <v>イヴォン</v>
      </c>
      <c r="I433" s="38" t="s">
        <v>1024</v>
      </c>
      <c r="J433" s="38" t="s">
        <v>1320</v>
      </c>
      <c r="K433" s="38" t="str">
        <f>データ!D433</f>
        <v>SSR</v>
      </c>
      <c r="L433" s="38" t="s">
        <v>1024</v>
      </c>
      <c r="M433" s="38" t="s">
        <v>1321</v>
      </c>
      <c r="N433" s="38">
        <f>データ!E433</f>
        <v>13</v>
      </c>
      <c r="O433" s="38" t="s">
        <v>1024</v>
      </c>
      <c r="P433" s="38" t="s">
        <v>1319</v>
      </c>
      <c r="Q433" s="38" t="str">
        <f>データ!F433</f>
        <v>突</v>
      </c>
      <c r="R433" s="38" t="s">
        <v>1024</v>
      </c>
      <c r="S433" s="38" t="s">
        <v>1319</v>
      </c>
      <c r="T433" s="39">
        <f>データ!G433</f>
        <v>19037</v>
      </c>
      <c r="U433" s="40" t="s">
        <v>1024</v>
      </c>
      <c r="V433" s="40" t="s">
        <v>1319</v>
      </c>
      <c r="W433" s="39">
        <f>データ!H433</f>
        <v>5667</v>
      </c>
      <c r="X433" s="40" t="s">
        <v>1024</v>
      </c>
      <c r="Y433" s="40" t="s">
        <v>1319</v>
      </c>
      <c r="Z433" s="39">
        <f>データ!I433</f>
        <v>5386</v>
      </c>
      <c r="AA433" s="40" t="s">
        <v>1024</v>
      </c>
      <c r="AB433" s="40" t="s">
        <v>1322</v>
      </c>
      <c r="AC433" s="39" t="str">
        <f>データ!J433</f>
        <v>SS-</v>
      </c>
      <c r="AD433" s="38" t="s">
        <v>1024</v>
      </c>
      <c r="AE433" s="40" t="s">
        <v>1323</v>
      </c>
      <c r="AF433" s="39">
        <f>データ!K433</f>
        <v>30090</v>
      </c>
      <c r="AG433" s="40" t="s">
        <v>1024</v>
      </c>
      <c r="AH433" s="40" t="s">
        <v>1324</v>
      </c>
      <c r="AI433" s="39" t="str">
        <f>データ!L433</f>
        <v xml:space="preserve">聖天消滅／斬紅 </v>
      </c>
      <c r="AJ433" s="10" t="s">
        <v>1113</v>
      </c>
      <c r="AK433" s="39" t="str">
        <f>データ!M433</f>
        <v>敵斬属性の攻撃力と防御力をDOWN[大]</v>
      </c>
      <c r="AL433" s="10" t="s">
        <v>1024</v>
      </c>
      <c r="AM433" s="40" t="s">
        <v>1325</v>
      </c>
      <c r="AN433" s="39" t="str">
        <f>データ!N433</f>
        <v>-</v>
      </c>
      <c r="AO433" s="10" t="s">
        <v>1113</v>
      </c>
      <c r="AP433" s="39" t="str">
        <f>データ!O433</f>
        <v>　</v>
      </c>
      <c r="AQ433" s="41" t="s">
        <v>1024</v>
      </c>
      <c r="AR433" s="40" t="s">
        <v>1324</v>
      </c>
      <c r="AS433" s="39" t="str">
        <f>データ!P433</f>
        <v>ランページ／真</v>
      </c>
      <c r="AT433" s="10" t="s">
        <v>1113</v>
      </c>
      <c r="AU433" s="39" t="str">
        <f>データ!Q433</f>
        <v>バトルで獲得する騎士団戦スコアが中アップ(3分間)</v>
      </c>
      <c r="AV433" s="10" t="s">
        <v>1024</v>
      </c>
      <c r="AW433" s="40" t="s">
        <v>1324</v>
      </c>
      <c r="AX433" s="39" t="str">
        <f>データ!R433</f>
        <v>-</v>
      </c>
      <c r="AY433" s="10" t="s">
        <v>1113</v>
      </c>
      <c r="AZ433" s="39" t="str">
        <f>データ!S433</f>
        <v>　</v>
      </c>
      <c r="BA433" s="41" t="s">
        <v>1024</v>
      </c>
      <c r="BB433" s="40" t="s">
        <v>1319</v>
      </c>
      <c r="BC433" s="39" t="str">
        <f>データ!T433</f>
        <v>-</v>
      </c>
      <c r="BD433" s="41" t="s">
        <v>1024</v>
      </c>
      <c r="BE433" s="40" t="s">
        <v>1320</v>
      </c>
      <c r="BF433" s="39" t="str">
        <f>データ!U433</f>
        <v>-</v>
      </c>
      <c r="BG433" s="41" t="s">
        <v>1024</v>
      </c>
      <c r="BH433" s="40" t="s">
        <v>1319</v>
      </c>
      <c r="BI433" s="39" t="str">
        <f>データ!V433</f>
        <v>常設</v>
      </c>
      <c r="BJ433" s="41" t="s">
        <v>1024</v>
      </c>
      <c r="BK433" s="10" t="s">
        <v>1019</v>
      </c>
    </row>
    <row r="434" spans="1:63" x14ac:dyDescent="0.15">
      <c r="A434" s="10" t="s">
        <v>1016</v>
      </c>
      <c r="B434" s="10" t="s">
        <v>1454</v>
      </c>
      <c r="C434" s="38" t="str">
        <f>"./images/thumbnail/"&amp;データ!B434&amp;".jpg"</f>
        <v>./images/thumbnail/1738.jpg</v>
      </c>
      <c r="D434" s="38" t="s">
        <v>1455</v>
      </c>
      <c r="E434" s="38" t="str">
        <f>"./images/thumbnail/"&amp;データ!B434&amp;".jpg"</f>
        <v>./images/thumbnail/1738.jpg</v>
      </c>
      <c r="F434" s="38" t="s">
        <v>1116</v>
      </c>
      <c r="G434" s="38" t="s">
        <v>1319</v>
      </c>
      <c r="H434" s="38" t="str">
        <f>データ!C434</f>
        <v>オドレイ</v>
      </c>
      <c r="I434" s="38" t="s">
        <v>1024</v>
      </c>
      <c r="J434" s="38" t="s">
        <v>1320</v>
      </c>
      <c r="K434" s="38" t="str">
        <f>データ!D434</f>
        <v>UR</v>
      </c>
      <c r="L434" s="38" t="s">
        <v>1024</v>
      </c>
      <c r="M434" s="38" t="s">
        <v>1321</v>
      </c>
      <c r="N434" s="38">
        <f>データ!E434</f>
        <v>14</v>
      </c>
      <c r="O434" s="38" t="s">
        <v>1024</v>
      </c>
      <c r="P434" s="38" t="s">
        <v>1319</v>
      </c>
      <c r="Q434" s="38" t="str">
        <f>データ!F434</f>
        <v>打</v>
      </c>
      <c r="R434" s="38" t="s">
        <v>1024</v>
      </c>
      <c r="S434" s="38" t="s">
        <v>1319</v>
      </c>
      <c r="T434" s="39">
        <f>データ!G434</f>
        <v>23820</v>
      </c>
      <c r="U434" s="40" t="s">
        <v>1024</v>
      </c>
      <c r="V434" s="40" t="s">
        <v>1319</v>
      </c>
      <c r="W434" s="39">
        <f>データ!H434</f>
        <v>6806</v>
      </c>
      <c r="X434" s="40" t="s">
        <v>1024</v>
      </c>
      <c r="Y434" s="40" t="s">
        <v>1319</v>
      </c>
      <c r="Z434" s="39">
        <f>データ!I434</f>
        <v>8287</v>
      </c>
      <c r="AA434" s="40" t="s">
        <v>1024</v>
      </c>
      <c r="AB434" s="40" t="s">
        <v>1322</v>
      </c>
      <c r="AC434" s="39" t="str">
        <f>データ!J434</f>
        <v>A+</v>
      </c>
      <c r="AD434" s="38" t="s">
        <v>1024</v>
      </c>
      <c r="AE434" s="40" t="s">
        <v>1323</v>
      </c>
      <c r="AF434" s="39">
        <f>データ!K434</f>
        <v>38913</v>
      </c>
      <c r="AG434" s="40" t="s">
        <v>1024</v>
      </c>
      <c r="AH434" s="40" t="s">
        <v>1324</v>
      </c>
      <c r="AI434" s="39" t="str">
        <f>データ!L434</f>
        <v>焔幻の一閃／煌</v>
      </c>
      <c r="AJ434" s="10" t="s">
        <v>1113</v>
      </c>
      <c r="AK434" s="39" t="str">
        <f>データ!M434</f>
        <v>横一列に攻撃[特大]</v>
      </c>
      <c r="AL434" s="10" t="s">
        <v>1024</v>
      </c>
      <c r="AM434" s="40" t="s">
        <v>1325</v>
      </c>
      <c r="AN434" s="39" t="str">
        <f>データ!N434</f>
        <v>-</v>
      </c>
      <c r="AO434" s="10" t="s">
        <v>1113</v>
      </c>
      <c r="AP434" s="39" t="str">
        <f>データ!O434</f>
        <v>　</v>
      </c>
      <c r="AQ434" s="41" t="s">
        <v>1024</v>
      </c>
      <c r="AR434" s="40" t="s">
        <v>1324</v>
      </c>
      <c r="AS434" s="39" t="str">
        <f>データ!P434</f>
        <v>エッジノート／絶</v>
      </c>
      <c r="AT434" s="10" t="s">
        <v>1113</v>
      </c>
      <c r="AU434" s="39" t="str">
        <f>データ!Q434</f>
        <v>CB時に獲得ポイント大UP＆BPが大回復(3回)</v>
      </c>
      <c r="AV434" s="10" t="s">
        <v>1024</v>
      </c>
      <c r="AW434" s="40" t="s">
        <v>1324</v>
      </c>
      <c r="AX434" s="39" t="str">
        <f>データ!R434</f>
        <v>-</v>
      </c>
      <c r="AY434" s="10" t="s">
        <v>1113</v>
      </c>
      <c r="AZ434" s="39" t="str">
        <f>データ!S434</f>
        <v>　</v>
      </c>
      <c r="BA434" s="41" t="s">
        <v>1024</v>
      </c>
      <c r="BB434" s="40" t="s">
        <v>1319</v>
      </c>
      <c r="BC434" s="39" t="str">
        <f>データ!T434</f>
        <v>-</v>
      </c>
      <c r="BD434" s="41" t="s">
        <v>1024</v>
      </c>
      <c r="BE434" s="40" t="s">
        <v>1320</v>
      </c>
      <c r="BF434" s="39" t="str">
        <f>データ!U434</f>
        <v>-</v>
      </c>
      <c r="BG434" s="41" t="s">
        <v>1024</v>
      </c>
      <c r="BH434" s="40" t="s">
        <v>1319</v>
      </c>
      <c r="BI434" s="39" t="str">
        <f>データ!V434</f>
        <v>常設</v>
      </c>
      <c r="BJ434" s="41" t="s">
        <v>1024</v>
      </c>
      <c r="BK434" s="10" t="s">
        <v>1019</v>
      </c>
    </row>
    <row r="435" spans="1:63" x14ac:dyDescent="0.15">
      <c r="A435" s="10" t="s">
        <v>1016</v>
      </c>
      <c r="B435" s="10" t="s">
        <v>1454</v>
      </c>
      <c r="C435" s="38" t="str">
        <f>"./images/thumbnail/"&amp;データ!B435&amp;".jpg"</f>
        <v>./images/thumbnail/1738_a.jpg</v>
      </c>
      <c r="D435" s="38" t="s">
        <v>1455</v>
      </c>
      <c r="E435" s="38" t="str">
        <f>"./images/thumbnail/"&amp;データ!B435&amp;".jpg"</f>
        <v>./images/thumbnail/1738_a.jpg</v>
      </c>
      <c r="F435" s="38" t="s">
        <v>1116</v>
      </c>
      <c r="G435" s="38" t="s">
        <v>1319</v>
      </c>
      <c r="H435" s="38" t="str">
        <f>データ!C435</f>
        <v>オドレイ</v>
      </c>
      <c r="I435" s="38" t="s">
        <v>1024</v>
      </c>
      <c r="J435" s="38" t="s">
        <v>1320</v>
      </c>
      <c r="K435" s="38" t="str">
        <f>データ!D435</f>
        <v>UR</v>
      </c>
      <c r="L435" s="38" t="s">
        <v>1024</v>
      </c>
      <c r="M435" s="38" t="s">
        <v>1321</v>
      </c>
      <c r="N435" s="38">
        <f>データ!E435</f>
        <v>14</v>
      </c>
      <c r="O435" s="38" t="s">
        <v>1024</v>
      </c>
      <c r="P435" s="38" t="s">
        <v>1319</v>
      </c>
      <c r="Q435" s="38" t="str">
        <f>データ!F435</f>
        <v>打</v>
      </c>
      <c r="R435" s="38" t="s">
        <v>1024</v>
      </c>
      <c r="S435" s="38" t="s">
        <v>1319</v>
      </c>
      <c r="T435" s="39">
        <f>データ!G435</f>
        <v>31674</v>
      </c>
      <c r="U435" s="40" t="s">
        <v>1024</v>
      </c>
      <c r="V435" s="40" t="s">
        <v>1319</v>
      </c>
      <c r="W435" s="39">
        <f>データ!H435</f>
        <v>9179</v>
      </c>
      <c r="X435" s="40" t="s">
        <v>1024</v>
      </c>
      <c r="Y435" s="40" t="s">
        <v>1319</v>
      </c>
      <c r="Z435" s="39">
        <f>データ!I435</f>
        <v>12025</v>
      </c>
      <c r="AA435" s="40" t="s">
        <v>1024</v>
      </c>
      <c r="AB435" s="40" t="s">
        <v>1322</v>
      </c>
      <c r="AC435" s="39" t="str">
        <f>データ!J435</f>
        <v>SS-</v>
      </c>
      <c r="AD435" s="38" t="s">
        <v>1024</v>
      </c>
      <c r="AE435" s="40" t="s">
        <v>1323</v>
      </c>
      <c r="AF435" s="39">
        <f>データ!K435</f>
        <v>52878</v>
      </c>
      <c r="AG435" s="40" t="s">
        <v>1024</v>
      </c>
      <c r="AH435" s="40" t="s">
        <v>1324</v>
      </c>
      <c r="AI435" s="39" t="str">
        <f>データ!L435</f>
        <v>焔幻の一閃／煌＋</v>
      </c>
      <c r="AJ435" s="10" t="s">
        <v>1113</v>
      </c>
      <c r="AK435" s="39" t="str">
        <f>データ!M435</f>
        <v>横一列に攻撃[超極大]</v>
      </c>
      <c r="AL435" s="10" t="s">
        <v>1024</v>
      </c>
      <c r="AM435" s="40" t="s">
        <v>1325</v>
      </c>
      <c r="AN435" s="39" t="str">
        <f>データ!N435</f>
        <v>-</v>
      </c>
      <c r="AO435" s="10" t="s">
        <v>1113</v>
      </c>
      <c r="AP435" s="39" t="str">
        <f>データ!O435</f>
        <v>　</v>
      </c>
      <c r="AQ435" s="41" t="s">
        <v>1024</v>
      </c>
      <c r="AR435" s="40" t="s">
        <v>1324</v>
      </c>
      <c r="AS435" s="39" t="str">
        <f>データ!P435</f>
        <v>エッジノート／絶</v>
      </c>
      <c r="AT435" s="10" t="s">
        <v>1113</v>
      </c>
      <c r="AU435" s="39" t="str">
        <f>データ!Q435</f>
        <v>CB時に獲得ポイント大UP＆BPが大回復(3回)</v>
      </c>
      <c r="AV435" s="10" t="s">
        <v>1024</v>
      </c>
      <c r="AW435" s="40" t="s">
        <v>1324</v>
      </c>
      <c r="AX435" s="39" t="str">
        <f>データ!R435</f>
        <v>-</v>
      </c>
      <c r="AY435" s="10" t="s">
        <v>1113</v>
      </c>
      <c r="AZ435" s="39" t="str">
        <f>データ!S435</f>
        <v>　</v>
      </c>
      <c r="BA435" s="41" t="s">
        <v>1024</v>
      </c>
      <c r="BB435" s="40" t="s">
        <v>1319</v>
      </c>
      <c r="BC435" s="39" t="str">
        <f>データ!T435</f>
        <v>-</v>
      </c>
      <c r="BD435" s="41" t="s">
        <v>1024</v>
      </c>
      <c r="BE435" s="40" t="s">
        <v>1320</v>
      </c>
      <c r="BF435" s="39" t="str">
        <f>データ!U435</f>
        <v>-</v>
      </c>
      <c r="BG435" s="41" t="s">
        <v>1024</v>
      </c>
      <c r="BH435" s="40" t="s">
        <v>1319</v>
      </c>
      <c r="BI435" s="39" t="str">
        <f>データ!V435</f>
        <v>精鋭化ユニット</v>
      </c>
      <c r="BJ435" s="41" t="s">
        <v>1024</v>
      </c>
      <c r="BK435" s="10" t="s">
        <v>1019</v>
      </c>
    </row>
    <row r="436" spans="1:63" x14ac:dyDescent="0.15">
      <c r="A436" s="10" t="s">
        <v>1016</v>
      </c>
      <c r="B436" s="10" t="s">
        <v>1454</v>
      </c>
      <c r="C436" s="38" t="str">
        <f>"./images/thumbnail/"&amp;データ!B436&amp;".jpg"</f>
        <v>./images/thumbnail/1738_b.jpg</v>
      </c>
      <c r="D436" s="38" t="s">
        <v>1455</v>
      </c>
      <c r="E436" s="38" t="str">
        <f>"./images/thumbnail/"&amp;データ!B436&amp;".jpg"</f>
        <v>./images/thumbnail/1738_b.jpg</v>
      </c>
      <c r="F436" s="38" t="s">
        <v>1116</v>
      </c>
      <c r="G436" s="38" t="s">
        <v>1319</v>
      </c>
      <c r="H436" s="38" t="str">
        <f>データ!C436</f>
        <v>オドレイ</v>
      </c>
      <c r="I436" s="38" t="s">
        <v>1024</v>
      </c>
      <c r="J436" s="38" t="s">
        <v>1320</v>
      </c>
      <c r="K436" s="38" t="str">
        <f>データ!D436</f>
        <v>UR</v>
      </c>
      <c r="L436" s="38" t="s">
        <v>1024</v>
      </c>
      <c r="M436" s="38" t="s">
        <v>1321</v>
      </c>
      <c r="N436" s="38">
        <f>データ!E436</f>
        <v>14</v>
      </c>
      <c r="O436" s="38" t="s">
        <v>1024</v>
      </c>
      <c r="P436" s="38" t="s">
        <v>1319</v>
      </c>
      <c r="Q436" s="38" t="str">
        <f>データ!F436</f>
        <v>打</v>
      </c>
      <c r="R436" s="38" t="s">
        <v>1024</v>
      </c>
      <c r="S436" s="38" t="s">
        <v>1319</v>
      </c>
      <c r="T436" s="39">
        <f>データ!G436</f>
        <v>30498</v>
      </c>
      <c r="U436" s="40" t="s">
        <v>1024</v>
      </c>
      <c r="V436" s="40" t="s">
        <v>1319</v>
      </c>
      <c r="W436" s="39">
        <f>データ!H436</f>
        <v>8843</v>
      </c>
      <c r="X436" s="40" t="s">
        <v>1024</v>
      </c>
      <c r="Y436" s="40" t="s">
        <v>1319</v>
      </c>
      <c r="Z436" s="39">
        <f>データ!I436</f>
        <v>11605</v>
      </c>
      <c r="AA436" s="40" t="s">
        <v>1024</v>
      </c>
      <c r="AB436" s="40" t="s">
        <v>1322</v>
      </c>
      <c r="AC436" s="39" t="str">
        <f>データ!J436</f>
        <v>SS-</v>
      </c>
      <c r="AD436" s="38" t="s">
        <v>1024</v>
      </c>
      <c r="AE436" s="40" t="s">
        <v>1323</v>
      </c>
      <c r="AF436" s="39">
        <f>データ!K436</f>
        <v>50946</v>
      </c>
      <c r="AG436" s="40" t="s">
        <v>1024</v>
      </c>
      <c r="AH436" s="40" t="s">
        <v>1324</v>
      </c>
      <c r="AI436" s="39" t="str">
        <f>データ!L436</f>
        <v>焔幻の一閃／煌</v>
      </c>
      <c r="AJ436" s="10" t="s">
        <v>1113</v>
      </c>
      <c r="AK436" s="39" t="str">
        <f>データ!M436</f>
        <v>横一列に攻撃[特大]</v>
      </c>
      <c r="AL436" s="10" t="s">
        <v>1024</v>
      </c>
      <c r="AM436" s="40" t="s">
        <v>1325</v>
      </c>
      <c r="AN436" s="39" t="str">
        <f>データ!N436</f>
        <v>-</v>
      </c>
      <c r="AO436" s="10" t="s">
        <v>1113</v>
      </c>
      <c r="AP436" s="39" t="str">
        <f>データ!O436</f>
        <v>　</v>
      </c>
      <c r="AQ436" s="41" t="s">
        <v>1024</v>
      </c>
      <c r="AR436" s="40" t="s">
        <v>1324</v>
      </c>
      <c r="AS436" s="39" t="str">
        <f>データ!P436</f>
        <v>爆炎の女傑</v>
      </c>
      <c r="AT436" s="10" t="s">
        <v>1113</v>
      </c>
      <c r="AU436" s="39" t="str">
        <f>データ!Q436</f>
        <v>CB時に獲得ポイント極大UP＆BPが極大回復(8回)</v>
      </c>
      <c r="AV436" s="10" t="s">
        <v>1024</v>
      </c>
      <c r="AW436" s="40" t="s">
        <v>1324</v>
      </c>
      <c r="AX436" s="39" t="str">
        <f>データ!R436</f>
        <v>-</v>
      </c>
      <c r="AY436" s="10" t="s">
        <v>1113</v>
      </c>
      <c r="AZ436" s="39" t="str">
        <f>データ!S436</f>
        <v>　</v>
      </c>
      <c r="BA436" s="41" t="s">
        <v>1024</v>
      </c>
      <c r="BB436" s="40" t="s">
        <v>1319</v>
      </c>
      <c r="BC436" s="39" t="str">
        <f>データ!T436</f>
        <v>-</v>
      </c>
      <c r="BD436" s="41" t="s">
        <v>1024</v>
      </c>
      <c r="BE436" s="40" t="s">
        <v>1320</v>
      </c>
      <c r="BF436" s="39" t="str">
        <f>データ!U436</f>
        <v>-</v>
      </c>
      <c r="BG436" s="41" t="s">
        <v>1024</v>
      </c>
      <c r="BH436" s="40" t="s">
        <v>1319</v>
      </c>
      <c r="BI436" s="39" t="str">
        <f>データ!V436</f>
        <v>精鋭化ユニット</v>
      </c>
      <c r="BJ436" s="41" t="s">
        <v>1024</v>
      </c>
      <c r="BK436" s="10" t="s">
        <v>1019</v>
      </c>
    </row>
    <row r="437" spans="1:63" x14ac:dyDescent="0.15">
      <c r="A437" s="10" t="s">
        <v>1016</v>
      </c>
      <c r="B437" s="10" t="s">
        <v>1454</v>
      </c>
      <c r="C437" s="38" t="str">
        <f>"./images/thumbnail/"&amp;データ!B437&amp;".jpg"</f>
        <v>./images/thumbnail/1740.jpg</v>
      </c>
      <c r="D437" s="38" t="s">
        <v>1455</v>
      </c>
      <c r="E437" s="38" t="str">
        <f>"./images/thumbnail/"&amp;データ!B437&amp;".jpg"</f>
        <v>./images/thumbnail/1740.jpg</v>
      </c>
      <c r="F437" s="38" t="s">
        <v>1116</v>
      </c>
      <c r="G437" s="38" t="s">
        <v>1319</v>
      </c>
      <c r="H437" s="38" t="str">
        <f>データ!C437</f>
        <v>クンツ</v>
      </c>
      <c r="I437" s="38" t="s">
        <v>1024</v>
      </c>
      <c r="J437" s="38" t="s">
        <v>1320</v>
      </c>
      <c r="K437" s="38" t="str">
        <f>データ!D437</f>
        <v>SSR</v>
      </c>
      <c r="L437" s="38" t="s">
        <v>1024</v>
      </c>
      <c r="M437" s="38" t="s">
        <v>1321</v>
      </c>
      <c r="N437" s="38">
        <f>データ!E437</f>
        <v>13</v>
      </c>
      <c r="O437" s="38" t="s">
        <v>1024</v>
      </c>
      <c r="P437" s="38" t="s">
        <v>1319</v>
      </c>
      <c r="Q437" s="38" t="str">
        <f>データ!F437</f>
        <v>遠</v>
      </c>
      <c r="R437" s="38" t="s">
        <v>1024</v>
      </c>
      <c r="S437" s="38" t="s">
        <v>1319</v>
      </c>
      <c r="T437" s="39">
        <f>データ!G437</f>
        <v>16385</v>
      </c>
      <c r="U437" s="40" t="s">
        <v>1024</v>
      </c>
      <c r="V437" s="40" t="s">
        <v>1319</v>
      </c>
      <c r="W437" s="39">
        <f>データ!H437</f>
        <v>6749</v>
      </c>
      <c r="X437" s="40" t="s">
        <v>1024</v>
      </c>
      <c r="Y437" s="40" t="s">
        <v>1319</v>
      </c>
      <c r="Z437" s="39">
        <f>データ!I437</f>
        <v>4660</v>
      </c>
      <c r="AA437" s="40" t="s">
        <v>1024</v>
      </c>
      <c r="AB437" s="40" t="s">
        <v>1322</v>
      </c>
      <c r="AC437" s="39" t="str">
        <f>データ!J437</f>
        <v>S-</v>
      </c>
      <c r="AD437" s="38" t="s">
        <v>1024</v>
      </c>
      <c r="AE437" s="40" t="s">
        <v>1323</v>
      </c>
      <c r="AF437" s="39">
        <f>データ!K437</f>
        <v>27794</v>
      </c>
      <c r="AG437" s="40" t="s">
        <v>1024</v>
      </c>
      <c r="AH437" s="40" t="s">
        <v>1324</v>
      </c>
      <c r="AI437" s="39" t="str">
        <f>データ!L437</f>
        <v>地幻射の五連撃</v>
      </c>
      <c r="AJ437" s="10" t="s">
        <v>1113</v>
      </c>
      <c r="AK437" s="39" t="str">
        <f>データ!M437</f>
        <v>ランダムで5連続攻撃[小]自分の防御力UP[小]</v>
      </c>
      <c r="AL437" s="10" t="s">
        <v>1024</v>
      </c>
      <c r="AM437" s="40" t="s">
        <v>1325</v>
      </c>
      <c r="AN437" s="39" t="str">
        <f>データ!N437</f>
        <v>-</v>
      </c>
      <c r="AO437" s="10" t="s">
        <v>1113</v>
      </c>
      <c r="AP437" s="39" t="str">
        <f>データ!O437</f>
        <v>　</v>
      </c>
      <c r="AQ437" s="41" t="s">
        <v>1024</v>
      </c>
      <c r="AR437" s="40" t="s">
        <v>1324</v>
      </c>
      <c r="AS437" s="39" t="str">
        <f>データ!P437</f>
        <v>メナス</v>
      </c>
      <c r="AT437" s="10" t="s">
        <v>1113</v>
      </c>
      <c r="AU437" s="39" t="str">
        <f>データ!Q437</f>
        <v>対戦騎士団全体の防御力が小DOWN(3分間)</v>
      </c>
      <c r="AV437" s="10" t="s">
        <v>1024</v>
      </c>
      <c r="AW437" s="40" t="s">
        <v>1324</v>
      </c>
      <c r="AX437" s="39" t="str">
        <f>データ!R437</f>
        <v>-</v>
      </c>
      <c r="AY437" s="10" t="s">
        <v>1113</v>
      </c>
      <c r="AZ437" s="39" t="str">
        <f>データ!S437</f>
        <v>　</v>
      </c>
      <c r="BA437" s="41" t="s">
        <v>1024</v>
      </c>
      <c r="BB437" s="40" t="s">
        <v>1319</v>
      </c>
      <c r="BC437" s="39" t="str">
        <f>データ!T437</f>
        <v>-</v>
      </c>
      <c r="BD437" s="41" t="s">
        <v>1024</v>
      </c>
      <c r="BE437" s="40" t="s">
        <v>1320</v>
      </c>
      <c r="BF437" s="39" t="str">
        <f>データ!U437</f>
        <v>-</v>
      </c>
      <c r="BG437" s="41" t="s">
        <v>1024</v>
      </c>
      <c r="BH437" s="40" t="s">
        <v>1319</v>
      </c>
      <c r="BI437" s="39" t="str">
        <f>データ!V437</f>
        <v>常設</v>
      </c>
      <c r="BJ437" s="41" t="s">
        <v>1024</v>
      </c>
      <c r="BK437" s="10" t="s">
        <v>1019</v>
      </c>
    </row>
    <row r="438" spans="1:63" x14ac:dyDescent="0.15">
      <c r="A438" s="10" t="s">
        <v>1016</v>
      </c>
      <c r="B438" s="10" t="s">
        <v>1454</v>
      </c>
      <c r="C438" s="38" t="str">
        <f>"./images/thumbnail/"&amp;データ!B438&amp;".jpg"</f>
        <v>./images/thumbnail/1741.jpg</v>
      </c>
      <c r="D438" s="38" t="s">
        <v>1455</v>
      </c>
      <c r="E438" s="38" t="str">
        <f>"./images/thumbnail/"&amp;データ!B438&amp;".jpg"</f>
        <v>./images/thumbnail/1741.jpg</v>
      </c>
      <c r="F438" s="38" t="s">
        <v>1116</v>
      </c>
      <c r="G438" s="38" t="s">
        <v>1319</v>
      </c>
      <c r="H438" s="38" t="str">
        <f>データ!C438</f>
        <v>ルーカン</v>
      </c>
      <c r="I438" s="38" t="s">
        <v>1024</v>
      </c>
      <c r="J438" s="38" t="s">
        <v>1320</v>
      </c>
      <c r="K438" s="38" t="str">
        <f>データ!D438</f>
        <v>UR</v>
      </c>
      <c r="L438" s="38" t="s">
        <v>1024</v>
      </c>
      <c r="M438" s="38" t="s">
        <v>1321</v>
      </c>
      <c r="N438" s="38">
        <f>データ!E438</f>
        <v>14</v>
      </c>
      <c r="O438" s="38" t="s">
        <v>1024</v>
      </c>
      <c r="P438" s="38" t="s">
        <v>1319</v>
      </c>
      <c r="Q438" s="38" t="str">
        <f>データ!F438</f>
        <v>突</v>
      </c>
      <c r="R438" s="38" t="s">
        <v>1024</v>
      </c>
      <c r="S438" s="38" t="s">
        <v>1319</v>
      </c>
      <c r="T438" s="39">
        <f>データ!G438</f>
        <v>18819</v>
      </c>
      <c r="U438" s="40" t="s">
        <v>1024</v>
      </c>
      <c r="V438" s="40" t="s">
        <v>1319</v>
      </c>
      <c r="W438" s="39">
        <f>データ!H438</f>
        <v>5921</v>
      </c>
      <c r="X438" s="40" t="s">
        <v>1024</v>
      </c>
      <c r="Y438" s="40" t="s">
        <v>1319</v>
      </c>
      <c r="Z438" s="39">
        <f>データ!I438</f>
        <v>6629</v>
      </c>
      <c r="AA438" s="40" t="s">
        <v>1024</v>
      </c>
      <c r="AB438" s="40" t="s">
        <v>1322</v>
      </c>
      <c r="AC438" s="39" t="str">
        <f>データ!J438</f>
        <v>SS3</v>
      </c>
      <c r="AD438" s="38" t="s">
        <v>1024</v>
      </c>
      <c r="AE438" s="40" t="s">
        <v>1323</v>
      </c>
      <c r="AF438" s="39">
        <f>データ!K438</f>
        <v>31369</v>
      </c>
      <c r="AG438" s="40" t="s">
        <v>1024</v>
      </c>
      <c r="AH438" s="40" t="s">
        <v>1324</v>
      </c>
      <c r="AI438" s="39" t="str">
        <f>データ!L438</f>
        <v>幻神の六連撃／真</v>
      </c>
      <c r="AJ438" s="10" t="s">
        <v>1113</v>
      </c>
      <c r="AK438" s="39" t="str">
        <f>データ!M438</f>
        <v>ランダムで6連続攻撃[中]</v>
      </c>
      <c r="AL438" s="10" t="s">
        <v>1024</v>
      </c>
      <c r="AM438" s="40" t="s">
        <v>1325</v>
      </c>
      <c r="AN438" s="39" t="str">
        <f>データ!N438</f>
        <v>-</v>
      </c>
      <c r="AO438" s="10" t="s">
        <v>1113</v>
      </c>
      <c r="AP438" s="39" t="str">
        <f>データ!O438</f>
        <v>　</v>
      </c>
      <c r="AQ438" s="41" t="s">
        <v>1024</v>
      </c>
      <c r="AR438" s="40" t="s">
        <v>1324</v>
      </c>
      <c r="AS438" s="39" t="str">
        <f>データ!P438</f>
        <v>ブリッツ</v>
      </c>
      <c r="AT438" s="10" t="s">
        <v>1113</v>
      </c>
      <c r="AU438" s="39" t="str">
        <f>データ!Q438</f>
        <v>強襲CBの発生確率・強襲時獲得ポイントUP(3分間)</v>
      </c>
      <c r="AV438" s="10" t="s">
        <v>1024</v>
      </c>
      <c r="AW438" s="40" t="s">
        <v>1324</v>
      </c>
      <c r="AX438" s="39" t="str">
        <f>データ!R438</f>
        <v>-</v>
      </c>
      <c r="AY438" s="10" t="s">
        <v>1113</v>
      </c>
      <c r="AZ438" s="39" t="str">
        <f>データ!S438</f>
        <v>　</v>
      </c>
      <c r="BA438" s="41" t="s">
        <v>1024</v>
      </c>
      <c r="BB438" s="40" t="s">
        <v>1319</v>
      </c>
      <c r="BC438" s="39" t="str">
        <f>データ!T438</f>
        <v>-</v>
      </c>
      <c r="BD438" s="41" t="s">
        <v>1024</v>
      </c>
      <c r="BE438" s="40" t="s">
        <v>1320</v>
      </c>
      <c r="BF438" s="39" t="str">
        <f>データ!U438</f>
        <v>-</v>
      </c>
      <c r="BG438" s="41" t="s">
        <v>1024</v>
      </c>
      <c r="BH438" s="40" t="s">
        <v>1319</v>
      </c>
      <c r="BI438" s="39" t="str">
        <f>データ!V438</f>
        <v>ガチャイベ</v>
      </c>
      <c r="BJ438" s="41" t="s">
        <v>1024</v>
      </c>
      <c r="BK438" s="10" t="s">
        <v>1019</v>
      </c>
    </row>
    <row r="439" spans="1:63" x14ac:dyDescent="0.15">
      <c r="A439" s="10" t="s">
        <v>1016</v>
      </c>
      <c r="B439" s="10" t="s">
        <v>1454</v>
      </c>
      <c r="C439" s="38" t="str">
        <f>"./images/thumbnail/"&amp;データ!B439&amp;".jpg"</f>
        <v>./images/thumbnail/1742.jpg</v>
      </c>
      <c r="D439" s="38" t="s">
        <v>1455</v>
      </c>
      <c r="E439" s="38" t="str">
        <f>"./images/thumbnail/"&amp;データ!B439&amp;".jpg"</f>
        <v>./images/thumbnail/1742.jpg</v>
      </c>
      <c r="F439" s="38" t="s">
        <v>1116</v>
      </c>
      <c r="G439" s="38" t="s">
        <v>1319</v>
      </c>
      <c r="H439" s="38" t="str">
        <f>データ!C439</f>
        <v>ジャクリーン</v>
      </c>
      <c r="I439" s="38" t="s">
        <v>1024</v>
      </c>
      <c r="J439" s="38" t="s">
        <v>1320</v>
      </c>
      <c r="K439" s="38" t="str">
        <f>データ!D439</f>
        <v>UR</v>
      </c>
      <c r="L439" s="38" t="s">
        <v>1024</v>
      </c>
      <c r="M439" s="38" t="s">
        <v>1321</v>
      </c>
      <c r="N439" s="38">
        <f>データ!E439</f>
        <v>14</v>
      </c>
      <c r="O439" s="38" t="s">
        <v>1024</v>
      </c>
      <c r="P439" s="38" t="s">
        <v>1319</v>
      </c>
      <c r="Q439" s="38" t="str">
        <f>データ!F439</f>
        <v>遠</v>
      </c>
      <c r="R439" s="38" t="s">
        <v>1024</v>
      </c>
      <c r="S439" s="38" t="s">
        <v>1319</v>
      </c>
      <c r="T439" s="39">
        <f>データ!G439</f>
        <v>20016</v>
      </c>
      <c r="U439" s="40" t="s">
        <v>1024</v>
      </c>
      <c r="V439" s="40" t="s">
        <v>1319</v>
      </c>
      <c r="W439" s="39">
        <f>データ!H439</f>
        <v>6984</v>
      </c>
      <c r="X439" s="40" t="s">
        <v>1024</v>
      </c>
      <c r="Y439" s="40" t="s">
        <v>1319</v>
      </c>
      <c r="Z439" s="39">
        <f>データ!I439</f>
        <v>5545</v>
      </c>
      <c r="AA439" s="40" t="s">
        <v>1024</v>
      </c>
      <c r="AB439" s="40" t="s">
        <v>1322</v>
      </c>
      <c r="AC439" s="39" t="str">
        <f>データ!J439</f>
        <v>S+</v>
      </c>
      <c r="AD439" s="38" t="s">
        <v>1024</v>
      </c>
      <c r="AE439" s="40" t="s">
        <v>1323</v>
      </c>
      <c r="AF439" s="39">
        <f>データ!K439</f>
        <v>32545</v>
      </c>
      <c r="AG439" s="40" t="s">
        <v>1024</v>
      </c>
      <c r="AH439" s="40" t="s">
        <v>1324</v>
      </c>
      <c r="AI439" s="39" t="str">
        <f>データ!L439</f>
        <v>遠翠の神護</v>
      </c>
      <c r="AJ439" s="10" t="s">
        <v>1113</v>
      </c>
      <c r="AK439" s="39" t="str">
        <f>データ!M439</f>
        <v>味方遠属性の防御力をUP[特大]</v>
      </c>
      <c r="AL439" s="10" t="s">
        <v>1024</v>
      </c>
      <c r="AM439" s="40" t="s">
        <v>1325</v>
      </c>
      <c r="AN439" s="39" t="str">
        <f>データ!N439</f>
        <v>-</v>
      </c>
      <c r="AO439" s="10" t="s">
        <v>1113</v>
      </c>
      <c r="AP439" s="39" t="str">
        <f>データ!O439</f>
        <v>　</v>
      </c>
      <c r="AQ439" s="41" t="s">
        <v>1024</v>
      </c>
      <c r="AR439" s="40" t="s">
        <v>1324</v>
      </c>
      <c r="AS439" s="39" t="str">
        <f>データ!P439</f>
        <v>オラクルオーダー／真</v>
      </c>
      <c r="AT439" s="10" t="s">
        <v>1113</v>
      </c>
      <c r="AU439" s="39" t="str">
        <f>データ!Q439</f>
        <v>騎士団全体のスキル発動率が中UP(3分間)</v>
      </c>
      <c r="AV439" s="10" t="s">
        <v>1024</v>
      </c>
      <c r="AW439" s="40" t="s">
        <v>1324</v>
      </c>
      <c r="AX439" s="39" t="str">
        <f>データ!R439</f>
        <v>-</v>
      </c>
      <c r="AY439" s="10" t="s">
        <v>1113</v>
      </c>
      <c r="AZ439" s="39" t="str">
        <f>データ!S439</f>
        <v>　</v>
      </c>
      <c r="BA439" s="41" t="s">
        <v>1024</v>
      </c>
      <c r="BB439" s="40" t="s">
        <v>1319</v>
      </c>
      <c r="BC439" s="39" t="str">
        <f>データ!T439</f>
        <v>-</v>
      </c>
      <c r="BD439" s="41" t="s">
        <v>1024</v>
      </c>
      <c r="BE439" s="40" t="s">
        <v>1320</v>
      </c>
      <c r="BF439" s="39" t="str">
        <f>データ!U439</f>
        <v>-</v>
      </c>
      <c r="BG439" s="41" t="s">
        <v>1024</v>
      </c>
      <c r="BH439" s="40" t="s">
        <v>1319</v>
      </c>
      <c r="BI439" s="39" t="str">
        <f>データ!V439</f>
        <v>ガチャイベ</v>
      </c>
      <c r="BJ439" s="41" t="s">
        <v>1024</v>
      </c>
      <c r="BK439" s="10" t="s">
        <v>1019</v>
      </c>
    </row>
    <row r="440" spans="1:63" x14ac:dyDescent="0.15">
      <c r="A440" s="10" t="s">
        <v>1016</v>
      </c>
      <c r="B440" s="10" t="s">
        <v>1454</v>
      </c>
      <c r="C440" s="38" t="str">
        <f>"./images/thumbnail/"&amp;データ!B440&amp;".jpg"</f>
        <v>./images/thumbnail/1744.jpg</v>
      </c>
      <c r="D440" s="38" t="s">
        <v>1455</v>
      </c>
      <c r="E440" s="38" t="str">
        <f>"./images/thumbnail/"&amp;データ!B440&amp;".jpg"</f>
        <v>./images/thumbnail/1744.jpg</v>
      </c>
      <c r="F440" s="38" t="s">
        <v>1116</v>
      </c>
      <c r="G440" s="38" t="s">
        <v>1319</v>
      </c>
      <c r="H440" s="38" t="str">
        <f>データ!C440</f>
        <v>ミネット</v>
      </c>
      <c r="I440" s="38" t="s">
        <v>1024</v>
      </c>
      <c r="J440" s="38" t="s">
        <v>1320</v>
      </c>
      <c r="K440" s="38" t="str">
        <f>データ!D440</f>
        <v>UR</v>
      </c>
      <c r="L440" s="38" t="s">
        <v>1024</v>
      </c>
      <c r="M440" s="38" t="s">
        <v>1321</v>
      </c>
      <c r="N440" s="38">
        <f>データ!E440</f>
        <v>14</v>
      </c>
      <c r="O440" s="38" t="s">
        <v>1024</v>
      </c>
      <c r="P440" s="38" t="s">
        <v>1319</v>
      </c>
      <c r="Q440" s="38" t="str">
        <f>データ!F440</f>
        <v>打</v>
      </c>
      <c r="R440" s="38" t="s">
        <v>1024</v>
      </c>
      <c r="S440" s="38" t="s">
        <v>1319</v>
      </c>
      <c r="T440" s="39">
        <f>データ!G440</f>
        <v>21174</v>
      </c>
      <c r="U440" s="40" t="s">
        <v>1024</v>
      </c>
      <c r="V440" s="40" t="s">
        <v>1319</v>
      </c>
      <c r="W440" s="39">
        <f>データ!H440</f>
        <v>7134</v>
      </c>
      <c r="X440" s="40" t="s">
        <v>1024</v>
      </c>
      <c r="Y440" s="40" t="s">
        <v>1319</v>
      </c>
      <c r="Z440" s="39">
        <f>データ!I440</f>
        <v>8294</v>
      </c>
      <c r="AA440" s="40" t="s">
        <v>1024</v>
      </c>
      <c r="AB440" s="40" t="s">
        <v>1322</v>
      </c>
      <c r="AC440" s="39" t="str">
        <f>データ!J440</f>
        <v>A+</v>
      </c>
      <c r="AD440" s="38" t="s">
        <v>1024</v>
      </c>
      <c r="AE440" s="40" t="s">
        <v>1323</v>
      </c>
      <c r="AF440" s="39">
        <f>データ!K440</f>
        <v>36602</v>
      </c>
      <c r="AG440" s="40" t="s">
        <v>1024</v>
      </c>
      <c r="AH440" s="40" t="s">
        <v>1324</v>
      </c>
      <c r="AI440" s="39" t="str">
        <f>データ!L440</f>
        <v>天焔幻の一閃／煌</v>
      </c>
      <c r="AJ440" s="10" t="s">
        <v>1113</v>
      </c>
      <c r="AK440" s="39" t="str">
        <f>データ!M440</f>
        <v>横一列攻撃[特大]自分の攻撃力UP[特大]</v>
      </c>
      <c r="AL440" s="10" t="s">
        <v>1024</v>
      </c>
      <c r="AM440" s="40" t="s">
        <v>1325</v>
      </c>
      <c r="AN440" s="39" t="str">
        <f>データ!N440</f>
        <v>-</v>
      </c>
      <c r="AO440" s="10" t="s">
        <v>1113</v>
      </c>
      <c r="AP440" s="39" t="str">
        <f>データ!O440</f>
        <v>　</v>
      </c>
      <c r="AQ440" s="41" t="s">
        <v>1024</v>
      </c>
      <c r="AR440" s="40" t="s">
        <v>1324</v>
      </c>
      <c r="AS440" s="39" t="str">
        <f>データ!P440</f>
        <v>エースオーダー／真</v>
      </c>
      <c r="AT440" s="10" t="s">
        <v>1113</v>
      </c>
      <c r="AU440" s="39" t="str">
        <f>データ!Q440</f>
        <v>騎士団全体の攻・防が中UP(3分間)</v>
      </c>
      <c r="AV440" s="10" t="s">
        <v>1024</v>
      </c>
      <c r="AW440" s="40" t="s">
        <v>1324</v>
      </c>
      <c r="AX440" s="39" t="str">
        <f>データ!R440</f>
        <v>-</v>
      </c>
      <c r="AY440" s="10" t="s">
        <v>1113</v>
      </c>
      <c r="AZ440" s="39" t="str">
        <f>データ!S440</f>
        <v>　</v>
      </c>
      <c r="BA440" s="41" t="s">
        <v>1024</v>
      </c>
      <c r="BB440" s="40" t="s">
        <v>1319</v>
      </c>
      <c r="BC440" s="39" t="str">
        <f>データ!T440</f>
        <v>-</v>
      </c>
      <c r="BD440" s="41" t="s">
        <v>1024</v>
      </c>
      <c r="BE440" s="40" t="s">
        <v>1320</v>
      </c>
      <c r="BF440" s="39" t="str">
        <f>データ!U440</f>
        <v>-</v>
      </c>
      <c r="BG440" s="41" t="s">
        <v>1024</v>
      </c>
      <c r="BH440" s="40" t="s">
        <v>1319</v>
      </c>
      <c r="BI440" s="39" t="str">
        <f>データ!V440</f>
        <v>覇者の塔</v>
      </c>
      <c r="BJ440" s="41" t="s">
        <v>1024</v>
      </c>
      <c r="BK440" s="10" t="s">
        <v>1019</v>
      </c>
    </row>
    <row r="441" spans="1:63" x14ac:dyDescent="0.15">
      <c r="A441" s="10" t="s">
        <v>1016</v>
      </c>
      <c r="B441" s="10" t="s">
        <v>1454</v>
      </c>
      <c r="C441" s="38" t="str">
        <f>"./images/thumbnail/"&amp;データ!B441&amp;".jpg"</f>
        <v>./images/thumbnail/1746.jpg</v>
      </c>
      <c r="D441" s="38" t="s">
        <v>1455</v>
      </c>
      <c r="E441" s="38" t="str">
        <f>"./images/thumbnail/"&amp;データ!B441&amp;".jpg"</f>
        <v>./images/thumbnail/1746.jpg</v>
      </c>
      <c r="F441" s="38" t="s">
        <v>1116</v>
      </c>
      <c r="G441" s="38" t="s">
        <v>1319</v>
      </c>
      <c r="H441" s="38" t="str">
        <f>データ!C441</f>
        <v>アニー</v>
      </c>
      <c r="I441" s="38" t="s">
        <v>1024</v>
      </c>
      <c r="J441" s="38" t="s">
        <v>1320</v>
      </c>
      <c r="K441" s="38" t="str">
        <f>データ!D441</f>
        <v>SSR</v>
      </c>
      <c r="L441" s="38" t="s">
        <v>1024</v>
      </c>
      <c r="M441" s="38" t="s">
        <v>1321</v>
      </c>
      <c r="N441" s="38">
        <f>データ!E441</f>
        <v>13</v>
      </c>
      <c r="O441" s="38" t="s">
        <v>1024</v>
      </c>
      <c r="P441" s="38" t="s">
        <v>1319</v>
      </c>
      <c r="Q441" s="38" t="str">
        <f>データ!F441</f>
        <v>斬</v>
      </c>
      <c r="R441" s="38" t="s">
        <v>1024</v>
      </c>
      <c r="S441" s="38" t="s">
        <v>1319</v>
      </c>
      <c r="T441" s="39">
        <f>データ!G441</f>
        <v>14754</v>
      </c>
      <c r="U441" s="40" t="s">
        <v>1024</v>
      </c>
      <c r="V441" s="40" t="s">
        <v>1319</v>
      </c>
      <c r="W441" s="39">
        <f>データ!H441</f>
        <v>7789</v>
      </c>
      <c r="X441" s="40" t="s">
        <v>1024</v>
      </c>
      <c r="Y441" s="40" t="s">
        <v>1319</v>
      </c>
      <c r="Z441" s="39">
        <f>データ!I441</f>
        <v>5439</v>
      </c>
      <c r="AA441" s="40" t="s">
        <v>1024</v>
      </c>
      <c r="AB441" s="40" t="s">
        <v>1322</v>
      </c>
      <c r="AC441" s="39" t="str">
        <f>データ!J441</f>
        <v>A+</v>
      </c>
      <c r="AD441" s="38" t="s">
        <v>1024</v>
      </c>
      <c r="AE441" s="40" t="s">
        <v>1323</v>
      </c>
      <c r="AF441" s="39">
        <f>データ!K441</f>
        <v>27982</v>
      </c>
      <c r="AG441" s="40" t="s">
        <v>1024</v>
      </c>
      <c r="AH441" s="40" t="s">
        <v>1324</v>
      </c>
      <c r="AI441" s="39" t="str">
        <f>データ!L441</f>
        <v>斬紅の聖天</v>
      </c>
      <c r="AJ441" s="10" t="s">
        <v>1113</v>
      </c>
      <c r="AK441" s="39" t="str">
        <f>データ!M441</f>
        <v>味方斬属性の攻撃力と防御力をUP[大]</v>
      </c>
      <c r="AL441" s="10" t="s">
        <v>1024</v>
      </c>
      <c r="AM441" s="40" t="s">
        <v>1325</v>
      </c>
      <c r="AN441" s="39" t="str">
        <f>データ!N441</f>
        <v>-</v>
      </c>
      <c r="AO441" s="10" t="s">
        <v>1113</v>
      </c>
      <c r="AP441" s="39" t="str">
        <f>データ!O441</f>
        <v>　</v>
      </c>
      <c r="AQ441" s="41" t="s">
        <v>1024</v>
      </c>
      <c r="AR441" s="40" t="s">
        <v>1324</v>
      </c>
      <c r="AS441" s="39" t="str">
        <f>データ!P441</f>
        <v>ポイントライズ／真</v>
      </c>
      <c r="AT441" s="10" t="s">
        <v>1113</v>
      </c>
      <c r="AU441" s="39" t="str">
        <f>データ!Q441</f>
        <v>獲得する騎士団戦スコアが中アップ(バトル3回)</v>
      </c>
      <c r="AV441" s="10" t="s">
        <v>1024</v>
      </c>
      <c r="AW441" s="40" t="s">
        <v>1324</v>
      </c>
      <c r="AX441" s="39" t="str">
        <f>データ!R441</f>
        <v>-</v>
      </c>
      <c r="AY441" s="10" t="s">
        <v>1113</v>
      </c>
      <c r="AZ441" s="39" t="str">
        <f>データ!S441</f>
        <v>　</v>
      </c>
      <c r="BA441" s="41" t="s">
        <v>1024</v>
      </c>
      <c r="BB441" s="40" t="s">
        <v>1319</v>
      </c>
      <c r="BC441" s="39" t="str">
        <f>データ!T441</f>
        <v>-</v>
      </c>
      <c r="BD441" s="41" t="s">
        <v>1024</v>
      </c>
      <c r="BE441" s="40" t="s">
        <v>1320</v>
      </c>
      <c r="BF441" s="39" t="str">
        <f>データ!U441</f>
        <v>-</v>
      </c>
      <c r="BG441" s="41" t="s">
        <v>1024</v>
      </c>
      <c r="BH441" s="40" t="s">
        <v>1319</v>
      </c>
      <c r="BI441" s="39" t="str">
        <f>データ!V441</f>
        <v>常設</v>
      </c>
      <c r="BJ441" s="41" t="s">
        <v>1024</v>
      </c>
      <c r="BK441" s="10" t="s">
        <v>1019</v>
      </c>
    </row>
    <row r="442" spans="1:63" x14ac:dyDescent="0.15">
      <c r="A442" s="10" t="s">
        <v>1016</v>
      </c>
      <c r="B442" s="10" t="s">
        <v>1454</v>
      </c>
      <c r="C442" s="38" t="str">
        <f>"./images/thumbnail/"&amp;データ!B442&amp;".jpg"</f>
        <v>./images/thumbnail/1748.jpg</v>
      </c>
      <c r="D442" s="38" t="s">
        <v>1455</v>
      </c>
      <c r="E442" s="38" t="str">
        <f>"./images/thumbnail/"&amp;データ!B442&amp;".jpg"</f>
        <v>./images/thumbnail/1748.jpg</v>
      </c>
      <c r="F442" s="38" t="s">
        <v>1116</v>
      </c>
      <c r="G442" s="38" t="s">
        <v>1319</v>
      </c>
      <c r="H442" s="38" t="str">
        <f>データ!C442</f>
        <v>ランベール</v>
      </c>
      <c r="I442" s="38" t="s">
        <v>1024</v>
      </c>
      <c r="J442" s="38" t="s">
        <v>1320</v>
      </c>
      <c r="K442" s="38" t="str">
        <f>データ!D442</f>
        <v>UR</v>
      </c>
      <c r="L442" s="38" t="s">
        <v>1024</v>
      </c>
      <c r="M442" s="38" t="s">
        <v>1321</v>
      </c>
      <c r="N442" s="38">
        <f>データ!E442</f>
        <v>14</v>
      </c>
      <c r="O442" s="38" t="s">
        <v>1024</v>
      </c>
      <c r="P442" s="38" t="s">
        <v>1319</v>
      </c>
      <c r="Q442" s="38" t="str">
        <f>データ!F442</f>
        <v>突</v>
      </c>
      <c r="R442" s="38" t="s">
        <v>1024</v>
      </c>
      <c r="S442" s="38" t="s">
        <v>1319</v>
      </c>
      <c r="T442" s="39">
        <f>データ!G442</f>
        <v>18764</v>
      </c>
      <c r="U442" s="40" t="s">
        <v>1024</v>
      </c>
      <c r="V442" s="40" t="s">
        <v>1319</v>
      </c>
      <c r="W442" s="39">
        <f>データ!H442</f>
        <v>6414</v>
      </c>
      <c r="X442" s="40" t="s">
        <v>1024</v>
      </c>
      <c r="Y442" s="40" t="s">
        <v>1319</v>
      </c>
      <c r="Z442" s="39">
        <f>データ!I442</f>
        <v>7083</v>
      </c>
      <c r="AA442" s="40" t="s">
        <v>1024</v>
      </c>
      <c r="AB442" s="40" t="s">
        <v>1322</v>
      </c>
      <c r="AC442" s="39" t="str">
        <f>データ!J442</f>
        <v>SS+</v>
      </c>
      <c r="AD442" s="38" t="s">
        <v>1024</v>
      </c>
      <c r="AE442" s="40" t="s">
        <v>1323</v>
      </c>
      <c r="AF442" s="39">
        <f>データ!K442</f>
        <v>32261</v>
      </c>
      <c r="AG442" s="40" t="s">
        <v>1024</v>
      </c>
      <c r="AH442" s="40" t="s">
        <v>1324</v>
      </c>
      <c r="AI442" s="39" t="str">
        <f>データ!L442</f>
        <v>地幻神の六連撃／真</v>
      </c>
      <c r="AJ442" s="10" t="s">
        <v>1113</v>
      </c>
      <c r="AK442" s="39" t="str">
        <f>データ!M442</f>
        <v>ランダム6連続攻撃[小]自分の防御力UP[小]</v>
      </c>
      <c r="AL442" s="10" t="s">
        <v>1024</v>
      </c>
      <c r="AM442" s="40" t="s">
        <v>1325</v>
      </c>
      <c r="AN442" s="39" t="str">
        <f>データ!N442</f>
        <v>-</v>
      </c>
      <c r="AO442" s="10" t="s">
        <v>1113</v>
      </c>
      <c r="AP442" s="39" t="str">
        <f>データ!O442</f>
        <v>　</v>
      </c>
      <c r="AQ442" s="41" t="s">
        <v>1024</v>
      </c>
      <c r="AR442" s="40" t="s">
        <v>1324</v>
      </c>
      <c r="AS442" s="39" t="str">
        <f>データ!P442</f>
        <v>エース／絶</v>
      </c>
      <c r="AT442" s="10" t="s">
        <v>1113</v>
      </c>
      <c r="AU442" s="39" t="str">
        <f>データ!Q442</f>
        <v>パーティ全体の攻・防が大UP(3分間)</v>
      </c>
      <c r="AV442" s="10" t="s">
        <v>1024</v>
      </c>
      <c r="AW442" s="40" t="s">
        <v>1324</v>
      </c>
      <c r="AX442" s="39" t="str">
        <f>データ!R442</f>
        <v>-</v>
      </c>
      <c r="AY442" s="10" t="s">
        <v>1113</v>
      </c>
      <c r="AZ442" s="39" t="str">
        <f>データ!S442</f>
        <v>　</v>
      </c>
      <c r="BA442" s="41" t="s">
        <v>1024</v>
      </c>
      <c r="BB442" s="40" t="s">
        <v>1319</v>
      </c>
      <c r="BC442" s="39" t="str">
        <f>データ!T442</f>
        <v>-</v>
      </c>
      <c r="BD442" s="41" t="s">
        <v>1024</v>
      </c>
      <c r="BE442" s="40" t="s">
        <v>1320</v>
      </c>
      <c r="BF442" s="39" t="str">
        <f>データ!U442</f>
        <v>-</v>
      </c>
      <c r="BG442" s="41" t="s">
        <v>1024</v>
      </c>
      <c r="BH442" s="40" t="s">
        <v>1319</v>
      </c>
      <c r="BI442" s="39" t="str">
        <f>データ!V442</f>
        <v>常設</v>
      </c>
      <c r="BJ442" s="41" t="s">
        <v>1024</v>
      </c>
      <c r="BK442" s="10" t="s">
        <v>1019</v>
      </c>
    </row>
    <row r="443" spans="1:63" x14ac:dyDescent="0.15">
      <c r="A443" s="10" t="s">
        <v>1016</v>
      </c>
      <c r="B443" s="10" t="s">
        <v>1454</v>
      </c>
      <c r="C443" s="38" t="str">
        <f>"./images/thumbnail/"&amp;データ!B443&amp;".jpg"</f>
        <v>./images/thumbnail/1750.jpg</v>
      </c>
      <c r="D443" s="38" t="s">
        <v>1455</v>
      </c>
      <c r="E443" s="38" t="str">
        <f>"./images/thumbnail/"&amp;データ!B443&amp;".jpg"</f>
        <v>./images/thumbnail/1750.jpg</v>
      </c>
      <c r="F443" s="38" t="s">
        <v>1116</v>
      </c>
      <c r="G443" s="38" t="s">
        <v>1319</v>
      </c>
      <c r="H443" s="38" t="str">
        <f>データ!C443</f>
        <v>ロッゾ</v>
      </c>
      <c r="I443" s="38" t="s">
        <v>1024</v>
      </c>
      <c r="J443" s="38" t="s">
        <v>1320</v>
      </c>
      <c r="K443" s="38" t="str">
        <f>データ!D443</f>
        <v>SSR</v>
      </c>
      <c r="L443" s="38" t="s">
        <v>1024</v>
      </c>
      <c r="M443" s="38" t="s">
        <v>1321</v>
      </c>
      <c r="N443" s="38">
        <f>データ!E443</f>
        <v>13</v>
      </c>
      <c r="O443" s="38" t="s">
        <v>1024</v>
      </c>
      <c r="P443" s="38" t="s">
        <v>1319</v>
      </c>
      <c r="Q443" s="38" t="str">
        <f>データ!F443</f>
        <v>打</v>
      </c>
      <c r="R443" s="38" t="s">
        <v>1024</v>
      </c>
      <c r="S443" s="38" t="s">
        <v>1319</v>
      </c>
      <c r="T443" s="39">
        <f>データ!G443</f>
        <v>18820</v>
      </c>
      <c r="U443" s="40" t="s">
        <v>1024</v>
      </c>
      <c r="V443" s="40" t="s">
        <v>1319</v>
      </c>
      <c r="W443" s="39">
        <f>データ!H443</f>
        <v>5336</v>
      </c>
      <c r="X443" s="40" t="s">
        <v>1024</v>
      </c>
      <c r="Y443" s="40" t="s">
        <v>1319</v>
      </c>
      <c r="Z443" s="39">
        <f>データ!I443</f>
        <v>7920</v>
      </c>
      <c r="AA443" s="40" t="s">
        <v>1024</v>
      </c>
      <c r="AB443" s="40" t="s">
        <v>1322</v>
      </c>
      <c r="AC443" s="39" t="str">
        <f>データ!J443</f>
        <v>A-</v>
      </c>
      <c r="AD443" s="38" t="s">
        <v>1024</v>
      </c>
      <c r="AE443" s="40" t="s">
        <v>1323</v>
      </c>
      <c r="AF443" s="39">
        <f>データ!K443</f>
        <v>32076</v>
      </c>
      <c r="AG443" s="40" t="s">
        <v>1024</v>
      </c>
      <c r="AH443" s="40" t="s">
        <v>1324</v>
      </c>
      <c r="AI443" s="39" t="str">
        <f>データ!L443</f>
        <v>天幻光の交叉線／絶</v>
      </c>
      <c r="AJ443" s="10" t="s">
        <v>1113</v>
      </c>
      <c r="AK443" s="39" t="str">
        <f>データ!M443</f>
        <v>X字型攻撃[大]自分の攻撃力UP[大]</v>
      </c>
      <c r="AL443" s="10" t="s">
        <v>1024</v>
      </c>
      <c r="AM443" s="40" t="s">
        <v>1325</v>
      </c>
      <c r="AN443" s="39" t="str">
        <f>データ!N443</f>
        <v>-</v>
      </c>
      <c r="AO443" s="10" t="s">
        <v>1113</v>
      </c>
      <c r="AP443" s="39" t="str">
        <f>データ!O443</f>
        <v>　</v>
      </c>
      <c r="AQ443" s="41" t="s">
        <v>1024</v>
      </c>
      <c r="AR443" s="40" t="s">
        <v>1324</v>
      </c>
      <c r="AS443" s="39" t="str">
        <f>データ!P443</f>
        <v>キャッスルヴェール</v>
      </c>
      <c r="AT443" s="10" t="s">
        <v>1113</v>
      </c>
      <c r="AU443" s="39" t="str">
        <f>データ!Q443</f>
        <v>城の強度Lvが小UP(3分間)</v>
      </c>
      <c r="AV443" s="10" t="s">
        <v>1024</v>
      </c>
      <c r="AW443" s="40" t="s">
        <v>1324</v>
      </c>
      <c r="AX443" s="39" t="str">
        <f>データ!R443</f>
        <v>-</v>
      </c>
      <c r="AY443" s="10" t="s">
        <v>1113</v>
      </c>
      <c r="AZ443" s="39" t="str">
        <f>データ!S443</f>
        <v>　</v>
      </c>
      <c r="BA443" s="41" t="s">
        <v>1024</v>
      </c>
      <c r="BB443" s="40" t="s">
        <v>1319</v>
      </c>
      <c r="BC443" s="39" t="str">
        <f>データ!T443</f>
        <v>-</v>
      </c>
      <c r="BD443" s="41" t="s">
        <v>1024</v>
      </c>
      <c r="BE443" s="40" t="s">
        <v>1320</v>
      </c>
      <c r="BF443" s="39" t="str">
        <f>データ!U443</f>
        <v>-</v>
      </c>
      <c r="BG443" s="41" t="s">
        <v>1024</v>
      </c>
      <c r="BH443" s="40" t="s">
        <v>1319</v>
      </c>
      <c r="BI443" s="39" t="str">
        <f>データ!V443</f>
        <v>常設</v>
      </c>
      <c r="BJ443" s="41" t="s">
        <v>1024</v>
      </c>
      <c r="BK443" s="10" t="s">
        <v>1019</v>
      </c>
    </row>
    <row r="444" spans="1:63" x14ac:dyDescent="0.15">
      <c r="A444" s="10" t="s">
        <v>1016</v>
      </c>
      <c r="B444" s="10" t="s">
        <v>1454</v>
      </c>
      <c r="C444" s="38" t="str">
        <f>"./images/thumbnail/"&amp;データ!B444&amp;".jpg"</f>
        <v>./images/thumbnail/1752.jpg</v>
      </c>
      <c r="D444" s="38" t="s">
        <v>1455</v>
      </c>
      <c r="E444" s="38" t="str">
        <f>"./images/thumbnail/"&amp;データ!B444&amp;".jpg"</f>
        <v>./images/thumbnail/1752.jpg</v>
      </c>
      <c r="F444" s="38" t="s">
        <v>1116</v>
      </c>
      <c r="G444" s="38" t="s">
        <v>1319</v>
      </c>
      <c r="H444" s="38" t="str">
        <f>データ!C444</f>
        <v>ソレジュ</v>
      </c>
      <c r="I444" s="38" t="s">
        <v>1024</v>
      </c>
      <c r="J444" s="38" t="s">
        <v>1320</v>
      </c>
      <c r="K444" s="38" t="str">
        <f>データ!D444</f>
        <v>UR</v>
      </c>
      <c r="L444" s="38" t="s">
        <v>1024</v>
      </c>
      <c r="M444" s="38" t="s">
        <v>1321</v>
      </c>
      <c r="N444" s="38">
        <f>データ!E444</f>
        <v>14</v>
      </c>
      <c r="O444" s="38" t="s">
        <v>1024</v>
      </c>
      <c r="P444" s="38" t="s">
        <v>1319</v>
      </c>
      <c r="Q444" s="38" t="str">
        <f>データ!F444</f>
        <v>遠</v>
      </c>
      <c r="R444" s="38" t="s">
        <v>1024</v>
      </c>
      <c r="S444" s="38" t="s">
        <v>1319</v>
      </c>
      <c r="T444" s="39">
        <f>データ!G444</f>
        <v>19351</v>
      </c>
      <c r="U444" s="40" t="s">
        <v>1024</v>
      </c>
      <c r="V444" s="40" t="s">
        <v>1319</v>
      </c>
      <c r="W444" s="39">
        <f>データ!H444</f>
        <v>6714</v>
      </c>
      <c r="X444" s="40" t="s">
        <v>1024</v>
      </c>
      <c r="Y444" s="40" t="s">
        <v>1319</v>
      </c>
      <c r="Z444" s="39">
        <f>データ!I444</f>
        <v>5765</v>
      </c>
      <c r="AA444" s="40" t="s">
        <v>1024</v>
      </c>
      <c r="AB444" s="40" t="s">
        <v>1322</v>
      </c>
      <c r="AC444" s="39" t="str">
        <f>データ!J444</f>
        <v>S+</v>
      </c>
      <c r="AD444" s="38" t="s">
        <v>1024</v>
      </c>
      <c r="AE444" s="40" t="s">
        <v>1323</v>
      </c>
      <c r="AF444" s="39">
        <f>データ!K444</f>
        <v>31830</v>
      </c>
      <c r="AG444" s="40" t="s">
        <v>1024</v>
      </c>
      <c r="AH444" s="40" t="s">
        <v>1324</v>
      </c>
      <c r="AI444" s="39" t="str">
        <f>データ!L444</f>
        <v>遠翠の神護</v>
      </c>
      <c r="AJ444" s="10" t="s">
        <v>1113</v>
      </c>
      <c r="AK444" s="39" t="str">
        <f>データ!M444</f>
        <v>味方遠属性の防御力をUP[特大]</v>
      </c>
      <c r="AL444" s="10" t="s">
        <v>1024</v>
      </c>
      <c r="AM444" s="40" t="s">
        <v>1325</v>
      </c>
      <c r="AN444" s="39" t="str">
        <f>データ!N444</f>
        <v>-</v>
      </c>
      <c r="AO444" s="10" t="s">
        <v>1113</v>
      </c>
      <c r="AP444" s="39" t="str">
        <f>データ!O444</f>
        <v>　</v>
      </c>
      <c r="AQ444" s="41" t="s">
        <v>1024</v>
      </c>
      <c r="AR444" s="40" t="s">
        <v>1324</v>
      </c>
      <c r="AS444" s="39" t="str">
        <f>データ!P444</f>
        <v>オラクルオーダー／真</v>
      </c>
      <c r="AT444" s="10" t="s">
        <v>1113</v>
      </c>
      <c r="AU444" s="39" t="str">
        <f>データ!Q444</f>
        <v>騎士団全体のスキル発動率が中UP(3分間)</v>
      </c>
      <c r="AV444" s="10" t="s">
        <v>1024</v>
      </c>
      <c r="AW444" s="40" t="s">
        <v>1324</v>
      </c>
      <c r="AX444" s="39" t="str">
        <f>データ!R444</f>
        <v>-</v>
      </c>
      <c r="AY444" s="10" t="s">
        <v>1113</v>
      </c>
      <c r="AZ444" s="39" t="str">
        <f>データ!S444</f>
        <v>　</v>
      </c>
      <c r="BA444" s="41" t="s">
        <v>1024</v>
      </c>
      <c r="BB444" s="40" t="s">
        <v>1319</v>
      </c>
      <c r="BC444" s="39" t="str">
        <f>データ!T444</f>
        <v>-</v>
      </c>
      <c r="BD444" s="41" t="s">
        <v>1024</v>
      </c>
      <c r="BE444" s="40" t="s">
        <v>1320</v>
      </c>
      <c r="BF444" s="39" t="str">
        <f>データ!U444</f>
        <v>-</v>
      </c>
      <c r="BG444" s="41" t="s">
        <v>1024</v>
      </c>
      <c r="BH444" s="40" t="s">
        <v>1319</v>
      </c>
      <c r="BI444" s="39" t="str">
        <f>データ!V444</f>
        <v>常設</v>
      </c>
      <c r="BJ444" s="41" t="s">
        <v>1024</v>
      </c>
      <c r="BK444" s="10" t="s">
        <v>1019</v>
      </c>
    </row>
    <row r="445" spans="1:63" x14ac:dyDescent="0.15">
      <c r="A445" s="10" t="s">
        <v>1016</v>
      </c>
      <c r="B445" s="10" t="s">
        <v>1454</v>
      </c>
      <c r="C445" s="38" t="str">
        <f>"./images/thumbnail/"&amp;データ!B445&amp;".jpg"</f>
        <v>./images/thumbnail/1754.jpg</v>
      </c>
      <c r="D445" s="38" t="s">
        <v>1455</v>
      </c>
      <c r="E445" s="38" t="str">
        <f>"./images/thumbnail/"&amp;データ!B445&amp;".jpg"</f>
        <v>./images/thumbnail/1754.jpg</v>
      </c>
      <c r="F445" s="38" t="s">
        <v>1116</v>
      </c>
      <c r="G445" s="38" t="s">
        <v>1319</v>
      </c>
      <c r="H445" s="38" t="str">
        <f>データ!C445</f>
        <v>ランディ</v>
      </c>
      <c r="I445" s="38" t="s">
        <v>1024</v>
      </c>
      <c r="J445" s="38" t="s">
        <v>1320</v>
      </c>
      <c r="K445" s="38" t="str">
        <f>データ!D445</f>
        <v>SSR</v>
      </c>
      <c r="L445" s="38" t="s">
        <v>1024</v>
      </c>
      <c r="M445" s="38" t="s">
        <v>1321</v>
      </c>
      <c r="N445" s="38">
        <f>データ!E445</f>
        <v>13</v>
      </c>
      <c r="O445" s="38" t="s">
        <v>1024</v>
      </c>
      <c r="P445" s="38" t="s">
        <v>1319</v>
      </c>
      <c r="Q445" s="38" t="str">
        <f>データ!F445</f>
        <v>打</v>
      </c>
      <c r="R445" s="38" t="s">
        <v>1024</v>
      </c>
      <c r="S445" s="38" t="s">
        <v>1319</v>
      </c>
      <c r="T445" s="39">
        <f>データ!G445</f>
        <v>18668</v>
      </c>
      <c r="U445" s="40" t="s">
        <v>1024</v>
      </c>
      <c r="V445" s="40" t="s">
        <v>1319</v>
      </c>
      <c r="W445" s="39">
        <f>データ!H445</f>
        <v>5711</v>
      </c>
      <c r="X445" s="40" t="s">
        <v>1024</v>
      </c>
      <c r="Y445" s="40" t="s">
        <v>1319</v>
      </c>
      <c r="Z445" s="39">
        <f>データ!I445</f>
        <v>7679</v>
      </c>
      <c r="AA445" s="40" t="s">
        <v>1024</v>
      </c>
      <c r="AB445" s="40" t="s">
        <v>1322</v>
      </c>
      <c r="AC445" s="39" t="str">
        <f>データ!J445</f>
        <v>A-</v>
      </c>
      <c r="AD445" s="38" t="s">
        <v>1024</v>
      </c>
      <c r="AE445" s="40" t="s">
        <v>1323</v>
      </c>
      <c r="AF445" s="39">
        <f>データ!K445</f>
        <v>32058</v>
      </c>
      <c r="AG445" s="40" t="s">
        <v>1024</v>
      </c>
      <c r="AH445" s="40" t="s">
        <v>1324</v>
      </c>
      <c r="AI445" s="39" t="str">
        <f>データ!L445</f>
        <v>聖護消滅</v>
      </c>
      <c r="AJ445" s="10" t="s">
        <v>1113</v>
      </c>
      <c r="AK445" s="39" t="str">
        <f>データ!M445</f>
        <v>敵単体の防御力をDOWN[大]</v>
      </c>
      <c r="AL445" s="10" t="s">
        <v>1024</v>
      </c>
      <c r="AM445" s="40" t="s">
        <v>1325</v>
      </c>
      <c r="AN445" s="39" t="str">
        <f>データ!N445</f>
        <v>-</v>
      </c>
      <c r="AO445" s="10" t="s">
        <v>1113</v>
      </c>
      <c r="AP445" s="39" t="str">
        <f>データ!O445</f>
        <v>　</v>
      </c>
      <c r="AQ445" s="41" t="s">
        <v>1024</v>
      </c>
      <c r="AR445" s="40" t="s">
        <v>1324</v>
      </c>
      <c r="AS445" s="39" t="str">
        <f>データ!P445</f>
        <v>カウンター／真</v>
      </c>
      <c r="AT445" s="10" t="s">
        <v>1113</v>
      </c>
      <c r="AU445" s="39" t="str">
        <f>データ!Q445</f>
        <v>迎撃時にパーティ全体の攻・防が中UP(3分間)</v>
      </c>
      <c r="AV445" s="10" t="s">
        <v>1024</v>
      </c>
      <c r="AW445" s="40" t="s">
        <v>1324</v>
      </c>
      <c r="AX445" s="39" t="str">
        <f>データ!R445</f>
        <v>-</v>
      </c>
      <c r="AY445" s="10" t="s">
        <v>1113</v>
      </c>
      <c r="AZ445" s="39" t="str">
        <f>データ!S445</f>
        <v>　</v>
      </c>
      <c r="BA445" s="41" t="s">
        <v>1024</v>
      </c>
      <c r="BB445" s="40" t="s">
        <v>1319</v>
      </c>
      <c r="BC445" s="39" t="str">
        <f>データ!T445</f>
        <v>-</v>
      </c>
      <c r="BD445" s="41" t="s">
        <v>1024</v>
      </c>
      <c r="BE445" s="40" t="s">
        <v>1320</v>
      </c>
      <c r="BF445" s="39" t="str">
        <f>データ!U445</f>
        <v>-</v>
      </c>
      <c r="BG445" s="41" t="s">
        <v>1024</v>
      </c>
      <c r="BH445" s="40" t="s">
        <v>1319</v>
      </c>
      <c r="BI445" s="39" t="str">
        <f>データ!V445</f>
        <v>メダル</v>
      </c>
      <c r="BJ445" s="41" t="s">
        <v>1024</v>
      </c>
      <c r="BK445" s="10" t="s">
        <v>1019</v>
      </c>
    </row>
    <row r="446" spans="1:63" x14ac:dyDescent="0.15">
      <c r="A446" s="10" t="s">
        <v>1016</v>
      </c>
      <c r="B446" s="10" t="s">
        <v>1454</v>
      </c>
      <c r="C446" s="38" t="str">
        <f>"./images/thumbnail/"&amp;データ!B446&amp;".jpg"</f>
        <v>./images/thumbnail/1755.jpg</v>
      </c>
      <c r="D446" s="38" t="s">
        <v>1455</v>
      </c>
      <c r="E446" s="38" t="str">
        <f>"./images/thumbnail/"&amp;データ!B446&amp;".jpg"</f>
        <v>./images/thumbnail/1755.jpg</v>
      </c>
      <c r="F446" s="38" t="s">
        <v>1116</v>
      </c>
      <c r="G446" s="38" t="s">
        <v>1319</v>
      </c>
      <c r="H446" s="38" t="str">
        <f>データ!C446</f>
        <v>ヴァルダー</v>
      </c>
      <c r="I446" s="38" t="s">
        <v>1024</v>
      </c>
      <c r="J446" s="38" t="s">
        <v>1320</v>
      </c>
      <c r="K446" s="38" t="str">
        <f>データ!D446</f>
        <v>SSR</v>
      </c>
      <c r="L446" s="38" t="s">
        <v>1024</v>
      </c>
      <c r="M446" s="38" t="s">
        <v>1321</v>
      </c>
      <c r="N446" s="38">
        <f>データ!E446</f>
        <v>13</v>
      </c>
      <c r="O446" s="38" t="s">
        <v>1024</v>
      </c>
      <c r="P446" s="38" t="s">
        <v>1319</v>
      </c>
      <c r="Q446" s="38" t="str">
        <f>データ!F446</f>
        <v>打</v>
      </c>
      <c r="R446" s="38" t="s">
        <v>1024</v>
      </c>
      <c r="S446" s="38" t="s">
        <v>1319</v>
      </c>
      <c r="T446" s="39">
        <f>データ!G446</f>
        <v>17827</v>
      </c>
      <c r="U446" s="40" t="s">
        <v>1024</v>
      </c>
      <c r="V446" s="40" t="s">
        <v>1319</v>
      </c>
      <c r="W446" s="39">
        <f>データ!H446</f>
        <v>6621</v>
      </c>
      <c r="X446" s="40" t="s">
        <v>1024</v>
      </c>
      <c r="Y446" s="40" t="s">
        <v>1319</v>
      </c>
      <c r="Z446" s="39">
        <f>データ!I446</f>
        <v>6366</v>
      </c>
      <c r="AA446" s="40" t="s">
        <v>1024</v>
      </c>
      <c r="AB446" s="40" t="s">
        <v>1322</v>
      </c>
      <c r="AC446" s="39" t="str">
        <f>データ!J446</f>
        <v>A-</v>
      </c>
      <c r="AD446" s="38" t="s">
        <v>1024</v>
      </c>
      <c r="AE446" s="40" t="s">
        <v>1323</v>
      </c>
      <c r="AF446" s="39">
        <f>データ!K446</f>
        <v>30814</v>
      </c>
      <c r="AG446" s="40" t="s">
        <v>1024</v>
      </c>
      <c r="AH446" s="40" t="s">
        <v>1324</v>
      </c>
      <c r="AI446" s="39" t="str">
        <f>データ!L446</f>
        <v>神威</v>
      </c>
      <c r="AJ446" s="10" t="s">
        <v>1113</v>
      </c>
      <c r="AK446" s="39" t="str">
        <f>データ!M446</f>
        <v>自分の攻撃力をUP[特大]</v>
      </c>
      <c r="AL446" s="10" t="s">
        <v>1024</v>
      </c>
      <c r="AM446" s="40" t="s">
        <v>1325</v>
      </c>
      <c r="AN446" s="39" t="str">
        <f>データ!N446</f>
        <v>-</v>
      </c>
      <c r="AO446" s="10" t="s">
        <v>1113</v>
      </c>
      <c r="AP446" s="39" t="str">
        <f>データ!O446</f>
        <v>　</v>
      </c>
      <c r="AQ446" s="41" t="s">
        <v>1024</v>
      </c>
      <c r="AR446" s="40" t="s">
        <v>1324</v>
      </c>
      <c r="AS446" s="39" t="str">
        <f>データ!P446</f>
        <v>ストリーム</v>
      </c>
      <c r="AT446" s="10" t="s">
        <v>1113</v>
      </c>
      <c r="AU446" s="39" t="str">
        <f>データ!Q446</f>
        <v>パーティ全体の攻撃力・速度が小UP(3分間)</v>
      </c>
      <c r="AV446" s="10" t="s">
        <v>1024</v>
      </c>
      <c r="AW446" s="40" t="s">
        <v>1324</v>
      </c>
      <c r="AX446" s="39" t="str">
        <f>データ!R446</f>
        <v>-</v>
      </c>
      <c r="AY446" s="10" t="s">
        <v>1113</v>
      </c>
      <c r="AZ446" s="39" t="str">
        <f>データ!S446</f>
        <v>　</v>
      </c>
      <c r="BA446" s="41" t="s">
        <v>1024</v>
      </c>
      <c r="BB446" s="40" t="s">
        <v>1319</v>
      </c>
      <c r="BC446" s="39" t="str">
        <f>データ!T446</f>
        <v>-</v>
      </c>
      <c r="BD446" s="41" t="s">
        <v>1024</v>
      </c>
      <c r="BE446" s="40" t="s">
        <v>1320</v>
      </c>
      <c r="BF446" s="39" t="str">
        <f>データ!U446</f>
        <v>-</v>
      </c>
      <c r="BG446" s="41" t="s">
        <v>1024</v>
      </c>
      <c r="BH446" s="40" t="s">
        <v>1319</v>
      </c>
      <c r="BI446" s="39" t="str">
        <f>データ!V446</f>
        <v>グラン</v>
      </c>
      <c r="BJ446" s="41" t="s">
        <v>1024</v>
      </c>
      <c r="BK446" s="10" t="s">
        <v>1019</v>
      </c>
    </row>
    <row r="447" spans="1:63" x14ac:dyDescent="0.15">
      <c r="A447" s="10" t="s">
        <v>1016</v>
      </c>
      <c r="B447" s="10" t="s">
        <v>1454</v>
      </c>
      <c r="C447" s="38" t="str">
        <f>"./images/thumbnail/"&amp;データ!B447&amp;".jpg"</f>
        <v>./images/thumbnail/1757.jpg</v>
      </c>
      <c r="D447" s="38" t="s">
        <v>1455</v>
      </c>
      <c r="E447" s="38" t="str">
        <f>"./images/thumbnail/"&amp;データ!B447&amp;".jpg"</f>
        <v>./images/thumbnail/1757.jpg</v>
      </c>
      <c r="F447" s="38" t="s">
        <v>1116</v>
      </c>
      <c r="G447" s="38" t="s">
        <v>1319</v>
      </c>
      <c r="H447" s="38" t="str">
        <f>データ!C447</f>
        <v>マリユス</v>
      </c>
      <c r="I447" s="38" t="s">
        <v>1024</v>
      </c>
      <c r="J447" s="38" t="s">
        <v>1320</v>
      </c>
      <c r="K447" s="38" t="str">
        <f>データ!D447</f>
        <v>UR</v>
      </c>
      <c r="L447" s="38" t="s">
        <v>1024</v>
      </c>
      <c r="M447" s="38" t="s">
        <v>1321</v>
      </c>
      <c r="N447" s="38">
        <f>データ!E447</f>
        <v>14</v>
      </c>
      <c r="O447" s="38" t="s">
        <v>1024</v>
      </c>
      <c r="P447" s="38" t="s">
        <v>1319</v>
      </c>
      <c r="Q447" s="38" t="str">
        <f>データ!F447</f>
        <v>斬</v>
      </c>
      <c r="R447" s="38" t="s">
        <v>1024</v>
      </c>
      <c r="S447" s="38" t="s">
        <v>1319</v>
      </c>
      <c r="T447" s="39">
        <f>データ!G447</f>
        <v>16766</v>
      </c>
      <c r="U447" s="40" t="s">
        <v>1024</v>
      </c>
      <c r="V447" s="40" t="s">
        <v>1319</v>
      </c>
      <c r="W447" s="39">
        <f>データ!H447</f>
        <v>8853</v>
      </c>
      <c r="X447" s="40" t="s">
        <v>1024</v>
      </c>
      <c r="Y447" s="40" t="s">
        <v>1319</v>
      </c>
      <c r="Z447" s="39">
        <f>データ!I447</f>
        <v>6214</v>
      </c>
      <c r="AA447" s="40" t="s">
        <v>1024</v>
      </c>
      <c r="AB447" s="40" t="s">
        <v>1322</v>
      </c>
      <c r="AC447" s="39" t="str">
        <f>データ!J447</f>
        <v>S</v>
      </c>
      <c r="AD447" s="38" t="s">
        <v>1024</v>
      </c>
      <c r="AE447" s="40" t="s">
        <v>1323</v>
      </c>
      <c r="AF447" s="39">
        <f>データ!K447</f>
        <v>31833</v>
      </c>
      <c r="AG447" s="40" t="s">
        <v>1024</v>
      </c>
      <c r="AH447" s="40" t="s">
        <v>1324</v>
      </c>
      <c r="AI447" s="39" t="str">
        <f>データ!L447</f>
        <v>地幻氷の縦十字／煌</v>
      </c>
      <c r="AJ447" s="10" t="s">
        <v>1113</v>
      </c>
      <c r="AK447" s="39" t="str">
        <f>データ!M447</f>
        <v>十字型攻撃[特大]自分の防御力UP[特大]</v>
      </c>
      <c r="AL447" s="10" t="s">
        <v>1024</v>
      </c>
      <c r="AM447" s="40" t="s">
        <v>1325</v>
      </c>
      <c r="AN447" s="39" t="str">
        <f>データ!N447</f>
        <v>-</v>
      </c>
      <c r="AO447" s="10" t="s">
        <v>1113</v>
      </c>
      <c r="AP447" s="39" t="str">
        <f>データ!O447</f>
        <v>　</v>
      </c>
      <c r="AQ447" s="41" t="s">
        <v>1024</v>
      </c>
      <c r="AR447" s="40" t="s">
        <v>1324</v>
      </c>
      <c r="AS447" s="39" t="str">
        <f>データ!P447</f>
        <v>シャドウオーダー</v>
      </c>
      <c r="AT447" s="10" t="s">
        <v>1113</v>
      </c>
      <c r="AU447" s="39" t="str">
        <f>データ!Q447</f>
        <v>騎士団全体の強襲CB率が小UP(3分間)</v>
      </c>
      <c r="AV447" s="10" t="s">
        <v>1024</v>
      </c>
      <c r="AW447" s="40" t="s">
        <v>1324</v>
      </c>
      <c r="AX447" s="39" t="str">
        <f>データ!R447</f>
        <v>-</v>
      </c>
      <c r="AY447" s="10" t="s">
        <v>1113</v>
      </c>
      <c r="AZ447" s="39" t="str">
        <f>データ!S447</f>
        <v>　</v>
      </c>
      <c r="BA447" s="41" t="s">
        <v>1024</v>
      </c>
      <c r="BB447" s="40" t="s">
        <v>1319</v>
      </c>
      <c r="BC447" s="39" t="str">
        <f>データ!T447</f>
        <v>-</v>
      </c>
      <c r="BD447" s="41" t="s">
        <v>1024</v>
      </c>
      <c r="BE447" s="40" t="s">
        <v>1320</v>
      </c>
      <c r="BF447" s="39" t="str">
        <f>データ!U447</f>
        <v>-</v>
      </c>
      <c r="BG447" s="41" t="s">
        <v>1024</v>
      </c>
      <c r="BH447" s="40" t="s">
        <v>1319</v>
      </c>
      <c r="BI447" s="39" t="str">
        <f>データ!V447</f>
        <v>ガチャイベ</v>
      </c>
      <c r="BJ447" s="41" t="s">
        <v>1024</v>
      </c>
      <c r="BK447" s="10" t="s">
        <v>1019</v>
      </c>
    </row>
    <row r="448" spans="1:63" x14ac:dyDescent="0.15">
      <c r="A448" s="10" t="s">
        <v>1016</v>
      </c>
      <c r="B448" s="10" t="s">
        <v>1454</v>
      </c>
      <c r="C448" s="38" t="str">
        <f>"./images/thumbnail/"&amp;データ!B448&amp;".jpg"</f>
        <v>./images/thumbnail/1759.jpg</v>
      </c>
      <c r="D448" s="38" t="s">
        <v>1455</v>
      </c>
      <c r="E448" s="38" t="str">
        <f>"./images/thumbnail/"&amp;データ!B448&amp;".jpg"</f>
        <v>./images/thumbnail/1759.jpg</v>
      </c>
      <c r="F448" s="38" t="s">
        <v>1116</v>
      </c>
      <c r="G448" s="38" t="s">
        <v>1319</v>
      </c>
      <c r="H448" s="38" t="str">
        <f>データ!C448</f>
        <v>エレクトラ</v>
      </c>
      <c r="I448" s="38" t="s">
        <v>1024</v>
      </c>
      <c r="J448" s="38" t="s">
        <v>1320</v>
      </c>
      <c r="K448" s="38" t="str">
        <f>データ!D448</f>
        <v>UR</v>
      </c>
      <c r="L448" s="38" t="s">
        <v>1024</v>
      </c>
      <c r="M448" s="38" t="s">
        <v>1321</v>
      </c>
      <c r="N448" s="38">
        <f>データ!E448</f>
        <v>14</v>
      </c>
      <c r="O448" s="38" t="s">
        <v>1024</v>
      </c>
      <c r="P448" s="38" t="s">
        <v>1319</v>
      </c>
      <c r="Q448" s="38" t="str">
        <f>データ!F448</f>
        <v>突</v>
      </c>
      <c r="R448" s="38" t="s">
        <v>1024</v>
      </c>
      <c r="S448" s="38" t="s">
        <v>1319</v>
      </c>
      <c r="T448" s="39">
        <f>データ!G448</f>
        <v>23078</v>
      </c>
      <c r="U448" s="40" t="s">
        <v>1024</v>
      </c>
      <c r="V448" s="40" t="s">
        <v>1319</v>
      </c>
      <c r="W448" s="39">
        <f>データ!H448</f>
        <v>5828</v>
      </c>
      <c r="X448" s="40" t="s">
        <v>1024</v>
      </c>
      <c r="Y448" s="40" t="s">
        <v>1319</v>
      </c>
      <c r="Z448" s="39">
        <f>データ!I448</f>
        <v>6366</v>
      </c>
      <c r="AA448" s="40" t="s">
        <v>1024</v>
      </c>
      <c r="AB448" s="40" t="s">
        <v>1322</v>
      </c>
      <c r="AC448" s="39" t="str">
        <f>データ!J448</f>
        <v>SS+</v>
      </c>
      <c r="AD448" s="38" t="s">
        <v>1024</v>
      </c>
      <c r="AE448" s="40" t="s">
        <v>1323</v>
      </c>
      <c r="AF448" s="39">
        <f>データ!K448</f>
        <v>35272</v>
      </c>
      <c r="AG448" s="40" t="s">
        <v>1024</v>
      </c>
      <c r="AH448" s="40" t="s">
        <v>1324</v>
      </c>
      <c r="AI448" s="39" t="str">
        <f>データ!L448</f>
        <v>孤撃の言霊／煌</v>
      </c>
      <c r="AJ448" s="10" t="s">
        <v>1113</v>
      </c>
      <c r="AK448" s="39" t="str">
        <f>データ!M448</f>
        <v>一定確率で敵を範囲不可にする[超高確率]</v>
      </c>
      <c r="AL448" s="10" t="s">
        <v>1024</v>
      </c>
      <c r="AM448" s="40" t="s">
        <v>1325</v>
      </c>
      <c r="AN448" s="39" t="str">
        <f>データ!N448</f>
        <v>-</v>
      </c>
      <c r="AO448" s="10" t="s">
        <v>1113</v>
      </c>
      <c r="AP448" s="39" t="str">
        <f>データ!O448</f>
        <v>　</v>
      </c>
      <c r="AQ448" s="41" t="s">
        <v>1024</v>
      </c>
      <c r="AR448" s="40" t="s">
        <v>1324</v>
      </c>
      <c r="AS448" s="39" t="str">
        <f>データ!P448</f>
        <v>フォートレス／絶</v>
      </c>
      <c r="AT448" s="10" t="s">
        <v>1113</v>
      </c>
      <c r="AU448" s="39" t="str">
        <f>データ!Q448</f>
        <v>パーティ全体の防御力が大UP(3分間)</v>
      </c>
      <c r="AV448" s="10" t="s">
        <v>1024</v>
      </c>
      <c r="AW448" s="40" t="s">
        <v>1324</v>
      </c>
      <c r="AX448" s="39" t="str">
        <f>データ!R448</f>
        <v>-</v>
      </c>
      <c r="AY448" s="10" t="s">
        <v>1113</v>
      </c>
      <c r="AZ448" s="39" t="str">
        <f>データ!S448</f>
        <v>　</v>
      </c>
      <c r="BA448" s="41" t="s">
        <v>1024</v>
      </c>
      <c r="BB448" s="40" t="s">
        <v>1319</v>
      </c>
      <c r="BC448" s="39" t="str">
        <f>データ!T448</f>
        <v>-</v>
      </c>
      <c r="BD448" s="41" t="s">
        <v>1024</v>
      </c>
      <c r="BE448" s="40" t="s">
        <v>1320</v>
      </c>
      <c r="BF448" s="39" t="str">
        <f>データ!U448</f>
        <v>-</v>
      </c>
      <c r="BG448" s="41" t="s">
        <v>1024</v>
      </c>
      <c r="BH448" s="40" t="s">
        <v>1319</v>
      </c>
      <c r="BI448" s="39" t="str">
        <f>データ!V448</f>
        <v>魔女の追憶イベ</v>
      </c>
      <c r="BJ448" s="41" t="s">
        <v>1024</v>
      </c>
      <c r="BK448" s="10" t="s">
        <v>1019</v>
      </c>
    </row>
    <row r="449" spans="1:63" x14ac:dyDescent="0.15">
      <c r="A449" s="10" t="s">
        <v>1016</v>
      </c>
      <c r="B449" s="10" t="s">
        <v>1454</v>
      </c>
      <c r="C449" s="38" t="str">
        <f>"./images/thumbnail/"&amp;データ!B449&amp;".jpg"</f>
        <v>./images/thumbnail/1761.jpg</v>
      </c>
      <c r="D449" s="38" t="s">
        <v>1455</v>
      </c>
      <c r="E449" s="38" t="str">
        <f>"./images/thumbnail/"&amp;データ!B449&amp;".jpg"</f>
        <v>./images/thumbnail/1761.jpg</v>
      </c>
      <c r="F449" s="38" t="s">
        <v>1116</v>
      </c>
      <c r="G449" s="38" t="s">
        <v>1319</v>
      </c>
      <c r="H449" s="38" t="str">
        <f>データ!C449</f>
        <v>イネス</v>
      </c>
      <c r="I449" s="38" t="s">
        <v>1024</v>
      </c>
      <c r="J449" s="38" t="s">
        <v>1320</v>
      </c>
      <c r="K449" s="38" t="str">
        <f>データ!D449</f>
        <v>UR</v>
      </c>
      <c r="L449" s="38" t="s">
        <v>1024</v>
      </c>
      <c r="M449" s="38" t="s">
        <v>1321</v>
      </c>
      <c r="N449" s="38">
        <f>データ!E449</f>
        <v>14</v>
      </c>
      <c r="O449" s="38" t="s">
        <v>1024</v>
      </c>
      <c r="P449" s="38" t="s">
        <v>1319</v>
      </c>
      <c r="Q449" s="38" t="str">
        <f>データ!F449</f>
        <v>打</v>
      </c>
      <c r="R449" s="38" t="s">
        <v>1024</v>
      </c>
      <c r="S449" s="38" t="s">
        <v>1319</v>
      </c>
      <c r="T449" s="39">
        <f>データ!G449</f>
        <v>23945</v>
      </c>
      <c r="U449" s="40" t="s">
        <v>1024</v>
      </c>
      <c r="V449" s="40" t="s">
        <v>1319</v>
      </c>
      <c r="W449" s="39">
        <f>データ!H449</f>
        <v>6842</v>
      </c>
      <c r="X449" s="40" t="s">
        <v>1024</v>
      </c>
      <c r="Y449" s="40" t="s">
        <v>1319</v>
      </c>
      <c r="Z449" s="39">
        <f>データ!I449</f>
        <v>8245</v>
      </c>
      <c r="AA449" s="40" t="s">
        <v>1024</v>
      </c>
      <c r="AB449" s="40" t="s">
        <v>1322</v>
      </c>
      <c r="AC449" s="39" t="str">
        <f>データ!J449</f>
        <v>A+</v>
      </c>
      <c r="AD449" s="38" t="s">
        <v>1024</v>
      </c>
      <c r="AE449" s="40" t="s">
        <v>1323</v>
      </c>
      <c r="AF449" s="39">
        <f>データ!K449</f>
        <v>39032</v>
      </c>
      <c r="AG449" s="40" t="s">
        <v>1024</v>
      </c>
      <c r="AH449" s="40" t="s">
        <v>1324</v>
      </c>
      <c r="AI449" s="39" t="str">
        <f>データ!L449</f>
        <v>紫打の神護</v>
      </c>
      <c r="AJ449" s="10" t="s">
        <v>1113</v>
      </c>
      <c r="AK449" s="39" t="str">
        <f>データ!M449</f>
        <v>味方打属性の防御力をUP[特大]</v>
      </c>
      <c r="AL449" s="10" t="s">
        <v>1024</v>
      </c>
      <c r="AM449" s="40" t="s">
        <v>1325</v>
      </c>
      <c r="AN449" s="39" t="str">
        <f>データ!N449</f>
        <v>-</v>
      </c>
      <c r="AO449" s="10" t="s">
        <v>1113</v>
      </c>
      <c r="AP449" s="39" t="str">
        <f>データ!O449</f>
        <v>　</v>
      </c>
      <c r="AQ449" s="41" t="s">
        <v>1024</v>
      </c>
      <c r="AR449" s="40" t="s">
        <v>1324</v>
      </c>
      <c r="AS449" s="39" t="str">
        <f>データ!P449</f>
        <v>フォートレスオーダー／真</v>
      </c>
      <c r="AT449" s="10" t="s">
        <v>1113</v>
      </c>
      <c r="AU449" s="39" t="str">
        <f>データ!Q449</f>
        <v>騎士団全体の防御力が中UP(3分間)</v>
      </c>
      <c r="AV449" s="10" t="s">
        <v>1024</v>
      </c>
      <c r="AW449" s="40" t="s">
        <v>1324</v>
      </c>
      <c r="AX449" s="39" t="str">
        <f>データ!R449</f>
        <v>-</v>
      </c>
      <c r="AY449" s="10" t="s">
        <v>1113</v>
      </c>
      <c r="AZ449" s="39" t="str">
        <f>データ!S449</f>
        <v>　</v>
      </c>
      <c r="BA449" s="41" t="s">
        <v>1024</v>
      </c>
      <c r="BB449" s="40" t="s">
        <v>1319</v>
      </c>
      <c r="BC449" s="39" t="str">
        <f>データ!T449</f>
        <v>-</v>
      </c>
      <c r="BD449" s="41" t="s">
        <v>1024</v>
      </c>
      <c r="BE449" s="40" t="s">
        <v>1320</v>
      </c>
      <c r="BF449" s="39" t="str">
        <f>データ!U449</f>
        <v>-</v>
      </c>
      <c r="BG449" s="41" t="s">
        <v>1024</v>
      </c>
      <c r="BH449" s="40" t="s">
        <v>1319</v>
      </c>
      <c r="BI449" s="39" t="str">
        <f>データ!V449</f>
        <v>ガチャイベ</v>
      </c>
      <c r="BJ449" s="41" t="s">
        <v>1024</v>
      </c>
      <c r="BK449" s="10" t="s">
        <v>1019</v>
      </c>
    </row>
    <row r="450" spans="1:63" x14ac:dyDescent="0.15">
      <c r="A450" s="10" t="s">
        <v>1016</v>
      </c>
      <c r="B450" s="10" t="s">
        <v>1454</v>
      </c>
      <c r="C450" s="38" t="str">
        <f>"./images/thumbnail/"&amp;データ!B450&amp;".jpg"</f>
        <v>./images/thumbnail/1763.jpg</v>
      </c>
      <c r="D450" s="38" t="s">
        <v>1455</v>
      </c>
      <c r="E450" s="38" t="str">
        <f>"./images/thumbnail/"&amp;データ!B450&amp;".jpg"</f>
        <v>./images/thumbnail/1763.jpg</v>
      </c>
      <c r="F450" s="38" t="s">
        <v>1116</v>
      </c>
      <c r="G450" s="38" t="s">
        <v>1319</v>
      </c>
      <c r="H450" s="38" t="str">
        <f>データ!C450</f>
        <v>ノンノリア</v>
      </c>
      <c r="I450" s="38" t="s">
        <v>1024</v>
      </c>
      <c r="J450" s="38" t="s">
        <v>1320</v>
      </c>
      <c r="K450" s="38" t="str">
        <f>データ!D450</f>
        <v>UR</v>
      </c>
      <c r="L450" s="38" t="s">
        <v>1024</v>
      </c>
      <c r="M450" s="38" t="s">
        <v>1321</v>
      </c>
      <c r="N450" s="38">
        <f>データ!E450</f>
        <v>14</v>
      </c>
      <c r="O450" s="38" t="s">
        <v>1024</v>
      </c>
      <c r="P450" s="38" t="s">
        <v>1319</v>
      </c>
      <c r="Q450" s="38" t="str">
        <f>データ!F450</f>
        <v>遠</v>
      </c>
      <c r="R450" s="38" t="s">
        <v>1024</v>
      </c>
      <c r="S450" s="38" t="s">
        <v>1319</v>
      </c>
      <c r="T450" s="39">
        <f>データ!G450</f>
        <v>20119</v>
      </c>
      <c r="U450" s="40" t="s">
        <v>1024</v>
      </c>
      <c r="V450" s="40" t="s">
        <v>1319</v>
      </c>
      <c r="W450" s="39">
        <f>データ!H450</f>
        <v>7020</v>
      </c>
      <c r="X450" s="40" t="s">
        <v>1024</v>
      </c>
      <c r="Y450" s="40" t="s">
        <v>1319</v>
      </c>
      <c r="Z450" s="39">
        <f>データ!I450</f>
        <v>5515</v>
      </c>
      <c r="AA450" s="40" t="s">
        <v>1024</v>
      </c>
      <c r="AB450" s="40" t="s">
        <v>1322</v>
      </c>
      <c r="AC450" s="39" t="str">
        <f>データ!J450</f>
        <v>S+</v>
      </c>
      <c r="AD450" s="38" t="s">
        <v>1024</v>
      </c>
      <c r="AE450" s="40" t="s">
        <v>1323</v>
      </c>
      <c r="AF450" s="39">
        <f>データ!K450</f>
        <v>32654</v>
      </c>
      <c r="AG450" s="40" t="s">
        <v>1024</v>
      </c>
      <c r="AH450" s="40" t="s">
        <v>1324</v>
      </c>
      <c r="AI450" s="39" t="str">
        <f>データ!L450</f>
        <v>浄化の一撃／真</v>
      </c>
      <c r="AJ450" s="10" t="s">
        <v>1113</v>
      </c>
      <c r="AK450" s="39" t="str">
        <f>データ!M450</f>
        <v>単体固定ダメージ[中]+味方ステータスDOWN解除</v>
      </c>
      <c r="AL450" s="10" t="s">
        <v>1024</v>
      </c>
      <c r="AM450" s="40" t="s">
        <v>1325</v>
      </c>
      <c r="AN450" s="39" t="str">
        <f>データ!N450</f>
        <v>-</v>
      </c>
      <c r="AO450" s="10" t="s">
        <v>1113</v>
      </c>
      <c r="AP450" s="39" t="str">
        <f>データ!O450</f>
        <v>　</v>
      </c>
      <c r="AQ450" s="41" t="s">
        <v>1024</v>
      </c>
      <c r="AR450" s="40" t="s">
        <v>1324</v>
      </c>
      <c r="AS450" s="39" t="str">
        <f>データ!P450</f>
        <v>ブリッツ</v>
      </c>
      <c r="AT450" s="10" t="s">
        <v>1113</v>
      </c>
      <c r="AU450" s="39" t="str">
        <f>データ!Q450</f>
        <v>強襲CBの発生確率・強襲時獲得ポイントUP(3分間)</v>
      </c>
      <c r="AV450" s="10" t="s">
        <v>1024</v>
      </c>
      <c r="AW450" s="40" t="s">
        <v>1324</v>
      </c>
      <c r="AX450" s="39" t="str">
        <f>データ!R450</f>
        <v>-</v>
      </c>
      <c r="AY450" s="10" t="s">
        <v>1113</v>
      </c>
      <c r="AZ450" s="39" t="str">
        <f>データ!S450</f>
        <v>　</v>
      </c>
      <c r="BA450" s="41" t="s">
        <v>1024</v>
      </c>
      <c r="BB450" s="40" t="s">
        <v>1319</v>
      </c>
      <c r="BC450" s="39" t="str">
        <f>データ!T450</f>
        <v>-</v>
      </c>
      <c r="BD450" s="41" t="s">
        <v>1024</v>
      </c>
      <c r="BE450" s="40" t="s">
        <v>1320</v>
      </c>
      <c r="BF450" s="39" t="str">
        <f>データ!U450</f>
        <v>-</v>
      </c>
      <c r="BG450" s="41" t="s">
        <v>1024</v>
      </c>
      <c r="BH450" s="40" t="s">
        <v>1319</v>
      </c>
      <c r="BI450" s="39" t="str">
        <f>データ!V450</f>
        <v>ガチャイベ</v>
      </c>
      <c r="BJ450" s="41" t="s">
        <v>1024</v>
      </c>
      <c r="BK450" s="10" t="s">
        <v>1019</v>
      </c>
    </row>
    <row r="451" spans="1:63" x14ac:dyDescent="0.15">
      <c r="A451" s="10" t="s">
        <v>1016</v>
      </c>
      <c r="B451" s="10" t="s">
        <v>1454</v>
      </c>
      <c r="C451" s="38" t="str">
        <f>"./images/thumbnail/"&amp;データ!B451&amp;".jpg"</f>
        <v>./images/thumbnail/1765.jpg</v>
      </c>
      <c r="D451" s="38" t="s">
        <v>1455</v>
      </c>
      <c r="E451" s="38" t="str">
        <f>"./images/thumbnail/"&amp;データ!B451&amp;".jpg"</f>
        <v>./images/thumbnail/1765.jpg</v>
      </c>
      <c r="F451" s="38" t="s">
        <v>1116</v>
      </c>
      <c r="G451" s="38" t="s">
        <v>1319</v>
      </c>
      <c r="H451" s="38" t="str">
        <f>データ!C451</f>
        <v>ヒルダ</v>
      </c>
      <c r="I451" s="38" t="s">
        <v>1024</v>
      </c>
      <c r="J451" s="38" t="s">
        <v>1320</v>
      </c>
      <c r="K451" s="38" t="str">
        <f>データ!D451</f>
        <v>SSR</v>
      </c>
      <c r="L451" s="38" t="s">
        <v>1024</v>
      </c>
      <c r="M451" s="38" t="s">
        <v>1321</v>
      </c>
      <c r="N451" s="38">
        <f>データ!E451</f>
        <v>12</v>
      </c>
      <c r="O451" s="38" t="s">
        <v>1024</v>
      </c>
      <c r="P451" s="38" t="s">
        <v>1319</v>
      </c>
      <c r="Q451" s="38" t="str">
        <f>データ!F451</f>
        <v>遠</v>
      </c>
      <c r="R451" s="38" t="s">
        <v>1024</v>
      </c>
      <c r="S451" s="38" t="s">
        <v>1319</v>
      </c>
      <c r="T451" s="39">
        <f>データ!G451</f>
        <v>17273</v>
      </c>
      <c r="U451" s="40" t="s">
        <v>1024</v>
      </c>
      <c r="V451" s="40" t="s">
        <v>1319</v>
      </c>
      <c r="W451" s="39">
        <f>データ!H451</f>
        <v>6028</v>
      </c>
      <c r="X451" s="40" t="s">
        <v>1024</v>
      </c>
      <c r="Y451" s="40" t="s">
        <v>1319</v>
      </c>
      <c r="Z451" s="39">
        <f>データ!I451</f>
        <v>4079</v>
      </c>
      <c r="AA451" s="40" t="s">
        <v>1024</v>
      </c>
      <c r="AB451" s="40" t="s">
        <v>1322</v>
      </c>
      <c r="AC451" s="39" t="str">
        <f>データ!J451</f>
        <v>S-</v>
      </c>
      <c r="AD451" s="38" t="s">
        <v>1024</v>
      </c>
      <c r="AE451" s="40" t="s">
        <v>1323</v>
      </c>
      <c r="AF451" s="39">
        <f>データ!K451</f>
        <v>27380</v>
      </c>
      <c r="AG451" s="40" t="s">
        <v>1024</v>
      </c>
      <c r="AH451" s="40" t="s">
        <v>1324</v>
      </c>
      <c r="AI451" s="39" t="str">
        <f>データ!L451</f>
        <v>対紫の突風／絶</v>
      </c>
      <c r="AJ451" s="10" t="s">
        <v>1113</v>
      </c>
      <c r="AK451" s="39" t="str">
        <f>データ!M451</f>
        <v>打に強く遠に弱い縦一列攻撃[大]</v>
      </c>
      <c r="AL451" s="10" t="s">
        <v>1024</v>
      </c>
      <c r="AM451" s="40" t="s">
        <v>1325</v>
      </c>
      <c r="AN451" s="39" t="str">
        <f>データ!N451</f>
        <v>-</v>
      </c>
      <c r="AO451" s="10" t="s">
        <v>1113</v>
      </c>
      <c r="AP451" s="39" t="str">
        <f>データ!O451</f>
        <v>　</v>
      </c>
      <c r="AQ451" s="41" t="s">
        <v>1024</v>
      </c>
      <c r="AR451" s="40" t="s">
        <v>1324</v>
      </c>
      <c r="AS451" s="39" t="str">
        <f>データ!P451</f>
        <v>エクスドライブ／真</v>
      </c>
      <c r="AT451" s="10" t="s">
        <v>1113</v>
      </c>
      <c r="AU451" s="39" t="str">
        <f>データ!Q451</f>
        <v>キリ番CB時の獲得ポイント中UP(3分間)</v>
      </c>
      <c r="AV451" s="10" t="s">
        <v>1024</v>
      </c>
      <c r="AW451" s="40" t="s">
        <v>1324</v>
      </c>
      <c r="AX451" s="39" t="str">
        <f>データ!R451</f>
        <v>-</v>
      </c>
      <c r="AY451" s="10" t="s">
        <v>1113</v>
      </c>
      <c r="AZ451" s="39" t="str">
        <f>データ!S451</f>
        <v>　</v>
      </c>
      <c r="BA451" s="41" t="s">
        <v>1024</v>
      </c>
      <c r="BB451" s="40" t="s">
        <v>1319</v>
      </c>
      <c r="BC451" s="39" t="str">
        <f>データ!T451</f>
        <v>-</v>
      </c>
      <c r="BD451" s="41" t="s">
        <v>1024</v>
      </c>
      <c r="BE451" s="40" t="s">
        <v>1320</v>
      </c>
      <c r="BF451" s="39" t="str">
        <f>データ!U451</f>
        <v>-</v>
      </c>
      <c r="BG451" s="41" t="s">
        <v>1024</v>
      </c>
      <c r="BH451" s="40" t="s">
        <v>1319</v>
      </c>
      <c r="BI451" s="39" t="str">
        <f>データ!V451</f>
        <v>第10回統一報酬</v>
      </c>
      <c r="BJ451" s="41" t="s">
        <v>1024</v>
      </c>
      <c r="BK451" s="10" t="s">
        <v>1019</v>
      </c>
    </row>
    <row r="452" spans="1:63" x14ac:dyDescent="0.15">
      <c r="A452" s="10" t="s">
        <v>1016</v>
      </c>
      <c r="B452" s="10" t="s">
        <v>1454</v>
      </c>
      <c r="C452" s="38" t="str">
        <f>"./images/thumbnail/"&amp;データ!B452&amp;".jpg"</f>
        <v>./images/thumbnail/1766.jpg</v>
      </c>
      <c r="D452" s="38" t="s">
        <v>1455</v>
      </c>
      <c r="E452" s="38" t="str">
        <f>"./images/thumbnail/"&amp;データ!B452&amp;".jpg"</f>
        <v>./images/thumbnail/1766.jpg</v>
      </c>
      <c r="F452" s="38" t="s">
        <v>1116</v>
      </c>
      <c r="G452" s="38" t="s">
        <v>1319</v>
      </c>
      <c r="H452" s="38" t="str">
        <f>データ!C452</f>
        <v>ヒルダ</v>
      </c>
      <c r="I452" s="38" t="s">
        <v>1024</v>
      </c>
      <c r="J452" s="38" t="s">
        <v>1320</v>
      </c>
      <c r="K452" s="38" t="str">
        <f>データ!D452</f>
        <v>SSR</v>
      </c>
      <c r="L452" s="38" t="s">
        <v>1024</v>
      </c>
      <c r="M452" s="38" t="s">
        <v>1321</v>
      </c>
      <c r="N452" s="38">
        <f>データ!E452</f>
        <v>13</v>
      </c>
      <c r="O452" s="38" t="s">
        <v>1024</v>
      </c>
      <c r="P452" s="38" t="s">
        <v>1319</v>
      </c>
      <c r="Q452" s="38" t="str">
        <f>データ!F452</f>
        <v>遠</v>
      </c>
      <c r="R452" s="38" t="s">
        <v>1024</v>
      </c>
      <c r="S452" s="38" t="s">
        <v>1319</v>
      </c>
      <c r="T452" s="39">
        <f>データ!G452</f>
        <v>18641</v>
      </c>
      <c r="U452" s="40" t="s">
        <v>1024</v>
      </c>
      <c r="V452" s="40" t="s">
        <v>1319</v>
      </c>
      <c r="W452" s="39">
        <f>データ!H452</f>
        <v>6535</v>
      </c>
      <c r="X452" s="40" t="s">
        <v>1024</v>
      </c>
      <c r="Y452" s="40" t="s">
        <v>1319</v>
      </c>
      <c r="Z452" s="39">
        <f>データ!I452</f>
        <v>4316</v>
      </c>
      <c r="AA452" s="40" t="s">
        <v>1024</v>
      </c>
      <c r="AB452" s="40" t="s">
        <v>1322</v>
      </c>
      <c r="AC452" s="39" t="str">
        <f>データ!J452</f>
        <v>S-</v>
      </c>
      <c r="AD452" s="38" t="s">
        <v>1024</v>
      </c>
      <c r="AE452" s="40" t="s">
        <v>1323</v>
      </c>
      <c r="AF452" s="39">
        <f>データ!K452</f>
        <v>29492</v>
      </c>
      <c r="AG452" s="40" t="s">
        <v>1024</v>
      </c>
      <c r="AH452" s="40" t="s">
        <v>1324</v>
      </c>
      <c r="AI452" s="39" t="str">
        <f>データ!L452</f>
        <v>対紫の突風／絶</v>
      </c>
      <c r="AJ452" s="10" t="s">
        <v>1113</v>
      </c>
      <c r="AK452" s="39" t="str">
        <f>データ!M452</f>
        <v>打に強く遠に弱い縦一列攻撃[大]</v>
      </c>
      <c r="AL452" s="10" t="s">
        <v>1024</v>
      </c>
      <c r="AM452" s="40" t="s">
        <v>1325</v>
      </c>
      <c r="AN452" s="39" t="str">
        <f>データ!N452</f>
        <v>-</v>
      </c>
      <c r="AO452" s="10" t="s">
        <v>1113</v>
      </c>
      <c r="AP452" s="39" t="str">
        <f>データ!O452</f>
        <v>　</v>
      </c>
      <c r="AQ452" s="41" t="s">
        <v>1024</v>
      </c>
      <c r="AR452" s="40" t="s">
        <v>1324</v>
      </c>
      <c r="AS452" s="39" t="str">
        <f>データ!P452</f>
        <v>エクスドライブ／真</v>
      </c>
      <c r="AT452" s="10" t="s">
        <v>1113</v>
      </c>
      <c r="AU452" s="39" t="str">
        <f>データ!Q452</f>
        <v>キリ番CB時の獲得ポイント中UP(3分間)</v>
      </c>
      <c r="AV452" s="10" t="s">
        <v>1024</v>
      </c>
      <c r="AW452" s="40" t="s">
        <v>1324</v>
      </c>
      <c r="AX452" s="39" t="str">
        <f>データ!R452</f>
        <v>-</v>
      </c>
      <c r="AY452" s="10" t="s">
        <v>1113</v>
      </c>
      <c r="AZ452" s="39" t="str">
        <f>データ!S452</f>
        <v>　</v>
      </c>
      <c r="BA452" s="41" t="s">
        <v>1024</v>
      </c>
      <c r="BB452" s="40" t="s">
        <v>1319</v>
      </c>
      <c r="BC452" s="39" t="str">
        <f>データ!T452</f>
        <v>-</v>
      </c>
      <c r="BD452" s="41" t="s">
        <v>1024</v>
      </c>
      <c r="BE452" s="40" t="s">
        <v>1320</v>
      </c>
      <c r="BF452" s="39" t="str">
        <f>データ!U452</f>
        <v>-</v>
      </c>
      <c r="BG452" s="41" t="s">
        <v>1024</v>
      </c>
      <c r="BH452" s="40" t="s">
        <v>1319</v>
      </c>
      <c r="BI452" s="39" t="str">
        <f>データ!V452</f>
        <v>第10回統一報酬</v>
      </c>
      <c r="BJ452" s="41" t="s">
        <v>1024</v>
      </c>
      <c r="BK452" s="10" t="s">
        <v>1019</v>
      </c>
    </row>
    <row r="453" spans="1:63" x14ac:dyDescent="0.15">
      <c r="A453" s="10" t="s">
        <v>1016</v>
      </c>
      <c r="B453" s="10" t="s">
        <v>1454</v>
      </c>
      <c r="C453" s="38" t="str">
        <f>"./images/thumbnail/"&amp;データ!B453&amp;".jpg"</f>
        <v>./images/thumbnail/1767.jpg</v>
      </c>
      <c r="D453" s="38" t="s">
        <v>1455</v>
      </c>
      <c r="E453" s="38" t="str">
        <f>"./images/thumbnail/"&amp;データ!B453&amp;".jpg"</f>
        <v>./images/thumbnail/1767.jpg</v>
      </c>
      <c r="F453" s="38" t="s">
        <v>1116</v>
      </c>
      <c r="G453" s="38" t="s">
        <v>1319</v>
      </c>
      <c r="H453" s="38" t="str">
        <f>データ!C453</f>
        <v>ヒルダ</v>
      </c>
      <c r="I453" s="38" t="s">
        <v>1024</v>
      </c>
      <c r="J453" s="38" t="s">
        <v>1320</v>
      </c>
      <c r="K453" s="38" t="str">
        <f>データ!D453</f>
        <v>UR</v>
      </c>
      <c r="L453" s="38" t="s">
        <v>1024</v>
      </c>
      <c r="M453" s="38" t="s">
        <v>1321</v>
      </c>
      <c r="N453" s="38">
        <f>データ!E453</f>
        <v>14</v>
      </c>
      <c r="O453" s="38" t="s">
        <v>1024</v>
      </c>
      <c r="P453" s="38" t="s">
        <v>1319</v>
      </c>
      <c r="Q453" s="38" t="str">
        <f>データ!F453</f>
        <v>遠</v>
      </c>
      <c r="R453" s="38" t="s">
        <v>1024</v>
      </c>
      <c r="S453" s="38" t="s">
        <v>1319</v>
      </c>
      <c r="T453" s="39">
        <f>データ!G453</f>
        <v>20467</v>
      </c>
      <c r="U453" s="40" t="s">
        <v>1024</v>
      </c>
      <c r="V453" s="40" t="s">
        <v>1319</v>
      </c>
      <c r="W453" s="39">
        <f>データ!H453</f>
        <v>7138</v>
      </c>
      <c r="X453" s="40" t="s">
        <v>1024</v>
      </c>
      <c r="Y453" s="40" t="s">
        <v>1319</v>
      </c>
      <c r="Z453" s="39">
        <f>データ!I453</f>
        <v>5174</v>
      </c>
      <c r="AA453" s="40" t="s">
        <v>1024</v>
      </c>
      <c r="AB453" s="40" t="s">
        <v>1322</v>
      </c>
      <c r="AC453" s="39" t="str">
        <f>データ!J453</f>
        <v>S+</v>
      </c>
      <c r="AD453" s="38" t="s">
        <v>1024</v>
      </c>
      <c r="AE453" s="40" t="s">
        <v>1323</v>
      </c>
      <c r="AF453" s="39">
        <f>データ!K453</f>
        <v>32779</v>
      </c>
      <c r="AG453" s="40" t="s">
        <v>1024</v>
      </c>
      <c r="AH453" s="40" t="s">
        <v>1324</v>
      </c>
      <c r="AI453" s="39" t="str">
        <f>データ!L453</f>
        <v>対紫の突風／煌</v>
      </c>
      <c r="AJ453" s="10" t="s">
        <v>1113</v>
      </c>
      <c r="AK453" s="39" t="str">
        <f>データ!M453</f>
        <v>打に強く遠に弱い縦一列攻撃[特大]</v>
      </c>
      <c r="AL453" s="10" t="s">
        <v>1024</v>
      </c>
      <c r="AM453" s="40" t="s">
        <v>1325</v>
      </c>
      <c r="AN453" s="39" t="str">
        <f>データ!N453</f>
        <v>-</v>
      </c>
      <c r="AO453" s="10" t="s">
        <v>1113</v>
      </c>
      <c r="AP453" s="39" t="str">
        <f>データ!O453</f>
        <v>　</v>
      </c>
      <c r="AQ453" s="41" t="s">
        <v>1024</v>
      </c>
      <c r="AR453" s="40" t="s">
        <v>1324</v>
      </c>
      <c r="AS453" s="39" t="str">
        <f>データ!P453</f>
        <v>エクスドライブ／絶</v>
      </c>
      <c r="AT453" s="10" t="s">
        <v>1113</v>
      </c>
      <c r="AU453" s="39" t="str">
        <f>データ!Q453</f>
        <v>キリ番CB時の獲得ポイント大UP(3分間)</v>
      </c>
      <c r="AV453" s="10" t="s">
        <v>1024</v>
      </c>
      <c r="AW453" s="40" t="s">
        <v>1324</v>
      </c>
      <c r="AX453" s="39" t="str">
        <f>データ!R453</f>
        <v>-</v>
      </c>
      <c r="AY453" s="10" t="s">
        <v>1113</v>
      </c>
      <c r="AZ453" s="39" t="str">
        <f>データ!S453</f>
        <v>　</v>
      </c>
      <c r="BA453" s="41" t="s">
        <v>1024</v>
      </c>
      <c r="BB453" s="40" t="s">
        <v>1319</v>
      </c>
      <c r="BC453" s="39" t="str">
        <f>データ!T453</f>
        <v>-</v>
      </c>
      <c r="BD453" s="41" t="s">
        <v>1024</v>
      </c>
      <c r="BE453" s="40" t="s">
        <v>1320</v>
      </c>
      <c r="BF453" s="39" t="str">
        <f>データ!U453</f>
        <v>-</v>
      </c>
      <c r="BG453" s="41" t="s">
        <v>1024</v>
      </c>
      <c r="BH453" s="40" t="s">
        <v>1319</v>
      </c>
      <c r="BI453" s="39" t="str">
        <f>データ!V453</f>
        <v>第10回統一報酬</v>
      </c>
      <c r="BJ453" s="41" t="s">
        <v>1024</v>
      </c>
      <c r="BK453" s="10" t="s">
        <v>1019</v>
      </c>
    </row>
    <row r="454" spans="1:63" x14ac:dyDescent="0.15">
      <c r="A454" s="10" t="s">
        <v>1016</v>
      </c>
      <c r="B454" s="10" t="s">
        <v>1454</v>
      </c>
      <c r="C454" s="38" t="str">
        <f>"./images/thumbnail/"&amp;データ!B454&amp;".jpg"</f>
        <v>./images/thumbnail/1768.jpg</v>
      </c>
      <c r="D454" s="38" t="s">
        <v>1455</v>
      </c>
      <c r="E454" s="38" t="str">
        <f>"./images/thumbnail/"&amp;データ!B454&amp;".jpg"</f>
        <v>./images/thumbnail/1768.jpg</v>
      </c>
      <c r="F454" s="38" t="s">
        <v>1116</v>
      </c>
      <c r="G454" s="38" t="s">
        <v>1319</v>
      </c>
      <c r="H454" s="38" t="str">
        <f>データ!C454</f>
        <v>ジャマル</v>
      </c>
      <c r="I454" s="38" t="s">
        <v>1024</v>
      </c>
      <c r="J454" s="38" t="s">
        <v>1320</v>
      </c>
      <c r="K454" s="38" t="str">
        <f>データ!D454</f>
        <v>UR</v>
      </c>
      <c r="L454" s="38" t="s">
        <v>1024</v>
      </c>
      <c r="M454" s="38" t="s">
        <v>1321</v>
      </c>
      <c r="N454" s="38">
        <f>データ!E454</f>
        <v>14</v>
      </c>
      <c r="O454" s="38" t="s">
        <v>1024</v>
      </c>
      <c r="P454" s="38" t="s">
        <v>1319</v>
      </c>
      <c r="Q454" s="38" t="str">
        <f>データ!F454</f>
        <v>斬</v>
      </c>
      <c r="R454" s="38" t="s">
        <v>1024</v>
      </c>
      <c r="S454" s="38" t="s">
        <v>1319</v>
      </c>
      <c r="T454" s="39">
        <f>データ!G454</f>
        <v>19116</v>
      </c>
      <c r="U454" s="40" t="s">
        <v>1024</v>
      </c>
      <c r="V454" s="40" t="s">
        <v>1319</v>
      </c>
      <c r="W454" s="39">
        <f>データ!H454</f>
        <v>8777</v>
      </c>
      <c r="X454" s="40" t="s">
        <v>1024</v>
      </c>
      <c r="Y454" s="40" t="s">
        <v>1319</v>
      </c>
      <c r="Z454" s="39">
        <f>データ!I454</f>
        <v>5449</v>
      </c>
      <c r="AA454" s="40" t="s">
        <v>1024</v>
      </c>
      <c r="AB454" s="40" t="s">
        <v>1322</v>
      </c>
      <c r="AC454" s="39" t="str">
        <f>データ!J454</f>
        <v>S</v>
      </c>
      <c r="AD454" s="38" t="s">
        <v>1024</v>
      </c>
      <c r="AE454" s="40" t="s">
        <v>1323</v>
      </c>
      <c r="AF454" s="39">
        <f>データ!K454</f>
        <v>33342</v>
      </c>
      <c r="AG454" s="40" t="s">
        <v>1024</v>
      </c>
      <c r="AH454" s="40" t="s">
        <v>1324</v>
      </c>
      <c r="AI454" s="39" t="str">
        <f>データ!L454</f>
        <v>地魔幻の閃光／煌</v>
      </c>
      <c r="AJ454" s="10" t="s">
        <v>1113</v>
      </c>
      <c r="AK454" s="39" t="str">
        <f>データ!M454</f>
        <v>縦一列攻撃[特大]自分の防御力UP[特大]</v>
      </c>
      <c r="AL454" s="10" t="s">
        <v>1024</v>
      </c>
      <c r="AM454" s="40" t="s">
        <v>1325</v>
      </c>
      <c r="AN454" s="39" t="str">
        <f>データ!N454</f>
        <v>-</v>
      </c>
      <c r="AO454" s="10" t="s">
        <v>1113</v>
      </c>
      <c r="AP454" s="39" t="str">
        <f>データ!O454</f>
        <v>　</v>
      </c>
      <c r="AQ454" s="41" t="s">
        <v>1024</v>
      </c>
      <c r="AR454" s="40" t="s">
        <v>1324</v>
      </c>
      <c r="AS454" s="39" t="str">
        <f>データ!P454</f>
        <v>ストリーム／真</v>
      </c>
      <c r="AT454" s="10" t="s">
        <v>1113</v>
      </c>
      <c r="AU454" s="39" t="str">
        <f>データ!Q454</f>
        <v>パーティ全体の攻撃力・速度が中UP(3分間)</v>
      </c>
      <c r="AV454" s="10" t="s">
        <v>1024</v>
      </c>
      <c r="AW454" s="40" t="s">
        <v>1324</v>
      </c>
      <c r="AX454" s="39" t="str">
        <f>データ!R454</f>
        <v>-</v>
      </c>
      <c r="AY454" s="10" t="s">
        <v>1113</v>
      </c>
      <c r="AZ454" s="39" t="str">
        <f>データ!S454</f>
        <v>　</v>
      </c>
      <c r="BA454" s="41" t="s">
        <v>1024</v>
      </c>
      <c r="BB454" s="40" t="s">
        <v>1319</v>
      </c>
      <c r="BC454" s="39" t="str">
        <f>データ!T454</f>
        <v>-</v>
      </c>
      <c r="BD454" s="41" t="s">
        <v>1024</v>
      </c>
      <c r="BE454" s="40" t="s">
        <v>1320</v>
      </c>
      <c r="BF454" s="39" t="str">
        <f>データ!U454</f>
        <v>-</v>
      </c>
      <c r="BG454" s="41" t="s">
        <v>1024</v>
      </c>
      <c r="BH454" s="40" t="s">
        <v>1319</v>
      </c>
      <c r="BI454" s="39" t="str">
        <f>データ!V454</f>
        <v>ガチャイベ</v>
      </c>
      <c r="BJ454" s="41" t="s">
        <v>1024</v>
      </c>
      <c r="BK454" s="10" t="s">
        <v>1019</v>
      </c>
    </row>
    <row r="455" spans="1:63" x14ac:dyDescent="0.15">
      <c r="A455" s="10" t="s">
        <v>1016</v>
      </c>
      <c r="B455" s="10" t="s">
        <v>1454</v>
      </c>
      <c r="C455" s="38" t="str">
        <f>"./images/thumbnail/"&amp;データ!B455&amp;".jpg"</f>
        <v>./images/thumbnail/1774.jpg</v>
      </c>
      <c r="D455" s="38" t="s">
        <v>1455</v>
      </c>
      <c r="E455" s="38" t="str">
        <f>"./images/thumbnail/"&amp;データ!B455&amp;".jpg"</f>
        <v>./images/thumbnail/1774.jpg</v>
      </c>
      <c r="F455" s="38" t="s">
        <v>1116</v>
      </c>
      <c r="G455" s="38" t="s">
        <v>1319</v>
      </c>
      <c r="H455" s="38" t="str">
        <f>データ!C455</f>
        <v>ミリュエ</v>
      </c>
      <c r="I455" s="38" t="s">
        <v>1024</v>
      </c>
      <c r="J455" s="38" t="s">
        <v>1320</v>
      </c>
      <c r="K455" s="38" t="str">
        <f>データ!D455</f>
        <v>UR</v>
      </c>
      <c r="L455" s="38" t="s">
        <v>1024</v>
      </c>
      <c r="M455" s="38" t="s">
        <v>1321</v>
      </c>
      <c r="N455" s="38">
        <f>データ!E455</f>
        <v>14</v>
      </c>
      <c r="O455" s="38" t="s">
        <v>1024</v>
      </c>
      <c r="P455" s="38" t="s">
        <v>1319</v>
      </c>
      <c r="Q455" s="38" t="str">
        <f>データ!F455</f>
        <v>斬</v>
      </c>
      <c r="R455" s="38" t="s">
        <v>1024</v>
      </c>
      <c r="S455" s="38" t="s">
        <v>1319</v>
      </c>
      <c r="T455" s="39">
        <f>データ!G455</f>
        <v>20619</v>
      </c>
      <c r="U455" s="40" t="s">
        <v>1024</v>
      </c>
      <c r="V455" s="40" t="s">
        <v>1319</v>
      </c>
      <c r="W455" s="39">
        <f>データ!H455</f>
        <v>8041</v>
      </c>
      <c r="X455" s="40" t="s">
        <v>1024</v>
      </c>
      <c r="Y455" s="40" t="s">
        <v>1319</v>
      </c>
      <c r="Z455" s="39">
        <f>データ!I455</f>
        <v>5585</v>
      </c>
      <c r="AA455" s="40" t="s">
        <v>1024</v>
      </c>
      <c r="AB455" s="40" t="s">
        <v>1322</v>
      </c>
      <c r="AC455" s="39" t="str">
        <f>データ!J455</f>
        <v>S</v>
      </c>
      <c r="AD455" s="38" t="s">
        <v>1024</v>
      </c>
      <c r="AE455" s="40" t="s">
        <v>1323</v>
      </c>
      <c r="AF455" s="39">
        <f>データ!K455</f>
        <v>34245</v>
      </c>
      <c r="AG455" s="40" t="s">
        <v>1024</v>
      </c>
      <c r="AH455" s="40" t="s">
        <v>1324</v>
      </c>
      <c r="AI455" s="39" t="str">
        <f>データ!L455</f>
        <v>斬紅の神護</v>
      </c>
      <c r="AJ455" s="10" t="s">
        <v>1113</v>
      </c>
      <c r="AK455" s="39" t="str">
        <f>データ!M455</f>
        <v>味方斬属性の防御力をUP[特大]</v>
      </c>
      <c r="AL455" s="10" t="s">
        <v>1024</v>
      </c>
      <c r="AM455" s="40" t="s">
        <v>1325</v>
      </c>
      <c r="AN455" s="39" t="str">
        <f>データ!N455</f>
        <v>-</v>
      </c>
      <c r="AO455" s="10" t="s">
        <v>1113</v>
      </c>
      <c r="AP455" s="39" t="str">
        <f>データ!O455</f>
        <v>　</v>
      </c>
      <c r="AQ455" s="41" t="s">
        <v>1024</v>
      </c>
      <c r="AR455" s="40" t="s">
        <v>1324</v>
      </c>
      <c r="AS455" s="39" t="str">
        <f>データ!P455</f>
        <v>ジャガーノート／絶</v>
      </c>
      <c r="AT455" s="10" t="s">
        <v>1113</v>
      </c>
      <c r="AU455" s="39" t="str">
        <f>データ!Q455</f>
        <v>バトルで敵を全滅するとBPが大回復(バトル3回)</v>
      </c>
      <c r="AV455" s="10" t="s">
        <v>1024</v>
      </c>
      <c r="AW455" s="40" t="s">
        <v>1324</v>
      </c>
      <c r="AX455" s="39" t="str">
        <f>データ!R455</f>
        <v>-</v>
      </c>
      <c r="AY455" s="10" t="s">
        <v>1113</v>
      </c>
      <c r="AZ455" s="39" t="str">
        <f>データ!S455</f>
        <v>　</v>
      </c>
      <c r="BA455" s="41" t="s">
        <v>1024</v>
      </c>
      <c r="BB455" s="40" t="s">
        <v>1319</v>
      </c>
      <c r="BC455" s="39" t="str">
        <f>データ!T455</f>
        <v>-</v>
      </c>
      <c r="BD455" s="41" t="s">
        <v>1024</v>
      </c>
      <c r="BE455" s="40" t="s">
        <v>1320</v>
      </c>
      <c r="BF455" s="39" t="str">
        <f>データ!U455</f>
        <v>-</v>
      </c>
      <c r="BG455" s="41" t="s">
        <v>1024</v>
      </c>
      <c r="BH455" s="40" t="s">
        <v>1319</v>
      </c>
      <c r="BI455" s="39" t="str">
        <f>データ!V455</f>
        <v>常設</v>
      </c>
      <c r="BJ455" s="41" t="s">
        <v>1024</v>
      </c>
      <c r="BK455" s="10" t="s">
        <v>1019</v>
      </c>
    </row>
    <row r="456" spans="1:63" x14ac:dyDescent="0.15">
      <c r="A456" s="10" t="s">
        <v>1016</v>
      </c>
      <c r="B456" s="10" t="s">
        <v>1454</v>
      </c>
      <c r="C456" s="38" t="str">
        <f>"./images/thumbnail/"&amp;データ!B456&amp;".jpg"</f>
        <v>./images/thumbnail/1776.jpg</v>
      </c>
      <c r="D456" s="38" t="s">
        <v>1455</v>
      </c>
      <c r="E456" s="38" t="str">
        <f>"./images/thumbnail/"&amp;データ!B456&amp;".jpg"</f>
        <v>./images/thumbnail/1776.jpg</v>
      </c>
      <c r="F456" s="38" t="s">
        <v>1116</v>
      </c>
      <c r="G456" s="38" t="s">
        <v>1319</v>
      </c>
      <c r="H456" s="38" t="str">
        <f>データ!C456</f>
        <v>ガイル</v>
      </c>
      <c r="I456" s="38" t="s">
        <v>1024</v>
      </c>
      <c r="J456" s="38" t="s">
        <v>1320</v>
      </c>
      <c r="K456" s="38" t="str">
        <f>データ!D456</f>
        <v>SSR</v>
      </c>
      <c r="L456" s="38" t="s">
        <v>1024</v>
      </c>
      <c r="M456" s="38" t="s">
        <v>1321</v>
      </c>
      <c r="N456" s="38">
        <f>データ!E456</f>
        <v>13</v>
      </c>
      <c r="O456" s="38" t="s">
        <v>1024</v>
      </c>
      <c r="P456" s="38" t="s">
        <v>1319</v>
      </c>
      <c r="Q456" s="38" t="str">
        <f>データ!F456</f>
        <v>突</v>
      </c>
      <c r="R456" s="38" t="s">
        <v>1024</v>
      </c>
      <c r="S456" s="38" t="s">
        <v>1319</v>
      </c>
      <c r="T456" s="39">
        <f>データ!G456</f>
        <v>17526</v>
      </c>
      <c r="U456" s="40" t="s">
        <v>1024</v>
      </c>
      <c r="V456" s="40" t="s">
        <v>1319</v>
      </c>
      <c r="W456" s="39">
        <f>データ!H456</f>
        <v>5519</v>
      </c>
      <c r="X456" s="40" t="s">
        <v>1024</v>
      </c>
      <c r="Y456" s="40" t="s">
        <v>1319</v>
      </c>
      <c r="Z456" s="39">
        <f>データ!I456</f>
        <v>5473</v>
      </c>
      <c r="AA456" s="40" t="s">
        <v>1024</v>
      </c>
      <c r="AB456" s="40" t="s">
        <v>1322</v>
      </c>
      <c r="AC456" s="39" t="str">
        <f>データ!J456</f>
        <v>SS1</v>
      </c>
      <c r="AD456" s="38" t="s">
        <v>1024</v>
      </c>
      <c r="AE456" s="40" t="s">
        <v>1323</v>
      </c>
      <c r="AF456" s="39">
        <f>データ!K456</f>
        <v>28518</v>
      </c>
      <c r="AG456" s="40" t="s">
        <v>1024</v>
      </c>
      <c r="AH456" s="40" t="s">
        <v>1324</v>
      </c>
      <c r="AI456" s="39" t="str">
        <f>データ!L456</f>
        <v xml:space="preserve">突鋭の五連撃 </v>
      </c>
      <c r="AJ456" s="10" t="s">
        <v>1113</v>
      </c>
      <c r="AK456" s="39" t="str">
        <f>データ!M456</f>
        <v>ランダム5連続攻撃[小][低確率]でダメージ2倍</v>
      </c>
      <c r="AL456" s="10" t="s">
        <v>1024</v>
      </c>
      <c r="AM456" s="40" t="s">
        <v>1325</v>
      </c>
      <c r="AN456" s="39" t="str">
        <f>データ!N456</f>
        <v>-</v>
      </c>
      <c r="AO456" s="10" t="s">
        <v>1113</v>
      </c>
      <c r="AP456" s="39" t="str">
        <f>データ!O456</f>
        <v>　</v>
      </c>
      <c r="AQ456" s="41" t="s">
        <v>1024</v>
      </c>
      <c r="AR456" s="40" t="s">
        <v>1324</v>
      </c>
      <c r="AS456" s="39" t="str">
        <f>データ!P456</f>
        <v>ストリーム</v>
      </c>
      <c r="AT456" s="10" t="s">
        <v>1113</v>
      </c>
      <c r="AU456" s="39" t="str">
        <f>データ!Q456</f>
        <v>パーティ全体の攻撃力・速度が小UP(3分間)</v>
      </c>
      <c r="AV456" s="10" t="s">
        <v>1024</v>
      </c>
      <c r="AW456" s="40" t="s">
        <v>1324</v>
      </c>
      <c r="AX456" s="39" t="str">
        <f>データ!R456</f>
        <v>-</v>
      </c>
      <c r="AY456" s="10" t="s">
        <v>1113</v>
      </c>
      <c r="AZ456" s="39" t="str">
        <f>データ!S456</f>
        <v>　</v>
      </c>
      <c r="BA456" s="41" t="s">
        <v>1024</v>
      </c>
      <c r="BB456" s="40" t="s">
        <v>1319</v>
      </c>
      <c r="BC456" s="39" t="str">
        <f>データ!T456</f>
        <v>-</v>
      </c>
      <c r="BD456" s="41" t="s">
        <v>1024</v>
      </c>
      <c r="BE456" s="40" t="s">
        <v>1320</v>
      </c>
      <c r="BF456" s="39" t="str">
        <f>データ!U456</f>
        <v>-</v>
      </c>
      <c r="BG456" s="41" t="s">
        <v>1024</v>
      </c>
      <c r="BH456" s="40" t="s">
        <v>1319</v>
      </c>
      <c r="BI456" s="39" t="str">
        <f>データ!V456</f>
        <v>常設</v>
      </c>
      <c r="BJ456" s="41" t="s">
        <v>1024</v>
      </c>
      <c r="BK456" s="10" t="s">
        <v>1019</v>
      </c>
    </row>
    <row r="457" spans="1:63" x14ac:dyDescent="0.15">
      <c r="A457" s="10" t="s">
        <v>1016</v>
      </c>
      <c r="B457" s="10" t="s">
        <v>1454</v>
      </c>
      <c r="C457" s="38" t="str">
        <f>"./images/thumbnail/"&amp;データ!B457&amp;".jpg"</f>
        <v>./images/thumbnail/1778.jpg</v>
      </c>
      <c r="D457" s="38" t="s">
        <v>1455</v>
      </c>
      <c r="E457" s="38" t="str">
        <f>"./images/thumbnail/"&amp;データ!B457&amp;".jpg"</f>
        <v>./images/thumbnail/1778.jpg</v>
      </c>
      <c r="F457" s="38" t="s">
        <v>1116</v>
      </c>
      <c r="G457" s="38" t="s">
        <v>1319</v>
      </c>
      <c r="H457" s="38" t="str">
        <f>データ!C457</f>
        <v>ムウ</v>
      </c>
      <c r="I457" s="38" t="s">
        <v>1024</v>
      </c>
      <c r="J457" s="38" t="s">
        <v>1320</v>
      </c>
      <c r="K457" s="38" t="str">
        <f>データ!D457</f>
        <v>UR</v>
      </c>
      <c r="L457" s="38" t="s">
        <v>1024</v>
      </c>
      <c r="M457" s="38" t="s">
        <v>1321</v>
      </c>
      <c r="N457" s="38">
        <f>データ!E457</f>
        <v>14</v>
      </c>
      <c r="O457" s="38" t="s">
        <v>1024</v>
      </c>
      <c r="P457" s="38" t="s">
        <v>1319</v>
      </c>
      <c r="Q457" s="38" t="str">
        <f>データ!F457</f>
        <v>打</v>
      </c>
      <c r="R457" s="38" t="s">
        <v>1024</v>
      </c>
      <c r="S457" s="38" t="s">
        <v>1319</v>
      </c>
      <c r="T457" s="39">
        <f>データ!G457</f>
        <v>26829</v>
      </c>
      <c r="U457" s="40" t="s">
        <v>1024</v>
      </c>
      <c r="V457" s="40" t="s">
        <v>1319</v>
      </c>
      <c r="W457" s="39">
        <f>データ!H457</f>
        <v>6503</v>
      </c>
      <c r="X457" s="40" t="s">
        <v>1024</v>
      </c>
      <c r="Y457" s="40" t="s">
        <v>1319</v>
      </c>
      <c r="Z457" s="39">
        <f>データ!I457</f>
        <v>7752</v>
      </c>
      <c r="AA457" s="40" t="s">
        <v>1024</v>
      </c>
      <c r="AB457" s="40" t="s">
        <v>1322</v>
      </c>
      <c r="AC457" s="39" t="str">
        <f>データ!J457</f>
        <v>A+</v>
      </c>
      <c r="AD457" s="38" t="s">
        <v>1024</v>
      </c>
      <c r="AE457" s="40" t="s">
        <v>1323</v>
      </c>
      <c r="AF457" s="39">
        <f>データ!K457</f>
        <v>41084</v>
      </c>
      <c r="AG457" s="40" t="s">
        <v>1024</v>
      </c>
      <c r="AH457" s="40" t="s">
        <v>1324</v>
      </c>
      <c r="AI457" s="39" t="str">
        <f>データ!L457</f>
        <v>魔幻の閃光／煌</v>
      </c>
      <c r="AJ457" s="10" t="s">
        <v>1113</v>
      </c>
      <c r="AK457" s="39" t="str">
        <f>データ!M457</f>
        <v>縦一列に攻撃[特大]</v>
      </c>
      <c r="AL457" s="10" t="s">
        <v>1024</v>
      </c>
      <c r="AM457" s="40" t="s">
        <v>1325</v>
      </c>
      <c r="AN457" s="39" t="str">
        <f>データ!N457</f>
        <v>-</v>
      </c>
      <c r="AO457" s="10" t="s">
        <v>1113</v>
      </c>
      <c r="AP457" s="39" t="str">
        <f>データ!O457</f>
        <v>　</v>
      </c>
      <c r="AQ457" s="41" t="s">
        <v>1024</v>
      </c>
      <c r="AR457" s="40" t="s">
        <v>1324</v>
      </c>
      <c r="AS457" s="39" t="str">
        <f>データ!P457</f>
        <v>ステルス／絶</v>
      </c>
      <c r="AT457" s="10" t="s">
        <v>1113</v>
      </c>
      <c r="AU457" s="39" t="str">
        <f>データ!Q457</f>
        <v>強襲CBの発生確率・強襲時獲得ポイント大UP(3回)</v>
      </c>
      <c r="AV457" s="10" t="s">
        <v>1024</v>
      </c>
      <c r="AW457" s="40" t="s">
        <v>1324</v>
      </c>
      <c r="AX457" s="39" t="str">
        <f>データ!R457</f>
        <v>-</v>
      </c>
      <c r="AY457" s="10" t="s">
        <v>1113</v>
      </c>
      <c r="AZ457" s="39" t="str">
        <f>データ!S457</f>
        <v>　</v>
      </c>
      <c r="BA457" s="41" t="s">
        <v>1024</v>
      </c>
      <c r="BB457" s="40" t="s">
        <v>1319</v>
      </c>
      <c r="BC457" s="39" t="str">
        <f>データ!T457</f>
        <v>-</v>
      </c>
      <c r="BD457" s="41" t="s">
        <v>1024</v>
      </c>
      <c r="BE457" s="40" t="s">
        <v>1320</v>
      </c>
      <c r="BF457" s="39" t="str">
        <f>データ!U457</f>
        <v>-</v>
      </c>
      <c r="BG457" s="41" t="s">
        <v>1024</v>
      </c>
      <c r="BH457" s="40" t="s">
        <v>1319</v>
      </c>
      <c r="BI457" s="39" t="str">
        <f>データ!V457</f>
        <v>常設</v>
      </c>
      <c r="BJ457" s="41" t="s">
        <v>1024</v>
      </c>
      <c r="BK457" s="10" t="s">
        <v>1019</v>
      </c>
    </row>
    <row r="458" spans="1:63" x14ac:dyDescent="0.15">
      <c r="A458" s="10" t="s">
        <v>1016</v>
      </c>
      <c r="B458" s="10" t="s">
        <v>1454</v>
      </c>
      <c r="C458" s="38" t="str">
        <f>"./images/thumbnail/"&amp;データ!B458&amp;".jpg"</f>
        <v>./images/thumbnail/1780.jpg</v>
      </c>
      <c r="D458" s="38" t="s">
        <v>1455</v>
      </c>
      <c r="E458" s="38" t="str">
        <f>"./images/thumbnail/"&amp;データ!B458&amp;".jpg"</f>
        <v>./images/thumbnail/1780.jpg</v>
      </c>
      <c r="F458" s="38" t="s">
        <v>1116</v>
      </c>
      <c r="G458" s="38" t="s">
        <v>1319</v>
      </c>
      <c r="H458" s="38" t="str">
        <f>データ!C458</f>
        <v>セシリア</v>
      </c>
      <c r="I458" s="38" t="s">
        <v>1024</v>
      </c>
      <c r="J458" s="38" t="s">
        <v>1320</v>
      </c>
      <c r="K458" s="38" t="str">
        <f>データ!D458</f>
        <v>SSR</v>
      </c>
      <c r="L458" s="38" t="s">
        <v>1024</v>
      </c>
      <c r="M458" s="38" t="s">
        <v>1321</v>
      </c>
      <c r="N458" s="38">
        <f>データ!E458</f>
        <v>13</v>
      </c>
      <c r="O458" s="38" t="s">
        <v>1024</v>
      </c>
      <c r="P458" s="38" t="s">
        <v>1319</v>
      </c>
      <c r="Q458" s="38" t="str">
        <f>データ!F458</f>
        <v>遠</v>
      </c>
      <c r="R458" s="38" t="s">
        <v>1024</v>
      </c>
      <c r="S458" s="38" t="s">
        <v>1319</v>
      </c>
      <c r="T458" s="39">
        <f>データ!G458</f>
        <v>18806</v>
      </c>
      <c r="U458" s="40" t="s">
        <v>1024</v>
      </c>
      <c r="V458" s="40" t="s">
        <v>1319</v>
      </c>
      <c r="W458" s="39">
        <f>データ!H458</f>
        <v>5713</v>
      </c>
      <c r="X458" s="40" t="s">
        <v>1024</v>
      </c>
      <c r="Y458" s="40" t="s">
        <v>1319</v>
      </c>
      <c r="Z458" s="39">
        <f>データ!I458</f>
        <v>4957</v>
      </c>
      <c r="AA458" s="40" t="s">
        <v>1024</v>
      </c>
      <c r="AB458" s="40" t="s">
        <v>1322</v>
      </c>
      <c r="AC458" s="39" t="str">
        <f>データ!J458</f>
        <v>S-</v>
      </c>
      <c r="AD458" s="38" t="s">
        <v>1024</v>
      </c>
      <c r="AE458" s="40" t="s">
        <v>1323</v>
      </c>
      <c r="AF458" s="39">
        <f>データ!K458</f>
        <v>29476</v>
      </c>
      <c r="AG458" s="40" t="s">
        <v>1024</v>
      </c>
      <c r="AH458" s="40" t="s">
        <v>1324</v>
      </c>
      <c r="AI458" s="39" t="str">
        <f>データ!L458</f>
        <v>夢限の息吹／真</v>
      </c>
      <c r="AJ458" s="10" t="s">
        <v>1113</v>
      </c>
      <c r="AK458" s="39" t="str">
        <f>データ!M458</f>
        <v>味方1体を蘇生[HP中]</v>
      </c>
      <c r="AL458" s="10" t="s">
        <v>1024</v>
      </c>
      <c r="AM458" s="40" t="s">
        <v>1325</v>
      </c>
      <c r="AN458" s="39" t="str">
        <f>データ!N458</f>
        <v>-</v>
      </c>
      <c r="AO458" s="10" t="s">
        <v>1113</v>
      </c>
      <c r="AP458" s="39" t="str">
        <f>データ!O458</f>
        <v>　</v>
      </c>
      <c r="AQ458" s="41" t="s">
        <v>1024</v>
      </c>
      <c r="AR458" s="40" t="s">
        <v>1324</v>
      </c>
      <c r="AS458" s="39" t="str">
        <f>データ!P458</f>
        <v>フォートレスオーダー</v>
      </c>
      <c r="AT458" s="10" t="s">
        <v>1113</v>
      </c>
      <c r="AU458" s="39" t="str">
        <f>データ!Q458</f>
        <v>騎士団全体の防御力が小UP(3分間)</v>
      </c>
      <c r="AV458" s="10" t="s">
        <v>1024</v>
      </c>
      <c r="AW458" s="40" t="s">
        <v>1324</v>
      </c>
      <c r="AX458" s="39" t="str">
        <f>データ!R458</f>
        <v>-</v>
      </c>
      <c r="AY458" s="10" t="s">
        <v>1113</v>
      </c>
      <c r="AZ458" s="39" t="str">
        <f>データ!S458</f>
        <v>　</v>
      </c>
      <c r="BA458" s="41" t="s">
        <v>1024</v>
      </c>
      <c r="BB458" s="40" t="s">
        <v>1319</v>
      </c>
      <c r="BC458" s="39" t="str">
        <f>データ!T458</f>
        <v>-</v>
      </c>
      <c r="BD458" s="41" t="s">
        <v>1024</v>
      </c>
      <c r="BE458" s="40" t="s">
        <v>1320</v>
      </c>
      <c r="BF458" s="39" t="str">
        <f>データ!U458</f>
        <v>-</v>
      </c>
      <c r="BG458" s="41" t="s">
        <v>1024</v>
      </c>
      <c r="BH458" s="40" t="s">
        <v>1319</v>
      </c>
      <c r="BI458" s="39" t="str">
        <f>データ!V458</f>
        <v>常設</v>
      </c>
      <c r="BJ458" s="41" t="s">
        <v>1024</v>
      </c>
      <c r="BK458" s="10" t="s">
        <v>1019</v>
      </c>
    </row>
    <row r="459" spans="1:63" x14ac:dyDescent="0.15">
      <c r="A459" s="10" t="s">
        <v>1016</v>
      </c>
      <c r="B459" s="10" t="s">
        <v>1454</v>
      </c>
      <c r="C459" s="38" t="str">
        <f>"./images/thumbnail/"&amp;データ!B459&amp;".jpg"</f>
        <v>./images/thumbnail/1782.jpg</v>
      </c>
      <c r="D459" s="38" t="s">
        <v>1455</v>
      </c>
      <c r="E459" s="38" t="str">
        <f>"./images/thumbnail/"&amp;データ!B459&amp;".jpg"</f>
        <v>./images/thumbnail/1782.jpg</v>
      </c>
      <c r="F459" s="38" t="s">
        <v>1116</v>
      </c>
      <c r="G459" s="38" t="s">
        <v>1319</v>
      </c>
      <c r="H459" s="38" t="str">
        <f>データ!C459</f>
        <v>ラインハルト</v>
      </c>
      <c r="I459" s="38" t="s">
        <v>1024</v>
      </c>
      <c r="J459" s="38" t="s">
        <v>1320</v>
      </c>
      <c r="K459" s="38" t="str">
        <f>データ!D459</f>
        <v>UR</v>
      </c>
      <c r="L459" s="38" t="s">
        <v>1024</v>
      </c>
      <c r="M459" s="38" t="s">
        <v>1321</v>
      </c>
      <c r="N459" s="38">
        <f>データ!E459</f>
        <v>14</v>
      </c>
      <c r="O459" s="38" t="s">
        <v>1024</v>
      </c>
      <c r="P459" s="38" t="s">
        <v>1319</v>
      </c>
      <c r="Q459" s="38" t="str">
        <f>データ!F459</f>
        <v>斬</v>
      </c>
      <c r="R459" s="38" t="s">
        <v>1024</v>
      </c>
      <c r="S459" s="38" t="s">
        <v>1319</v>
      </c>
      <c r="T459" s="39">
        <f>データ!G459</f>
        <v>19503</v>
      </c>
      <c r="U459" s="40" t="s">
        <v>1024</v>
      </c>
      <c r="V459" s="40" t="s">
        <v>1319</v>
      </c>
      <c r="W459" s="39">
        <f>データ!H459</f>
        <v>7606</v>
      </c>
      <c r="X459" s="40" t="s">
        <v>1024</v>
      </c>
      <c r="Y459" s="40" t="s">
        <v>1319</v>
      </c>
      <c r="Z459" s="39">
        <f>データ!I459</f>
        <v>5915</v>
      </c>
      <c r="AA459" s="40" t="s">
        <v>1024</v>
      </c>
      <c r="AB459" s="40" t="s">
        <v>1322</v>
      </c>
      <c r="AC459" s="39" t="str">
        <f>データ!J459</f>
        <v>S</v>
      </c>
      <c r="AD459" s="38" t="s">
        <v>1024</v>
      </c>
      <c r="AE459" s="40" t="s">
        <v>1323</v>
      </c>
      <c r="AF459" s="39">
        <f>データ!K459</f>
        <v>33024</v>
      </c>
      <c r="AG459" s="40" t="s">
        <v>1024</v>
      </c>
      <c r="AH459" s="40" t="s">
        <v>1324</v>
      </c>
      <c r="AI459" s="39" t="str">
        <f>データ!L459</f>
        <v>騎士の中の騎士</v>
      </c>
      <c r="AJ459" s="10" t="s">
        <v>1113</v>
      </c>
      <c r="AK459" s="39" t="str">
        <f>データ!M459</f>
        <v>横一列攻撃[特大]自分の攻撃力UP[特大]</v>
      </c>
      <c r="AL459" s="10" t="s">
        <v>1024</v>
      </c>
      <c r="AM459" s="40" t="s">
        <v>1325</v>
      </c>
      <c r="AN459" s="39" t="str">
        <f>データ!N459</f>
        <v>-</v>
      </c>
      <c r="AO459" s="10" t="s">
        <v>1113</v>
      </c>
      <c r="AP459" s="39" t="str">
        <f>データ!O459</f>
        <v>　</v>
      </c>
      <c r="AQ459" s="41" t="s">
        <v>1024</v>
      </c>
      <c r="AR459" s="40" t="s">
        <v>1324</v>
      </c>
      <c r="AS459" s="39" t="str">
        <f>データ!P459</f>
        <v>ランページ／絶</v>
      </c>
      <c r="AT459" s="10" t="s">
        <v>1113</v>
      </c>
      <c r="AU459" s="39" t="str">
        <f>データ!Q459</f>
        <v>バトルで獲得する騎士団戦スコアが大アップ(3分間)</v>
      </c>
      <c r="AV459" s="10" t="s">
        <v>1024</v>
      </c>
      <c r="AW459" s="40" t="s">
        <v>1324</v>
      </c>
      <c r="AX459" s="39" t="str">
        <f>データ!R459</f>
        <v>-</v>
      </c>
      <c r="AY459" s="10" t="s">
        <v>1113</v>
      </c>
      <c r="AZ459" s="39" t="str">
        <f>データ!S459</f>
        <v>　</v>
      </c>
      <c r="BA459" s="41" t="s">
        <v>1024</v>
      </c>
      <c r="BB459" s="40" t="s">
        <v>1319</v>
      </c>
      <c r="BC459" s="39" t="str">
        <f>データ!T459</f>
        <v>-</v>
      </c>
      <c r="BD459" s="41" t="s">
        <v>1024</v>
      </c>
      <c r="BE459" s="40" t="s">
        <v>1320</v>
      </c>
      <c r="BF459" s="39" t="str">
        <f>データ!U459</f>
        <v>-</v>
      </c>
      <c r="BG459" s="41" t="s">
        <v>1024</v>
      </c>
      <c r="BH459" s="40" t="s">
        <v>1319</v>
      </c>
      <c r="BI459" s="39" t="str">
        <f>データ!V459</f>
        <v>Re:ゼロから始める異世界生活コラボ</v>
      </c>
      <c r="BJ459" s="41" t="s">
        <v>1024</v>
      </c>
      <c r="BK459" s="10" t="s">
        <v>1019</v>
      </c>
    </row>
    <row r="460" spans="1:63" x14ac:dyDescent="0.15">
      <c r="A460" s="10" t="s">
        <v>1016</v>
      </c>
      <c r="B460" s="10" t="s">
        <v>1454</v>
      </c>
      <c r="C460" s="38" t="str">
        <f>"./images/thumbnail/"&amp;データ!B460&amp;".jpg"</f>
        <v>./images/thumbnail/1784.jpg</v>
      </c>
      <c r="D460" s="38" t="s">
        <v>1455</v>
      </c>
      <c r="E460" s="38" t="str">
        <f>"./images/thumbnail/"&amp;データ!B460&amp;".jpg"</f>
        <v>./images/thumbnail/1784.jpg</v>
      </c>
      <c r="F460" s="38" t="s">
        <v>1116</v>
      </c>
      <c r="G460" s="38" t="s">
        <v>1319</v>
      </c>
      <c r="H460" s="38" t="str">
        <f>データ!C460</f>
        <v>ラム</v>
      </c>
      <c r="I460" s="38" t="s">
        <v>1024</v>
      </c>
      <c r="J460" s="38" t="s">
        <v>1320</v>
      </c>
      <c r="K460" s="38" t="str">
        <f>データ!D460</f>
        <v>SSR</v>
      </c>
      <c r="L460" s="38" t="s">
        <v>1024</v>
      </c>
      <c r="M460" s="38" t="s">
        <v>1321</v>
      </c>
      <c r="N460" s="38">
        <f>データ!E460</f>
        <v>13</v>
      </c>
      <c r="O460" s="38" t="s">
        <v>1024</v>
      </c>
      <c r="P460" s="38" t="s">
        <v>1319</v>
      </c>
      <c r="Q460" s="38" t="str">
        <f>データ!F460</f>
        <v>突</v>
      </c>
      <c r="R460" s="38" t="s">
        <v>1024</v>
      </c>
      <c r="S460" s="38" t="s">
        <v>1319</v>
      </c>
      <c r="T460" s="39">
        <f>データ!G460</f>
        <v>16437</v>
      </c>
      <c r="U460" s="40" t="s">
        <v>1024</v>
      </c>
      <c r="V460" s="40" t="s">
        <v>1319</v>
      </c>
      <c r="W460" s="39">
        <f>データ!H460</f>
        <v>5176</v>
      </c>
      <c r="X460" s="40" t="s">
        <v>1024</v>
      </c>
      <c r="Y460" s="40" t="s">
        <v>1319</v>
      </c>
      <c r="Z460" s="39">
        <f>データ!I460</f>
        <v>5841</v>
      </c>
      <c r="AA460" s="40" t="s">
        <v>1024</v>
      </c>
      <c r="AB460" s="40" t="s">
        <v>1322</v>
      </c>
      <c r="AC460" s="39" t="str">
        <f>データ!J460</f>
        <v>SS-</v>
      </c>
      <c r="AD460" s="38" t="s">
        <v>1024</v>
      </c>
      <c r="AE460" s="40" t="s">
        <v>1323</v>
      </c>
      <c r="AF460" s="39">
        <f>データ!K460</f>
        <v>27454</v>
      </c>
      <c r="AG460" s="40" t="s">
        <v>1024</v>
      </c>
      <c r="AH460" s="40" t="s">
        <v>1324</v>
      </c>
      <c r="AI460" s="39" t="str">
        <f>データ!L460</f>
        <v>蒼突の聖天</v>
      </c>
      <c r="AJ460" s="10" t="s">
        <v>1113</v>
      </c>
      <c r="AK460" s="39" t="str">
        <f>データ!M460</f>
        <v>味方突属性の攻撃力と防御力をUP[大]</v>
      </c>
      <c r="AL460" s="10" t="s">
        <v>1024</v>
      </c>
      <c r="AM460" s="40" t="s">
        <v>1325</v>
      </c>
      <c r="AN460" s="39" t="str">
        <f>データ!N460</f>
        <v>-</v>
      </c>
      <c r="AO460" s="10" t="s">
        <v>1113</v>
      </c>
      <c r="AP460" s="39" t="str">
        <f>データ!O460</f>
        <v>　</v>
      </c>
      <c r="AQ460" s="41" t="s">
        <v>1024</v>
      </c>
      <c r="AR460" s="40" t="s">
        <v>1324</v>
      </c>
      <c r="AS460" s="39" t="str">
        <f>データ!P460</f>
        <v>アサルト／真</v>
      </c>
      <c r="AT460" s="10" t="s">
        <v>1113</v>
      </c>
      <c r="AU460" s="39" t="str">
        <f>データ!Q460</f>
        <v>パーティ全体の攻撃力が中UP(3分間)</v>
      </c>
      <c r="AV460" s="10" t="s">
        <v>1024</v>
      </c>
      <c r="AW460" s="40" t="s">
        <v>1324</v>
      </c>
      <c r="AX460" s="39" t="str">
        <f>データ!R460</f>
        <v>-</v>
      </c>
      <c r="AY460" s="10" t="s">
        <v>1113</v>
      </c>
      <c r="AZ460" s="39" t="str">
        <f>データ!S460</f>
        <v>　</v>
      </c>
      <c r="BA460" s="41" t="s">
        <v>1024</v>
      </c>
      <c r="BB460" s="40" t="s">
        <v>1319</v>
      </c>
      <c r="BC460" s="39" t="str">
        <f>データ!T460</f>
        <v>-</v>
      </c>
      <c r="BD460" s="41" t="s">
        <v>1024</v>
      </c>
      <c r="BE460" s="40" t="s">
        <v>1320</v>
      </c>
      <c r="BF460" s="39" t="str">
        <f>データ!U460</f>
        <v>-</v>
      </c>
      <c r="BG460" s="41" t="s">
        <v>1024</v>
      </c>
      <c r="BH460" s="40" t="s">
        <v>1319</v>
      </c>
      <c r="BI460" s="39" t="str">
        <f>データ!V460</f>
        <v>Re:ゼロから始める異世界生活コラボ</v>
      </c>
      <c r="BJ460" s="41" t="s">
        <v>1024</v>
      </c>
      <c r="BK460" s="10" t="s">
        <v>1019</v>
      </c>
    </row>
    <row r="461" spans="1:63" x14ac:dyDescent="0.15">
      <c r="A461" s="10" t="s">
        <v>1016</v>
      </c>
      <c r="B461" s="10" t="s">
        <v>1454</v>
      </c>
      <c r="C461" s="38" t="str">
        <f>"./images/thumbnail/"&amp;データ!B461&amp;".jpg"</f>
        <v>./images/thumbnail/1785.jpg</v>
      </c>
      <c r="D461" s="38" t="s">
        <v>1455</v>
      </c>
      <c r="E461" s="38" t="str">
        <f>"./images/thumbnail/"&amp;データ!B461&amp;".jpg"</f>
        <v>./images/thumbnail/1785.jpg</v>
      </c>
      <c r="F461" s="38" t="s">
        <v>1116</v>
      </c>
      <c r="G461" s="38" t="s">
        <v>1319</v>
      </c>
      <c r="H461" s="38" t="str">
        <f>データ!C461</f>
        <v>ラム</v>
      </c>
      <c r="I461" s="38" t="s">
        <v>1024</v>
      </c>
      <c r="J461" s="38" t="s">
        <v>1320</v>
      </c>
      <c r="K461" s="38" t="str">
        <f>データ!D461</f>
        <v>UR</v>
      </c>
      <c r="L461" s="38" t="s">
        <v>1024</v>
      </c>
      <c r="M461" s="38" t="s">
        <v>1321</v>
      </c>
      <c r="N461" s="38">
        <f>データ!E461</f>
        <v>14</v>
      </c>
      <c r="O461" s="38" t="s">
        <v>1024</v>
      </c>
      <c r="P461" s="38" t="s">
        <v>1319</v>
      </c>
      <c r="Q461" s="38" t="str">
        <f>データ!F461</f>
        <v>突</v>
      </c>
      <c r="R461" s="38" t="s">
        <v>1024</v>
      </c>
      <c r="S461" s="38" t="s">
        <v>1319</v>
      </c>
      <c r="T461" s="39">
        <f>データ!G461</f>
        <v>21776</v>
      </c>
      <c r="U461" s="40" t="s">
        <v>1024</v>
      </c>
      <c r="V461" s="40" t="s">
        <v>1319</v>
      </c>
      <c r="W461" s="39">
        <f>データ!H461</f>
        <v>6483</v>
      </c>
      <c r="X461" s="40" t="s">
        <v>1024</v>
      </c>
      <c r="Y461" s="40" t="s">
        <v>1319</v>
      </c>
      <c r="Z461" s="39">
        <f>データ!I461</f>
        <v>6100</v>
      </c>
      <c r="AA461" s="40" t="s">
        <v>1024</v>
      </c>
      <c r="AB461" s="40" t="s">
        <v>1322</v>
      </c>
      <c r="AC461" s="39" t="str">
        <f>データ!J461</f>
        <v>SS+</v>
      </c>
      <c r="AD461" s="38" t="s">
        <v>1024</v>
      </c>
      <c r="AE461" s="40" t="s">
        <v>1323</v>
      </c>
      <c r="AF461" s="39">
        <f>データ!K461</f>
        <v>34359</v>
      </c>
      <c r="AG461" s="40" t="s">
        <v>1024</v>
      </c>
      <c r="AH461" s="40" t="s">
        <v>1324</v>
      </c>
      <c r="AI461" s="39" t="str">
        <f>データ!L461</f>
        <v>アル・フーラ！</v>
      </c>
      <c r="AJ461" s="10" t="s">
        <v>1113</v>
      </c>
      <c r="AK461" s="39" t="str">
        <f>データ!M461</f>
        <v>ランダム6連続攻撃[小]自分の攻撃力UP[小]</v>
      </c>
      <c r="AL461" s="10" t="s">
        <v>1024</v>
      </c>
      <c r="AM461" s="40" t="s">
        <v>1325</v>
      </c>
      <c r="AN461" s="39" t="str">
        <f>データ!N461</f>
        <v>-</v>
      </c>
      <c r="AO461" s="10" t="s">
        <v>1113</v>
      </c>
      <c r="AP461" s="39" t="str">
        <f>データ!O461</f>
        <v>　</v>
      </c>
      <c r="AQ461" s="41" t="s">
        <v>1024</v>
      </c>
      <c r="AR461" s="40" t="s">
        <v>1324</v>
      </c>
      <c r="AS461" s="39" t="str">
        <f>データ!P461</f>
        <v>メナス／真</v>
      </c>
      <c r="AT461" s="10" t="s">
        <v>1113</v>
      </c>
      <c r="AU461" s="39" t="str">
        <f>データ!Q461</f>
        <v>対戦騎士団全体の防御力が中DOWN(3分間)</v>
      </c>
      <c r="AV461" s="10" t="s">
        <v>1024</v>
      </c>
      <c r="AW461" s="40" t="s">
        <v>1324</v>
      </c>
      <c r="AX461" s="39" t="str">
        <f>データ!R461</f>
        <v>-</v>
      </c>
      <c r="AY461" s="10" t="s">
        <v>1113</v>
      </c>
      <c r="AZ461" s="39" t="str">
        <f>データ!S461</f>
        <v>　</v>
      </c>
      <c r="BA461" s="41" t="s">
        <v>1024</v>
      </c>
      <c r="BB461" s="40" t="s">
        <v>1319</v>
      </c>
      <c r="BC461" s="39" t="str">
        <f>データ!T461</f>
        <v>-</v>
      </c>
      <c r="BD461" s="41" t="s">
        <v>1024</v>
      </c>
      <c r="BE461" s="40" t="s">
        <v>1320</v>
      </c>
      <c r="BF461" s="39" t="str">
        <f>データ!U461</f>
        <v>-</v>
      </c>
      <c r="BG461" s="41" t="s">
        <v>1024</v>
      </c>
      <c r="BH461" s="40" t="s">
        <v>1319</v>
      </c>
      <c r="BI461" s="39" t="str">
        <f>データ!V461</f>
        <v>Re:ゼロから始める異世界生活コラボ</v>
      </c>
      <c r="BJ461" s="41" t="s">
        <v>1024</v>
      </c>
      <c r="BK461" s="10" t="s">
        <v>1019</v>
      </c>
    </row>
    <row r="462" spans="1:63" x14ac:dyDescent="0.15">
      <c r="A462" s="10" t="s">
        <v>1016</v>
      </c>
      <c r="B462" s="10" t="s">
        <v>1454</v>
      </c>
      <c r="C462" s="38" t="str">
        <f>"./images/thumbnail/"&amp;データ!B462&amp;".jpg"</f>
        <v>./images/thumbnail/1787.jpg</v>
      </c>
      <c r="D462" s="38" t="s">
        <v>1455</v>
      </c>
      <c r="E462" s="38" t="str">
        <f>"./images/thumbnail/"&amp;データ!B462&amp;".jpg"</f>
        <v>./images/thumbnail/1787.jpg</v>
      </c>
      <c r="F462" s="38" t="s">
        <v>1116</v>
      </c>
      <c r="G462" s="38" t="s">
        <v>1319</v>
      </c>
      <c r="H462" s="38" t="str">
        <f>データ!C462</f>
        <v>レム</v>
      </c>
      <c r="I462" s="38" t="s">
        <v>1024</v>
      </c>
      <c r="J462" s="38" t="s">
        <v>1320</v>
      </c>
      <c r="K462" s="38" t="str">
        <f>データ!D462</f>
        <v>SSR</v>
      </c>
      <c r="L462" s="38" t="s">
        <v>1024</v>
      </c>
      <c r="M462" s="38" t="s">
        <v>1321</v>
      </c>
      <c r="N462" s="38">
        <f>データ!E462</f>
        <v>13</v>
      </c>
      <c r="O462" s="38" t="s">
        <v>1024</v>
      </c>
      <c r="P462" s="38" t="s">
        <v>1319</v>
      </c>
      <c r="Q462" s="38" t="str">
        <f>データ!F462</f>
        <v>打</v>
      </c>
      <c r="R462" s="38" t="s">
        <v>1024</v>
      </c>
      <c r="S462" s="38" t="s">
        <v>1319</v>
      </c>
      <c r="T462" s="39">
        <f>データ!G462</f>
        <v>17225</v>
      </c>
      <c r="U462" s="40" t="s">
        <v>1024</v>
      </c>
      <c r="V462" s="40" t="s">
        <v>1319</v>
      </c>
      <c r="W462" s="39">
        <f>データ!H462</f>
        <v>6197</v>
      </c>
      <c r="X462" s="40" t="s">
        <v>1024</v>
      </c>
      <c r="Y462" s="40" t="s">
        <v>1319</v>
      </c>
      <c r="Z462" s="39">
        <f>データ!I462</f>
        <v>7065</v>
      </c>
      <c r="AA462" s="40" t="s">
        <v>1024</v>
      </c>
      <c r="AB462" s="40" t="s">
        <v>1322</v>
      </c>
      <c r="AC462" s="39" t="str">
        <f>データ!J462</f>
        <v>A-</v>
      </c>
      <c r="AD462" s="38" t="s">
        <v>1024</v>
      </c>
      <c r="AE462" s="40" t="s">
        <v>1323</v>
      </c>
      <c r="AF462" s="39">
        <f>データ!K462</f>
        <v>30487</v>
      </c>
      <c r="AG462" s="40" t="s">
        <v>1024</v>
      </c>
      <c r="AH462" s="40" t="s">
        <v>1324</v>
      </c>
      <c r="AI462" s="39" t="str">
        <f>データ!L462</f>
        <v>癒やしの光／絶</v>
      </c>
      <c r="AJ462" s="10" t="s">
        <v>1113</v>
      </c>
      <c r="AK462" s="39" t="str">
        <f>データ!M462</f>
        <v>最もダメージが多い味方1人のHP回復[大]</v>
      </c>
      <c r="AL462" s="10" t="s">
        <v>1024</v>
      </c>
      <c r="AM462" s="40" t="s">
        <v>1325</v>
      </c>
      <c r="AN462" s="39" t="str">
        <f>データ!N462</f>
        <v>-</v>
      </c>
      <c r="AO462" s="10" t="s">
        <v>1113</v>
      </c>
      <c r="AP462" s="39" t="str">
        <f>データ!O462</f>
        <v>　</v>
      </c>
      <c r="AQ462" s="41" t="s">
        <v>1024</v>
      </c>
      <c r="AR462" s="40" t="s">
        <v>1324</v>
      </c>
      <c r="AS462" s="39" t="str">
        <f>データ!P462</f>
        <v>ポイントライズ／真</v>
      </c>
      <c r="AT462" s="10" t="s">
        <v>1113</v>
      </c>
      <c r="AU462" s="39" t="str">
        <f>データ!Q462</f>
        <v>獲得する騎士団戦スコアが中アップ(バトル3回)</v>
      </c>
      <c r="AV462" s="10" t="s">
        <v>1024</v>
      </c>
      <c r="AW462" s="40" t="s">
        <v>1324</v>
      </c>
      <c r="AX462" s="39" t="str">
        <f>データ!R462</f>
        <v>-</v>
      </c>
      <c r="AY462" s="10" t="s">
        <v>1113</v>
      </c>
      <c r="AZ462" s="39" t="str">
        <f>データ!S462</f>
        <v>　</v>
      </c>
      <c r="BA462" s="41" t="s">
        <v>1024</v>
      </c>
      <c r="BB462" s="40" t="s">
        <v>1319</v>
      </c>
      <c r="BC462" s="39" t="str">
        <f>データ!T462</f>
        <v>-</v>
      </c>
      <c r="BD462" s="41" t="s">
        <v>1024</v>
      </c>
      <c r="BE462" s="40" t="s">
        <v>1320</v>
      </c>
      <c r="BF462" s="39" t="str">
        <f>データ!U462</f>
        <v>-</v>
      </c>
      <c r="BG462" s="41" t="s">
        <v>1024</v>
      </c>
      <c r="BH462" s="40" t="s">
        <v>1319</v>
      </c>
      <c r="BI462" s="39" t="str">
        <f>データ!V462</f>
        <v>Re:ゼロから始める異世界生活コラボ</v>
      </c>
      <c r="BJ462" s="41" t="s">
        <v>1024</v>
      </c>
      <c r="BK462" s="10" t="s">
        <v>1019</v>
      </c>
    </row>
    <row r="463" spans="1:63" x14ac:dyDescent="0.15">
      <c r="A463" s="10" t="s">
        <v>1016</v>
      </c>
      <c r="B463" s="10" t="s">
        <v>1454</v>
      </c>
      <c r="C463" s="38" t="str">
        <f>"./images/thumbnail/"&amp;データ!B463&amp;".jpg"</f>
        <v>./images/thumbnail/1788.jpg</v>
      </c>
      <c r="D463" s="38" t="s">
        <v>1455</v>
      </c>
      <c r="E463" s="38" t="str">
        <f>"./images/thumbnail/"&amp;データ!B463&amp;".jpg"</f>
        <v>./images/thumbnail/1788.jpg</v>
      </c>
      <c r="F463" s="38" t="s">
        <v>1116</v>
      </c>
      <c r="G463" s="38" t="s">
        <v>1319</v>
      </c>
      <c r="H463" s="38" t="str">
        <f>データ!C463</f>
        <v>レム</v>
      </c>
      <c r="I463" s="38" t="s">
        <v>1024</v>
      </c>
      <c r="J463" s="38" t="s">
        <v>1320</v>
      </c>
      <c r="K463" s="38" t="str">
        <f>データ!D463</f>
        <v>UR</v>
      </c>
      <c r="L463" s="38" t="s">
        <v>1024</v>
      </c>
      <c r="M463" s="38" t="s">
        <v>1321</v>
      </c>
      <c r="N463" s="38">
        <f>データ!E463</f>
        <v>14</v>
      </c>
      <c r="O463" s="38" t="s">
        <v>1024</v>
      </c>
      <c r="P463" s="38" t="s">
        <v>1319</v>
      </c>
      <c r="Q463" s="38" t="str">
        <f>データ!F463</f>
        <v>打</v>
      </c>
      <c r="R463" s="38" t="s">
        <v>1024</v>
      </c>
      <c r="S463" s="38" t="s">
        <v>1319</v>
      </c>
      <c r="T463" s="39">
        <f>データ!G463</f>
        <v>22036</v>
      </c>
      <c r="U463" s="40" t="s">
        <v>1024</v>
      </c>
      <c r="V463" s="40" t="s">
        <v>1319</v>
      </c>
      <c r="W463" s="39">
        <f>データ!H463</f>
        <v>7234</v>
      </c>
      <c r="X463" s="40" t="s">
        <v>1024</v>
      </c>
      <c r="Y463" s="40" t="s">
        <v>1319</v>
      </c>
      <c r="Z463" s="39">
        <f>データ!I463</f>
        <v>8533</v>
      </c>
      <c r="AA463" s="40" t="s">
        <v>1024</v>
      </c>
      <c r="AB463" s="40" t="s">
        <v>1322</v>
      </c>
      <c r="AC463" s="39" t="str">
        <f>データ!J463</f>
        <v>A+</v>
      </c>
      <c r="AD463" s="38" t="s">
        <v>1024</v>
      </c>
      <c r="AE463" s="40" t="s">
        <v>1323</v>
      </c>
      <c r="AF463" s="39">
        <f>データ!K463</f>
        <v>37803</v>
      </c>
      <c r="AG463" s="40" t="s">
        <v>1024</v>
      </c>
      <c r="AH463" s="40" t="s">
        <v>1324</v>
      </c>
      <c r="AI463" s="39" t="str">
        <f>データ!L463</f>
        <v>アル・ヒューマ！</v>
      </c>
      <c r="AJ463" s="10" t="s">
        <v>1113</v>
      </c>
      <c r="AK463" s="39" t="str">
        <f>データ!M463</f>
        <v>ランダムで2～5連撃。攻撃毎に与ダメ2倍[低確率]</v>
      </c>
      <c r="AL463" s="10" t="s">
        <v>1024</v>
      </c>
      <c r="AM463" s="40" t="s">
        <v>1325</v>
      </c>
      <c r="AN463" s="39" t="str">
        <f>データ!N463</f>
        <v>-</v>
      </c>
      <c r="AO463" s="10" t="s">
        <v>1113</v>
      </c>
      <c r="AP463" s="39" t="str">
        <f>データ!O463</f>
        <v>　</v>
      </c>
      <c r="AQ463" s="41" t="s">
        <v>1024</v>
      </c>
      <c r="AR463" s="40" t="s">
        <v>1324</v>
      </c>
      <c r="AS463" s="39" t="str">
        <f>データ!P463</f>
        <v>キャッスルウィークネス／真</v>
      </c>
      <c r="AT463" s="10" t="s">
        <v>1113</v>
      </c>
      <c r="AU463" s="39" t="str">
        <f>データ!Q463</f>
        <v>対戦騎士団の城強度Lvが中DOWN(3分間)</v>
      </c>
      <c r="AV463" s="10" t="s">
        <v>1024</v>
      </c>
      <c r="AW463" s="40" t="s">
        <v>1324</v>
      </c>
      <c r="AX463" s="39" t="str">
        <f>データ!R463</f>
        <v>-</v>
      </c>
      <c r="AY463" s="10" t="s">
        <v>1113</v>
      </c>
      <c r="AZ463" s="39" t="str">
        <f>データ!S463</f>
        <v>　</v>
      </c>
      <c r="BA463" s="41" t="s">
        <v>1024</v>
      </c>
      <c r="BB463" s="40" t="s">
        <v>1319</v>
      </c>
      <c r="BC463" s="39" t="str">
        <f>データ!T463</f>
        <v>-</v>
      </c>
      <c r="BD463" s="41" t="s">
        <v>1024</v>
      </c>
      <c r="BE463" s="40" t="s">
        <v>1320</v>
      </c>
      <c r="BF463" s="39" t="str">
        <f>データ!U463</f>
        <v>-</v>
      </c>
      <c r="BG463" s="41" t="s">
        <v>1024</v>
      </c>
      <c r="BH463" s="40" t="s">
        <v>1319</v>
      </c>
      <c r="BI463" s="39" t="str">
        <f>データ!V463</f>
        <v>Re:ゼロから始める異世界生活コラボ</v>
      </c>
      <c r="BJ463" s="41" t="s">
        <v>1024</v>
      </c>
      <c r="BK463" s="10" t="s">
        <v>1019</v>
      </c>
    </row>
    <row r="464" spans="1:63" x14ac:dyDescent="0.15">
      <c r="A464" s="10" t="s">
        <v>1016</v>
      </c>
      <c r="B464" s="10" t="s">
        <v>1454</v>
      </c>
      <c r="C464" s="38" t="str">
        <f>"./images/thumbnail/"&amp;データ!B464&amp;".jpg"</f>
        <v>./images/thumbnail/1790.jpg</v>
      </c>
      <c r="D464" s="38" t="s">
        <v>1455</v>
      </c>
      <c r="E464" s="38" t="str">
        <f>"./images/thumbnail/"&amp;データ!B464&amp;".jpg"</f>
        <v>./images/thumbnail/1790.jpg</v>
      </c>
      <c r="F464" s="38" t="s">
        <v>1116</v>
      </c>
      <c r="G464" s="38" t="s">
        <v>1319</v>
      </c>
      <c r="H464" s="38" t="str">
        <f>データ!C464</f>
        <v>ペテルギウス</v>
      </c>
      <c r="I464" s="38" t="s">
        <v>1024</v>
      </c>
      <c r="J464" s="38" t="s">
        <v>1320</v>
      </c>
      <c r="K464" s="38" t="str">
        <f>データ!D464</f>
        <v>UR</v>
      </c>
      <c r="L464" s="38" t="s">
        <v>1024</v>
      </c>
      <c r="M464" s="38" t="s">
        <v>1321</v>
      </c>
      <c r="N464" s="38">
        <f>データ!E464</f>
        <v>14</v>
      </c>
      <c r="O464" s="38" t="s">
        <v>1024</v>
      </c>
      <c r="P464" s="38" t="s">
        <v>1319</v>
      </c>
      <c r="Q464" s="38" t="str">
        <f>データ!F464</f>
        <v>打</v>
      </c>
      <c r="R464" s="38" t="s">
        <v>1024</v>
      </c>
      <c r="S464" s="38" t="s">
        <v>1319</v>
      </c>
      <c r="T464" s="39">
        <f>データ!G464</f>
        <v>22532</v>
      </c>
      <c r="U464" s="40" t="s">
        <v>1024</v>
      </c>
      <c r="V464" s="40" t="s">
        <v>1319</v>
      </c>
      <c r="W464" s="39">
        <f>データ!H464</f>
        <v>6285</v>
      </c>
      <c r="X464" s="40" t="s">
        <v>1024</v>
      </c>
      <c r="Y464" s="40" t="s">
        <v>1319</v>
      </c>
      <c r="Z464" s="39">
        <f>データ!I464</f>
        <v>8686</v>
      </c>
      <c r="AA464" s="40" t="s">
        <v>1024</v>
      </c>
      <c r="AB464" s="40" t="s">
        <v>1322</v>
      </c>
      <c r="AC464" s="39" t="str">
        <f>データ!J464</f>
        <v>S+</v>
      </c>
      <c r="AD464" s="38" t="s">
        <v>1024</v>
      </c>
      <c r="AE464" s="40" t="s">
        <v>1323</v>
      </c>
      <c r="AF464" s="39">
        <f>データ!K464</f>
        <v>37503</v>
      </c>
      <c r="AG464" s="40" t="s">
        <v>1024</v>
      </c>
      <c r="AH464" s="40" t="s">
        <v>1324</v>
      </c>
      <c r="AI464" s="39" t="str">
        <f>データ!L464</f>
        <v>見えざる手、デス</v>
      </c>
      <c r="AJ464" s="10" t="s">
        <v>1113</v>
      </c>
      <c r="AK464" s="39" t="str">
        <f>データ!M464</f>
        <v>単体攻撃(宝箱優先／追加ダメージ)[特大]</v>
      </c>
      <c r="AL464" s="10" t="s">
        <v>1024</v>
      </c>
      <c r="AM464" s="40" t="s">
        <v>1325</v>
      </c>
      <c r="AN464" s="39" t="str">
        <f>データ!N464</f>
        <v>-</v>
      </c>
      <c r="AO464" s="10" t="s">
        <v>1113</v>
      </c>
      <c r="AP464" s="39" t="str">
        <f>データ!O464</f>
        <v>　</v>
      </c>
      <c r="AQ464" s="41" t="s">
        <v>1024</v>
      </c>
      <c r="AR464" s="40" t="s">
        <v>1324</v>
      </c>
      <c r="AS464" s="39" t="str">
        <f>データ!P464</f>
        <v>カーズ／真</v>
      </c>
      <c r="AT464" s="10" t="s">
        <v>1113</v>
      </c>
      <c r="AU464" s="39" t="str">
        <f>データ!Q464</f>
        <v>対戦騎士団全体のスキル発動率が中DOWN(3分間)</v>
      </c>
      <c r="AV464" s="10" t="s">
        <v>1024</v>
      </c>
      <c r="AW464" s="40" t="s">
        <v>1324</v>
      </c>
      <c r="AX464" s="39" t="str">
        <f>データ!R464</f>
        <v>-</v>
      </c>
      <c r="AY464" s="10" t="s">
        <v>1113</v>
      </c>
      <c r="AZ464" s="39" t="str">
        <f>データ!S464</f>
        <v>　</v>
      </c>
      <c r="BA464" s="41" t="s">
        <v>1024</v>
      </c>
      <c r="BB464" s="40" t="s">
        <v>1319</v>
      </c>
      <c r="BC464" s="39" t="str">
        <f>データ!T464</f>
        <v>-</v>
      </c>
      <c r="BD464" s="41" t="s">
        <v>1024</v>
      </c>
      <c r="BE464" s="40" t="s">
        <v>1320</v>
      </c>
      <c r="BF464" s="39" t="str">
        <f>データ!U464</f>
        <v>-</v>
      </c>
      <c r="BG464" s="41" t="s">
        <v>1024</v>
      </c>
      <c r="BH464" s="40" t="s">
        <v>1319</v>
      </c>
      <c r="BI464" s="39" t="str">
        <f>データ!V464</f>
        <v>Re:ゼロから始める異世界生活コラボ</v>
      </c>
      <c r="BJ464" s="41" t="s">
        <v>1024</v>
      </c>
      <c r="BK464" s="10" t="s">
        <v>1019</v>
      </c>
    </row>
    <row r="465" spans="1:63" x14ac:dyDescent="0.15">
      <c r="A465" s="10" t="s">
        <v>1016</v>
      </c>
      <c r="B465" s="10" t="s">
        <v>1454</v>
      </c>
      <c r="C465" s="38" t="str">
        <f>"./images/thumbnail/"&amp;データ!B465&amp;".jpg"</f>
        <v>./images/thumbnail/1792.jpg</v>
      </c>
      <c r="D465" s="38" t="s">
        <v>1455</v>
      </c>
      <c r="E465" s="38" t="str">
        <f>"./images/thumbnail/"&amp;データ!B465&amp;".jpg"</f>
        <v>./images/thumbnail/1792.jpg</v>
      </c>
      <c r="F465" s="38" t="s">
        <v>1116</v>
      </c>
      <c r="G465" s="38" t="s">
        <v>1319</v>
      </c>
      <c r="H465" s="38" t="str">
        <f>データ!C465</f>
        <v>エミリア</v>
      </c>
      <c r="I465" s="38" t="s">
        <v>1024</v>
      </c>
      <c r="J465" s="38" t="s">
        <v>1320</v>
      </c>
      <c r="K465" s="38" t="str">
        <f>データ!D465</f>
        <v>SSR</v>
      </c>
      <c r="L465" s="38" t="s">
        <v>1024</v>
      </c>
      <c r="M465" s="38" t="s">
        <v>1321</v>
      </c>
      <c r="N465" s="38">
        <f>データ!E465</f>
        <v>13</v>
      </c>
      <c r="O465" s="38" t="s">
        <v>1024</v>
      </c>
      <c r="P465" s="38" t="s">
        <v>1319</v>
      </c>
      <c r="Q465" s="38" t="str">
        <f>データ!F465</f>
        <v>遠</v>
      </c>
      <c r="R465" s="38" t="s">
        <v>1024</v>
      </c>
      <c r="S465" s="38" t="s">
        <v>1319</v>
      </c>
      <c r="T465" s="39">
        <f>データ!G465</f>
        <v>18087</v>
      </c>
      <c r="U465" s="40" t="s">
        <v>1024</v>
      </c>
      <c r="V465" s="40" t="s">
        <v>1319</v>
      </c>
      <c r="W465" s="39">
        <f>データ!H465</f>
        <v>6309</v>
      </c>
      <c r="X465" s="40" t="s">
        <v>1024</v>
      </c>
      <c r="Y465" s="40" t="s">
        <v>1319</v>
      </c>
      <c r="Z465" s="39">
        <f>データ!I465</f>
        <v>4728</v>
      </c>
      <c r="AA465" s="40" t="s">
        <v>1024</v>
      </c>
      <c r="AB465" s="40" t="s">
        <v>1322</v>
      </c>
      <c r="AC465" s="39" t="str">
        <f>データ!J465</f>
        <v>S-</v>
      </c>
      <c r="AD465" s="38" t="s">
        <v>1024</v>
      </c>
      <c r="AE465" s="40" t="s">
        <v>1323</v>
      </c>
      <c r="AF465" s="39">
        <f>データ!K465</f>
        <v>29124</v>
      </c>
      <c r="AG465" s="40" t="s">
        <v>1024</v>
      </c>
      <c r="AH465" s="40" t="s">
        <v>1324</v>
      </c>
      <c r="AI465" s="39" t="str">
        <f>データ!L465</f>
        <v>破界の包囲陣／絶</v>
      </c>
      <c r="AJ465" s="10" t="s">
        <v>1113</v>
      </c>
      <c r="AK465" s="39" t="str">
        <f>データ!M465</f>
        <v>敵全体に固定ダメージ[大]</v>
      </c>
      <c r="AL465" s="10" t="s">
        <v>1024</v>
      </c>
      <c r="AM465" s="40" t="s">
        <v>1325</v>
      </c>
      <c r="AN465" s="39" t="str">
        <f>データ!N465</f>
        <v>-</v>
      </c>
      <c r="AO465" s="10" t="s">
        <v>1113</v>
      </c>
      <c r="AP465" s="39" t="str">
        <f>データ!O465</f>
        <v>　</v>
      </c>
      <c r="AQ465" s="41" t="s">
        <v>1024</v>
      </c>
      <c r="AR465" s="40" t="s">
        <v>1324</v>
      </c>
      <c r="AS465" s="39" t="str">
        <f>データ!P465</f>
        <v>フォースオブウィッシュ／真</v>
      </c>
      <c r="AT465" s="10" t="s">
        <v>1113</v>
      </c>
      <c r="AU465" s="39" t="str">
        <f>データ!Q465</f>
        <v>騎士団全員のBPを中回復</v>
      </c>
      <c r="AV465" s="10" t="s">
        <v>1024</v>
      </c>
      <c r="AW465" s="40" t="s">
        <v>1324</v>
      </c>
      <c r="AX465" s="39" t="str">
        <f>データ!R465</f>
        <v>-</v>
      </c>
      <c r="AY465" s="10" t="s">
        <v>1113</v>
      </c>
      <c r="AZ465" s="39" t="str">
        <f>データ!S465</f>
        <v>　</v>
      </c>
      <c r="BA465" s="41" t="s">
        <v>1024</v>
      </c>
      <c r="BB465" s="40" t="s">
        <v>1319</v>
      </c>
      <c r="BC465" s="39" t="str">
        <f>データ!T465</f>
        <v>-</v>
      </c>
      <c r="BD465" s="41" t="s">
        <v>1024</v>
      </c>
      <c r="BE465" s="40" t="s">
        <v>1320</v>
      </c>
      <c r="BF465" s="39" t="str">
        <f>データ!U465</f>
        <v>-</v>
      </c>
      <c r="BG465" s="41" t="s">
        <v>1024</v>
      </c>
      <c r="BH465" s="40" t="s">
        <v>1319</v>
      </c>
      <c r="BI465" s="39" t="str">
        <f>データ!V465</f>
        <v>Re:ゼロから始める異世界生活コラボ</v>
      </c>
      <c r="BJ465" s="41" t="s">
        <v>1024</v>
      </c>
      <c r="BK465" s="10" t="s">
        <v>1019</v>
      </c>
    </row>
    <row r="466" spans="1:63" x14ac:dyDescent="0.15">
      <c r="A466" s="10" t="s">
        <v>1016</v>
      </c>
      <c r="B466" s="10" t="s">
        <v>1454</v>
      </c>
      <c r="C466" s="38" t="str">
        <f>"./images/thumbnail/"&amp;データ!B466&amp;".jpg"</f>
        <v>./images/thumbnail/1793.jpg</v>
      </c>
      <c r="D466" s="38" t="s">
        <v>1455</v>
      </c>
      <c r="E466" s="38" t="str">
        <f>"./images/thumbnail/"&amp;データ!B466&amp;".jpg"</f>
        <v>./images/thumbnail/1793.jpg</v>
      </c>
      <c r="F466" s="38" t="s">
        <v>1116</v>
      </c>
      <c r="G466" s="38" t="s">
        <v>1319</v>
      </c>
      <c r="H466" s="38" t="str">
        <f>データ!C466</f>
        <v>エミリア</v>
      </c>
      <c r="I466" s="38" t="s">
        <v>1024</v>
      </c>
      <c r="J466" s="38" t="s">
        <v>1320</v>
      </c>
      <c r="K466" s="38" t="str">
        <f>データ!D466</f>
        <v>UR</v>
      </c>
      <c r="L466" s="38" t="s">
        <v>1024</v>
      </c>
      <c r="M466" s="38" t="s">
        <v>1321</v>
      </c>
      <c r="N466" s="38">
        <f>データ!E466</f>
        <v>14</v>
      </c>
      <c r="O466" s="38" t="s">
        <v>1024</v>
      </c>
      <c r="P466" s="38" t="s">
        <v>1319</v>
      </c>
      <c r="Q466" s="38" t="str">
        <f>データ!F466</f>
        <v>遠</v>
      </c>
      <c r="R466" s="38" t="s">
        <v>1024</v>
      </c>
      <c r="S466" s="38" t="s">
        <v>1319</v>
      </c>
      <c r="T466" s="39">
        <f>データ!G466</f>
        <v>18940</v>
      </c>
      <c r="U466" s="40" t="s">
        <v>1024</v>
      </c>
      <c r="V466" s="40" t="s">
        <v>1319</v>
      </c>
      <c r="W466" s="39">
        <f>データ!H466</f>
        <v>6611</v>
      </c>
      <c r="X466" s="40" t="s">
        <v>1024</v>
      </c>
      <c r="Y466" s="40" t="s">
        <v>1319</v>
      </c>
      <c r="Z466" s="39">
        <f>データ!I466</f>
        <v>5857</v>
      </c>
      <c r="AA466" s="40" t="s">
        <v>1024</v>
      </c>
      <c r="AB466" s="40" t="s">
        <v>1322</v>
      </c>
      <c r="AC466" s="39" t="str">
        <f>データ!J466</f>
        <v>S+</v>
      </c>
      <c r="AD466" s="38" t="s">
        <v>1024</v>
      </c>
      <c r="AE466" s="40" t="s">
        <v>1323</v>
      </c>
      <c r="AF466" s="39">
        <f>データ!K466</f>
        <v>31408</v>
      </c>
      <c r="AG466" s="40" t="s">
        <v>1024</v>
      </c>
      <c r="AH466" s="40" t="s">
        <v>1324</v>
      </c>
      <c r="AI466" s="39" t="str">
        <f>データ!L466</f>
        <v>下がりなさい悪党</v>
      </c>
      <c r="AJ466" s="10" t="s">
        <v>1113</v>
      </c>
      <c r="AK466" s="39" t="str">
        <f>データ!M466</f>
        <v>味方全体の攻撃力と防御力をUP[大]</v>
      </c>
      <c r="AL466" s="38" t="s">
        <v>1024</v>
      </c>
      <c r="AM466" s="40" t="s">
        <v>1325</v>
      </c>
      <c r="AN466" s="39" t="str">
        <f>データ!N466</f>
        <v>-</v>
      </c>
      <c r="AO466" s="10" t="s">
        <v>1113</v>
      </c>
      <c r="AP466" s="39" t="str">
        <f>データ!O466</f>
        <v>　</v>
      </c>
      <c r="AQ466" s="41" t="s">
        <v>1024</v>
      </c>
      <c r="AR466" s="40" t="s">
        <v>1324</v>
      </c>
      <c r="AS466" s="39" t="str">
        <f>データ!P466</f>
        <v>キャッスルヴェール／真</v>
      </c>
      <c r="AT466" s="10" t="s">
        <v>1113</v>
      </c>
      <c r="AU466" s="39" t="str">
        <f>データ!Q466</f>
        <v>城の強度Lvが中UP(3分間)</v>
      </c>
      <c r="AV466" s="10" t="s">
        <v>1024</v>
      </c>
      <c r="AW466" s="40" t="s">
        <v>1324</v>
      </c>
      <c r="AX466" s="39" t="str">
        <f>データ!R466</f>
        <v>-</v>
      </c>
      <c r="AY466" s="10" t="s">
        <v>1113</v>
      </c>
      <c r="AZ466" s="39" t="str">
        <f>データ!S466</f>
        <v>　</v>
      </c>
      <c r="BA466" s="41" t="s">
        <v>1024</v>
      </c>
      <c r="BB466" s="40" t="s">
        <v>1319</v>
      </c>
      <c r="BC466" s="39" t="str">
        <f>データ!T466</f>
        <v>-</v>
      </c>
      <c r="BD466" s="41" t="s">
        <v>1024</v>
      </c>
      <c r="BE466" s="40" t="s">
        <v>1320</v>
      </c>
      <c r="BF466" s="39" t="str">
        <f>データ!U466</f>
        <v>-</v>
      </c>
      <c r="BG466" s="41" t="s">
        <v>1024</v>
      </c>
      <c r="BH466" s="40" t="s">
        <v>1319</v>
      </c>
      <c r="BI466" s="39" t="str">
        <f>データ!V466</f>
        <v>Re:ゼロから始める異世界生活コラボ</v>
      </c>
      <c r="BJ466" s="41" t="s">
        <v>1024</v>
      </c>
      <c r="BK466" s="10" t="s">
        <v>1019</v>
      </c>
    </row>
    <row r="467" spans="1:63" x14ac:dyDescent="0.15">
      <c r="A467" s="10" t="s">
        <v>1016</v>
      </c>
      <c r="B467" s="10" t="s">
        <v>1454</v>
      </c>
      <c r="C467" s="38" t="str">
        <f>"./images/thumbnail/"&amp;データ!B467&amp;".jpg"</f>
        <v>./images/thumbnail/1794.jpg</v>
      </c>
      <c r="D467" s="38" t="s">
        <v>1455</v>
      </c>
      <c r="E467" s="38" t="str">
        <f>"./images/thumbnail/"&amp;データ!B467&amp;".jpg"</f>
        <v>./images/thumbnail/1794.jpg</v>
      </c>
      <c r="F467" s="38" t="s">
        <v>1116</v>
      </c>
      <c r="G467" s="38" t="s">
        <v>1319</v>
      </c>
      <c r="H467" s="38" t="str">
        <f>データ!C467</f>
        <v>キース</v>
      </c>
      <c r="I467" s="38" t="s">
        <v>1024</v>
      </c>
      <c r="J467" s="38" t="s">
        <v>1320</v>
      </c>
      <c r="K467" s="38" t="str">
        <f>データ!D467</f>
        <v>SSR</v>
      </c>
      <c r="L467" s="38" t="s">
        <v>1024</v>
      </c>
      <c r="M467" s="38" t="s">
        <v>1321</v>
      </c>
      <c r="N467" s="38">
        <f>データ!E467</f>
        <v>13</v>
      </c>
      <c r="O467" s="38" t="s">
        <v>1024</v>
      </c>
      <c r="P467" s="38" t="s">
        <v>1319</v>
      </c>
      <c r="Q467" s="38" t="str">
        <f>データ!F467</f>
        <v>突</v>
      </c>
      <c r="R467" s="38" t="s">
        <v>1024</v>
      </c>
      <c r="S467" s="38" t="s">
        <v>1319</v>
      </c>
      <c r="T467" s="39">
        <f>データ!G467</f>
        <v>17534</v>
      </c>
      <c r="U467" s="40" t="s">
        <v>1024</v>
      </c>
      <c r="V467" s="40" t="s">
        <v>1319</v>
      </c>
      <c r="W467" s="39">
        <f>データ!H467</f>
        <v>5219</v>
      </c>
      <c r="X467" s="40" t="s">
        <v>1024</v>
      </c>
      <c r="Y467" s="40" t="s">
        <v>1319</v>
      </c>
      <c r="Z467" s="39">
        <f>データ!I467</f>
        <v>6127</v>
      </c>
      <c r="AA467" s="40" t="s">
        <v>1024</v>
      </c>
      <c r="AB467" s="40" t="s">
        <v>1322</v>
      </c>
      <c r="AC467" s="39" t="str">
        <f>データ!J467</f>
        <v>SS-</v>
      </c>
      <c r="AD467" s="38" t="s">
        <v>1024</v>
      </c>
      <c r="AE467" s="40" t="s">
        <v>1323</v>
      </c>
      <c r="AF467" s="39">
        <f>データ!K467</f>
        <v>28880</v>
      </c>
      <c r="AG467" s="40" t="s">
        <v>1024</v>
      </c>
      <c r="AH467" s="40" t="s">
        <v>1324</v>
      </c>
      <c r="AI467" s="39" t="str">
        <f>データ!L467</f>
        <v>加護消滅／光芒</v>
      </c>
      <c r="AJ467" s="10" t="s">
        <v>1113</v>
      </c>
      <c r="AK467" s="39" t="str">
        <f>データ!M467</f>
        <v>敵全体の防御力をDOWN[中]</v>
      </c>
      <c r="AL467" s="10" t="s">
        <v>1024</v>
      </c>
      <c r="AM467" s="40" t="s">
        <v>1325</v>
      </c>
      <c r="AN467" s="39" t="str">
        <f>データ!N467</f>
        <v>-</v>
      </c>
      <c r="AO467" s="10" t="s">
        <v>1113</v>
      </c>
      <c r="AP467" s="39" t="str">
        <f>データ!O467</f>
        <v>　</v>
      </c>
      <c r="AQ467" s="41" t="s">
        <v>1024</v>
      </c>
      <c r="AR467" s="40" t="s">
        <v>1324</v>
      </c>
      <c r="AS467" s="39" t="str">
        <f>データ!P467</f>
        <v>フォートレス／真</v>
      </c>
      <c r="AT467" s="10" t="s">
        <v>1113</v>
      </c>
      <c r="AU467" s="39" t="str">
        <f>データ!Q467</f>
        <v>パーティ全体の防御力が中UP(3分間)</v>
      </c>
      <c r="AV467" s="10" t="s">
        <v>1024</v>
      </c>
      <c r="AW467" s="40" t="s">
        <v>1324</v>
      </c>
      <c r="AX467" s="39" t="str">
        <f>データ!R467</f>
        <v>-</v>
      </c>
      <c r="AY467" s="10" t="s">
        <v>1113</v>
      </c>
      <c r="AZ467" s="39" t="str">
        <f>データ!S467</f>
        <v>　</v>
      </c>
      <c r="BA467" s="41" t="s">
        <v>1024</v>
      </c>
      <c r="BB467" s="40" t="s">
        <v>1319</v>
      </c>
      <c r="BC467" s="39" t="str">
        <f>データ!T467</f>
        <v>-</v>
      </c>
      <c r="BD467" s="41" t="s">
        <v>1024</v>
      </c>
      <c r="BE467" s="40" t="s">
        <v>1320</v>
      </c>
      <c r="BF467" s="39" t="str">
        <f>データ!U467</f>
        <v>-</v>
      </c>
      <c r="BG467" s="41" t="s">
        <v>1024</v>
      </c>
      <c r="BH467" s="40" t="s">
        <v>1319</v>
      </c>
      <c r="BI467" s="39" t="str">
        <f>データ!V467</f>
        <v>誓いイベ</v>
      </c>
      <c r="BJ467" s="41" t="s">
        <v>1024</v>
      </c>
      <c r="BK467" s="10" t="s">
        <v>1019</v>
      </c>
    </row>
    <row r="468" spans="1:63" x14ac:dyDescent="0.15">
      <c r="A468" s="10" t="s">
        <v>1016</v>
      </c>
      <c r="B468" s="10" t="s">
        <v>1454</v>
      </c>
      <c r="C468" s="38" t="str">
        <f>"./images/thumbnail/"&amp;データ!B468&amp;".jpg"</f>
        <v>./images/thumbnail/1795.jpg</v>
      </c>
      <c r="D468" s="38" t="s">
        <v>1455</v>
      </c>
      <c r="E468" s="38" t="str">
        <f>"./images/thumbnail/"&amp;データ!B468&amp;".jpg"</f>
        <v>./images/thumbnail/1795.jpg</v>
      </c>
      <c r="F468" s="38" t="s">
        <v>1116</v>
      </c>
      <c r="G468" s="38" t="s">
        <v>1319</v>
      </c>
      <c r="H468" s="38" t="str">
        <f>データ!C468</f>
        <v>ルー</v>
      </c>
      <c r="I468" s="38" t="s">
        <v>1024</v>
      </c>
      <c r="J468" s="38" t="s">
        <v>1320</v>
      </c>
      <c r="K468" s="38" t="str">
        <f>データ!D468</f>
        <v>SSR</v>
      </c>
      <c r="L468" s="38" t="s">
        <v>1024</v>
      </c>
      <c r="M468" s="38" t="s">
        <v>1321</v>
      </c>
      <c r="N468" s="38">
        <f>データ!E468</f>
        <v>13</v>
      </c>
      <c r="O468" s="38" t="s">
        <v>1024</v>
      </c>
      <c r="P468" s="38" t="s">
        <v>1319</v>
      </c>
      <c r="Q468" s="38" t="str">
        <f>データ!F468</f>
        <v>打</v>
      </c>
      <c r="R468" s="38" t="s">
        <v>1024</v>
      </c>
      <c r="S468" s="38" t="s">
        <v>1319</v>
      </c>
      <c r="T468" s="39">
        <f>データ!G468</f>
        <v>21851</v>
      </c>
      <c r="U468" s="40" t="s">
        <v>1024</v>
      </c>
      <c r="V468" s="40" t="s">
        <v>1319</v>
      </c>
      <c r="W468" s="39">
        <f>データ!H468</f>
        <v>5048</v>
      </c>
      <c r="X468" s="40" t="s">
        <v>1024</v>
      </c>
      <c r="Y468" s="40" t="s">
        <v>1319</v>
      </c>
      <c r="Z468" s="39">
        <f>データ!I468</f>
        <v>7537</v>
      </c>
      <c r="AA468" s="40" t="s">
        <v>1024</v>
      </c>
      <c r="AB468" s="40" t="s">
        <v>1322</v>
      </c>
      <c r="AC468" s="39" t="str">
        <f>データ!J468</f>
        <v>A-</v>
      </c>
      <c r="AD468" s="38" t="s">
        <v>1024</v>
      </c>
      <c r="AE468" s="40" t="s">
        <v>1323</v>
      </c>
      <c r="AF468" s="39">
        <f>データ!K468</f>
        <v>34436</v>
      </c>
      <c r="AG468" s="40" t="s">
        <v>1024</v>
      </c>
      <c r="AH468" s="40" t="s">
        <v>1324</v>
      </c>
      <c r="AI468" s="39" t="str">
        <f>データ!L468</f>
        <v>昏睡の言霊／絶</v>
      </c>
      <c r="AJ468" s="10" t="s">
        <v>1113</v>
      </c>
      <c r="AK468" s="39" t="str">
        <f>データ!M468</f>
        <v>一定確率で敵を睡眠状態にする[高確率]</v>
      </c>
      <c r="AL468" s="10" t="s">
        <v>1024</v>
      </c>
      <c r="AM468" s="40" t="s">
        <v>1325</v>
      </c>
      <c r="AN468" s="39" t="str">
        <f>データ!N468</f>
        <v>-</v>
      </c>
      <c r="AO468" s="10" t="s">
        <v>1113</v>
      </c>
      <c r="AP468" s="39" t="str">
        <f>データ!O468</f>
        <v>　</v>
      </c>
      <c r="AQ468" s="41" t="s">
        <v>1024</v>
      </c>
      <c r="AR468" s="40" t="s">
        <v>1324</v>
      </c>
      <c r="AS468" s="39" t="str">
        <f>データ!P468</f>
        <v>アサルト／真</v>
      </c>
      <c r="AT468" s="10" t="s">
        <v>1113</v>
      </c>
      <c r="AU468" s="39" t="str">
        <f>データ!Q468</f>
        <v>パーティ全体の攻撃力が中UP(3分間)</v>
      </c>
      <c r="AV468" s="10" t="s">
        <v>1024</v>
      </c>
      <c r="AW468" s="40" t="s">
        <v>1324</v>
      </c>
      <c r="AX468" s="39" t="str">
        <f>データ!R468</f>
        <v>-</v>
      </c>
      <c r="AY468" s="10" t="s">
        <v>1113</v>
      </c>
      <c r="AZ468" s="39" t="str">
        <f>データ!S468</f>
        <v>　</v>
      </c>
      <c r="BA468" s="41" t="s">
        <v>1024</v>
      </c>
      <c r="BB468" s="40" t="s">
        <v>1319</v>
      </c>
      <c r="BC468" s="39" t="str">
        <f>データ!T468</f>
        <v>-</v>
      </c>
      <c r="BD468" s="41" t="s">
        <v>1024</v>
      </c>
      <c r="BE468" s="40" t="s">
        <v>1320</v>
      </c>
      <c r="BF468" s="39" t="str">
        <f>データ!U468</f>
        <v>-</v>
      </c>
      <c r="BG468" s="41" t="s">
        <v>1024</v>
      </c>
      <c r="BH468" s="40" t="s">
        <v>1319</v>
      </c>
      <c r="BI468" s="39" t="str">
        <f>データ!V468</f>
        <v>誓いイベ</v>
      </c>
      <c r="BJ468" s="41" t="s">
        <v>1024</v>
      </c>
      <c r="BK468" s="10" t="s">
        <v>1019</v>
      </c>
    </row>
    <row r="469" spans="1:63" x14ac:dyDescent="0.15">
      <c r="A469" s="10" t="s">
        <v>1016</v>
      </c>
      <c r="B469" s="10" t="s">
        <v>1454</v>
      </c>
      <c r="C469" s="38" t="str">
        <f>"./images/thumbnail/"&amp;データ!B469&amp;".jpg"</f>
        <v>./images/thumbnail/1797.jpg</v>
      </c>
      <c r="D469" s="38" t="s">
        <v>1455</v>
      </c>
      <c r="E469" s="38" t="str">
        <f>"./images/thumbnail/"&amp;データ!B469&amp;".jpg"</f>
        <v>./images/thumbnail/1797.jpg</v>
      </c>
      <c r="F469" s="38" t="s">
        <v>1116</v>
      </c>
      <c r="G469" s="38" t="s">
        <v>1319</v>
      </c>
      <c r="H469" s="38" t="str">
        <f>データ!C469</f>
        <v>イルメリ</v>
      </c>
      <c r="I469" s="38" t="s">
        <v>1024</v>
      </c>
      <c r="J469" s="38" t="s">
        <v>1320</v>
      </c>
      <c r="K469" s="38" t="str">
        <f>データ!D469</f>
        <v>UR</v>
      </c>
      <c r="L469" s="38" t="s">
        <v>1024</v>
      </c>
      <c r="M469" s="38" t="s">
        <v>1321</v>
      </c>
      <c r="N469" s="38">
        <f>データ!E469</f>
        <v>14</v>
      </c>
      <c r="O469" s="38" t="s">
        <v>1024</v>
      </c>
      <c r="P469" s="38" t="s">
        <v>1319</v>
      </c>
      <c r="Q469" s="38" t="str">
        <f>データ!F469</f>
        <v>斬</v>
      </c>
      <c r="R469" s="38" t="s">
        <v>1024</v>
      </c>
      <c r="S469" s="38" t="s">
        <v>1319</v>
      </c>
      <c r="T469" s="39">
        <f>データ!G469</f>
        <v>17632</v>
      </c>
      <c r="U469" s="40" t="s">
        <v>1024</v>
      </c>
      <c r="V469" s="40" t="s">
        <v>1319</v>
      </c>
      <c r="W469" s="39">
        <f>データ!H469</f>
        <v>8106</v>
      </c>
      <c r="X469" s="40" t="s">
        <v>1024</v>
      </c>
      <c r="Y469" s="40" t="s">
        <v>1319</v>
      </c>
      <c r="Z469" s="39">
        <f>データ!I469</f>
        <v>6206</v>
      </c>
      <c r="AA469" s="40" t="s">
        <v>1024</v>
      </c>
      <c r="AB469" s="40" t="s">
        <v>1322</v>
      </c>
      <c r="AC469" s="39" t="str">
        <f>データ!J469</f>
        <v>S</v>
      </c>
      <c r="AD469" s="38" t="s">
        <v>1024</v>
      </c>
      <c r="AE469" s="40" t="s">
        <v>1323</v>
      </c>
      <c r="AF469" s="39">
        <f>データ!K469</f>
        <v>31944</v>
      </c>
      <c r="AG469" s="40" t="s">
        <v>1024</v>
      </c>
      <c r="AH469" s="40" t="s">
        <v>1324</v>
      </c>
      <c r="AI469" s="39" t="str">
        <f>データ!L469</f>
        <v>地幻氷の縦十字／煌</v>
      </c>
      <c r="AJ469" s="10" t="s">
        <v>1113</v>
      </c>
      <c r="AK469" s="39" t="str">
        <f>データ!M469</f>
        <v>十字型攻撃[特大]自分の防御力UP[特大]</v>
      </c>
      <c r="AL469" s="10" t="s">
        <v>1024</v>
      </c>
      <c r="AM469" s="40" t="s">
        <v>1325</v>
      </c>
      <c r="AN469" s="39" t="str">
        <f>データ!N469</f>
        <v>-</v>
      </c>
      <c r="AO469" s="10" t="s">
        <v>1113</v>
      </c>
      <c r="AP469" s="39" t="str">
        <f>データ!O469</f>
        <v>　</v>
      </c>
      <c r="AQ469" s="41" t="s">
        <v>1024</v>
      </c>
      <c r="AR469" s="40" t="s">
        <v>1324</v>
      </c>
      <c r="AS469" s="39" t="str">
        <f>データ!P469</f>
        <v>エッジノート／絶</v>
      </c>
      <c r="AT469" s="10" t="s">
        <v>1113</v>
      </c>
      <c r="AU469" s="39" t="str">
        <f>データ!Q469</f>
        <v>CB時に獲得ポイント大UP＆BPが大回復(3回)</v>
      </c>
      <c r="AV469" s="10" t="s">
        <v>1024</v>
      </c>
      <c r="AW469" s="40" t="s">
        <v>1324</v>
      </c>
      <c r="AX469" s="39" t="str">
        <f>データ!R469</f>
        <v>-</v>
      </c>
      <c r="AY469" s="10" t="s">
        <v>1113</v>
      </c>
      <c r="AZ469" s="39" t="str">
        <f>データ!S469</f>
        <v>　</v>
      </c>
      <c r="BA469" s="41" t="s">
        <v>1024</v>
      </c>
      <c r="BB469" s="40" t="s">
        <v>1319</v>
      </c>
      <c r="BC469" s="39" t="str">
        <f>データ!T469</f>
        <v>-</v>
      </c>
      <c r="BD469" s="41" t="s">
        <v>1024</v>
      </c>
      <c r="BE469" s="40" t="s">
        <v>1320</v>
      </c>
      <c r="BF469" s="39" t="str">
        <f>データ!U469</f>
        <v>-</v>
      </c>
      <c r="BG469" s="41" t="s">
        <v>1024</v>
      </c>
      <c r="BH469" s="40" t="s">
        <v>1319</v>
      </c>
      <c r="BI469" s="39" t="str">
        <f>データ!V469</f>
        <v>ガチャイベ</v>
      </c>
      <c r="BJ469" s="41" t="s">
        <v>1024</v>
      </c>
      <c r="BK469" s="10" t="s">
        <v>1019</v>
      </c>
    </row>
    <row r="470" spans="1:63" x14ac:dyDescent="0.15">
      <c r="A470" s="10" t="s">
        <v>1016</v>
      </c>
      <c r="B470" s="10" t="s">
        <v>1454</v>
      </c>
      <c r="C470" s="38" t="str">
        <f>"./images/thumbnail/"&amp;データ!B470&amp;".jpg"</f>
        <v>./images/thumbnail/1799.jpg</v>
      </c>
      <c r="D470" s="38" t="s">
        <v>1455</v>
      </c>
      <c r="E470" s="38" t="str">
        <f>"./images/thumbnail/"&amp;データ!B470&amp;".jpg"</f>
        <v>./images/thumbnail/1799.jpg</v>
      </c>
      <c r="F470" s="38" t="s">
        <v>1116</v>
      </c>
      <c r="G470" s="38" t="s">
        <v>1319</v>
      </c>
      <c r="H470" s="38" t="str">
        <f>データ!C470</f>
        <v>シャルロ</v>
      </c>
      <c r="I470" s="38" t="s">
        <v>1024</v>
      </c>
      <c r="J470" s="38" t="s">
        <v>1320</v>
      </c>
      <c r="K470" s="38" t="str">
        <f>データ!D470</f>
        <v>UR</v>
      </c>
      <c r="L470" s="38" t="s">
        <v>1024</v>
      </c>
      <c r="M470" s="38" t="s">
        <v>1321</v>
      </c>
      <c r="N470" s="38">
        <f>データ!E470</f>
        <v>14</v>
      </c>
      <c r="O470" s="38" t="s">
        <v>1024</v>
      </c>
      <c r="P470" s="38" t="s">
        <v>1319</v>
      </c>
      <c r="Q470" s="38" t="str">
        <f>データ!F470</f>
        <v>斬</v>
      </c>
      <c r="R470" s="38" t="s">
        <v>1024</v>
      </c>
      <c r="S470" s="38" t="s">
        <v>1319</v>
      </c>
      <c r="T470" s="39">
        <f>データ!G470</f>
        <v>17581</v>
      </c>
      <c r="U470" s="40" t="s">
        <v>1024</v>
      </c>
      <c r="V470" s="40" t="s">
        <v>1319</v>
      </c>
      <c r="W470" s="39">
        <f>データ!H470</f>
        <v>8082</v>
      </c>
      <c r="X470" s="40" t="s">
        <v>1024</v>
      </c>
      <c r="Y470" s="40" t="s">
        <v>1319</v>
      </c>
      <c r="Z470" s="39">
        <f>データ!I470</f>
        <v>6551</v>
      </c>
      <c r="AA470" s="40" t="s">
        <v>1024</v>
      </c>
      <c r="AB470" s="40" t="s">
        <v>1322</v>
      </c>
      <c r="AC470" s="39" t="str">
        <f>データ!J470</f>
        <v>S</v>
      </c>
      <c r="AD470" s="38" t="s">
        <v>1024</v>
      </c>
      <c r="AE470" s="40" t="s">
        <v>1323</v>
      </c>
      <c r="AF470" s="39">
        <f>データ!K470</f>
        <v>32214</v>
      </c>
      <c r="AG470" s="40" t="s">
        <v>1024</v>
      </c>
      <c r="AH470" s="40" t="s">
        <v>1324</v>
      </c>
      <c r="AI470" s="39" t="str">
        <f>データ!L470</f>
        <v>斬紅の神威</v>
      </c>
      <c r="AJ470" s="10" t="s">
        <v>1113</v>
      </c>
      <c r="AK470" s="39" t="str">
        <f>データ!M470</f>
        <v>味方斬属性の攻撃力をUP[特大]</v>
      </c>
      <c r="AL470" s="10" t="s">
        <v>1024</v>
      </c>
      <c r="AM470" s="40" t="s">
        <v>1325</v>
      </c>
      <c r="AN470" s="39" t="str">
        <f>データ!N470</f>
        <v>-</v>
      </c>
      <c r="AO470" s="10" t="s">
        <v>1113</v>
      </c>
      <c r="AP470" s="39" t="str">
        <f>データ!O470</f>
        <v>　</v>
      </c>
      <c r="AQ470" s="41" t="s">
        <v>1024</v>
      </c>
      <c r="AR470" s="40" t="s">
        <v>1324</v>
      </c>
      <c r="AS470" s="39" t="str">
        <f>データ!P470</f>
        <v>オラクルオーダー／真</v>
      </c>
      <c r="AT470" s="10" t="s">
        <v>1113</v>
      </c>
      <c r="AU470" s="39" t="str">
        <f>データ!Q470</f>
        <v>騎士団全体のスキル発動率が中UP(3分間)</v>
      </c>
      <c r="AV470" s="10" t="s">
        <v>1024</v>
      </c>
      <c r="AW470" s="40" t="s">
        <v>1324</v>
      </c>
      <c r="AX470" s="39" t="str">
        <f>データ!R470</f>
        <v>-</v>
      </c>
      <c r="AY470" s="10" t="s">
        <v>1113</v>
      </c>
      <c r="AZ470" s="39" t="str">
        <f>データ!S470</f>
        <v>　</v>
      </c>
      <c r="BA470" s="41" t="s">
        <v>1024</v>
      </c>
      <c r="BB470" s="40" t="s">
        <v>1319</v>
      </c>
      <c r="BC470" s="39" t="str">
        <f>データ!T470</f>
        <v>-</v>
      </c>
      <c r="BD470" s="41" t="s">
        <v>1024</v>
      </c>
      <c r="BE470" s="40" t="s">
        <v>1320</v>
      </c>
      <c r="BF470" s="39" t="str">
        <f>データ!U470</f>
        <v>-</v>
      </c>
      <c r="BG470" s="41" t="s">
        <v>1024</v>
      </c>
      <c r="BH470" s="40" t="s">
        <v>1319</v>
      </c>
      <c r="BI470" s="39" t="str">
        <f>データ!V470</f>
        <v>ガチャイベ</v>
      </c>
      <c r="BJ470" s="41" t="s">
        <v>1024</v>
      </c>
      <c r="BK470" s="10" t="s">
        <v>1019</v>
      </c>
    </row>
    <row r="471" spans="1:63" x14ac:dyDescent="0.15">
      <c r="A471" s="10" t="s">
        <v>1016</v>
      </c>
      <c r="B471" s="10" t="s">
        <v>1454</v>
      </c>
      <c r="C471" s="38" t="str">
        <f>"./images/thumbnail/"&amp;データ!B471&amp;".jpg"</f>
        <v>./images/thumbnail/1799_a.jpg</v>
      </c>
      <c r="D471" s="38" t="s">
        <v>1455</v>
      </c>
      <c r="E471" s="38" t="str">
        <f>"./images/thumbnail/"&amp;データ!B471&amp;".jpg"</f>
        <v>./images/thumbnail/1799_a.jpg</v>
      </c>
      <c r="F471" s="38" t="s">
        <v>1116</v>
      </c>
      <c r="G471" s="38" t="s">
        <v>1319</v>
      </c>
      <c r="H471" s="38" t="str">
        <f>データ!C471</f>
        <v>シャルロ</v>
      </c>
      <c r="I471" s="38" t="s">
        <v>1024</v>
      </c>
      <c r="J471" s="38" t="s">
        <v>1320</v>
      </c>
      <c r="K471" s="38" t="str">
        <f>データ!D471</f>
        <v>UR</v>
      </c>
      <c r="L471" s="38" t="s">
        <v>1024</v>
      </c>
      <c r="M471" s="38" t="s">
        <v>1321</v>
      </c>
      <c r="N471" s="38">
        <f>データ!E471</f>
        <v>14</v>
      </c>
      <c r="O471" s="38" t="s">
        <v>1024</v>
      </c>
      <c r="P471" s="38" t="s">
        <v>1319</v>
      </c>
      <c r="Q471" s="38" t="str">
        <f>データ!F471</f>
        <v>斬</v>
      </c>
      <c r="R471" s="38" t="s">
        <v>1024</v>
      </c>
      <c r="S471" s="38" t="s">
        <v>1319</v>
      </c>
      <c r="T471" s="39">
        <f>データ!G471</f>
        <v>22852</v>
      </c>
      <c r="U471" s="40" t="s">
        <v>1024</v>
      </c>
      <c r="V471" s="40" t="s">
        <v>1319</v>
      </c>
      <c r="W471" s="39">
        <f>データ!H471</f>
        <v>10497</v>
      </c>
      <c r="X471" s="40" t="s">
        <v>1024</v>
      </c>
      <c r="Y471" s="40" t="s">
        <v>1319</v>
      </c>
      <c r="Z471" s="39">
        <f>データ!I471</f>
        <v>8840</v>
      </c>
      <c r="AA471" s="40" t="s">
        <v>1024</v>
      </c>
      <c r="AB471" s="40" t="s">
        <v>1322</v>
      </c>
      <c r="AC471" s="39" t="str">
        <f>データ!J471</f>
        <v>SS+</v>
      </c>
      <c r="AD471" s="38" t="s">
        <v>1024</v>
      </c>
      <c r="AE471" s="40" t="s">
        <v>1323</v>
      </c>
      <c r="AF471" s="39">
        <f>データ!K471</f>
        <v>42189</v>
      </c>
      <c r="AG471" s="40" t="s">
        <v>1024</v>
      </c>
      <c r="AH471" s="40" t="s">
        <v>1324</v>
      </c>
      <c r="AI471" s="39" t="str">
        <f>データ!L471</f>
        <v>斬紅の神威＋</v>
      </c>
      <c r="AJ471" s="10" t="s">
        <v>1113</v>
      </c>
      <c r="AK471" s="39" t="str">
        <f>データ!M471</f>
        <v>味方斬属性の攻撃力をUP[超特大]</v>
      </c>
      <c r="AL471" s="10" t="s">
        <v>1024</v>
      </c>
      <c r="AM471" s="40" t="s">
        <v>1325</v>
      </c>
      <c r="AN471" s="39" t="str">
        <f>データ!N471</f>
        <v>-</v>
      </c>
      <c r="AO471" s="10" t="s">
        <v>1113</v>
      </c>
      <c r="AP471" s="39" t="str">
        <f>データ!O471</f>
        <v>　</v>
      </c>
      <c r="AQ471" s="41" t="s">
        <v>1024</v>
      </c>
      <c r="AR471" s="40" t="s">
        <v>1324</v>
      </c>
      <c r="AS471" s="39" t="str">
        <f>データ!P471</f>
        <v>オラクルオーダー／真</v>
      </c>
      <c r="AT471" s="10" t="s">
        <v>1113</v>
      </c>
      <c r="AU471" s="39" t="str">
        <f>データ!Q471</f>
        <v>騎士団全体のスキル発動率が中UP(3分間)</v>
      </c>
      <c r="AV471" s="10" t="s">
        <v>1024</v>
      </c>
      <c r="AW471" s="40" t="s">
        <v>1324</v>
      </c>
      <c r="AX471" s="39" t="str">
        <f>データ!R471</f>
        <v>-</v>
      </c>
      <c r="AY471" s="10" t="s">
        <v>1113</v>
      </c>
      <c r="AZ471" s="39" t="str">
        <f>データ!S471</f>
        <v>　</v>
      </c>
      <c r="BA471" s="41" t="s">
        <v>1024</v>
      </c>
      <c r="BB471" s="40" t="s">
        <v>1319</v>
      </c>
      <c r="BC471" s="39" t="str">
        <f>データ!T471</f>
        <v>-</v>
      </c>
      <c r="BD471" s="41" t="s">
        <v>1024</v>
      </c>
      <c r="BE471" s="40" t="s">
        <v>1320</v>
      </c>
      <c r="BF471" s="39" t="str">
        <f>データ!U471</f>
        <v>-</v>
      </c>
      <c r="BG471" s="41" t="s">
        <v>1024</v>
      </c>
      <c r="BH471" s="40" t="s">
        <v>1319</v>
      </c>
      <c r="BI471" s="39" t="str">
        <f>データ!V471</f>
        <v>精鋭化ユニット</v>
      </c>
      <c r="BJ471" s="41" t="s">
        <v>1024</v>
      </c>
      <c r="BK471" s="10" t="s">
        <v>1019</v>
      </c>
    </row>
    <row r="472" spans="1:63" x14ac:dyDescent="0.15">
      <c r="A472" s="10" t="s">
        <v>1016</v>
      </c>
      <c r="B472" s="10" t="s">
        <v>1454</v>
      </c>
      <c r="C472" s="38" t="str">
        <f>"./images/thumbnail/"&amp;データ!B472&amp;".jpg"</f>
        <v>./images/thumbnail/1799_b.jpg</v>
      </c>
      <c r="D472" s="38" t="s">
        <v>1455</v>
      </c>
      <c r="E472" s="38" t="str">
        <f>"./images/thumbnail/"&amp;データ!B472&amp;".jpg"</f>
        <v>./images/thumbnail/1799_b.jpg</v>
      </c>
      <c r="F472" s="38" t="s">
        <v>1116</v>
      </c>
      <c r="G472" s="38" t="s">
        <v>1319</v>
      </c>
      <c r="H472" s="38" t="str">
        <f>データ!C472</f>
        <v>シャルロ</v>
      </c>
      <c r="I472" s="38" t="s">
        <v>1024</v>
      </c>
      <c r="J472" s="38" t="s">
        <v>1320</v>
      </c>
      <c r="K472" s="38" t="str">
        <f>データ!D472</f>
        <v>UR</v>
      </c>
      <c r="L472" s="38" t="s">
        <v>1024</v>
      </c>
      <c r="M472" s="38" t="s">
        <v>1321</v>
      </c>
      <c r="N472" s="38">
        <f>データ!E472</f>
        <v>14</v>
      </c>
      <c r="O472" s="38" t="s">
        <v>1024</v>
      </c>
      <c r="P472" s="38" t="s">
        <v>1319</v>
      </c>
      <c r="Q472" s="38" t="str">
        <f>データ!F472</f>
        <v>斬</v>
      </c>
      <c r="R472" s="38" t="s">
        <v>1024</v>
      </c>
      <c r="S472" s="38" t="s">
        <v>1319</v>
      </c>
      <c r="T472" s="39">
        <f>データ!G472</f>
        <v>21970</v>
      </c>
      <c r="U472" s="40" t="s">
        <v>1024</v>
      </c>
      <c r="V472" s="40" t="s">
        <v>1319</v>
      </c>
      <c r="W472" s="39">
        <f>データ!H472</f>
        <v>10098</v>
      </c>
      <c r="X472" s="40" t="s">
        <v>1024</v>
      </c>
      <c r="Y472" s="40" t="s">
        <v>1319</v>
      </c>
      <c r="Z472" s="39">
        <f>データ!I472</f>
        <v>8189</v>
      </c>
      <c r="AA472" s="40" t="s">
        <v>1024</v>
      </c>
      <c r="AB472" s="40" t="s">
        <v>1322</v>
      </c>
      <c r="AC472" s="39" t="str">
        <f>データ!J472</f>
        <v>SS+</v>
      </c>
      <c r="AD472" s="38" t="s">
        <v>1024</v>
      </c>
      <c r="AE472" s="40" t="s">
        <v>1323</v>
      </c>
      <c r="AF472" s="39">
        <f>データ!K472</f>
        <v>40257</v>
      </c>
      <c r="AG472" s="40" t="s">
        <v>1024</v>
      </c>
      <c r="AH472" s="40" t="s">
        <v>1324</v>
      </c>
      <c r="AI472" s="39" t="str">
        <f>データ!L472</f>
        <v>斬紅の神威</v>
      </c>
      <c r="AJ472" s="10" t="s">
        <v>1113</v>
      </c>
      <c r="AK472" s="39" t="str">
        <f>データ!M472</f>
        <v>味方斬属性の攻撃力をUP[特大]</v>
      </c>
      <c r="AL472" s="10" t="s">
        <v>1024</v>
      </c>
      <c r="AM472" s="40" t="s">
        <v>1325</v>
      </c>
      <c r="AN472" s="39" t="str">
        <f>データ!N472</f>
        <v>-</v>
      </c>
      <c r="AO472" s="10" t="s">
        <v>1113</v>
      </c>
      <c r="AP472" s="39" t="str">
        <f>データ!O472</f>
        <v>　</v>
      </c>
      <c r="AQ472" s="41" t="s">
        <v>1024</v>
      </c>
      <c r="AR472" s="40" t="s">
        <v>1324</v>
      </c>
      <c r="AS472" s="39" t="str">
        <f>データ!P472</f>
        <v>賢王の贈り物</v>
      </c>
      <c r="AT472" s="10" t="s">
        <v>1113</v>
      </c>
      <c r="AU472" s="39" t="str">
        <f>データ!Q472</f>
        <v>騎士団全体のスキル発動率が特大UP(3分間)</v>
      </c>
      <c r="AV472" s="10" t="s">
        <v>1024</v>
      </c>
      <c r="AW472" s="40" t="s">
        <v>1324</v>
      </c>
      <c r="AX472" s="39" t="str">
        <f>データ!R472</f>
        <v>-</v>
      </c>
      <c r="AY472" s="10" t="s">
        <v>1113</v>
      </c>
      <c r="AZ472" s="39" t="str">
        <f>データ!S472</f>
        <v>　</v>
      </c>
      <c r="BA472" s="41" t="s">
        <v>1024</v>
      </c>
      <c r="BB472" s="40" t="s">
        <v>1319</v>
      </c>
      <c r="BC472" s="39" t="str">
        <f>データ!T472</f>
        <v>-</v>
      </c>
      <c r="BD472" s="41" t="s">
        <v>1024</v>
      </c>
      <c r="BE472" s="40" t="s">
        <v>1320</v>
      </c>
      <c r="BF472" s="39" t="str">
        <f>データ!U472</f>
        <v>-</v>
      </c>
      <c r="BG472" s="41" t="s">
        <v>1024</v>
      </c>
      <c r="BH472" s="40" t="s">
        <v>1319</v>
      </c>
      <c r="BI472" s="39" t="str">
        <f>データ!V472</f>
        <v>精鋭化ユニット</v>
      </c>
      <c r="BJ472" s="41" t="s">
        <v>1024</v>
      </c>
      <c r="BK472" s="10" t="s">
        <v>1019</v>
      </c>
    </row>
    <row r="473" spans="1:63" x14ac:dyDescent="0.15">
      <c r="A473" s="10" t="s">
        <v>1016</v>
      </c>
      <c r="B473" s="10" t="s">
        <v>1454</v>
      </c>
      <c r="C473" s="38" t="str">
        <f>"./images/thumbnail/"&amp;データ!B473&amp;".jpg"</f>
        <v>./images/thumbnail/1801.jpg</v>
      </c>
      <c r="D473" s="38" t="s">
        <v>1455</v>
      </c>
      <c r="E473" s="38" t="str">
        <f>"./images/thumbnail/"&amp;データ!B473&amp;".jpg"</f>
        <v>./images/thumbnail/1801.jpg</v>
      </c>
      <c r="F473" s="38" t="s">
        <v>1116</v>
      </c>
      <c r="G473" s="38" t="s">
        <v>1319</v>
      </c>
      <c r="H473" s="38" t="str">
        <f>データ!C473</f>
        <v>スレヴィ</v>
      </c>
      <c r="I473" s="38" t="s">
        <v>1024</v>
      </c>
      <c r="J473" s="38" t="s">
        <v>1320</v>
      </c>
      <c r="K473" s="38" t="str">
        <f>データ!D473</f>
        <v>UR</v>
      </c>
      <c r="L473" s="38" t="s">
        <v>1024</v>
      </c>
      <c r="M473" s="38" t="s">
        <v>1321</v>
      </c>
      <c r="N473" s="38">
        <f>データ!E473</f>
        <v>14</v>
      </c>
      <c r="O473" s="38" t="s">
        <v>1024</v>
      </c>
      <c r="P473" s="38" t="s">
        <v>1319</v>
      </c>
      <c r="Q473" s="38" t="str">
        <f>データ!F473</f>
        <v>突</v>
      </c>
      <c r="R473" s="38" t="s">
        <v>1024</v>
      </c>
      <c r="S473" s="38" t="s">
        <v>1319</v>
      </c>
      <c r="T473" s="39">
        <f>データ!G473</f>
        <v>19055</v>
      </c>
      <c r="U473" s="40" t="s">
        <v>1024</v>
      </c>
      <c r="V473" s="40" t="s">
        <v>1319</v>
      </c>
      <c r="W473" s="39">
        <f>データ!H473</f>
        <v>6514</v>
      </c>
      <c r="X473" s="40" t="s">
        <v>1024</v>
      </c>
      <c r="Y473" s="40" t="s">
        <v>1319</v>
      </c>
      <c r="Z473" s="39">
        <f>データ!I473</f>
        <v>6969</v>
      </c>
      <c r="AA473" s="40" t="s">
        <v>1024</v>
      </c>
      <c r="AB473" s="40" t="s">
        <v>1322</v>
      </c>
      <c r="AC473" s="39" t="str">
        <f>データ!J473</f>
        <v>SS+</v>
      </c>
      <c r="AD473" s="38" t="s">
        <v>1024</v>
      </c>
      <c r="AE473" s="40" t="s">
        <v>1323</v>
      </c>
      <c r="AF473" s="39">
        <f>データ!K473</f>
        <v>32538</v>
      </c>
      <c r="AG473" s="40" t="s">
        <v>1024</v>
      </c>
      <c r="AH473" s="40" t="s">
        <v>1324</v>
      </c>
      <c r="AI473" s="39" t="str">
        <f>データ!L473</f>
        <v>神威消滅／光芒</v>
      </c>
      <c r="AJ473" s="10" t="s">
        <v>1113</v>
      </c>
      <c r="AK473" s="39" t="str">
        <f>データ!M473</f>
        <v>敵全体の攻撃力をDOWN[特大]</v>
      </c>
      <c r="AL473" s="10" t="s">
        <v>1024</v>
      </c>
      <c r="AM473" s="40" t="s">
        <v>1325</v>
      </c>
      <c r="AN473" s="39" t="str">
        <f>データ!N473</f>
        <v>-</v>
      </c>
      <c r="AO473" s="10" t="s">
        <v>1113</v>
      </c>
      <c r="AP473" s="39" t="str">
        <f>データ!O473</f>
        <v>　</v>
      </c>
      <c r="AQ473" s="41" t="s">
        <v>1024</v>
      </c>
      <c r="AR473" s="40" t="s">
        <v>1324</v>
      </c>
      <c r="AS473" s="39" t="str">
        <f>データ!P473</f>
        <v>アサルトオーダー／真</v>
      </c>
      <c r="AT473" s="10" t="s">
        <v>1113</v>
      </c>
      <c r="AU473" s="39" t="str">
        <f>データ!Q473</f>
        <v>騎士団全体の攻撃力が中UP(3分間)</v>
      </c>
      <c r="AV473" s="10" t="s">
        <v>1024</v>
      </c>
      <c r="AW473" s="40" t="s">
        <v>1324</v>
      </c>
      <c r="AX473" s="39" t="str">
        <f>データ!R473</f>
        <v>-</v>
      </c>
      <c r="AY473" s="10" t="s">
        <v>1113</v>
      </c>
      <c r="AZ473" s="39" t="str">
        <f>データ!S473</f>
        <v>　</v>
      </c>
      <c r="BA473" s="41" t="s">
        <v>1024</v>
      </c>
      <c r="BB473" s="40" t="s">
        <v>1319</v>
      </c>
      <c r="BC473" s="39" t="str">
        <f>データ!T473</f>
        <v>-</v>
      </c>
      <c r="BD473" s="41" t="s">
        <v>1024</v>
      </c>
      <c r="BE473" s="40" t="s">
        <v>1320</v>
      </c>
      <c r="BF473" s="39" t="str">
        <f>データ!U473</f>
        <v>-</v>
      </c>
      <c r="BG473" s="41" t="s">
        <v>1024</v>
      </c>
      <c r="BH473" s="40" t="s">
        <v>1319</v>
      </c>
      <c r="BI473" s="39" t="str">
        <f>データ!V473</f>
        <v>ガチャイベ</v>
      </c>
      <c r="BJ473" s="41" t="s">
        <v>1024</v>
      </c>
      <c r="BK473" s="10" t="s">
        <v>1019</v>
      </c>
    </row>
    <row r="474" spans="1:63" x14ac:dyDescent="0.15">
      <c r="A474" s="10" t="s">
        <v>1016</v>
      </c>
      <c r="B474" s="10" t="s">
        <v>1454</v>
      </c>
      <c r="C474" s="38" t="str">
        <f>"./images/thumbnail/"&amp;データ!B474&amp;".jpg"</f>
        <v>./images/thumbnail/1801_a.jpg</v>
      </c>
      <c r="D474" s="38" t="s">
        <v>1455</v>
      </c>
      <c r="E474" s="38" t="str">
        <f>"./images/thumbnail/"&amp;データ!B474&amp;".jpg"</f>
        <v>./images/thumbnail/1801_a.jpg</v>
      </c>
      <c r="F474" s="38" t="s">
        <v>1116</v>
      </c>
      <c r="G474" s="38" t="s">
        <v>1319</v>
      </c>
      <c r="H474" s="38" t="str">
        <f>データ!C474</f>
        <v>スレヴィ</v>
      </c>
      <c r="I474" s="38" t="s">
        <v>1024</v>
      </c>
      <c r="J474" s="38" t="s">
        <v>1320</v>
      </c>
      <c r="K474" s="38" t="str">
        <f>データ!D474</f>
        <v>UR</v>
      </c>
      <c r="L474" s="38" t="s">
        <v>1024</v>
      </c>
      <c r="M474" s="38" t="s">
        <v>1321</v>
      </c>
      <c r="N474" s="38">
        <f>データ!E474</f>
        <v>14</v>
      </c>
      <c r="O474" s="38" t="s">
        <v>1024</v>
      </c>
      <c r="P474" s="38" t="s">
        <v>1319</v>
      </c>
      <c r="Q474" s="38" t="str">
        <f>データ!F474</f>
        <v>突</v>
      </c>
      <c r="R474" s="38" t="s">
        <v>1024</v>
      </c>
      <c r="S474" s="38" t="s">
        <v>1319</v>
      </c>
      <c r="T474" s="39">
        <f>データ!G474</f>
        <v>27245</v>
      </c>
      <c r="U474" s="40" t="s">
        <v>1024</v>
      </c>
      <c r="V474" s="40" t="s">
        <v>1319</v>
      </c>
      <c r="W474" s="39">
        <f>データ!H474</f>
        <v>7816</v>
      </c>
      <c r="X474" s="40" t="s">
        <v>1024</v>
      </c>
      <c r="Y474" s="40" t="s">
        <v>1319</v>
      </c>
      <c r="Z474" s="39">
        <f>データ!I474</f>
        <v>11085</v>
      </c>
      <c r="AA474" s="40" t="s">
        <v>1024</v>
      </c>
      <c r="AB474" s="40" t="s">
        <v>1322</v>
      </c>
      <c r="AC474" s="39" t="str">
        <f>データ!J474</f>
        <v>SS4</v>
      </c>
      <c r="AD474" s="38" t="s">
        <v>1024</v>
      </c>
      <c r="AE474" s="40" t="s">
        <v>1323</v>
      </c>
      <c r="AF474" s="39">
        <f>データ!K474</f>
        <v>46146</v>
      </c>
      <c r="AG474" s="40" t="s">
        <v>1024</v>
      </c>
      <c r="AH474" s="40" t="s">
        <v>1324</v>
      </c>
      <c r="AI474" s="39" t="str">
        <f>データ!L474</f>
        <v>神威消滅／光芒＋</v>
      </c>
      <c r="AJ474" s="10" t="s">
        <v>1113</v>
      </c>
      <c r="AK474" s="39" t="str">
        <f>データ!M474</f>
        <v>敵全体の攻撃力をDOWN[極大]</v>
      </c>
      <c r="AL474" s="10" t="s">
        <v>1024</v>
      </c>
      <c r="AM474" s="40" t="s">
        <v>1325</v>
      </c>
      <c r="AN474" s="39" t="str">
        <f>データ!N474</f>
        <v>-</v>
      </c>
      <c r="AO474" s="10" t="s">
        <v>1113</v>
      </c>
      <c r="AP474" s="39" t="str">
        <f>データ!O474</f>
        <v>　</v>
      </c>
      <c r="AQ474" s="41" t="s">
        <v>1024</v>
      </c>
      <c r="AR474" s="40" t="s">
        <v>1324</v>
      </c>
      <c r="AS474" s="39" t="str">
        <f>データ!P474</f>
        <v>アサルトオーダー／真</v>
      </c>
      <c r="AT474" s="10" t="s">
        <v>1113</v>
      </c>
      <c r="AU474" s="39" t="str">
        <f>データ!Q474</f>
        <v>騎士団全体の攻撃力が中UP(3分間)</v>
      </c>
      <c r="AV474" s="10" t="s">
        <v>1024</v>
      </c>
      <c r="AW474" s="40" t="s">
        <v>1324</v>
      </c>
      <c r="AX474" s="39" t="str">
        <f>データ!R474</f>
        <v>-</v>
      </c>
      <c r="AY474" s="10" t="s">
        <v>1113</v>
      </c>
      <c r="AZ474" s="39" t="str">
        <f>データ!S474</f>
        <v>　</v>
      </c>
      <c r="BA474" s="41" t="s">
        <v>1024</v>
      </c>
      <c r="BB474" s="40" t="s">
        <v>1319</v>
      </c>
      <c r="BC474" s="39" t="str">
        <f>データ!T474</f>
        <v>-</v>
      </c>
      <c r="BD474" s="41" t="s">
        <v>1024</v>
      </c>
      <c r="BE474" s="40" t="s">
        <v>1320</v>
      </c>
      <c r="BF474" s="39" t="str">
        <f>データ!U474</f>
        <v>-</v>
      </c>
      <c r="BG474" s="41" t="s">
        <v>1024</v>
      </c>
      <c r="BH474" s="40" t="s">
        <v>1319</v>
      </c>
      <c r="BI474" s="39" t="str">
        <f>データ!V474</f>
        <v>精鋭化ユニット</v>
      </c>
      <c r="BJ474" s="41" t="s">
        <v>1024</v>
      </c>
      <c r="BK474" s="10" t="s">
        <v>1019</v>
      </c>
    </row>
    <row r="475" spans="1:63" x14ac:dyDescent="0.15">
      <c r="A475" s="10" t="s">
        <v>1016</v>
      </c>
      <c r="B475" s="10" t="s">
        <v>1454</v>
      </c>
      <c r="C475" s="38" t="str">
        <f>"./images/thumbnail/"&amp;データ!B475&amp;".jpg"</f>
        <v>./images/thumbnail/1801_b.jpg</v>
      </c>
      <c r="D475" s="38" t="s">
        <v>1455</v>
      </c>
      <c r="E475" s="38" t="str">
        <f>"./images/thumbnail/"&amp;データ!B475&amp;".jpg"</f>
        <v>./images/thumbnail/1801_b.jpg</v>
      </c>
      <c r="F475" s="38" t="s">
        <v>1116</v>
      </c>
      <c r="G475" s="38" t="s">
        <v>1319</v>
      </c>
      <c r="H475" s="38" t="str">
        <f>データ!C475</f>
        <v>スレヴィ</v>
      </c>
      <c r="I475" s="38" t="s">
        <v>1024</v>
      </c>
      <c r="J475" s="38" t="s">
        <v>1320</v>
      </c>
      <c r="K475" s="38" t="str">
        <f>データ!D475</f>
        <v>UR</v>
      </c>
      <c r="L475" s="38" t="s">
        <v>1024</v>
      </c>
      <c r="M475" s="38" t="s">
        <v>1321</v>
      </c>
      <c r="N475" s="38">
        <f>データ!E475</f>
        <v>14</v>
      </c>
      <c r="O475" s="38" t="s">
        <v>1024</v>
      </c>
      <c r="P475" s="38" t="s">
        <v>1319</v>
      </c>
      <c r="Q475" s="38" t="str">
        <f>データ!F475</f>
        <v>突</v>
      </c>
      <c r="R475" s="38" t="s">
        <v>1024</v>
      </c>
      <c r="S475" s="38" t="s">
        <v>1319</v>
      </c>
      <c r="T475" s="39">
        <f>データ!G475</f>
        <v>26300</v>
      </c>
      <c r="U475" s="40" t="s">
        <v>1024</v>
      </c>
      <c r="V475" s="40" t="s">
        <v>1319</v>
      </c>
      <c r="W475" s="39">
        <f>データ!H475</f>
        <v>7501</v>
      </c>
      <c r="X475" s="40" t="s">
        <v>1024</v>
      </c>
      <c r="Y475" s="40" t="s">
        <v>1319</v>
      </c>
      <c r="Z475" s="39">
        <f>データ!I475</f>
        <v>10728</v>
      </c>
      <c r="AA475" s="40" t="s">
        <v>1024</v>
      </c>
      <c r="AB475" s="40" t="s">
        <v>1322</v>
      </c>
      <c r="AC475" s="39" t="str">
        <f>データ!J475</f>
        <v>SS4</v>
      </c>
      <c r="AD475" s="38" t="s">
        <v>1024</v>
      </c>
      <c r="AE475" s="40" t="s">
        <v>1323</v>
      </c>
      <c r="AF475" s="39">
        <f>データ!K475</f>
        <v>44529</v>
      </c>
      <c r="AG475" s="40" t="s">
        <v>1024</v>
      </c>
      <c r="AH475" s="40" t="s">
        <v>1324</v>
      </c>
      <c r="AI475" s="39" t="str">
        <f>データ!L475</f>
        <v>神威消滅／光芒</v>
      </c>
      <c r="AJ475" s="10" t="s">
        <v>1113</v>
      </c>
      <c r="AK475" s="39" t="str">
        <f>データ!M475</f>
        <v>敵全体の攻撃力をDOWN[特大]</v>
      </c>
      <c r="AL475" s="10" t="s">
        <v>1024</v>
      </c>
      <c r="AM475" s="40" t="s">
        <v>1325</v>
      </c>
      <c r="AN475" s="39" t="str">
        <f>データ!N475</f>
        <v>-</v>
      </c>
      <c r="AO475" s="10" t="s">
        <v>1113</v>
      </c>
      <c r="AP475" s="39" t="str">
        <f>データ!O475</f>
        <v>　</v>
      </c>
      <c r="AQ475" s="41" t="s">
        <v>1024</v>
      </c>
      <c r="AR475" s="40" t="s">
        <v>1324</v>
      </c>
      <c r="AS475" s="39" t="str">
        <f>データ!P475</f>
        <v>欲すなら奪え</v>
      </c>
      <c r="AT475" s="10" t="s">
        <v>1113</v>
      </c>
      <c r="AU475" s="39" t="str">
        <f>データ!Q475</f>
        <v>騎士団全体の攻撃力が特大UP(3分間)</v>
      </c>
      <c r="AV475" s="10" t="s">
        <v>1024</v>
      </c>
      <c r="AW475" s="40" t="s">
        <v>1324</v>
      </c>
      <c r="AX475" s="39" t="str">
        <f>データ!R475</f>
        <v>-</v>
      </c>
      <c r="AY475" s="10" t="s">
        <v>1113</v>
      </c>
      <c r="AZ475" s="39" t="str">
        <f>データ!S475</f>
        <v>　</v>
      </c>
      <c r="BA475" s="41" t="s">
        <v>1024</v>
      </c>
      <c r="BB475" s="40" t="s">
        <v>1319</v>
      </c>
      <c r="BC475" s="39" t="str">
        <f>データ!T475</f>
        <v>-</v>
      </c>
      <c r="BD475" s="41" t="s">
        <v>1024</v>
      </c>
      <c r="BE475" s="40" t="s">
        <v>1320</v>
      </c>
      <c r="BF475" s="39" t="str">
        <f>データ!U475</f>
        <v>-</v>
      </c>
      <c r="BG475" s="41" t="s">
        <v>1024</v>
      </c>
      <c r="BH475" s="40" t="s">
        <v>1319</v>
      </c>
      <c r="BI475" s="39" t="str">
        <f>データ!V475</f>
        <v>精鋭化ユニット</v>
      </c>
      <c r="BJ475" s="41" t="s">
        <v>1024</v>
      </c>
      <c r="BK475" s="10" t="s">
        <v>1019</v>
      </c>
    </row>
    <row r="476" spans="1:63" x14ac:dyDescent="0.15">
      <c r="A476" s="10" t="s">
        <v>1016</v>
      </c>
      <c r="B476" s="10" t="s">
        <v>1454</v>
      </c>
      <c r="C476" s="38" t="str">
        <f>"./images/thumbnail/"&amp;データ!B476&amp;".jpg"</f>
        <v>./images/thumbnail/1803.jpg</v>
      </c>
      <c r="D476" s="38" t="s">
        <v>1455</v>
      </c>
      <c r="E476" s="38" t="str">
        <f>"./images/thumbnail/"&amp;データ!B476&amp;".jpg"</f>
        <v>./images/thumbnail/1803.jpg</v>
      </c>
      <c r="F476" s="38" t="s">
        <v>1116</v>
      </c>
      <c r="G476" s="38" t="s">
        <v>1319</v>
      </c>
      <c r="H476" s="38" t="str">
        <f>データ!C476</f>
        <v>トト</v>
      </c>
      <c r="I476" s="38" t="s">
        <v>1024</v>
      </c>
      <c r="J476" s="38" t="s">
        <v>1320</v>
      </c>
      <c r="K476" s="38" t="str">
        <f>データ!D476</f>
        <v>UR</v>
      </c>
      <c r="L476" s="38" t="s">
        <v>1024</v>
      </c>
      <c r="M476" s="38" t="s">
        <v>1321</v>
      </c>
      <c r="N476" s="38">
        <f>データ!E476</f>
        <v>14</v>
      </c>
      <c r="O476" s="38" t="s">
        <v>1024</v>
      </c>
      <c r="P476" s="38" t="s">
        <v>1319</v>
      </c>
      <c r="Q476" s="38" t="str">
        <f>データ!F476</f>
        <v>打</v>
      </c>
      <c r="R476" s="38" t="s">
        <v>1024</v>
      </c>
      <c r="S476" s="38" t="s">
        <v>1319</v>
      </c>
      <c r="T476" s="39">
        <f>データ!G476</f>
        <v>22994</v>
      </c>
      <c r="U476" s="40" t="s">
        <v>1024</v>
      </c>
      <c r="V476" s="40" t="s">
        <v>1319</v>
      </c>
      <c r="W476" s="39">
        <f>データ!H476</f>
        <v>6952</v>
      </c>
      <c r="X476" s="40" t="s">
        <v>1024</v>
      </c>
      <c r="Y476" s="40" t="s">
        <v>1319</v>
      </c>
      <c r="Z476" s="39">
        <f>データ!I476</f>
        <v>7669</v>
      </c>
      <c r="AA476" s="40" t="s">
        <v>1024</v>
      </c>
      <c r="AB476" s="40" t="s">
        <v>1322</v>
      </c>
      <c r="AC476" s="39" t="str">
        <f>データ!J476</f>
        <v>A+</v>
      </c>
      <c r="AD476" s="38" t="s">
        <v>1024</v>
      </c>
      <c r="AE476" s="40" t="s">
        <v>1323</v>
      </c>
      <c r="AF476" s="39">
        <f>データ!K476</f>
        <v>37615</v>
      </c>
      <c r="AG476" s="40" t="s">
        <v>1024</v>
      </c>
      <c r="AH476" s="40" t="s">
        <v>1324</v>
      </c>
      <c r="AI476" s="39" t="str">
        <f>データ!L476</f>
        <v>地魔幻の閃光／煌</v>
      </c>
      <c r="AJ476" s="10" t="s">
        <v>1113</v>
      </c>
      <c r="AK476" s="39" t="str">
        <f>データ!M476</f>
        <v>縦一列攻撃[特大]自分の防御力UP[特大]</v>
      </c>
      <c r="AL476" s="10" t="s">
        <v>1024</v>
      </c>
      <c r="AM476" s="40" t="s">
        <v>1325</v>
      </c>
      <c r="AN476" s="39" t="str">
        <f>データ!N476</f>
        <v>-</v>
      </c>
      <c r="AO476" s="10" t="s">
        <v>1113</v>
      </c>
      <c r="AP476" s="39" t="str">
        <f>データ!O476</f>
        <v>　</v>
      </c>
      <c r="AQ476" s="41" t="s">
        <v>1024</v>
      </c>
      <c r="AR476" s="40" t="s">
        <v>1324</v>
      </c>
      <c r="AS476" s="39" t="str">
        <f>データ!P476</f>
        <v>クラウストルム／真</v>
      </c>
      <c r="AT476" s="10" t="s">
        <v>1113</v>
      </c>
      <c r="AU476" s="39" t="str">
        <f>データ!Q476</f>
        <v>ヘイトUP＆迎撃時にパーティ全体の攻・防が中UP(3分間)</v>
      </c>
      <c r="AV476" s="10" t="s">
        <v>1024</v>
      </c>
      <c r="AW476" s="40" t="s">
        <v>1324</v>
      </c>
      <c r="AX476" s="39" t="str">
        <f>データ!R476</f>
        <v>-</v>
      </c>
      <c r="AY476" s="10" t="s">
        <v>1113</v>
      </c>
      <c r="AZ476" s="39" t="str">
        <f>データ!S476</f>
        <v>　</v>
      </c>
      <c r="BA476" s="41" t="s">
        <v>1024</v>
      </c>
      <c r="BB476" s="40" t="s">
        <v>1319</v>
      </c>
      <c r="BC476" s="39" t="str">
        <f>データ!T476</f>
        <v>-</v>
      </c>
      <c r="BD476" s="41" t="s">
        <v>1024</v>
      </c>
      <c r="BE476" s="40" t="s">
        <v>1320</v>
      </c>
      <c r="BF476" s="39" t="str">
        <f>データ!U476</f>
        <v>-</v>
      </c>
      <c r="BG476" s="41" t="s">
        <v>1024</v>
      </c>
      <c r="BH476" s="40" t="s">
        <v>1319</v>
      </c>
      <c r="BI476" s="39" t="str">
        <f>データ!V476</f>
        <v>ガチャイベ</v>
      </c>
      <c r="BJ476" s="41" t="s">
        <v>1024</v>
      </c>
      <c r="BK476" s="10" t="s">
        <v>1019</v>
      </c>
    </row>
    <row r="477" spans="1:63" x14ac:dyDescent="0.15">
      <c r="A477" s="10" t="s">
        <v>1016</v>
      </c>
      <c r="B477" s="10" t="s">
        <v>1454</v>
      </c>
      <c r="C477" s="38" t="str">
        <f>"./images/thumbnail/"&amp;データ!B477&amp;".jpg"</f>
        <v>./images/thumbnail/1804.jpg</v>
      </c>
      <c r="D477" s="38" t="s">
        <v>1455</v>
      </c>
      <c r="E477" s="38" t="str">
        <f>"./images/thumbnail/"&amp;データ!B477&amp;".jpg"</f>
        <v>./images/thumbnail/1804.jpg</v>
      </c>
      <c r="F477" s="38" t="s">
        <v>1116</v>
      </c>
      <c r="G477" s="38" t="s">
        <v>1319</v>
      </c>
      <c r="H477" s="38" t="str">
        <f>データ!C477</f>
        <v>レオナ</v>
      </c>
      <c r="I477" s="38" t="s">
        <v>1024</v>
      </c>
      <c r="J477" s="38" t="s">
        <v>1320</v>
      </c>
      <c r="K477" s="38" t="str">
        <f>データ!D477</f>
        <v>UR</v>
      </c>
      <c r="L477" s="38" t="s">
        <v>1024</v>
      </c>
      <c r="M477" s="38" t="s">
        <v>1321</v>
      </c>
      <c r="N477" s="38">
        <f>データ!E477</f>
        <v>15</v>
      </c>
      <c r="O477" s="38" t="s">
        <v>1024</v>
      </c>
      <c r="P477" s="38" t="s">
        <v>1319</v>
      </c>
      <c r="Q477" s="38" t="str">
        <f>データ!F477</f>
        <v>斬</v>
      </c>
      <c r="R477" s="38" t="s">
        <v>1024</v>
      </c>
      <c r="S477" s="38" t="s">
        <v>1319</v>
      </c>
      <c r="T477" s="39">
        <f>データ!G477</f>
        <v>20184</v>
      </c>
      <c r="U477" s="40" t="s">
        <v>1024</v>
      </c>
      <c r="V477" s="40" t="s">
        <v>1319</v>
      </c>
      <c r="W477" s="39">
        <f>データ!H477</f>
        <v>9315</v>
      </c>
      <c r="X477" s="40" t="s">
        <v>1024</v>
      </c>
      <c r="Y477" s="40" t="s">
        <v>1319</v>
      </c>
      <c r="Z477" s="39">
        <f>データ!I477</f>
        <v>6987</v>
      </c>
      <c r="AA477" s="40" t="s">
        <v>1024</v>
      </c>
      <c r="AB477" s="40" t="s">
        <v>1322</v>
      </c>
      <c r="AC477" s="39" t="str">
        <f>データ!J477</f>
        <v>SS-</v>
      </c>
      <c r="AD477" s="38" t="s">
        <v>1024</v>
      </c>
      <c r="AE477" s="40" t="s">
        <v>1323</v>
      </c>
      <c r="AF477" s="39">
        <f>データ!K477</f>
        <v>36486</v>
      </c>
      <c r="AG477" s="40" t="s">
        <v>1024</v>
      </c>
      <c r="AH477" s="40" t="s">
        <v>1324</v>
      </c>
      <c r="AI477" s="39" t="str">
        <f>データ!L477</f>
        <v>斬紅の神威</v>
      </c>
      <c r="AJ477" s="10" t="s">
        <v>1113</v>
      </c>
      <c r="AK477" s="39" t="str">
        <f>データ!M477</f>
        <v>味方斬属性の攻撃力をUP[特大]</v>
      </c>
      <c r="AL477" s="10" t="s">
        <v>1024</v>
      </c>
      <c r="AM477" s="40" t="s">
        <v>1325</v>
      </c>
      <c r="AN477" s="39" t="str">
        <f>データ!N477</f>
        <v>-</v>
      </c>
      <c r="AO477" s="10" t="s">
        <v>1113</v>
      </c>
      <c r="AP477" s="39" t="str">
        <f>データ!O477</f>
        <v>　</v>
      </c>
      <c r="AQ477" s="41" t="s">
        <v>1024</v>
      </c>
      <c r="AR477" s="40" t="s">
        <v>1324</v>
      </c>
      <c r="AS477" s="39" t="str">
        <f>データ!P477</f>
        <v>シャドウ／絶</v>
      </c>
      <c r="AT477" s="10" t="s">
        <v>1113</v>
      </c>
      <c r="AU477" s="39" t="str">
        <f>データ!Q477</f>
        <v>バトル時の強襲CB率が大UP(3分間)</v>
      </c>
      <c r="AV477" s="10" t="s">
        <v>1024</v>
      </c>
      <c r="AW477" s="40" t="s">
        <v>1324</v>
      </c>
      <c r="AX477" s="39" t="str">
        <f>データ!R477</f>
        <v>エース／絶</v>
      </c>
      <c r="AY477" s="10" t="s">
        <v>1113</v>
      </c>
      <c r="AZ477" s="39" t="str">
        <f>データ!S477</f>
        <v>パーティ全体の攻・防が大UP(3分間)</v>
      </c>
      <c r="BA477" s="41" t="s">
        <v>1024</v>
      </c>
      <c r="BB477" s="40" t="s">
        <v>1319</v>
      </c>
      <c r="BC477" s="39" t="str">
        <f>データ!T477</f>
        <v>-</v>
      </c>
      <c r="BD477" s="41" t="s">
        <v>1024</v>
      </c>
      <c r="BE477" s="40" t="s">
        <v>1320</v>
      </c>
      <c r="BF477" s="39" t="str">
        <f>データ!U477</f>
        <v>-</v>
      </c>
      <c r="BG477" s="41" t="s">
        <v>1024</v>
      </c>
      <c r="BH477" s="40" t="s">
        <v>1319</v>
      </c>
      <c r="BI477" s="39" t="str">
        <f>データ!V477</f>
        <v>共闘のイリュミナシオン</v>
      </c>
      <c r="BJ477" s="41" t="s">
        <v>1024</v>
      </c>
      <c r="BK477" s="10" t="s">
        <v>1019</v>
      </c>
    </row>
    <row r="478" spans="1:63" x14ac:dyDescent="0.15">
      <c r="A478" s="10" t="s">
        <v>1016</v>
      </c>
      <c r="B478" s="10" t="s">
        <v>1454</v>
      </c>
      <c r="C478" s="38" t="str">
        <f>"./images/thumbnail/"&amp;データ!B478&amp;".jpg"</f>
        <v>./images/thumbnail/1805.jpg</v>
      </c>
      <c r="D478" s="38" t="s">
        <v>1455</v>
      </c>
      <c r="E478" s="38" t="str">
        <f>"./images/thumbnail/"&amp;データ!B478&amp;".jpg"</f>
        <v>./images/thumbnail/1805.jpg</v>
      </c>
      <c r="F478" s="38" t="s">
        <v>1116</v>
      </c>
      <c r="G478" s="38" t="s">
        <v>1319</v>
      </c>
      <c r="H478" s="38" t="str">
        <f>データ!C478</f>
        <v>ブークリエ</v>
      </c>
      <c r="I478" s="38" t="s">
        <v>1024</v>
      </c>
      <c r="J478" s="38" t="s">
        <v>1320</v>
      </c>
      <c r="K478" s="38" t="str">
        <f>データ!D478</f>
        <v>UR</v>
      </c>
      <c r="L478" s="38" t="s">
        <v>1024</v>
      </c>
      <c r="M478" s="38" t="s">
        <v>1321</v>
      </c>
      <c r="N478" s="38">
        <f>データ!E478</f>
        <v>15</v>
      </c>
      <c r="O478" s="38" t="s">
        <v>1024</v>
      </c>
      <c r="P478" s="38" t="s">
        <v>1319</v>
      </c>
      <c r="Q478" s="38" t="str">
        <f>データ!F478</f>
        <v>突</v>
      </c>
      <c r="R478" s="38" t="s">
        <v>1024</v>
      </c>
      <c r="S478" s="38" t="s">
        <v>1319</v>
      </c>
      <c r="T478" s="39">
        <f>データ!G478</f>
        <v>24187</v>
      </c>
      <c r="U478" s="40" t="s">
        <v>1024</v>
      </c>
      <c r="V478" s="40" t="s">
        <v>1319</v>
      </c>
      <c r="W478" s="39">
        <f>データ!H478</f>
        <v>6457</v>
      </c>
      <c r="X478" s="40" t="s">
        <v>1024</v>
      </c>
      <c r="Y478" s="40" t="s">
        <v>1319</v>
      </c>
      <c r="Z478" s="39">
        <f>データ!I478</f>
        <v>8843</v>
      </c>
      <c r="AA478" s="40" t="s">
        <v>1024</v>
      </c>
      <c r="AB478" s="40" t="s">
        <v>1322</v>
      </c>
      <c r="AC478" s="39" t="str">
        <f>データ!J478</f>
        <v>SS2</v>
      </c>
      <c r="AD478" s="38" t="s">
        <v>1024</v>
      </c>
      <c r="AE478" s="40" t="s">
        <v>1323</v>
      </c>
      <c r="AF478" s="39">
        <f>データ!K478</f>
        <v>39487</v>
      </c>
      <c r="AG478" s="40" t="s">
        <v>1024</v>
      </c>
      <c r="AH478" s="40" t="s">
        <v>1324</v>
      </c>
      <c r="AI478" s="39" t="str">
        <f>データ!L478</f>
        <v>蒼突の天護</v>
      </c>
      <c r="AJ478" s="10" t="s">
        <v>1113</v>
      </c>
      <c r="AK478" s="39" t="str">
        <f>データ!M478</f>
        <v>味方突属性の防御力をUP[極大]</v>
      </c>
      <c r="AL478" s="10" t="s">
        <v>1024</v>
      </c>
      <c r="AM478" s="40" t="s">
        <v>1325</v>
      </c>
      <c r="AN478" s="39" t="str">
        <f>データ!N478</f>
        <v>-</v>
      </c>
      <c r="AO478" s="10" t="s">
        <v>1113</v>
      </c>
      <c r="AP478" s="39" t="str">
        <f>データ!O478</f>
        <v>　</v>
      </c>
      <c r="AQ478" s="41" t="s">
        <v>1024</v>
      </c>
      <c r="AR478" s="40" t="s">
        <v>1324</v>
      </c>
      <c r="AS478" s="39" t="str">
        <f>データ!P478</f>
        <v>フォートレス／煌</v>
      </c>
      <c r="AT478" s="10" t="s">
        <v>1113</v>
      </c>
      <c r="AU478" s="39" t="str">
        <f>データ!Q478</f>
        <v>パーティ全体の防御力が特大UP(3分間)</v>
      </c>
      <c r="AV478" s="10" t="s">
        <v>1024</v>
      </c>
      <c r="AW478" s="40" t="s">
        <v>1324</v>
      </c>
      <c r="AX478" s="39" t="str">
        <f>データ!R478</f>
        <v>ランページ／絶</v>
      </c>
      <c r="AY478" s="10" t="s">
        <v>1113</v>
      </c>
      <c r="AZ478" s="39" t="str">
        <f>データ!S478</f>
        <v>バトルで獲得する騎士団戦スコアが大アップ(3分間)</v>
      </c>
      <c r="BA478" s="41" t="s">
        <v>1024</v>
      </c>
      <c r="BB478" s="40" t="s">
        <v>1319</v>
      </c>
      <c r="BC478" s="39" t="str">
        <f>データ!T478</f>
        <v>-</v>
      </c>
      <c r="BD478" s="41" t="s">
        <v>1024</v>
      </c>
      <c r="BE478" s="40" t="s">
        <v>1320</v>
      </c>
      <c r="BF478" s="39" t="str">
        <f>データ!U478</f>
        <v>-</v>
      </c>
      <c r="BG478" s="41" t="s">
        <v>1024</v>
      </c>
      <c r="BH478" s="40" t="s">
        <v>1319</v>
      </c>
      <c r="BI478" s="39" t="str">
        <f>データ!V478</f>
        <v>共闘のイリュミナシオン</v>
      </c>
      <c r="BJ478" s="41" t="s">
        <v>1024</v>
      </c>
      <c r="BK478" s="10" t="s">
        <v>1019</v>
      </c>
    </row>
    <row r="479" spans="1:63" x14ac:dyDescent="0.15">
      <c r="A479" s="10" t="s">
        <v>1016</v>
      </c>
      <c r="B479" s="10" t="s">
        <v>1454</v>
      </c>
      <c r="C479" s="38" t="str">
        <f>"./images/thumbnail/"&amp;データ!B479&amp;".jpg"</f>
        <v>./images/thumbnail/1807.jpg</v>
      </c>
      <c r="D479" s="38" t="s">
        <v>1455</v>
      </c>
      <c r="E479" s="38" t="str">
        <f>"./images/thumbnail/"&amp;データ!B479&amp;".jpg"</f>
        <v>./images/thumbnail/1807.jpg</v>
      </c>
      <c r="F479" s="38" t="s">
        <v>1116</v>
      </c>
      <c r="G479" s="38" t="s">
        <v>1319</v>
      </c>
      <c r="H479" s="38" t="str">
        <f>データ!C479</f>
        <v>フェリシアス</v>
      </c>
      <c r="I479" s="38" t="s">
        <v>1024</v>
      </c>
      <c r="J479" s="38" t="s">
        <v>1320</v>
      </c>
      <c r="K479" s="38" t="str">
        <f>データ!D479</f>
        <v>SSR</v>
      </c>
      <c r="L479" s="38" t="s">
        <v>1024</v>
      </c>
      <c r="M479" s="38" t="s">
        <v>1321</v>
      </c>
      <c r="N479" s="38">
        <f>データ!E479</f>
        <v>13</v>
      </c>
      <c r="O479" s="38" t="s">
        <v>1024</v>
      </c>
      <c r="P479" s="38" t="s">
        <v>1319</v>
      </c>
      <c r="Q479" s="38" t="str">
        <f>データ!F479</f>
        <v>突</v>
      </c>
      <c r="R479" s="38" t="s">
        <v>1024</v>
      </c>
      <c r="S479" s="38" t="s">
        <v>1319</v>
      </c>
      <c r="T479" s="39">
        <f>データ!G479</f>
        <v>17399</v>
      </c>
      <c r="U479" s="40" t="s">
        <v>1024</v>
      </c>
      <c r="V479" s="40" t="s">
        <v>1319</v>
      </c>
      <c r="W479" s="39">
        <f>データ!H479</f>
        <v>5179</v>
      </c>
      <c r="X479" s="40" t="s">
        <v>1024</v>
      </c>
      <c r="Y479" s="40" t="s">
        <v>1319</v>
      </c>
      <c r="Z479" s="39">
        <f>データ!I479</f>
        <v>6167</v>
      </c>
      <c r="AA479" s="40" t="s">
        <v>1024</v>
      </c>
      <c r="AB479" s="40" t="s">
        <v>1322</v>
      </c>
      <c r="AC479" s="39" t="str">
        <f>データ!J479</f>
        <v>SS-</v>
      </c>
      <c r="AD479" s="38" t="s">
        <v>1024</v>
      </c>
      <c r="AE479" s="40" t="s">
        <v>1323</v>
      </c>
      <c r="AF479" s="39">
        <f>データ!K479</f>
        <v>28745</v>
      </c>
      <c r="AG479" s="40" t="s">
        <v>1024</v>
      </c>
      <c r="AH479" s="40" t="s">
        <v>1324</v>
      </c>
      <c r="AI479" s="39" t="str">
        <f>データ!L479</f>
        <v>癒やしの光／絶</v>
      </c>
      <c r="AJ479" s="10" t="s">
        <v>1113</v>
      </c>
      <c r="AK479" s="39" t="str">
        <f>データ!M479</f>
        <v>最もダメージが多い味方1人のHP回復[大]</v>
      </c>
      <c r="AL479" s="10" t="s">
        <v>1024</v>
      </c>
      <c r="AM479" s="40" t="s">
        <v>1325</v>
      </c>
      <c r="AN479" s="39" t="str">
        <f>データ!N479</f>
        <v>-</v>
      </c>
      <c r="AO479" s="10" t="s">
        <v>1113</v>
      </c>
      <c r="AP479" s="39" t="str">
        <f>データ!O479</f>
        <v>　</v>
      </c>
      <c r="AQ479" s="41" t="s">
        <v>1024</v>
      </c>
      <c r="AR479" s="40" t="s">
        <v>1324</v>
      </c>
      <c r="AS479" s="39" t="str">
        <f>データ!P479</f>
        <v>ジャガーノート／真</v>
      </c>
      <c r="AT479" s="10" t="s">
        <v>1113</v>
      </c>
      <c r="AU479" s="39" t="str">
        <f>データ!Q479</f>
        <v>バトルで敵を全滅するとBPが中回復(バトル3回)</v>
      </c>
      <c r="AV479" s="10" t="s">
        <v>1024</v>
      </c>
      <c r="AW479" s="40" t="s">
        <v>1324</v>
      </c>
      <c r="AX479" s="39" t="str">
        <f>データ!R479</f>
        <v>-</v>
      </c>
      <c r="AY479" s="10" t="s">
        <v>1113</v>
      </c>
      <c r="AZ479" s="39" t="str">
        <f>データ!S479</f>
        <v>　</v>
      </c>
      <c r="BA479" s="41" t="s">
        <v>1024</v>
      </c>
      <c r="BB479" s="40" t="s">
        <v>1319</v>
      </c>
      <c r="BC479" s="39" t="str">
        <f>データ!T479</f>
        <v>-</v>
      </c>
      <c r="BD479" s="41" t="s">
        <v>1024</v>
      </c>
      <c r="BE479" s="40" t="s">
        <v>1320</v>
      </c>
      <c r="BF479" s="39" t="str">
        <f>データ!U479</f>
        <v>-</v>
      </c>
      <c r="BG479" s="41" t="s">
        <v>1024</v>
      </c>
      <c r="BH479" s="40" t="s">
        <v>1319</v>
      </c>
      <c r="BI479" s="39" t="str">
        <f>データ!V479</f>
        <v>メダル</v>
      </c>
      <c r="BJ479" s="41" t="s">
        <v>1024</v>
      </c>
      <c r="BK479" s="10" t="s">
        <v>1019</v>
      </c>
    </row>
    <row r="480" spans="1:63" x14ac:dyDescent="0.15">
      <c r="A480" s="10" t="s">
        <v>1016</v>
      </c>
      <c r="B480" s="10" t="s">
        <v>1454</v>
      </c>
      <c r="C480" s="38" t="str">
        <f>"./images/thumbnail/"&amp;データ!B480&amp;".jpg"</f>
        <v>./images/thumbnail/1808.jpg</v>
      </c>
      <c r="D480" s="38" t="s">
        <v>1455</v>
      </c>
      <c r="E480" s="38" t="str">
        <f>"./images/thumbnail/"&amp;データ!B480&amp;".jpg"</f>
        <v>./images/thumbnail/1808.jpg</v>
      </c>
      <c r="F480" s="38" t="s">
        <v>1116</v>
      </c>
      <c r="G480" s="38" t="s">
        <v>1319</v>
      </c>
      <c r="H480" s="38" t="str">
        <f>データ!C480</f>
        <v>マーヴェル</v>
      </c>
      <c r="I480" s="38" t="s">
        <v>1024</v>
      </c>
      <c r="J480" s="38" t="s">
        <v>1320</v>
      </c>
      <c r="K480" s="38" t="str">
        <f>データ!D480</f>
        <v>UR</v>
      </c>
      <c r="L480" s="38" t="s">
        <v>1024</v>
      </c>
      <c r="M480" s="38" t="s">
        <v>1321</v>
      </c>
      <c r="N480" s="38">
        <f>データ!E480</f>
        <v>14</v>
      </c>
      <c r="O480" s="38" t="s">
        <v>1024</v>
      </c>
      <c r="P480" s="38" t="s">
        <v>1319</v>
      </c>
      <c r="Q480" s="38" t="str">
        <f>データ!F480</f>
        <v>遠</v>
      </c>
      <c r="R480" s="38" t="s">
        <v>1024</v>
      </c>
      <c r="S480" s="38" t="s">
        <v>1319</v>
      </c>
      <c r="T480" s="39">
        <f>データ!G480</f>
        <v>19791</v>
      </c>
      <c r="U480" s="40" t="s">
        <v>1024</v>
      </c>
      <c r="V480" s="40" t="s">
        <v>1319</v>
      </c>
      <c r="W480" s="39">
        <f>データ!H480</f>
        <v>6903</v>
      </c>
      <c r="X480" s="40" t="s">
        <v>1024</v>
      </c>
      <c r="Y480" s="40" t="s">
        <v>1319</v>
      </c>
      <c r="Z480" s="39">
        <f>データ!I480</f>
        <v>5342</v>
      </c>
      <c r="AA480" s="40" t="s">
        <v>1024</v>
      </c>
      <c r="AB480" s="40" t="s">
        <v>1322</v>
      </c>
      <c r="AC480" s="39" t="str">
        <f>データ!J480</f>
        <v>S+</v>
      </c>
      <c r="AD480" s="38" t="s">
        <v>1024</v>
      </c>
      <c r="AE480" s="40" t="s">
        <v>1323</v>
      </c>
      <c r="AF480" s="39">
        <f>データ!K480</f>
        <v>32036</v>
      </c>
      <c r="AG480" s="40" t="s">
        <v>1024</v>
      </c>
      <c r="AH480" s="40" t="s">
        <v>1324</v>
      </c>
      <c r="AI480" s="39" t="str">
        <f>データ!L480</f>
        <v>遠翠の略奪／煌</v>
      </c>
      <c r="AJ480" s="10" t="s">
        <v>1113</v>
      </c>
      <c r="AK480" s="39" t="str">
        <f>データ!M480</f>
        <v>敵単体に攻撃しつつHP回復[特大]</v>
      </c>
      <c r="AL480" s="10" t="s">
        <v>1024</v>
      </c>
      <c r="AM480" s="40" t="s">
        <v>1325</v>
      </c>
      <c r="AN480" s="39" t="str">
        <f>データ!N480</f>
        <v>-</v>
      </c>
      <c r="AO480" s="10" t="s">
        <v>1113</v>
      </c>
      <c r="AP480" s="39" t="str">
        <f>データ!O480</f>
        <v>　</v>
      </c>
      <c r="AQ480" s="41" t="s">
        <v>1024</v>
      </c>
      <c r="AR480" s="40" t="s">
        <v>1324</v>
      </c>
      <c r="AS480" s="39" t="str">
        <f>データ!P480</f>
        <v>キャッスルヴェール／真</v>
      </c>
      <c r="AT480" s="10" t="s">
        <v>1113</v>
      </c>
      <c r="AU480" s="39" t="str">
        <f>データ!Q480</f>
        <v>城の強度Lvが中UP(3分間)</v>
      </c>
      <c r="AV480" s="10" t="s">
        <v>1024</v>
      </c>
      <c r="AW480" s="40" t="s">
        <v>1324</v>
      </c>
      <c r="AX480" s="39" t="str">
        <f>データ!R480</f>
        <v>-</v>
      </c>
      <c r="AY480" s="10" t="s">
        <v>1113</v>
      </c>
      <c r="AZ480" s="39" t="str">
        <f>データ!S480</f>
        <v>　</v>
      </c>
      <c r="BA480" s="41" t="s">
        <v>1024</v>
      </c>
      <c r="BB480" s="40" t="s">
        <v>1319</v>
      </c>
      <c r="BC480" s="39" t="str">
        <f>データ!T480</f>
        <v>-</v>
      </c>
      <c r="BD480" s="41" t="s">
        <v>1024</v>
      </c>
      <c r="BE480" s="40" t="s">
        <v>1320</v>
      </c>
      <c r="BF480" s="39" t="str">
        <f>データ!U480</f>
        <v>-</v>
      </c>
      <c r="BG480" s="41" t="s">
        <v>1024</v>
      </c>
      <c r="BH480" s="40" t="s">
        <v>1319</v>
      </c>
      <c r="BI480" s="39" t="str">
        <f>データ!V480</f>
        <v>ポーカー</v>
      </c>
      <c r="BJ480" s="41" t="s">
        <v>1024</v>
      </c>
      <c r="BK480" s="10" t="s">
        <v>1019</v>
      </c>
    </row>
    <row r="481" spans="1:63" x14ac:dyDescent="0.15">
      <c r="A481" s="10" t="s">
        <v>1016</v>
      </c>
      <c r="B481" s="10" t="s">
        <v>1454</v>
      </c>
      <c r="C481" s="38" t="str">
        <f>"./images/thumbnail/"&amp;データ!B481&amp;".jpg"</f>
        <v>./images/thumbnail/1809.jpg</v>
      </c>
      <c r="D481" s="38" t="s">
        <v>1455</v>
      </c>
      <c r="E481" s="38" t="str">
        <f>"./images/thumbnail/"&amp;データ!B481&amp;".jpg"</f>
        <v>./images/thumbnail/1809.jpg</v>
      </c>
      <c r="F481" s="38" t="s">
        <v>1116</v>
      </c>
      <c r="G481" s="38" t="s">
        <v>1319</v>
      </c>
      <c r="H481" s="38" t="str">
        <f>データ!C481</f>
        <v>ロイ</v>
      </c>
      <c r="I481" s="38" t="s">
        <v>1024</v>
      </c>
      <c r="J481" s="38" t="s">
        <v>1320</v>
      </c>
      <c r="K481" s="38" t="str">
        <f>データ!D481</f>
        <v>UR</v>
      </c>
      <c r="L481" s="38" t="s">
        <v>1024</v>
      </c>
      <c r="M481" s="38" t="s">
        <v>1321</v>
      </c>
      <c r="N481" s="38">
        <f>データ!E481</f>
        <v>14</v>
      </c>
      <c r="O481" s="38" t="s">
        <v>1024</v>
      </c>
      <c r="P481" s="38" t="s">
        <v>1319</v>
      </c>
      <c r="Q481" s="38" t="str">
        <f>データ!F481</f>
        <v>遠</v>
      </c>
      <c r="R481" s="38" t="s">
        <v>1024</v>
      </c>
      <c r="S481" s="38" t="s">
        <v>1319</v>
      </c>
      <c r="T481" s="39">
        <f>データ!G481</f>
        <v>19035</v>
      </c>
      <c r="U481" s="40" t="s">
        <v>1024</v>
      </c>
      <c r="V481" s="40" t="s">
        <v>1319</v>
      </c>
      <c r="W481" s="39">
        <f>データ!H481</f>
        <v>6648</v>
      </c>
      <c r="X481" s="40" t="s">
        <v>1024</v>
      </c>
      <c r="Y481" s="40" t="s">
        <v>1319</v>
      </c>
      <c r="Z481" s="39">
        <f>データ!I481</f>
        <v>5824</v>
      </c>
      <c r="AA481" s="40" t="s">
        <v>1024</v>
      </c>
      <c r="AB481" s="40" t="s">
        <v>1322</v>
      </c>
      <c r="AC481" s="39" t="str">
        <f>データ!J481</f>
        <v>S+</v>
      </c>
      <c r="AD481" s="38" t="s">
        <v>1024</v>
      </c>
      <c r="AE481" s="40" t="s">
        <v>1323</v>
      </c>
      <c r="AF481" s="39">
        <f>データ!K481</f>
        <v>31507</v>
      </c>
      <c r="AG481" s="40" t="s">
        <v>1024</v>
      </c>
      <c r="AH481" s="40" t="s">
        <v>1324</v>
      </c>
      <c r="AI481" s="39" t="str">
        <f>データ!L481</f>
        <v>幻射の六連撃／真</v>
      </c>
      <c r="AJ481" s="10" t="s">
        <v>1113</v>
      </c>
      <c r="AK481" s="39" t="str">
        <f>データ!M481</f>
        <v>ランダムで6連続攻撃[中]</v>
      </c>
      <c r="AL481" s="10" t="s">
        <v>1024</v>
      </c>
      <c r="AM481" s="40" t="s">
        <v>1325</v>
      </c>
      <c r="AN481" s="39" t="str">
        <f>データ!N481</f>
        <v>-</v>
      </c>
      <c r="AO481" s="10" t="s">
        <v>1113</v>
      </c>
      <c r="AP481" s="39" t="str">
        <f>データ!O481</f>
        <v>　</v>
      </c>
      <c r="AQ481" s="41" t="s">
        <v>1024</v>
      </c>
      <c r="AR481" s="40" t="s">
        <v>1324</v>
      </c>
      <c r="AS481" s="39" t="str">
        <f>データ!P481</f>
        <v>メナス／真</v>
      </c>
      <c r="AT481" s="10" t="s">
        <v>1113</v>
      </c>
      <c r="AU481" s="39" t="str">
        <f>データ!Q481</f>
        <v>対戦騎士団全体の防御力が中DOWN(3分間)</v>
      </c>
      <c r="AV481" s="10" t="s">
        <v>1024</v>
      </c>
      <c r="AW481" s="40" t="s">
        <v>1324</v>
      </c>
      <c r="AX481" s="39" t="str">
        <f>データ!R481</f>
        <v>-</v>
      </c>
      <c r="AY481" s="10" t="s">
        <v>1113</v>
      </c>
      <c r="AZ481" s="39" t="str">
        <f>データ!S481</f>
        <v>　</v>
      </c>
      <c r="BA481" s="41" t="s">
        <v>1024</v>
      </c>
      <c r="BB481" s="40" t="s">
        <v>1319</v>
      </c>
      <c r="BC481" s="39" t="str">
        <f>データ!T481</f>
        <v>-</v>
      </c>
      <c r="BD481" s="41" t="s">
        <v>1024</v>
      </c>
      <c r="BE481" s="40" t="s">
        <v>1320</v>
      </c>
      <c r="BF481" s="39" t="str">
        <f>データ!U481</f>
        <v>-</v>
      </c>
      <c r="BG481" s="41" t="s">
        <v>1024</v>
      </c>
      <c r="BH481" s="40" t="s">
        <v>1319</v>
      </c>
      <c r="BI481" s="39" t="str">
        <f>データ!V481</f>
        <v>ガチャイベ</v>
      </c>
      <c r="BJ481" s="41" t="s">
        <v>1024</v>
      </c>
      <c r="BK481" s="10" t="s">
        <v>1019</v>
      </c>
    </row>
    <row r="482" spans="1:63" x14ac:dyDescent="0.15">
      <c r="A482" s="10" t="s">
        <v>1016</v>
      </c>
      <c r="B482" s="10" t="s">
        <v>1454</v>
      </c>
      <c r="C482" s="38" t="str">
        <f>"./images/thumbnail/"&amp;データ!B482&amp;".jpg"</f>
        <v>./images/thumbnail/1810.jpg</v>
      </c>
      <c r="D482" s="38" t="s">
        <v>1455</v>
      </c>
      <c r="E482" s="38" t="str">
        <f>"./images/thumbnail/"&amp;データ!B482&amp;".jpg"</f>
        <v>./images/thumbnail/1810.jpg</v>
      </c>
      <c r="F482" s="38" t="s">
        <v>1116</v>
      </c>
      <c r="G482" s="38" t="s">
        <v>1319</v>
      </c>
      <c r="H482" s="38" t="str">
        <f>データ!C482</f>
        <v>エドヴァルド</v>
      </c>
      <c r="I482" s="38" t="s">
        <v>1024</v>
      </c>
      <c r="J482" s="38" t="s">
        <v>1320</v>
      </c>
      <c r="K482" s="38" t="str">
        <f>データ!D482</f>
        <v>UR</v>
      </c>
      <c r="L482" s="38" t="s">
        <v>1024</v>
      </c>
      <c r="M482" s="38" t="s">
        <v>1321</v>
      </c>
      <c r="N482" s="38">
        <f>データ!E482</f>
        <v>14</v>
      </c>
      <c r="O482" s="38" t="s">
        <v>1024</v>
      </c>
      <c r="P482" s="38" t="s">
        <v>1319</v>
      </c>
      <c r="Q482" s="38" t="str">
        <f>データ!F482</f>
        <v>斬</v>
      </c>
      <c r="R482" s="38" t="s">
        <v>1024</v>
      </c>
      <c r="S482" s="38" t="s">
        <v>1319</v>
      </c>
      <c r="T482" s="39">
        <f>データ!G482</f>
        <v>16211</v>
      </c>
      <c r="U482" s="40" t="s">
        <v>1024</v>
      </c>
      <c r="V482" s="40" t="s">
        <v>1319</v>
      </c>
      <c r="W482" s="39">
        <f>データ!H482</f>
        <v>7456</v>
      </c>
      <c r="X482" s="40" t="s">
        <v>1024</v>
      </c>
      <c r="Y482" s="40" t="s">
        <v>1319</v>
      </c>
      <c r="Z482" s="39">
        <f>データ!I482</f>
        <v>7087</v>
      </c>
      <c r="AA482" s="40" t="s">
        <v>1024</v>
      </c>
      <c r="AB482" s="40" t="s">
        <v>1322</v>
      </c>
      <c r="AC482" s="39" t="str">
        <f>データ!J482</f>
        <v>S</v>
      </c>
      <c r="AD482" s="38" t="s">
        <v>1024</v>
      </c>
      <c r="AE482" s="40" t="s">
        <v>1323</v>
      </c>
      <c r="AF482" s="39">
        <f>データ!K482</f>
        <v>30754</v>
      </c>
      <c r="AG482" s="40" t="s">
        <v>1024</v>
      </c>
      <c r="AH482" s="40" t="s">
        <v>1324</v>
      </c>
      <c r="AI482" s="39" t="str">
        <f>データ!L482</f>
        <v>斬紅の業火／絶</v>
      </c>
      <c r="AJ482" s="10" t="s">
        <v>1113</v>
      </c>
      <c r="AK482" s="39" t="str">
        <f>データ!M482</f>
        <v>次の攻撃でダメージが上昇する[大]</v>
      </c>
      <c r="AL482" s="10" t="s">
        <v>1024</v>
      </c>
      <c r="AM482" s="40" t="s">
        <v>1325</v>
      </c>
      <c r="AN482" s="39" t="str">
        <f>データ!N482</f>
        <v>-</v>
      </c>
      <c r="AO482" s="10" t="s">
        <v>1113</v>
      </c>
      <c r="AP482" s="39" t="str">
        <f>データ!O482</f>
        <v>　</v>
      </c>
      <c r="AQ482" s="41" t="s">
        <v>1024</v>
      </c>
      <c r="AR482" s="40" t="s">
        <v>1324</v>
      </c>
      <c r="AS482" s="39" t="str">
        <f>データ!P482</f>
        <v>フォートレス／絶</v>
      </c>
      <c r="AT482" s="10" t="s">
        <v>1113</v>
      </c>
      <c r="AU482" s="39" t="str">
        <f>データ!Q482</f>
        <v>パーティ全体の防御力が大UP(3分間)</v>
      </c>
      <c r="AV482" s="10" t="s">
        <v>1024</v>
      </c>
      <c r="AW482" s="40" t="s">
        <v>1324</v>
      </c>
      <c r="AX482" s="39" t="str">
        <f>データ!R482</f>
        <v>-</v>
      </c>
      <c r="AY482" s="10" t="s">
        <v>1113</v>
      </c>
      <c r="AZ482" s="39" t="str">
        <f>データ!S482</f>
        <v>　</v>
      </c>
      <c r="BA482" s="41" t="s">
        <v>1024</v>
      </c>
      <c r="BB482" s="40" t="s">
        <v>1319</v>
      </c>
      <c r="BC482" s="39" t="str">
        <f>データ!T482</f>
        <v>-</v>
      </c>
      <c r="BD482" s="41" t="s">
        <v>1024</v>
      </c>
      <c r="BE482" s="40" t="s">
        <v>1320</v>
      </c>
      <c r="BF482" s="39" t="str">
        <f>データ!U482</f>
        <v>-</v>
      </c>
      <c r="BG482" s="41" t="s">
        <v>1024</v>
      </c>
      <c r="BH482" s="40" t="s">
        <v>1319</v>
      </c>
      <c r="BI482" s="39" t="str">
        <f>データ!V482</f>
        <v>もっと教えて！エドヴァルド先生祭！！</v>
      </c>
      <c r="BJ482" s="41" t="s">
        <v>1024</v>
      </c>
      <c r="BK482" s="10" t="s">
        <v>1019</v>
      </c>
    </row>
    <row r="483" spans="1:63" x14ac:dyDescent="0.15">
      <c r="A483" s="10" t="s">
        <v>1016</v>
      </c>
      <c r="B483" s="10" t="s">
        <v>1454</v>
      </c>
      <c r="C483" s="38" t="str">
        <f>"./images/thumbnail/"&amp;データ!B483&amp;".jpg"</f>
        <v>./images/thumbnail/1811.jpg</v>
      </c>
      <c r="D483" s="38" t="s">
        <v>1455</v>
      </c>
      <c r="E483" s="38" t="str">
        <f>"./images/thumbnail/"&amp;データ!B483&amp;".jpg"</f>
        <v>./images/thumbnail/1811.jpg</v>
      </c>
      <c r="F483" s="38" t="s">
        <v>1116</v>
      </c>
      <c r="G483" s="38" t="s">
        <v>1319</v>
      </c>
      <c r="H483" s="38" t="str">
        <f>データ!C483</f>
        <v>キュオスティ</v>
      </c>
      <c r="I483" s="38" t="s">
        <v>1024</v>
      </c>
      <c r="J483" s="38" t="s">
        <v>1320</v>
      </c>
      <c r="K483" s="38" t="str">
        <f>データ!D483</f>
        <v>UR</v>
      </c>
      <c r="L483" s="38" t="s">
        <v>1024</v>
      </c>
      <c r="M483" s="38" t="s">
        <v>1321</v>
      </c>
      <c r="N483" s="38">
        <f>データ!E483</f>
        <v>14</v>
      </c>
      <c r="O483" s="38" t="s">
        <v>1024</v>
      </c>
      <c r="P483" s="38" t="s">
        <v>1319</v>
      </c>
      <c r="Q483" s="38" t="str">
        <f>データ!F483</f>
        <v>斬</v>
      </c>
      <c r="R483" s="38" t="s">
        <v>1024</v>
      </c>
      <c r="S483" s="38" t="s">
        <v>1319</v>
      </c>
      <c r="T483" s="39">
        <f>データ!G483</f>
        <v>17024</v>
      </c>
      <c r="U483" s="40" t="s">
        <v>1024</v>
      </c>
      <c r="V483" s="40" t="s">
        <v>1319</v>
      </c>
      <c r="W483" s="39">
        <f>データ!H483</f>
        <v>8988</v>
      </c>
      <c r="X483" s="40" t="s">
        <v>1024</v>
      </c>
      <c r="Y483" s="40" t="s">
        <v>1319</v>
      </c>
      <c r="Z483" s="39">
        <f>データ!I483</f>
        <v>6114</v>
      </c>
      <c r="AA483" s="40" t="s">
        <v>1024</v>
      </c>
      <c r="AB483" s="40" t="s">
        <v>1322</v>
      </c>
      <c r="AC483" s="39" t="str">
        <f>データ!J483</f>
        <v>S</v>
      </c>
      <c r="AD483" s="38" t="s">
        <v>1024</v>
      </c>
      <c r="AE483" s="40" t="s">
        <v>1323</v>
      </c>
      <c r="AF483" s="39">
        <f>データ!K483</f>
        <v>32126</v>
      </c>
      <c r="AG483" s="40" t="s">
        <v>1024</v>
      </c>
      <c r="AH483" s="40" t="s">
        <v>1324</v>
      </c>
      <c r="AI483" s="39" t="str">
        <f>データ!L483</f>
        <v>地焔幻の一閃／煌</v>
      </c>
      <c r="AJ483" s="10" t="s">
        <v>1113</v>
      </c>
      <c r="AK483" s="39" t="str">
        <f>データ!M483</f>
        <v>横一列攻撃[特大]自分の防御力UP[特大]</v>
      </c>
      <c r="AL483" s="10" t="s">
        <v>1024</v>
      </c>
      <c r="AM483" s="40" t="s">
        <v>1325</v>
      </c>
      <c r="AN483" s="39" t="str">
        <f>データ!N483</f>
        <v>-</v>
      </c>
      <c r="AO483" s="10" t="s">
        <v>1113</v>
      </c>
      <c r="AP483" s="39" t="str">
        <f>データ!O483</f>
        <v>　</v>
      </c>
      <c r="AQ483" s="41" t="s">
        <v>1024</v>
      </c>
      <c r="AR483" s="40" t="s">
        <v>1324</v>
      </c>
      <c r="AS483" s="39" t="str">
        <f>データ!P483</f>
        <v>ランページ／絶</v>
      </c>
      <c r="AT483" s="10" t="s">
        <v>1113</v>
      </c>
      <c r="AU483" s="39" t="str">
        <f>データ!Q483</f>
        <v>バトルで獲得する騎士団戦スコアが大アップ(3分間)</v>
      </c>
      <c r="AV483" s="10" t="s">
        <v>1024</v>
      </c>
      <c r="AW483" s="40" t="s">
        <v>1324</v>
      </c>
      <c r="AX483" s="39" t="str">
        <f>データ!R483</f>
        <v>-</v>
      </c>
      <c r="AY483" s="10" t="s">
        <v>1113</v>
      </c>
      <c r="AZ483" s="39" t="str">
        <f>データ!S483</f>
        <v>　</v>
      </c>
      <c r="BA483" s="41" t="s">
        <v>1024</v>
      </c>
      <c r="BB483" s="40" t="s">
        <v>1319</v>
      </c>
      <c r="BC483" s="39" t="str">
        <f>データ!T483</f>
        <v>-</v>
      </c>
      <c r="BD483" s="41" t="s">
        <v>1024</v>
      </c>
      <c r="BE483" s="40" t="s">
        <v>1320</v>
      </c>
      <c r="BF483" s="39" t="str">
        <f>データ!U483</f>
        <v>-</v>
      </c>
      <c r="BG483" s="41" t="s">
        <v>1024</v>
      </c>
      <c r="BH483" s="40" t="s">
        <v>1319</v>
      </c>
      <c r="BI483" s="39" t="str">
        <f>データ!V483</f>
        <v>ガチャイベ</v>
      </c>
      <c r="BJ483" s="41" t="s">
        <v>1024</v>
      </c>
      <c r="BK483" s="10" t="s">
        <v>1019</v>
      </c>
    </row>
    <row r="484" spans="1:63" x14ac:dyDescent="0.15">
      <c r="A484" s="10" t="s">
        <v>1016</v>
      </c>
      <c r="B484" s="10" t="s">
        <v>1454</v>
      </c>
      <c r="C484" s="38" t="str">
        <f>"./images/thumbnail/"&amp;データ!B484&amp;".jpg"</f>
        <v>./images/thumbnail/1812.jpg</v>
      </c>
      <c r="D484" s="38" t="s">
        <v>1455</v>
      </c>
      <c r="E484" s="38" t="str">
        <f>"./images/thumbnail/"&amp;データ!B484&amp;".jpg"</f>
        <v>./images/thumbnail/1812.jpg</v>
      </c>
      <c r="F484" s="38" t="s">
        <v>1116</v>
      </c>
      <c r="G484" s="38" t="s">
        <v>1319</v>
      </c>
      <c r="H484" s="38" t="str">
        <f>データ!C484</f>
        <v>デフロット</v>
      </c>
      <c r="I484" s="38" t="s">
        <v>1024</v>
      </c>
      <c r="J484" s="38" t="s">
        <v>1320</v>
      </c>
      <c r="K484" s="38" t="str">
        <f>データ!D484</f>
        <v>UR</v>
      </c>
      <c r="L484" s="38" t="s">
        <v>1024</v>
      </c>
      <c r="M484" s="38" t="s">
        <v>1321</v>
      </c>
      <c r="N484" s="38">
        <f>データ!E484</f>
        <v>14</v>
      </c>
      <c r="O484" s="38" t="s">
        <v>1024</v>
      </c>
      <c r="P484" s="38" t="s">
        <v>1319</v>
      </c>
      <c r="Q484" s="38" t="str">
        <f>データ!F484</f>
        <v>突</v>
      </c>
      <c r="R484" s="38" t="s">
        <v>1024</v>
      </c>
      <c r="S484" s="38" t="s">
        <v>1319</v>
      </c>
      <c r="T484" s="39">
        <f>データ!G484</f>
        <v>22000</v>
      </c>
      <c r="U484" s="40" t="s">
        <v>1024</v>
      </c>
      <c r="V484" s="40" t="s">
        <v>1319</v>
      </c>
      <c r="W484" s="39">
        <f>データ!H484</f>
        <v>6549</v>
      </c>
      <c r="X484" s="40" t="s">
        <v>1024</v>
      </c>
      <c r="Y484" s="40" t="s">
        <v>1319</v>
      </c>
      <c r="Z484" s="39">
        <f>データ!I484</f>
        <v>6034</v>
      </c>
      <c r="AA484" s="40" t="s">
        <v>1024</v>
      </c>
      <c r="AB484" s="40" t="s">
        <v>1322</v>
      </c>
      <c r="AC484" s="39" t="str">
        <f>データ!J484</f>
        <v>SS+</v>
      </c>
      <c r="AD484" s="38" t="s">
        <v>1024</v>
      </c>
      <c r="AE484" s="40" t="s">
        <v>1323</v>
      </c>
      <c r="AF484" s="39">
        <f>データ!K484</f>
        <v>34583</v>
      </c>
      <c r="AG484" s="40" t="s">
        <v>1024</v>
      </c>
      <c r="AH484" s="40" t="s">
        <v>1324</v>
      </c>
      <c r="AI484" s="39" t="str">
        <f>データ!L484</f>
        <v>地魔幻の閃光／煌</v>
      </c>
      <c r="AJ484" s="10" t="s">
        <v>1113</v>
      </c>
      <c r="AK484" s="39" t="str">
        <f>データ!M484</f>
        <v>縦一列攻撃[特大]自分の防御力UP[特大]</v>
      </c>
      <c r="AL484" s="10" t="s">
        <v>1024</v>
      </c>
      <c r="AM484" s="40" t="s">
        <v>1325</v>
      </c>
      <c r="AN484" s="39" t="str">
        <f>データ!N484</f>
        <v>-</v>
      </c>
      <c r="AO484" s="10" t="s">
        <v>1113</v>
      </c>
      <c r="AP484" s="39" t="str">
        <f>データ!O484</f>
        <v>　</v>
      </c>
      <c r="AQ484" s="41" t="s">
        <v>1024</v>
      </c>
      <c r="AR484" s="40" t="s">
        <v>1324</v>
      </c>
      <c r="AS484" s="39" t="str">
        <f>データ!P484</f>
        <v>エクスドライブ／絶</v>
      </c>
      <c r="AT484" s="10" t="s">
        <v>1113</v>
      </c>
      <c r="AU484" s="39" t="str">
        <f>データ!Q484</f>
        <v>キリ番CB時の獲得ポイント大UP(3分間)</v>
      </c>
      <c r="AV484" s="10" t="s">
        <v>1024</v>
      </c>
      <c r="AW484" s="40" t="s">
        <v>1324</v>
      </c>
      <c r="AX484" s="39" t="str">
        <f>データ!R484</f>
        <v>-</v>
      </c>
      <c r="AY484" s="10" t="s">
        <v>1113</v>
      </c>
      <c r="AZ484" s="39" t="str">
        <f>データ!S484</f>
        <v>　</v>
      </c>
      <c r="BA484" s="41" t="s">
        <v>1024</v>
      </c>
      <c r="BB484" s="40" t="s">
        <v>1319</v>
      </c>
      <c r="BC484" s="39" t="str">
        <f>データ!T484</f>
        <v>-</v>
      </c>
      <c r="BD484" s="41" t="s">
        <v>1024</v>
      </c>
      <c r="BE484" s="40" t="s">
        <v>1320</v>
      </c>
      <c r="BF484" s="39" t="str">
        <f>データ!U484</f>
        <v>-</v>
      </c>
      <c r="BG484" s="41" t="s">
        <v>1024</v>
      </c>
      <c r="BH484" s="40" t="s">
        <v>1319</v>
      </c>
      <c r="BI484" s="39" t="str">
        <f>データ!V484</f>
        <v>ガチャイベ</v>
      </c>
      <c r="BJ484" s="41" t="s">
        <v>1024</v>
      </c>
      <c r="BK484" s="10" t="s">
        <v>1019</v>
      </c>
    </row>
    <row r="485" spans="1:63" x14ac:dyDescent="0.15">
      <c r="A485" s="10" t="s">
        <v>1016</v>
      </c>
      <c r="B485" s="10" t="s">
        <v>1454</v>
      </c>
      <c r="C485" s="38" t="str">
        <f>"./images/thumbnail/"&amp;データ!B485&amp;".jpg"</f>
        <v>./images/thumbnail/1813.jpg</v>
      </c>
      <c r="D485" s="38" t="s">
        <v>1455</v>
      </c>
      <c r="E485" s="38" t="str">
        <f>"./images/thumbnail/"&amp;データ!B485&amp;".jpg"</f>
        <v>./images/thumbnail/1813.jpg</v>
      </c>
      <c r="F485" s="38" t="s">
        <v>1116</v>
      </c>
      <c r="G485" s="38" t="s">
        <v>1319</v>
      </c>
      <c r="H485" s="38" t="str">
        <f>データ!C485</f>
        <v>フェルナンド</v>
      </c>
      <c r="I485" s="38" t="s">
        <v>1024</v>
      </c>
      <c r="J485" s="38" t="s">
        <v>1320</v>
      </c>
      <c r="K485" s="38" t="str">
        <f>データ!D485</f>
        <v>UR</v>
      </c>
      <c r="L485" s="38" t="s">
        <v>1024</v>
      </c>
      <c r="M485" s="38" t="s">
        <v>1321</v>
      </c>
      <c r="N485" s="38">
        <f>データ!E485</f>
        <v>14</v>
      </c>
      <c r="O485" s="38" t="s">
        <v>1024</v>
      </c>
      <c r="P485" s="38" t="s">
        <v>1319</v>
      </c>
      <c r="Q485" s="38" t="str">
        <f>データ!F485</f>
        <v>斬</v>
      </c>
      <c r="R485" s="38" t="s">
        <v>1024</v>
      </c>
      <c r="S485" s="38" t="s">
        <v>1319</v>
      </c>
      <c r="T485" s="39">
        <f>データ!G485</f>
        <v>18785</v>
      </c>
      <c r="U485" s="40" t="s">
        <v>1024</v>
      </c>
      <c r="V485" s="40" t="s">
        <v>1319</v>
      </c>
      <c r="W485" s="39">
        <f>データ!H485</f>
        <v>8633</v>
      </c>
      <c r="X485" s="40" t="s">
        <v>1024</v>
      </c>
      <c r="Y485" s="40" t="s">
        <v>1319</v>
      </c>
      <c r="Z485" s="39">
        <f>データ!I485</f>
        <v>5811</v>
      </c>
      <c r="AA485" s="40" t="s">
        <v>1024</v>
      </c>
      <c r="AB485" s="40" t="s">
        <v>1322</v>
      </c>
      <c r="AC485" s="39" t="str">
        <f>データ!J485</f>
        <v>S</v>
      </c>
      <c r="AD485" s="38" t="s">
        <v>1024</v>
      </c>
      <c r="AE485" s="40" t="s">
        <v>1323</v>
      </c>
      <c r="AF485" s="39">
        <f>データ!K485</f>
        <v>33229</v>
      </c>
      <c r="AG485" s="40" t="s">
        <v>1024</v>
      </c>
      <c r="AH485" s="40" t="s">
        <v>1324</v>
      </c>
      <c r="AI485" s="39" t="str">
        <f>データ!L485</f>
        <v>地幻氷の縦十字／煌</v>
      </c>
      <c r="AJ485" s="10" t="s">
        <v>1113</v>
      </c>
      <c r="AK485" s="39" t="str">
        <f>データ!M485</f>
        <v>十字型攻撃[特大]自分の防御力UP[特大]</v>
      </c>
      <c r="AL485" s="10" t="s">
        <v>1024</v>
      </c>
      <c r="AM485" s="40" t="s">
        <v>1325</v>
      </c>
      <c r="AN485" s="39" t="str">
        <f>データ!N485</f>
        <v>-</v>
      </c>
      <c r="AO485" s="10" t="s">
        <v>1113</v>
      </c>
      <c r="AP485" s="39" t="str">
        <f>データ!O485</f>
        <v>　</v>
      </c>
      <c r="AQ485" s="41" t="s">
        <v>1024</v>
      </c>
      <c r="AR485" s="40" t="s">
        <v>1324</v>
      </c>
      <c r="AS485" s="39" t="str">
        <f>データ!P485</f>
        <v>エースオーダー／真</v>
      </c>
      <c r="AT485" s="10" t="s">
        <v>1113</v>
      </c>
      <c r="AU485" s="39" t="str">
        <f>データ!Q485</f>
        <v>騎士団全体の攻・防が中UP(3分間)</v>
      </c>
      <c r="AV485" s="10" t="s">
        <v>1024</v>
      </c>
      <c r="AW485" s="40" t="s">
        <v>1324</v>
      </c>
      <c r="AX485" s="39" t="str">
        <f>データ!R485</f>
        <v>-</v>
      </c>
      <c r="AY485" s="10" t="s">
        <v>1113</v>
      </c>
      <c r="AZ485" s="39" t="str">
        <f>データ!S485</f>
        <v>　</v>
      </c>
      <c r="BA485" s="41" t="s">
        <v>1024</v>
      </c>
      <c r="BB485" s="40" t="s">
        <v>1319</v>
      </c>
      <c r="BC485" s="39" t="str">
        <f>データ!T485</f>
        <v>-</v>
      </c>
      <c r="BD485" s="41" t="s">
        <v>1024</v>
      </c>
      <c r="BE485" s="40" t="s">
        <v>1320</v>
      </c>
      <c r="BF485" s="39" t="str">
        <f>データ!U485</f>
        <v>-</v>
      </c>
      <c r="BG485" s="41" t="s">
        <v>1024</v>
      </c>
      <c r="BH485" s="40" t="s">
        <v>1319</v>
      </c>
      <c r="BI485" s="39" t="str">
        <f>データ!V485</f>
        <v>ガチャイベ</v>
      </c>
      <c r="BJ485" s="41" t="s">
        <v>1024</v>
      </c>
      <c r="BK485" s="10" t="s">
        <v>1019</v>
      </c>
    </row>
    <row r="486" spans="1:63" x14ac:dyDescent="0.15">
      <c r="A486" s="10" t="s">
        <v>1016</v>
      </c>
      <c r="B486" s="10" t="s">
        <v>1454</v>
      </c>
      <c r="C486" s="38" t="str">
        <f>"./images/thumbnail/"&amp;データ!B486&amp;".jpg"</f>
        <v>./images/thumbnail/1814.jpg</v>
      </c>
      <c r="D486" s="38" t="s">
        <v>1455</v>
      </c>
      <c r="E486" s="38" t="str">
        <f>"./images/thumbnail/"&amp;データ!B486&amp;".jpg"</f>
        <v>./images/thumbnail/1814.jpg</v>
      </c>
      <c r="F486" s="38" t="s">
        <v>1116</v>
      </c>
      <c r="G486" s="38" t="s">
        <v>1319</v>
      </c>
      <c r="H486" s="38" t="str">
        <f>データ!C486</f>
        <v>ノンノリア</v>
      </c>
      <c r="I486" s="38" t="s">
        <v>1024</v>
      </c>
      <c r="J486" s="38" t="s">
        <v>1320</v>
      </c>
      <c r="K486" s="38" t="str">
        <f>データ!D486</f>
        <v>UR</v>
      </c>
      <c r="L486" s="38" t="s">
        <v>1024</v>
      </c>
      <c r="M486" s="38" t="s">
        <v>1321</v>
      </c>
      <c r="N486" s="38">
        <f>データ!E486</f>
        <v>14</v>
      </c>
      <c r="O486" s="38" t="s">
        <v>1024</v>
      </c>
      <c r="P486" s="38" t="s">
        <v>1319</v>
      </c>
      <c r="Q486" s="38" t="str">
        <f>データ!F486</f>
        <v>遠</v>
      </c>
      <c r="R486" s="38" t="s">
        <v>1024</v>
      </c>
      <c r="S486" s="38" t="s">
        <v>1319</v>
      </c>
      <c r="T486" s="39">
        <f>データ!G486</f>
        <v>18419</v>
      </c>
      <c r="U486" s="40" t="s">
        <v>1024</v>
      </c>
      <c r="V486" s="40" t="s">
        <v>1319</v>
      </c>
      <c r="W486" s="39">
        <f>データ!H486</f>
        <v>7382</v>
      </c>
      <c r="X486" s="40" t="s">
        <v>1024</v>
      </c>
      <c r="Y486" s="40" t="s">
        <v>1319</v>
      </c>
      <c r="Z486" s="39">
        <f>データ!I486</f>
        <v>5739</v>
      </c>
      <c r="AA486" s="40" t="s">
        <v>1024</v>
      </c>
      <c r="AB486" s="40" t="s">
        <v>1322</v>
      </c>
      <c r="AC486" s="39" t="str">
        <f>データ!J486</f>
        <v>S+</v>
      </c>
      <c r="AD486" s="38" t="s">
        <v>1024</v>
      </c>
      <c r="AE486" s="40" t="s">
        <v>1323</v>
      </c>
      <c r="AF486" s="39">
        <f>データ!K486</f>
        <v>31540</v>
      </c>
      <c r="AG486" s="40" t="s">
        <v>1024</v>
      </c>
      <c r="AH486" s="40" t="s">
        <v>1324</v>
      </c>
      <c r="AI486" s="39" t="str">
        <f>データ!L486</f>
        <v>天使の微笑／絶</v>
      </c>
      <c r="AJ486" s="10" t="s">
        <v>1113</v>
      </c>
      <c r="AK486" s="39" t="str">
        <f>データ!M486</f>
        <v>味方全員のHPを回復[大]</v>
      </c>
      <c r="AL486" s="10" t="s">
        <v>1024</v>
      </c>
      <c r="AM486" s="40" t="s">
        <v>1325</v>
      </c>
      <c r="AN486" s="39" t="str">
        <f>データ!N486</f>
        <v>-</v>
      </c>
      <c r="AO486" s="10" t="s">
        <v>1113</v>
      </c>
      <c r="AP486" s="39" t="str">
        <f>データ!O486</f>
        <v>　</v>
      </c>
      <c r="AQ486" s="41" t="s">
        <v>1024</v>
      </c>
      <c r="AR486" s="40" t="s">
        <v>1324</v>
      </c>
      <c r="AS486" s="39" t="str">
        <f>データ!P486</f>
        <v>フォートレスオーダー／真</v>
      </c>
      <c r="AT486" s="10" t="s">
        <v>1113</v>
      </c>
      <c r="AU486" s="39" t="str">
        <f>データ!Q486</f>
        <v>騎士団全体の防御力が中UP(3分間)</v>
      </c>
      <c r="AV486" s="10" t="s">
        <v>1024</v>
      </c>
      <c r="AW486" s="40" t="s">
        <v>1324</v>
      </c>
      <c r="AX486" s="39" t="str">
        <f>データ!R486</f>
        <v>-</v>
      </c>
      <c r="AY486" s="10" t="s">
        <v>1113</v>
      </c>
      <c r="AZ486" s="39" t="str">
        <f>データ!S486</f>
        <v>　</v>
      </c>
      <c r="BA486" s="41" t="s">
        <v>1024</v>
      </c>
      <c r="BB486" s="40" t="s">
        <v>1319</v>
      </c>
      <c r="BC486" s="39" t="str">
        <f>データ!T486</f>
        <v>-</v>
      </c>
      <c r="BD486" s="41" t="s">
        <v>1024</v>
      </c>
      <c r="BE486" s="40" t="s">
        <v>1320</v>
      </c>
      <c r="BF486" s="39" t="str">
        <f>データ!U486</f>
        <v>-</v>
      </c>
      <c r="BG486" s="41" t="s">
        <v>1024</v>
      </c>
      <c r="BH486" s="40" t="s">
        <v>1319</v>
      </c>
      <c r="BI486" s="39" t="str">
        <f>データ!V486</f>
        <v>ガチャイベ</v>
      </c>
      <c r="BJ486" s="41" t="s">
        <v>1024</v>
      </c>
      <c r="BK486" s="10" t="s">
        <v>1019</v>
      </c>
    </row>
    <row r="487" spans="1:63" x14ac:dyDescent="0.15">
      <c r="A487" s="10" t="s">
        <v>1016</v>
      </c>
      <c r="B487" s="10" t="s">
        <v>1454</v>
      </c>
      <c r="C487" s="38" t="str">
        <f>"./images/thumbnail/"&amp;データ!B487&amp;".jpg"</f>
        <v>./images/thumbnail/1814_a.jpg</v>
      </c>
      <c r="D487" s="38" t="s">
        <v>1455</v>
      </c>
      <c r="E487" s="38" t="str">
        <f>"./images/thumbnail/"&amp;データ!B487&amp;".jpg"</f>
        <v>./images/thumbnail/1814_a.jpg</v>
      </c>
      <c r="F487" s="38" t="s">
        <v>1116</v>
      </c>
      <c r="G487" s="38" t="s">
        <v>1319</v>
      </c>
      <c r="H487" s="38" t="str">
        <f>データ!C487</f>
        <v>ノンノリア</v>
      </c>
      <c r="I487" s="38" t="s">
        <v>1024</v>
      </c>
      <c r="J487" s="38" t="s">
        <v>1320</v>
      </c>
      <c r="K487" s="38" t="str">
        <f>データ!D487</f>
        <v>UR</v>
      </c>
      <c r="L487" s="38" t="s">
        <v>1024</v>
      </c>
      <c r="M487" s="38" t="s">
        <v>1321</v>
      </c>
      <c r="N487" s="38">
        <f>データ!E487</f>
        <v>14</v>
      </c>
      <c r="O487" s="38" t="s">
        <v>1024</v>
      </c>
      <c r="P487" s="38" t="s">
        <v>1319</v>
      </c>
      <c r="Q487" s="38" t="str">
        <f>データ!F487</f>
        <v>遠</v>
      </c>
      <c r="R487" s="38" t="s">
        <v>1024</v>
      </c>
      <c r="S487" s="38" t="s">
        <v>1319</v>
      </c>
      <c r="T487" s="39">
        <f>データ!G487</f>
        <v>23942</v>
      </c>
      <c r="U487" s="40" t="s">
        <v>1024</v>
      </c>
      <c r="V487" s="40" t="s">
        <v>1319</v>
      </c>
      <c r="W487" s="39">
        <f>データ!H487</f>
        <v>9230</v>
      </c>
      <c r="X487" s="40" t="s">
        <v>1024</v>
      </c>
      <c r="Y487" s="40" t="s">
        <v>1319</v>
      </c>
      <c r="Z487" s="39">
        <f>データ!I487</f>
        <v>7755</v>
      </c>
      <c r="AA487" s="40" t="s">
        <v>1024</v>
      </c>
      <c r="AB487" s="40" t="s">
        <v>1322</v>
      </c>
      <c r="AC487" s="39" t="str">
        <f>データ!J487</f>
        <v>SS1</v>
      </c>
      <c r="AD487" s="38" t="s">
        <v>1024</v>
      </c>
      <c r="AE487" s="40" t="s">
        <v>1323</v>
      </c>
      <c r="AF487" s="39">
        <f>データ!K487</f>
        <v>40927</v>
      </c>
      <c r="AG487" s="40" t="s">
        <v>1024</v>
      </c>
      <c r="AH487" s="40" t="s">
        <v>1324</v>
      </c>
      <c r="AI487" s="39" t="str">
        <f>データ!L487</f>
        <v>天使の微笑／絶＋</v>
      </c>
      <c r="AJ487" s="10" t="s">
        <v>1113</v>
      </c>
      <c r="AK487" s="39" t="str">
        <f>データ!M487</f>
        <v>味方全員のHPを回復[特大]</v>
      </c>
      <c r="AL487" s="10" t="s">
        <v>1024</v>
      </c>
      <c r="AM487" s="40" t="s">
        <v>1325</v>
      </c>
      <c r="AN487" s="39" t="str">
        <f>データ!N487</f>
        <v>-</v>
      </c>
      <c r="AO487" s="10" t="s">
        <v>1113</v>
      </c>
      <c r="AP487" s="39" t="str">
        <f>データ!O487</f>
        <v>　</v>
      </c>
      <c r="AQ487" s="41" t="s">
        <v>1024</v>
      </c>
      <c r="AR487" s="40" t="s">
        <v>1324</v>
      </c>
      <c r="AS487" s="39" t="str">
        <f>データ!P487</f>
        <v>フォートレスオーダー／真</v>
      </c>
      <c r="AT487" s="10" t="s">
        <v>1113</v>
      </c>
      <c r="AU487" s="39" t="str">
        <f>データ!Q487</f>
        <v>騎士団全体の防御力が中UP(3分間)</v>
      </c>
      <c r="AV487" s="10" t="s">
        <v>1024</v>
      </c>
      <c r="AW487" s="40" t="s">
        <v>1324</v>
      </c>
      <c r="AX487" s="39" t="str">
        <f>データ!R487</f>
        <v>-</v>
      </c>
      <c r="AY487" s="10" t="s">
        <v>1113</v>
      </c>
      <c r="AZ487" s="39" t="str">
        <f>データ!S487</f>
        <v>　</v>
      </c>
      <c r="BA487" s="41" t="s">
        <v>1024</v>
      </c>
      <c r="BB487" s="40" t="s">
        <v>1319</v>
      </c>
      <c r="BC487" s="39" t="str">
        <f>データ!T487</f>
        <v>-</v>
      </c>
      <c r="BD487" s="41" t="s">
        <v>1024</v>
      </c>
      <c r="BE487" s="40" t="s">
        <v>1320</v>
      </c>
      <c r="BF487" s="39" t="str">
        <f>データ!U487</f>
        <v>-</v>
      </c>
      <c r="BG487" s="41" t="s">
        <v>1024</v>
      </c>
      <c r="BH487" s="40" t="s">
        <v>1319</v>
      </c>
      <c r="BI487" s="39" t="str">
        <f>データ!V487</f>
        <v>精鋭化ユニット</v>
      </c>
      <c r="BJ487" s="41" t="s">
        <v>1024</v>
      </c>
      <c r="BK487" s="10" t="s">
        <v>1019</v>
      </c>
    </row>
    <row r="488" spans="1:63" x14ac:dyDescent="0.15">
      <c r="A488" s="10" t="s">
        <v>1016</v>
      </c>
      <c r="B488" s="10" t="s">
        <v>1454</v>
      </c>
      <c r="C488" s="38" t="str">
        <f>"./images/thumbnail/"&amp;データ!B488&amp;".jpg"</f>
        <v>./images/thumbnail/1814_b.jpg</v>
      </c>
      <c r="D488" s="38" t="s">
        <v>1455</v>
      </c>
      <c r="E488" s="38" t="str">
        <f>"./images/thumbnail/"&amp;データ!B488&amp;".jpg"</f>
        <v>./images/thumbnail/1814_b.jpg</v>
      </c>
      <c r="F488" s="38" t="s">
        <v>1116</v>
      </c>
      <c r="G488" s="38" t="s">
        <v>1319</v>
      </c>
      <c r="H488" s="38" t="str">
        <f>データ!C488</f>
        <v>ノンノリア</v>
      </c>
      <c r="I488" s="38" t="s">
        <v>1024</v>
      </c>
      <c r="J488" s="38" t="s">
        <v>1320</v>
      </c>
      <c r="K488" s="38" t="str">
        <f>データ!D488</f>
        <v>UR</v>
      </c>
      <c r="L488" s="38" t="s">
        <v>1024</v>
      </c>
      <c r="M488" s="38" t="s">
        <v>1321</v>
      </c>
      <c r="N488" s="38">
        <f>データ!E488</f>
        <v>14</v>
      </c>
      <c r="O488" s="38" t="s">
        <v>1024</v>
      </c>
      <c r="P488" s="38" t="s">
        <v>1319</v>
      </c>
      <c r="Q488" s="38" t="str">
        <f>データ!F488</f>
        <v>遠</v>
      </c>
      <c r="R488" s="38" t="s">
        <v>1024</v>
      </c>
      <c r="S488" s="38" t="s">
        <v>1319</v>
      </c>
      <c r="T488" s="39">
        <f>データ!G488</f>
        <v>22094</v>
      </c>
      <c r="U488" s="40" t="s">
        <v>1024</v>
      </c>
      <c r="V488" s="40" t="s">
        <v>1319</v>
      </c>
      <c r="W488" s="39">
        <f>データ!H488</f>
        <v>8852</v>
      </c>
      <c r="X488" s="40" t="s">
        <v>1024</v>
      </c>
      <c r="Y488" s="40" t="s">
        <v>1319</v>
      </c>
      <c r="Z488" s="39">
        <f>データ!I488</f>
        <v>6894</v>
      </c>
      <c r="AA488" s="40" t="s">
        <v>1024</v>
      </c>
      <c r="AB488" s="40" t="s">
        <v>1322</v>
      </c>
      <c r="AC488" s="39" t="str">
        <f>データ!J488</f>
        <v>SS1</v>
      </c>
      <c r="AD488" s="38" t="s">
        <v>1024</v>
      </c>
      <c r="AE488" s="40" t="s">
        <v>1323</v>
      </c>
      <c r="AF488" s="39">
        <f>データ!K488</f>
        <v>37840</v>
      </c>
      <c r="AG488" s="40" t="s">
        <v>1024</v>
      </c>
      <c r="AH488" s="40" t="s">
        <v>1324</v>
      </c>
      <c r="AI488" s="39" t="str">
        <f>データ!L488</f>
        <v>天使の微笑／絶</v>
      </c>
      <c r="AJ488" s="10" t="s">
        <v>1113</v>
      </c>
      <c r="AK488" s="39" t="str">
        <f>データ!M488</f>
        <v>味方全員のHPを回復[大]</v>
      </c>
      <c r="AL488" s="10" t="s">
        <v>1024</v>
      </c>
      <c r="AM488" s="40" t="s">
        <v>1325</v>
      </c>
      <c r="AN488" s="39" t="str">
        <f>データ!N488</f>
        <v>-</v>
      </c>
      <c r="AO488" s="10" t="s">
        <v>1113</v>
      </c>
      <c r="AP488" s="39" t="str">
        <f>データ!O488</f>
        <v>　</v>
      </c>
      <c r="AQ488" s="41" t="s">
        <v>1024</v>
      </c>
      <c r="AR488" s="40" t="s">
        <v>1324</v>
      </c>
      <c r="AS488" s="39" t="str">
        <f>データ!P488</f>
        <v>がんばります</v>
      </c>
      <c r="AT488" s="10" t="s">
        <v>1113</v>
      </c>
      <c r="AU488" s="39" t="str">
        <f>データ!Q488</f>
        <v>騎士団全体の防御力が特大UP(3分間)</v>
      </c>
      <c r="AV488" s="10" t="s">
        <v>1024</v>
      </c>
      <c r="AW488" s="40" t="s">
        <v>1324</v>
      </c>
      <c r="AX488" s="39" t="str">
        <f>データ!R488</f>
        <v>-</v>
      </c>
      <c r="AY488" s="10" t="s">
        <v>1113</v>
      </c>
      <c r="AZ488" s="39" t="str">
        <f>データ!S488</f>
        <v>　</v>
      </c>
      <c r="BA488" s="41" t="s">
        <v>1024</v>
      </c>
      <c r="BB488" s="40" t="s">
        <v>1319</v>
      </c>
      <c r="BC488" s="39" t="str">
        <f>データ!T488</f>
        <v>-</v>
      </c>
      <c r="BD488" s="41" t="s">
        <v>1024</v>
      </c>
      <c r="BE488" s="40" t="s">
        <v>1320</v>
      </c>
      <c r="BF488" s="39" t="str">
        <f>データ!U488</f>
        <v>-</v>
      </c>
      <c r="BG488" s="41" t="s">
        <v>1024</v>
      </c>
      <c r="BH488" s="40" t="s">
        <v>1319</v>
      </c>
      <c r="BI488" s="39" t="str">
        <f>データ!V488</f>
        <v>精鋭化ユニット</v>
      </c>
      <c r="BJ488" s="41" t="s">
        <v>1024</v>
      </c>
      <c r="BK488" s="10" t="s">
        <v>1019</v>
      </c>
    </row>
    <row r="489" spans="1:63" x14ac:dyDescent="0.15">
      <c r="A489" s="10" t="s">
        <v>1016</v>
      </c>
      <c r="B489" s="10" t="s">
        <v>1454</v>
      </c>
      <c r="C489" s="38" t="str">
        <f>"./images/thumbnail/"&amp;データ!B489&amp;".jpg"</f>
        <v>./images/thumbnail/1815.jpg</v>
      </c>
      <c r="D489" s="38" t="s">
        <v>1455</v>
      </c>
      <c r="E489" s="38" t="str">
        <f>"./images/thumbnail/"&amp;データ!B489&amp;".jpg"</f>
        <v>./images/thumbnail/1815.jpg</v>
      </c>
      <c r="F489" s="38" t="s">
        <v>1116</v>
      </c>
      <c r="G489" s="38" t="s">
        <v>1319</v>
      </c>
      <c r="H489" s="38" t="str">
        <f>データ!C489</f>
        <v>ショコラ</v>
      </c>
      <c r="I489" s="38" t="s">
        <v>1024</v>
      </c>
      <c r="J489" s="38" t="s">
        <v>1320</v>
      </c>
      <c r="K489" s="38" t="str">
        <f>データ!D489</f>
        <v>UR</v>
      </c>
      <c r="L489" s="38" t="s">
        <v>1024</v>
      </c>
      <c r="M489" s="38" t="s">
        <v>1321</v>
      </c>
      <c r="N489" s="38">
        <f>データ!E489</f>
        <v>14</v>
      </c>
      <c r="O489" s="38" t="s">
        <v>1024</v>
      </c>
      <c r="P489" s="38" t="s">
        <v>1319</v>
      </c>
      <c r="Q489" s="38" t="str">
        <f>データ!F489</f>
        <v>遠</v>
      </c>
      <c r="R489" s="38" t="s">
        <v>1024</v>
      </c>
      <c r="S489" s="38" t="s">
        <v>1319</v>
      </c>
      <c r="T489" s="39">
        <f>データ!G489</f>
        <v>17699</v>
      </c>
      <c r="U489" s="40" t="s">
        <v>1024</v>
      </c>
      <c r="V489" s="40" t="s">
        <v>1319</v>
      </c>
      <c r="W489" s="39">
        <f>データ!H489</f>
        <v>6177</v>
      </c>
      <c r="X489" s="40" t="s">
        <v>1024</v>
      </c>
      <c r="Y489" s="40" t="s">
        <v>1319</v>
      </c>
      <c r="Z489" s="39">
        <f>データ!I489</f>
        <v>6584</v>
      </c>
      <c r="AA489" s="40" t="s">
        <v>1024</v>
      </c>
      <c r="AB489" s="40" t="s">
        <v>1322</v>
      </c>
      <c r="AC489" s="39" t="str">
        <f>データ!J489</f>
        <v>S+</v>
      </c>
      <c r="AD489" s="38" t="s">
        <v>1024</v>
      </c>
      <c r="AE489" s="40" t="s">
        <v>1323</v>
      </c>
      <c r="AF489" s="39">
        <f>データ!K489</f>
        <v>30460</v>
      </c>
      <c r="AG489" s="40" t="s">
        <v>1024</v>
      </c>
      <c r="AH489" s="40" t="s">
        <v>1324</v>
      </c>
      <c r="AI489" s="39" t="str">
        <f>データ!L489</f>
        <v>暗闇の言霊／煌</v>
      </c>
      <c r="AJ489" s="10" t="s">
        <v>1113</v>
      </c>
      <c r="AK489" s="39" t="str">
        <f>データ!M489</f>
        <v>一定確率で敵を暗闇状態にする[超高確率]</v>
      </c>
      <c r="AL489" s="10" t="s">
        <v>1024</v>
      </c>
      <c r="AM489" s="40" t="s">
        <v>1325</v>
      </c>
      <c r="AN489" s="39" t="str">
        <f>データ!N489</f>
        <v>-</v>
      </c>
      <c r="AO489" s="10" t="s">
        <v>1113</v>
      </c>
      <c r="AP489" s="39" t="str">
        <f>データ!O489</f>
        <v>　</v>
      </c>
      <c r="AQ489" s="41" t="s">
        <v>1024</v>
      </c>
      <c r="AR489" s="40" t="s">
        <v>1324</v>
      </c>
      <c r="AS489" s="39" t="str">
        <f>データ!P489</f>
        <v>ハイド／絶</v>
      </c>
      <c r="AT489" s="10" t="s">
        <v>1113</v>
      </c>
      <c r="AU489" s="39" t="str">
        <f>データ!Q489</f>
        <v>攻撃される確率が大DOWN(3分間)</v>
      </c>
      <c r="AV489" s="10" t="s">
        <v>1024</v>
      </c>
      <c r="AW489" s="40" t="s">
        <v>1324</v>
      </c>
      <c r="AX489" s="39" t="str">
        <f>データ!R489</f>
        <v>-</v>
      </c>
      <c r="AY489" s="10" t="s">
        <v>1113</v>
      </c>
      <c r="AZ489" s="39" t="str">
        <f>データ!S489</f>
        <v>　</v>
      </c>
      <c r="BA489" s="41" t="s">
        <v>1024</v>
      </c>
      <c r="BB489" s="40" t="s">
        <v>1319</v>
      </c>
      <c r="BC489" s="39" t="str">
        <f>データ!T489</f>
        <v>-</v>
      </c>
      <c r="BD489" s="41" t="s">
        <v>1024</v>
      </c>
      <c r="BE489" s="40" t="s">
        <v>1320</v>
      </c>
      <c r="BF489" s="39" t="str">
        <f>データ!U489</f>
        <v>-</v>
      </c>
      <c r="BG489" s="41" t="s">
        <v>1024</v>
      </c>
      <c r="BH489" s="40" t="s">
        <v>1319</v>
      </c>
      <c r="BI489" s="39" t="str">
        <f>データ!V489</f>
        <v>誓いイベ</v>
      </c>
      <c r="BJ489" s="41" t="s">
        <v>1024</v>
      </c>
      <c r="BK489" s="10" t="s">
        <v>1019</v>
      </c>
    </row>
    <row r="490" spans="1:63" x14ac:dyDescent="0.15">
      <c r="A490" s="10" t="s">
        <v>1016</v>
      </c>
      <c r="B490" s="10" t="s">
        <v>1454</v>
      </c>
      <c r="C490" s="38" t="str">
        <f>"./images/thumbnail/"&amp;データ!B490&amp;".jpg"</f>
        <v>./images/thumbnail/1817.jpg</v>
      </c>
      <c r="D490" s="38" t="s">
        <v>1455</v>
      </c>
      <c r="E490" s="38" t="str">
        <f>"./images/thumbnail/"&amp;データ!B490&amp;".jpg"</f>
        <v>./images/thumbnail/1817.jpg</v>
      </c>
      <c r="F490" s="38" t="s">
        <v>1116</v>
      </c>
      <c r="G490" s="38" t="s">
        <v>1319</v>
      </c>
      <c r="H490" s="38" t="str">
        <f>データ!C490</f>
        <v>ヴァレッタ</v>
      </c>
      <c r="I490" s="38" t="s">
        <v>1024</v>
      </c>
      <c r="J490" s="38" t="s">
        <v>1320</v>
      </c>
      <c r="K490" s="38" t="str">
        <f>データ!D490</f>
        <v>UR</v>
      </c>
      <c r="L490" s="38" t="s">
        <v>1024</v>
      </c>
      <c r="M490" s="38" t="s">
        <v>1321</v>
      </c>
      <c r="N490" s="38">
        <f>データ!E490</f>
        <v>14</v>
      </c>
      <c r="O490" s="38" t="s">
        <v>1024</v>
      </c>
      <c r="P490" s="38" t="s">
        <v>1319</v>
      </c>
      <c r="Q490" s="38" t="str">
        <f>データ!F490</f>
        <v>斬</v>
      </c>
      <c r="R490" s="38" t="s">
        <v>1024</v>
      </c>
      <c r="S490" s="38" t="s">
        <v>1319</v>
      </c>
      <c r="T490" s="39">
        <f>データ!G490</f>
        <v>16910</v>
      </c>
      <c r="U490" s="40" t="s">
        <v>1024</v>
      </c>
      <c r="V490" s="40" t="s">
        <v>1319</v>
      </c>
      <c r="W490" s="39">
        <f>データ!H490</f>
        <v>8224</v>
      </c>
      <c r="X490" s="40" t="s">
        <v>1024</v>
      </c>
      <c r="Y490" s="40" t="s">
        <v>1319</v>
      </c>
      <c r="Z490" s="39">
        <f>データ!I490</f>
        <v>5785</v>
      </c>
      <c r="AA490" s="40" t="s">
        <v>1024</v>
      </c>
      <c r="AB490" s="40" t="s">
        <v>1322</v>
      </c>
      <c r="AC490" s="39" t="str">
        <f>データ!J490</f>
        <v>SS</v>
      </c>
      <c r="AD490" s="38" t="s">
        <v>1024</v>
      </c>
      <c r="AE490" s="40" t="s">
        <v>1323</v>
      </c>
      <c r="AF490" s="39">
        <f>データ!K490</f>
        <v>30919</v>
      </c>
      <c r="AG490" s="40" t="s">
        <v>1024</v>
      </c>
      <c r="AH490" s="40" t="s">
        <v>1324</v>
      </c>
      <c r="AI490" s="39" t="str">
        <f>データ!L490</f>
        <v>地魔幻の閃光／煌</v>
      </c>
      <c r="AJ490" s="10" t="s">
        <v>1113</v>
      </c>
      <c r="AK490" s="39" t="str">
        <f>データ!M490</f>
        <v>縦一列攻撃[特大]自分の防御力UP[特大]</v>
      </c>
      <c r="AL490" s="10" t="s">
        <v>1024</v>
      </c>
      <c r="AM490" s="40" t="s">
        <v>1325</v>
      </c>
      <c r="AN490" s="39" t="str">
        <f>データ!N490</f>
        <v>-</v>
      </c>
      <c r="AO490" s="10" t="s">
        <v>1113</v>
      </c>
      <c r="AP490" s="39" t="str">
        <f>データ!O490</f>
        <v>　</v>
      </c>
      <c r="AQ490" s="41" t="s">
        <v>1024</v>
      </c>
      <c r="AR490" s="40" t="s">
        <v>1324</v>
      </c>
      <c r="AS490" s="39" t="str">
        <f>データ!P490</f>
        <v>シャドウオーダー</v>
      </c>
      <c r="AT490" s="10" t="s">
        <v>1113</v>
      </c>
      <c r="AU490" s="39" t="str">
        <f>データ!Q490</f>
        <v>騎士団全体の強襲CB率が小UP(3分間)</v>
      </c>
      <c r="AV490" s="10" t="s">
        <v>1024</v>
      </c>
      <c r="AW490" s="40" t="s">
        <v>1324</v>
      </c>
      <c r="AX490" s="39" t="str">
        <f>データ!R490</f>
        <v>-</v>
      </c>
      <c r="AY490" s="10" t="s">
        <v>1113</v>
      </c>
      <c r="AZ490" s="39" t="str">
        <f>データ!S490</f>
        <v>　</v>
      </c>
      <c r="BA490" s="41" t="s">
        <v>1024</v>
      </c>
      <c r="BB490" s="40" t="s">
        <v>1319</v>
      </c>
      <c r="BC490" s="39" t="str">
        <f>データ!T490</f>
        <v>-</v>
      </c>
      <c r="BD490" s="41" t="s">
        <v>1024</v>
      </c>
      <c r="BE490" s="40" t="s">
        <v>1320</v>
      </c>
      <c r="BF490" s="39" t="str">
        <f>データ!U490</f>
        <v>-</v>
      </c>
      <c r="BG490" s="41" t="s">
        <v>1024</v>
      </c>
      <c r="BH490" s="40" t="s">
        <v>1319</v>
      </c>
      <c r="BI490" s="39" t="str">
        <f>データ!V490</f>
        <v>ガチャイベ</v>
      </c>
      <c r="BJ490" s="41" t="s">
        <v>1024</v>
      </c>
      <c r="BK490" s="10" t="s">
        <v>1019</v>
      </c>
    </row>
    <row r="491" spans="1:63" x14ac:dyDescent="0.15">
      <c r="A491" s="10" t="s">
        <v>1016</v>
      </c>
      <c r="B491" s="10" t="s">
        <v>1454</v>
      </c>
      <c r="C491" s="38" t="str">
        <f>"./images/thumbnail/"&amp;データ!B491&amp;".jpg"</f>
        <v>./images/thumbnail/1819.jpg</v>
      </c>
      <c r="D491" s="38" t="s">
        <v>1455</v>
      </c>
      <c r="E491" s="38" t="str">
        <f>"./images/thumbnail/"&amp;データ!B491&amp;".jpg"</f>
        <v>./images/thumbnail/1819.jpg</v>
      </c>
      <c r="F491" s="38" t="s">
        <v>1116</v>
      </c>
      <c r="G491" s="38" t="s">
        <v>1319</v>
      </c>
      <c r="H491" s="38" t="str">
        <f>データ!C491</f>
        <v>ロレッタ</v>
      </c>
      <c r="I491" s="38" t="s">
        <v>1024</v>
      </c>
      <c r="J491" s="38" t="s">
        <v>1320</v>
      </c>
      <c r="K491" s="38" t="str">
        <f>データ!D491</f>
        <v>UR</v>
      </c>
      <c r="L491" s="38" t="s">
        <v>1024</v>
      </c>
      <c r="M491" s="38" t="s">
        <v>1321</v>
      </c>
      <c r="N491" s="38">
        <f>データ!E491</f>
        <v>14</v>
      </c>
      <c r="O491" s="38" t="s">
        <v>1024</v>
      </c>
      <c r="P491" s="38" t="s">
        <v>1319</v>
      </c>
      <c r="Q491" s="38" t="str">
        <f>データ!F491</f>
        <v>遠</v>
      </c>
      <c r="R491" s="38" t="s">
        <v>1024</v>
      </c>
      <c r="S491" s="38" t="s">
        <v>1319</v>
      </c>
      <c r="T491" s="39">
        <f>データ!G491</f>
        <v>19282</v>
      </c>
      <c r="U491" s="40" t="s">
        <v>1024</v>
      </c>
      <c r="V491" s="40" t="s">
        <v>1319</v>
      </c>
      <c r="W491" s="39">
        <f>データ!H491</f>
        <v>6704</v>
      </c>
      <c r="X491" s="40" t="s">
        <v>1024</v>
      </c>
      <c r="Y491" s="40" t="s">
        <v>1319</v>
      </c>
      <c r="Z491" s="39">
        <f>データ!I491</f>
        <v>5818</v>
      </c>
      <c r="AA491" s="40" t="s">
        <v>1024</v>
      </c>
      <c r="AB491" s="40" t="s">
        <v>1322</v>
      </c>
      <c r="AC491" s="39" t="str">
        <f>データ!J491</f>
        <v>S+</v>
      </c>
      <c r="AD491" s="38" t="s">
        <v>1024</v>
      </c>
      <c r="AE491" s="40" t="s">
        <v>1323</v>
      </c>
      <c r="AF491" s="39">
        <f>データ!K491</f>
        <v>31804</v>
      </c>
      <c r="AG491" s="40" t="s">
        <v>1024</v>
      </c>
      <c r="AH491" s="40" t="s">
        <v>1324</v>
      </c>
      <c r="AI491" s="39" t="str">
        <f>データ!L491</f>
        <v>光芒の聖護</v>
      </c>
      <c r="AJ491" s="10" t="s">
        <v>1113</v>
      </c>
      <c r="AK491" s="39" t="str">
        <f>データ!M491</f>
        <v>味方全体の防御力をUP[大]</v>
      </c>
      <c r="AL491" s="10" t="s">
        <v>1024</v>
      </c>
      <c r="AM491" s="40" t="s">
        <v>1325</v>
      </c>
      <c r="AN491" s="39" t="str">
        <f>データ!N491</f>
        <v>-</v>
      </c>
      <c r="AO491" s="10" t="s">
        <v>1113</v>
      </c>
      <c r="AP491" s="39" t="str">
        <f>データ!O491</f>
        <v>　</v>
      </c>
      <c r="AQ491" s="41" t="s">
        <v>1024</v>
      </c>
      <c r="AR491" s="40" t="s">
        <v>1324</v>
      </c>
      <c r="AS491" s="39" t="str">
        <f>データ!P491</f>
        <v>ランページ／絶</v>
      </c>
      <c r="AT491" s="10" t="s">
        <v>1113</v>
      </c>
      <c r="AU491" s="39" t="str">
        <f>データ!Q491</f>
        <v>バトルで獲得する騎士団戦スコアが大アップ(3分間)</v>
      </c>
      <c r="AV491" s="10" t="s">
        <v>1024</v>
      </c>
      <c r="AW491" s="40" t="s">
        <v>1324</v>
      </c>
      <c r="AX491" s="39" t="str">
        <f>データ!R491</f>
        <v>-</v>
      </c>
      <c r="AY491" s="10" t="s">
        <v>1113</v>
      </c>
      <c r="AZ491" s="39" t="str">
        <f>データ!S491</f>
        <v>　</v>
      </c>
      <c r="BA491" s="41" t="s">
        <v>1024</v>
      </c>
      <c r="BB491" s="40" t="s">
        <v>1319</v>
      </c>
      <c r="BC491" s="39" t="str">
        <f>データ!T491</f>
        <v>-</v>
      </c>
      <c r="BD491" s="41" t="s">
        <v>1024</v>
      </c>
      <c r="BE491" s="40" t="s">
        <v>1320</v>
      </c>
      <c r="BF491" s="39" t="str">
        <f>データ!U491</f>
        <v>-</v>
      </c>
      <c r="BG491" s="41" t="s">
        <v>1024</v>
      </c>
      <c r="BH491" s="40" t="s">
        <v>1319</v>
      </c>
      <c r="BI491" s="39" t="str">
        <f>データ!V491</f>
        <v>ガチャイベ</v>
      </c>
      <c r="BJ491" s="41" t="s">
        <v>1024</v>
      </c>
      <c r="BK491" s="10" t="s">
        <v>1019</v>
      </c>
    </row>
    <row r="492" spans="1:63" x14ac:dyDescent="0.15">
      <c r="A492" s="10" t="s">
        <v>1016</v>
      </c>
      <c r="B492" s="10" t="s">
        <v>1454</v>
      </c>
      <c r="C492" s="38" t="str">
        <f>"./images/thumbnail/"&amp;データ!B492&amp;".jpg"</f>
        <v>./images/thumbnail/1820.jpg</v>
      </c>
      <c r="D492" s="38" t="s">
        <v>1455</v>
      </c>
      <c r="E492" s="38" t="str">
        <f>"./images/thumbnail/"&amp;データ!B492&amp;".jpg"</f>
        <v>./images/thumbnail/1820.jpg</v>
      </c>
      <c r="F492" s="38" t="s">
        <v>1116</v>
      </c>
      <c r="G492" s="38" t="s">
        <v>1319</v>
      </c>
      <c r="H492" s="38" t="str">
        <f>データ!C492</f>
        <v>バルトハウザー</v>
      </c>
      <c r="I492" s="38" t="s">
        <v>1024</v>
      </c>
      <c r="J492" s="38" t="s">
        <v>1320</v>
      </c>
      <c r="K492" s="38" t="str">
        <f>データ!D492</f>
        <v>SSR</v>
      </c>
      <c r="L492" s="38" t="s">
        <v>1024</v>
      </c>
      <c r="M492" s="38" t="s">
        <v>1321</v>
      </c>
      <c r="N492" s="38">
        <f>データ!E492</f>
        <v>12</v>
      </c>
      <c r="O492" s="38" t="s">
        <v>1024</v>
      </c>
      <c r="P492" s="38" t="s">
        <v>1319</v>
      </c>
      <c r="Q492" s="38" t="str">
        <f>データ!F492</f>
        <v>突</v>
      </c>
      <c r="R492" s="38" t="s">
        <v>1024</v>
      </c>
      <c r="S492" s="38" t="s">
        <v>1319</v>
      </c>
      <c r="T492" s="39">
        <f>データ!G492</f>
        <v>16506</v>
      </c>
      <c r="U492" s="40" t="s">
        <v>1024</v>
      </c>
      <c r="V492" s="40" t="s">
        <v>1319</v>
      </c>
      <c r="W492" s="39">
        <f>データ!H492</f>
        <v>4916</v>
      </c>
      <c r="X492" s="40" t="s">
        <v>1024</v>
      </c>
      <c r="Y492" s="40" t="s">
        <v>1319</v>
      </c>
      <c r="Z492" s="39">
        <f>データ!I492</f>
        <v>5627</v>
      </c>
      <c r="AA492" s="40" t="s">
        <v>1024</v>
      </c>
      <c r="AB492" s="40" t="s">
        <v>1322</v>
      </c>
      <c r="AC492" s="39" t="str">
        <f>データ!J492</f>
        <v>SS-</v>
      </c>
      <c r="AD492" s="38" t="s">
        <v>1024</v>
      </c>
      <c r="AE492" s="40" t="s">
        <v>1323</v>
      </c>
      <c r="AF492" s="39">
        <f>データ!K492</f>
        <v>27049</v>
      </c>
      <c r="AG492" s="40" t="s">
        <v>1024</v>
      </c>
      <c r="AH492" s="40" t="s">
        <v>1324</v>
      </c>
      <c r="AI492" s="39" t="str">
        <f>データ!L492</f>
        <v>蒼突の覇道</v>
      </c>
      <c r="AJ492" s="10" t="s">
        <v>1113</v>
      </c>
      <c r="AK492" s="39" t="str">
        <f>データ!M492</f>
        <v>味方突属性の攻撃力をUP[大]</v>
      </c>
      <c r="AL492" s="10" t="s">
        <v>1024</v>
      </c>
      <c r="AM492" s="40" t="s">
        <v>1325</v>
      </c>
      <c r="AN492" s="39" t="str">
        <f>データ!N492</f>
        <v>-</v>
      </c>
      <c r="AO492" s="10" t="s">
        <v>1113</v>
      </c>
      <c r="AP492" s="39" t="str">
        <f>データ!O492</f>
        <v>　</v>
      </c>
      <c r="AQ492" s="41" t="s">
        <v>1024</v>
      </c>
      <c r="AR492" s="40" t="s">
        <v>1324</v>
      </c>
      <c r="AS492" s="39" t="str">
        <f>データ!P492</f>
        <v>アサルト／真</v>
      </c>
      <c r="AT492" s="10" t="s">
        <v>1113</v>
      </c>
      <c r="AU492" s="39" t="str">
        <f>データ!Q492</f>
        <v>パーティ全体の攻撃力が中UP(3分間)</v>
      </c>
      <c r="AV492" s="10" t="s">
        <v>1024</v>
      </c>
      <c r="AW492" s="40" t="s">
        <v>1324</v>
      </c>
      <c r="AX492" s="39" t="str">
        <f>データ!R492</f>
        <v>-</v>
      </c>
      <c r="AY492" s="10" t="s">
        <v>1113</v>
      </c>
      <c r="AZ492" s="39" t="str">
        <f>データ!S492</f>
        <v>　</v>
      </c>
      <c r="BA492" s="41" t="s">
        <v>1024</v>
      </c>
      <c r="BB492" s="40" t="s">
        <v>1319</v>
      </c>
      <c r="BC492" s="39" t="str">
        <f>データ!T492</f>
        <v>-</v>
      </c>
      <c r="BD492" s="41" t="s">
        <v>1024</v>
      </c>
      <c r="BE492" s="40" t="s">
        <v>1320</v>
      </c>
      <c r="BF492" s="39" t="str">
        <f>データ!U492</f>
        <v>-</v>
      </c>
      <c r="BG492" s="41" t="s">
        <v>1024</v>
      </c>
      <c r="BH492" s="40" t="s">
        <v>1319</v>
      </c>
      <c r="BI492" s="39" t="str">
        <f>データ!V492</f>
        <v>第11回統一報酬</v>
      </c>
      <c r="BJ492" s="41" t="s">
        <v>1024</v>
      </c>
      <c r="BK492" s="10" t="s">
        <v>1019</v>
      </c>
    </row>
    <row r="493" spans="1:63" x14ac:dyDescent="0.15">
      <c r="A493" s="10" t="s">
        <v>1016</v>
      </c>
      <c r="B493" s="10" t="s">
        <v>1454</v>
      </c>
      <c r="C493" s="38" t="str">
        <f>"./images/thumbnail/"&amp;データ!B493&amp;".jpg"</f>
        <v>./images/thumbnail/1821.jpg</v>
      </c>
      <c r="D493" s="38" t="s">
        <v>1455</v>
      </c>
      <c r="E493" s="38" t="str">
        <f>"./images/thumbnail/"&amp;データ!B493&amp;".jpg"</f>
        <v>./images/thumbnail/1821.jpg</v>
      </c>
      <c r="F493" s="38" t="s">
        <v>1116</v>
      </c>
      <c r="G493" s="38" t="s">
        <v>1319</v>
      </c>
      <c r="H493" s="38" t="str">
        <f>データ!C493</f>
        <v>バルトハウザー</v>
      </c>
      <c r="I493" s="38" t="s">
        <v>1024</v>
      </c>
      <c r="J493" s="38" t="s">
        <v>1320</v>
      </c>
      <c r="K493" s="38" t="str">
        <f>データ!D493</f>
        <v>SSR</v>
      </c>
      <c r="L493" s="38" t="s">
        <v>1024</v>
      </c>
      <c r="M493" s="38" t="s">
        <v>1321</v>
      </c>
      <c r="N493" s="38">
        <f>データ!E493</f>
        <v>13</v>
      </c>
      <c r="O493" s="38" t="s">
        <v>1024</v>
      </c>
      <c r="P493" s="38" t="s">
        <v>1319</v>
      </c>
      <c r="Q493" s="38" t="str">
        <f>データ!F493</f>
        <v>突</v>
      </c>
      <c r="R493" s="38" t="s">
        <v>1024</v>
      </c>
      <c r="S493" s="38" t="s">
        <v>1319</v>
      </c>
      <c r="T493" s="39">
        <f>データ!G493</f>
        <v>18034</v>
      </c>
      <c r="U493" s="40" t="s">
        <v>1024</v>
      </c>
      <c r="V493" s="40" t="s">
        <v>1319</v>
      </c>
      <c r="W493" s="39">
        <f>データ!H493</f>
        <v>5363</v>
      </c>
      <c r="X493" s="40" t="s">
        <v>1024</v>
      </c>
      <c r="Y493" s="40" t="s">
        <v>1319</v>
      </c>
      <c r="Z493" s="39">
        <f>データ!I493</f>
        <v>5953</v>
      </c>
      <c r="AA493" s="40" t="s">
        <v>1024</v>
      </c>
      <c r="AB493" s="40" t="s">
        <v>1322</v>
      </c>
      <c r="AC493" s="39" t="str">
        <f>データ!J493</f>
        <v>SS-</v>
      </c>
      <c r="AD493" s="38" t="s">
        <v>1024</v>
      </c>
      <c r="AE493" s="40" t="s">
        <v>1323</v>
      </c>
      <c r="AF493" s="39">
        <f>データ!K493</f>
        <v>29350</v>
      </c>
      <c r="AG493" s="40" t="s">
        <v>1024</v>
      </c>
      <c r="AH493" s="40" t="s">
        <v>1324</v>
      </c>
      <c r="AI493" s="39" t="str">
        <f>データ!L493</f>
        <v>蒼突の覇道</v>
      </c>
      <c r="AJ493" s="10" t="s">
        <v>1113</v>
      </c>
      <c r="AK493" s="39" t="str">
        <f>データ!M493</f>
        <v>味方突属性の攻撃力をUP[大]</v>
      </c>
      <c r="AL493" s="10" t="s">
        <v>1024</v>
      </c>
      <c r="AM493" s="40" t="s">
        <v>1325</v>
      </c>
      <c r="AN493" s="39" t="str">
        <f>データ!N493</f>
        <v>-</v>
      </c>
      <c r="AO493" s="10" t="s">
        <v>1113</v>
      </c>
      <c r="AP493" s="39" t="str">
        <f>データ!O493</f>
        <v>　</v>
      </c>
      <c r="AQ493" s="41" t="s">
        <v>1024</v>
      </c>
      <c r="AR493" s="40" t="s">
        <v>1324</v>
      </c>
      <c r="AS493" s="39" t="str">
        <f>データ!P493</f>
        <v>アサルト／真</v>
      </c>
      <c r="AT493" s="10" t="s">
        <v>1113</v>
      </c>
      <c r="AU493" s="39" t="str">
        <f>データ!Q493</f>
        <v>パーティ全体の攻撃力が中UP(3分間)</v>
      </c>
      <c r="AV493" s="10" t="s">
        <v>1024</v>
      </c>
      <c r="AW493" s="40" t="s">
        <v>1324</v>
      </c>
      <c r="AX493" s="39" t="str">
        <f>データ!R493</f>
        <v>-</v>
      </c>
      <c r="AY493" s="10" t="s">
        <v>1113</v>
      </c>
      <c r="AZ493" s="39" t="str">
        <f>データ!S493</f>
        <v>　</v>
      </c>
      <c r="BA493" s="41" t="s">
        <v>1024</v>
      </c>
      <c r="BB493" s="40" t="s">
        <v>1319</v>
      </c>
      <c r="BC493" s="39" t="str">
        <f>データ!T493</f>
        <v>-</v>
      </c>
      <c r="BD493" s="41" t="s">
        <v>1024</v>
      </c>
      <c r="BE493" s="40" t="s">
        <v>1320</v>
      </c>
      <c r="BF493" s="39" t="str">
        <f>データ!U493</f>
        <v>-</v>
      </c>
      <c r="BG493" s="41" t="s">
        <v>1024</v>
      </c>
      <c r="BH493" s="40" t="s">
        <v>1319</v>
      </c>
      <c r="BI493" s="39" t="str">
        <f>データ!V493</f>
        <v>第11回統一報酬</v>
      </c>
      <c r="BJ493" s="41" t="s">
        <v>1024</v>
      </c>
      <c r="BK493" s="10" t="s">
        <v>1019</v>
      </c>
    </row>
    <row r="494" spans="1:63" x14ac:dyDescent="0.15">
      <c r="A494" s="10" t="s">
        <v>1016</v>
      </c>
      <c r="B494" s="10" t="s">
        <v>1454</v>
      </c>
      <c r="C494" s="38" t="str">
        <f>"./images/thumbnail/"&amp;データ!B494&amp;".jpg"</f>
        <v>./images/thumbnail/1822.jpg</v>
      </c>
      <c r="D494" s="38" t="s">
        <v>1455</v>
      </c>
      <c r="E494" s="38" t="str">
        <f>"./images/thumbnail/"&amp;データ!B494&amp;".jpg"</f>
        <v>./images/thumbnail/1822.jpg</v>
      </c>
      <c r="F494" s="38" t="s">
        <v>1116</v>
      </c>
      <c r="G494" s="38" t="s">
        <v>1319</v>
      </c>
      <c r="H494" s="38" t="str">
        <f>データ!C494</f>
        <v>バルトハウザー</v>
      </c>
      <c r="I494" s="38" t="s">
        <v>1024</v>
      </c>
      <c r="J494" s="38" t="s">
        <v>1320</v>
      </c>
      <c r="K494" s="38" t="str">
        <f>データ!D494</f>
        <v>UR</v>
      </c>
      <c r="L494" s="38" t="s">
        <v>1024</v>
      </c>
      <c r="M494" s="38" t="s">
        <v>1321</v>
      </c>
      <c r="N494" s="38">
        <f>データ!E494</f>
        <v>14</v>
      </c>
      <c r="O494" s="38" t="s">
        <v>1024</v>
      </c>
      <c r="P494" s="38" t="s">
        <v>1319</v>
      </c>
      <c r="Q494" s="38" t="str">
        <f>データ!F494</f>
        <v>突</v>
      </c>
      <c r="R494" s="38" t="s">
        <v>1024</v>
      </c>
      <c r="S494" s="38" t="s">
        <v>1319</v>
      </c>
      <c r="T494" s="39">
        <f>データ!G494</f>
        <v>19809</v>
      </c>
      <c r="U494" s="40" t="s">
        <v>1024</v>
      </c>
      <c r="V494" s="40" t="s">
        <v>1319</v>
      </c>
      <c r="W494" s="39">
        <f>データ!H494</f>
        <v>5890</v>
      </c>
      <c r="X494" s="40" t="s">
        <v>1024</v>
      </c>
      <c r="Y494" s="40" t="s">
        <v>1319</v>
      </c>
      <c r="Z494" s="39">
        <f>データ!I494</f>
        <v>7036</v>
      </c>
      <c r="AA494" s="40" t="s">
        <v>1024</v>
      </c>
      <c r="AB494" s="40" t="s">
        <v>1322</v>
      </c>
      <c r="AC494" s="39" t="str">
        <f>データ!J494</f>
        <v>SS+</v>
      </c>
      <c r="AD494" s="38" t="s">
        <v>1024</v>
      </c>
      <c r="AE494" s="40" t="s">
        <v>1323</v>
      </c>
      <c r="AF494" s="39">
        <f>データ!K494</f>
        <v>32735</v>
      </c>
      <c r="AG494" s="40" t="s">
        <v>1024</v>
      </c>
      <c r="AH494" s="40" t="s">
        <v>1324</v>
      </c>
      <c r="AI494" s="39" t="str">
        <f>データ!L494</f>
        <v>蒼突の神威</v>
      </c>
      <c r="AJ494" s="10" t="s">
        <v>1113</v>
      </c>
      <c r="AK494" s="39" t="str">
        <f>データ!M494</f>
        <v>味方突属性の攻撃力をUP[特大]</v>
      </c>
      <c r="AL494" s="10" t="s">
        <v>1024</v>
      </c>
      <c r="AM494" s="40" t="s">
        <v>1325</v>
      </c>
      <c r="AN494" s="39" t="str">
        <f>データ!N494</f>
        <v>-</v>
      </c>
      <c r="AO494" s="10" t="s">
        <v>1113</v>
      </c>
      <c r="AP494" s="39" t="str">
        <f>データ!O494</f>
        <v>　</v>
      </c>
      <c r="AQ494" s="41" t="s">
        <v>1024</v>
      </c>
      <c r="AR494" s="40" t="s">
        <v>1324</v>
      </c>
      <c r="AS494" s="39" t="str">
        <f>データ!P494</f>
        <v>アサルト／絶</v>
      </c>
      <c r="AT494" s="10" t="s">
        <v>1113</v>
      </c>
      <c r="AU494" s="39" t="str">
        <f>データ!Q494</f>
        <v>パーティ全体の攻撃力が大UP(3分間)</v>
      </c>
      <c r="AV494" s="10" t="s">
        <v>1024</v>
      </c>
      <c r="AW494" s="40" t="s">
        <v>1324</v>
      </c>
      <c r="AX494" s="39" t="str">
        <f>データ!R494</f>
        <v>-</v>
      </c>
      <c r="AY494" s="10" t="s">
        <v>1113</v>
      </c>
      <c r="AZ494" s="39" t="str">
        <f>データ!S494</f>
        <v>　</v>
      </c>
      <c r="BA494" s="41" t="s">
        <v>1024</v>
      </c>
      <c r="BB494" s="40" t="s">
        <v>1319</v>
      </c>
      <c r="BC494" s="39" t="str">
        <f>データ!T494</f>
        <v>-</v>
      </c>
      <c r="BD494" s="41" t="s">
        <v>1024</v>
      </c>
      <c r="BE494" s="40" t="s">
        <v>1320</v>
      </c>
      <c r="BF494" s="39" t="str">
        <f>データ!U494</f>
        <v>-</v>
      </c>
      <c r="BG494" s="41" t="s">
        <v>1024</v>
      </c>
      <c r="BH494" s="40" t="s">
        <v>1319</v>
      </c>
      <c r="BI494" s="39" t="str">
        <f>データ!V494</f>
        <v>第11回統一報酬</v>
      </c>
      <c r="BJ494" s="41" t="s">
        <v>1024</v>
      </c>
      <c r="BK494" s="10" t="s">
        <v>1019</v>
      </c>
    </row>
    <row r="495" spans="1:63" x14ac:dyDescent="0.15">
      <c r="A495" s="10" t="s">
        <v>1016</v>
      </c>
      <c r="B495" s="10" t="s">
        <v>1454</v>
      </c>
      <c r="C495" s="38" t="str">
        <f>"./images/thumbnail/"&amp;データ!B495&amp;".jpg"</f>
        <v>./images/thumbnail/1823.jpg</v>
      </c>
      <c r="D495" s="38" t="s">
        <v>1455</v>
      </c>
      <c r="E495" s="38" t="str">
        <f>"./images/thumbnail/"&amp;データ!B495&amp;".jpg"</f>
        <v>./images/thumbnail/1823.jpg</v>
      </c>
      <c r="F495" s="38" t="s">
        <v>1116</v>
      </c>
      <c r="G495" s="38" t="s">
        <v>1319</v>
      </c>
      <c r="H495" s="38" t="str">
        <f>データ!C495</f>
        <v>バルトハウザー</v>
      </c>
      <c r="I495" s="38" t="s">
        <v>1024</v>
      </c>
      <c r="J495" s="38" t="s">
        <v>1320</v>
      </c>
      <c r="K495" s="38" t="str">
        <f>データ!D495</f>
        <v>UR</v>
      </c>
      <c r="L495" s="38" t="s">
        <v>1024</v>
      </c>
      <c r="M495" s="38" t="s">
        <v>1321</v>
      </c>
      <c r="N495" s="38">
        <f>データ!E495</f>
        <v>15</v>
      </c>
      <c r="O495" s="38" t="s">
        <v>1024</v>
      </c>
      <c r="P495" s="38" t="s">
        <v>1319</v>
      </c>
      <c r="Q495" s="38" t="str">
        <f>データ!F495</f>
        <v>突</v>
      </c>
      <c r="R495" s="38" t="s">
        <v>1024</v>
      </c>
      <c r="S495" s="38" t="s">
        <v>1319</v>
      </c>
      <c r="T495" s="39">
        <f>データ!G495</f>
        <v>23247</v>
      </c>
      <c r="U495" s="40" t="s">
        <v>1024</v>
      </c>
      <c r="V495" s="40" t="s">
        <v>1319</v>
      </c>
      <c r="W495" s="39">
        <f>データ!H495</f>
        <v>6420</v>
      </c>
      <c r="X495" s="40" t="s">
        <v>1024</v>
      </c>
      <c r="Y495" s="40" t="s">
        <v>1319</v>
      </c>
      <c r="Z495" s="39">
        <f>データ!I495</f>
        <v>8758</v>
      </c>
      <c r="AA495" s="40" t="s">
        <v>1024</v>
      </c>
      <c r="AB495" s="40" t="s">
        <v>1322</v>
      </c>
      <c r="AC495" s="39" t="str">
        <f>データ!J495</f>
        <v>SS2</v>
      </c>
      <c r="AD495" s="38" t="s">
        <v>1024</v>
      </c>
      <c r="AE495" s="40" t="s">
        <v>1323</v>
      </c>
      <c r="AF495" s="39">
        <f>データ!K495</f>
        <v>38425</v>
      </c>
      <c r="AG495" s="40" t="s">
        <v>1024</v>
      </c>
      <c r="AH495" s="40" t="s">
        <v>1324</v>
      </c>
      <c r="AI495" s="39" t="str">
        <f>データ!L495</f>
        <v>蒼突の神威</v>
      </c>
      <c r="AJ495" s="10" t="s">
        <v>1113</v>
      </c>
      <c r="AK495" s="39" t="str">
        <f>データ!M495</f>
        <v>味方突属性の攻撃力をUP[特大]</v>
      </c>
      <c r="AL495" s="10" t="s">
        <v>1024</v>
      </c>
      <c r="AM495" s="40" t="s">
        <v>1325</v>
      </c>
      <c r="AN495" s="39" t="str">
        <f>データ!N495</f>
        <v>-</v>
      </c>
      <c r="AO495" s="10" t="s">
        <v>1113</v>
      </c>
      <c r="AP495" s="39" t="str">
        <f>データ!O495</f>
        <v>　</v>
      </c>
      <c r="AQ495" s="41" t="s">
        <v>1024</v>
      </c>
      <c r="AR495" s="40" t="s">
        <v>1324</v>
      </c>
      <c r="AS495" s="39" t="str">
        <f>データ!P495</f>
        <v>アサルト／煌</v>
      </c>
      <c r="AT495" s="10" t="s">
        <v>1113</v>
      </c>
      <c r="AU495" s="39" t="str">
        <f>データ!Q495</f>
        <v>パーティ全体の攻撃力が特大UP(3分間)</v>
      </c>
      <c r="AV495" s="10" t="s">
        <v>1024</v>
      </c>
      <c r="AW495" s="40" t="s">
        <v>1324</v>
      </c>
      <c r="AX495" s="39" t="str">
        <f>データ!R495</f>
        <v>ポイントライズ／絶</v>
      </c>
      <c r="AY495" s="10" t="s">
        <v>1113</v>
      </c>
      <c r="AZ495" s="39" t="str">
        <f>データ!S495</f>
        <v>獲得する騎士団戦スコアが大アップ(バトル3回)</v>
      </c>
      <c r="BA495" s="41" t="s">
        <v>1024</v>
      </c>
      <c r="BB495" s="40" t="s">
        <v>1319</v>
      </c>
      <c r="BC495" s="39" t="str">
        <f>データ!T495</f>
        <v>-</v>
      </c>
      <c r="BD495" s="41" t="s">
        <v>1024</v>
      </c>
      <c r="BE495" s="40" t="s">
        <v>1320</v>
      </c>
      <c r="BF495" s="39" t="str">
        <f>データ!U495</f>
        <v>-</v>
      </c>
      <c r="BG495" s="41" t="s">
        <v>1024</v>
      </c>
      <c r="BH495" s="40" t="s">
        <v>1319</v>
      </c>
      <c r="BI495" s="39" t="str">
        <f>データ!V495</f>
        <v>第11回統一報酬</v>
      </c>
      <c r="BJ495" s="41" t="s">
        <v>1024</v>
      </c>
      <c r="BK495" s="10" t="s">
        <v>1019</v>
      </c>
    </row>
    <row r="496" spans="1:63" x14ac:dyDescent="0.15">
      <c r="A496" s="10" t="s">
        <v>1016</v>
      </c>
      <c r="B496" s="10" t="s">
        <v>1454</v>
      </c>
      <c r="C496" s="38" t="str">
        <f>"./images/thumbnail/"&amp;データ!B496&amp;".jpg"</f>
        <v>./images/thumbnail/1825.jpg</v>
      </c>
      <c r="D496" s="38" t="s">
        <v>1455</v>
      </c>
      <c r="E496" s="38" t="str">
        <f>"./images/thumbnail/"&amp;データ!B496&amp;".jpg"</f>
        <v>./images/thumbnail/1825.jpg</v>
      </c>
      <c r="F496" s="38" t="s">
        <v>1116</v>
      </c>
      <c r="G496" s="38" t="s">
        <v>1319</v>
      </c>
      <c r="H496" s="38" t="str">
        <f>データ!C496</f>
        <v>カティア</v>
      </c>
      <c r="I496" s="38" t="s">
        <v>1024</v>
      </c>
      <c r="J496" s="38" t="s">
        <v>1320</v>
      </c>
      <c r="K496" s="38" t="str">
        <f>データ!D496</f>
        <v>UR</v>
      </c>
      <c r="L496" s="38" t="s">
        <v>1024</v>
      </c>
      <c r="M496" s="38" t="s">
        <v>1321</v>
      </c>
      <c r="N496" s="38">
        <f>データ!E496</f>
        <v>14</v>
      </c>
      <c r="O496" s="38" t="s">
        <v>1024</v>
      </c>
      <c r="P496" s="38" t="s">
        <v>1319</v>
      </c>
      <c r="Q496" s="38" t="str">
        <f>データ!F496</f>
        <v>斬</v>
      </c>
      <c r="R496" s="38" t="s">
        <v>1024</v>
      </c>
      <c r="S496" s="38" t="s">
        <v>1319</v>
      </c>
      <c r="T496" s="39">
        <f>データ!G496</f>
        <v>17906</v>
      </c>
      <c r="U496" s="40" t="s">
        <v>1024</v>
      </c>
      <c r="V496" s="40" t="s">
        <v>1319</v>
      </c>
      <c r="W496" s="39">
        <f>データ!H496</f>
        <v>8235</v>
      </c>
      <c r="X496" s="40" t="s">
        <v>1024</v>
      </c>
      <c r="Y496" s="40" t="s">
        <v>1319</v>
      </c>
      <c r="Z496" s="39">
        <f>データ!I496</f>
        <v>6108</v>
      </c>
      <c r="AA496" s="40" t="s">
        <v>1024</v>
      </c>
      <c r="AB496" s="40" t="s">
        <v>1322</v>
      </c>
      <c r="AC496" s="39" t="str">
        <f>データ!J496</f>
        <v>S</v>
      </c>
      <c r="AD496" s="38" t="s">
        <v>1024</v>
      </c>
      <c r="AE496" s="40" t="s">
        <v>1323</v>
      </c>
      <c r="AF496" s="39">
        <f>データ!K496</f>
        <v>32249</v>
      </c>
      <c r="AG496" s="40" t="s">
        <v>1024</v>
      </c>
      <c r="AH496" s="40" t="s">
        <v>1324</v>
      </c>
      <c r="AI496" s="39" t="str">
        <f>データ!L496</f>
        <v>地魔幻の閃光／煌</v>
      </c>
      <c r="AJ496" s="10" t="s">
        <v>1113</v>
      </c>
      <c r="AK496" s="39" t="str">
        <f>データ!M496</f>
        <v>縦一列攻撃[特大]自分の防御力UP[特大]</v>
      </c>
      <c r="AL496" s="10" t="s">
        <v>1024</v>
      </c>
      <c r="AM496" s="40" t="s">
        <v>1325</v>
      </c>
      <c r="AN496" s="39" t="str">
        <f>データ!N496</f>
        <v>-</v>
      </c>
      <c r="AO496" s="10" t="s">
        <v>1113</v>
      </c>
      <c r="AP496" s="39" t="str">
        <f>データ!O496</f>
        <v>　</v>
      </c>
      <c r="AQ496" s="41" t="s">
        <v>1024</v>
      </c>
      <c r="AR496" s="40" t="s">
        <v>1324</v>
      </c>
      <c r="AS496" s="39" t="str">
        <f>データ!P496</f>
        <v>エクスドライブ／絶</v>
      </c>
      <c r="AT496" s="10" t="s">
        <v>1113</v>
      </c>
      <c r="AU496" s="39" t="str">
        <f>データ!Q496</f>
        <v>キリ番CB時の獲得ポイント大UP(3分間)</v>
      </c>
      <c r="AV496" s="10" t="s">
        <v>1024</v>
      </c>
      <c r="AW496" s="40" t="s">
        <v>1324</v>
      </c>
      <c r="AX496" s="39" t="str">
        <f>データ!R496</f>
        <v>-</v>
      </c>
      <c r="AY496" s="10" t="s">
        <v>1113</v>
      </c>
      <c r="AZ496" s="39" t="str">
        <f>データ!S496</f>
        <v>　</v>
      </c>
      <c r="BA496" s="41" t="s">
        <v>1024</v>
      </c>
      <c r="BB496" s="40" t="s">
        <v>1319</v>
      </c>
      <c r="BC496" s="39" t="str">
        <f>データ!T496</f>
        <v>-</v>
      </c>
      <c r="BD496" s="41" t="s">
        <v>1024</v>
      </c>
      <c r="BE496" s="40" t="s">
        <v>1320</v>
      </c>
      <c r="BF496" s="39" t="str">
        <f>データ!U496</f>
        <v>-</v>
      </c>
      <c r="BG496" s="41" t="s">
        <v>1024</v>
      </c>
      <c r="BH496" s="40" t="s">
        <v>1319</v>
      </c>
      <c r="BI496" s="39" t="str">
        <f>データ!V496</f>
        <v>覇者の塔</v>
      </c>
      <c r="BJ496" s="41" t="s">
        <v>1024</v>
      </c>
      <c r="BK496" s="10" t="s">
        <v>1019</v>
      </c>
    </row>
    <row r="497" spans="1:63" x14ac:dyDescent="0.15">
      <c r="A497" s="10" t="s">
        <v>1016</v>
      </c>
      <c r="B497" s="10" t="s">
        <v>1454</v>
      </c>
      <c r="C497" s="38" t="str">
        <f>"./images/thumbnail/"&amp;データ!B497&amp;".jpg"</f>
        <v>./images/thumbnail/1827.jpg</v>
      </c>
      <c r="D497" s="38" t="s">
        <v>1455</v>
      </c>
      <c r="E497" s="38" t="str">
        <f>"./images/thumbnail/"&amp;データ!B497&amp;".jpg"</f>
        <v>./images/thumbnail/1827.jpg</v>
      </c>
      <c r="F497" s="38" t="s">
        <v>1116</v>
      </c>
      <c r="G497" s="38" t="s">
        <v>1319</v>
      </c>
      <c r="H497" s="38" t="str">
        <f>データ!C497</f>
        <v>アウロラ</v>
      </c>
      <c r="I497" s="38" t="s">
        <v>1024</v>
      </c>
      <c r="J497" s="38" t="s">
        <v>1320</v>
      </c>
      <c r="K497" s="38" t="str">
        <f>データ!D497</f>
        <v>UR</v>
      </c>
      <c r="L497" s="38" t="s">
        <v>1024</v>
      </c>
      <c r="M497" s="38" t="s">
        <v>1321</v>
      </c>
      <c r="N497" s="38">
        <f>データ!E497</f>
        <v>14</v>
      </c>
      <c r="O497" s="38" t="s">
        <v>1024</v>
      </c>
      <c r="P497" s="38" t="s">
        <v>1319</v>
      </c>
      <c r="Q497" s="38" t="str">
        <f>データ!F497</f>
        <v>打</v>
      </c>
      <c r="R497" s="38" t="s">
        <v>1024</v>
      </c>
      <c r="S497" s="38" t="s">
        <v>1319</v>
      </c>
      <c r="T497" s="39">
        <f>データ!G497</f>
        <v>22261</v>
      </c>
      <c r="U497" s="40" t="s">
        <v>1024</v>
      </c>
      <c r="V497" s="40" t="s">
        <v>1319</v>
      </c>
      <c r="W497" s="39">
        <f>データ!H497</f>
        <v>7306</v>
      </c>
      <c r="X497" s="40" t="s">
        <v>1024</v>
      </c>
      <c r="Y497" s="40" t="s">
        <v>1319</v>
      </c>
      <c r="Z497" s="39">
        <f>データ!I497</f>
        <v>8440</v>
      </c>
      <c r="AA497" s="40" t="s">
        <v>1024</v>
      </c>
      <c r="AB497" s="40" t="s">
        <v>1322</v>
      </c>
      <c r="AC497" s="39" t="str">
        <f>データ!J497</f>
        <v>A+</v>
      </c>
      <c r="AD497" s="38" t="s">
        <v>1024</v>
      </c>
      <c r="AE497" s="40" t="s">
        <v>1323</v>
      </c>
      <c r="AF497" s="39">
        <f>データ!K497</f>
        <v>38007</v>
      </c>
      <c r="AG497" s="40" t="s">
        <v>1024</v>
      </c>
      <c r="AH497" s="40" t="s">
        <v>1324</v>
      </c>
      <c r="AI497" s="39" t="str">
        <f>データ!L497</f>
        <v>対紫の薙風／煌</v>
      </c>
      <c r="AJ497" s="10" t="s">
        <v>1113</v>
      </c>
      <c r="AK497" s="39" t="str">
        <f>データ!M497</f>
        <v>打に強く遠に弱い横一列攻撃[特大]</v>
      </c>
      <c r="AL497" s="10" t="s">
        <v>1024</v>
      </c>
      <c r="AM497" s="40" t="s">
        <v>1325</v>
      </c>
      <c r="AN497" s="39" t="str">
        <f>データ!N497</f>
        <v>-</v>
      </c>
      <c r="AO497" s="10" t="s">
        <v>1113</v>
      </c>
      <c r="AP497" s="39" t="str">
        <f>データ!O497</f>
        <v>　</v>
      </c>
      <c r="AQ497" s="41" t="s">
        <v>1024</v>
      </c>
      <c r="AR497" s="40" t="s">
        <v>1324</v>
      </c>
      <c r="AS497" s="39" t="str">
        <f>データ!P497</f>
        <v>フォートレスオーダー／真</v>
      </c>
      <c r="AT497" s="10" t="s">
        <v>1113</v>
      </c>
      <c r="AU497" s="39" t="str">
        <f>データ!Q497</f>
        <v>騎士団全体の防御力が中UP(3分間)</v>
      </c>
      <c r="AV497" s="10" t="s">
        <v>1024</v>
      </c>
      <c r="AW497" s="40" t="s">
        <v>1324</v>
      </c>
      <c r="AX497" s="39" t="str">
        <f>データ!R497</f>
        <v>-</v>
      </c>
      <c r="AY497" s="10" t="s">
        <v>1113</v>
      </c>
      <c r="AZ497" s="39" t="str">
        <f>データ!S497</f>
        <v>　</v>
      </c>
      <c r="BA497" s="41" t="s">
        <v>1024</v>
      </c>
      <c r="BB497" s="40" t="s">
        <v>1319</v>
      </c>
      <c r="BC497" s="39" t="str">
        <f>データ!T497</f>
        <v>-</v>
      </c>
      <c r="BD497" s="41" t="s">
        <v>1024</v>
      </c>
      <c r="BE497" s="40" t="s">
        <v>1320</v>
      </c>
      <c r="BF497" s="39" t="str">
        <f>データ!U497</f>
        <v>-</v>
      </c>
      <c r="BG497" s="41" t="s">
        <v>1024</v>
      </c>
      <c r="BH497" s="40" t="s">
        <v>1319</v>
      </c>
      <c r="BI497" s="39" t="str">
        <f>データ!V497</f>
        <v>ガチャイベ</v>
      </c>
      <c r="BJ497" s="41" t="s">
        <v>1024</v>
      </c>
      <c r="BK497" s="10" t="s">
        <v>1019</v>
      </c>
    </row>
    <row r="498" spans="1:63" x14ac:dyDescent="0.15">
      <c r="A498" s="10" t="s">
        <v>1016</v>
      </c>
      <c r="B498" s="10" t="s">
        <v>1454</v>
      </c>
      <c r="C498" s="38" t="str">
        <f>"./images/thumbnail/"&amp;データ!B498&amp;".jpg"</f>
        <v>./images/thumbnail/1829.jpg</v>
      </c>
      <c r="D498" s="38" t="s">
        <v>1455</v>
      </c>
      <c r="E498" s="38" t="str">
        <f>"./images/thumbnail/"&amp;データ!B498&amp;".jpg"</f>
        <v>./images/thumbnail/1829.jpg</v>
      </c>
      <c r="F498" s="38" t="s">
        <v>1116</v>
      </c>
      <c r="G498" s="38" t="s">
        <v>1319</v>
      </c>
      <c r="H498" s="38" t="str">
        <f>データ!C498</f>
        <v>コライユ</v>
      </c>
      <c r="I498" s="38" t="s">
        <v>1024</v>
      </c>
      <c r="J498" s="38" t="s">
        <v>1320</v>
      </c>
      <c r="K498" s="38" t="str">
        <f>データ!D498</f>
        <v>SSR</v>
      </c>
      <c r="L498" s="38" t="s">
        <v>1024</v>
      </c>
      <c r="M498" s="38" t="s">
        <v>1321</v>
      </c>
      <c r="N498" s="38">
        <f>データ!E498</f>
        <v>13</v>
      </c>
      <c r="O498" s="38" t="s">
        <v>1024</v>
      </c>
      <c r="P498" s="38" t="s">
        <v>1319</v>
      </c>
      <c r="Q498" s="38" t="str">
        <f>データ!F498</f>
        <v>突</v>
      </c>
      <c r="R498" s="38" t="s">
        <v>1024</v>
      </c>
      <c r="S498" s="38" t="s">
        <v>1319</v>
      </c>
      <c r="T498" s="39">
        <f>データ!G498</f>
        <v>17646</v>
      </c>
      <c r="U498" s="40" t="s">
        <v>1024</v>
      </c>
      <c r="V498" s="40" t="s">
        <v>1319</v>
      </c>
      <c r="W498" s="39">
        <f>データ!H498</f>
        <v>5258</v>
      </c>
      <c r="X498" s="40" t="s">
        <v>1024</v>
      </c>
      <c r="Y498" s="40" t="s">
        <v>1319</v>
      </c>
      <c r="Z498" s="39">
        <f>データ!I498</f>
        <v>6085</v>
      </c>
      <c r="AA498" s="40" t="s">
        <v>1024</v>
      </c>
      <c r="AB498" s="40" t="s">
        <v>1322</v>
      </c>
      <c r="AC498" s="39" t="str">
        <f>データ!J498</f>
        <v>SS-</v>
      </c>
      <c r="AD498" s="38" t="s">
        <v>1024</v>
      </c>
      <c r="AE498" s="40" t="s">
        <v>1323</v>
      </c>
      <c r="AF498" s="39">
        <f>データ!K498</f>
        <v>28989</v>
      </c>
      <c r="AG498" s="40" t="s">
        <v>1024</v>
      </c>
      <c r="AH498" s="40" t="s">
        <v>1324</v>
      </c>
      <c r="AI498" s="39" t="str">
        <f>データ!L498</f>
        <v>孤撃の言霊／絶</v>
      </c>
      <c r="AJ498" s="10" t="s">
        <v>1113</v>
      </c>
      <c r="AK498" s="39" t="str">
        <f>データ!M498</f>
        <v>一定確率で敵を範囲不可にする[高確率]</v>
      </c>
      <c r="AL498" s="10" t="s">
        <v>1024</v>
      </c>
      <c r="AM498" s="40" t="s">
        <v>1325</v>
      </c>
      <c r="AN498" s="39" t="str">
        <f>データ!N498</f>
        <v>-</v>
      </c>
      <c r="AO498" s="10" t="s">
        <v>1113</v>
      </c>
      <c r="AP498" s="39" t="str">
        <f>データ!O498</f>
        <v>　</v>
      </c>
      <c r="AQ498" s="41" t="s">
        <v>1024</v>
      </c>
      <c r="AR498" s="40" t="s">
        <v>1324</v>
      </c>
      <c r="AS498" s="39" t="str">
        <f>データ!P498</f>
        <v>エース／真</v>
      </c>
      <c r="AT498" s="10" t="s">
        <v>1113</v>
      </c>
      <c r="AU498" s="39" t="str">
        <f>データ!Q498</f>
        <v>パーティ全体の攻・防が中UP(3分間)</v>
      </c>
      <c r="AV498" s="10" t="s">
        <v>1024</v>
      </c>
      <c r="AW498" s="40" t="s">
        <v>1324</v>
      </c>
      <c r="AX498" s="39" t="str">
        <f>データ!R498</f>
        <v>-</v>
      </c>
      <c r="AY498" s="10" t="s">
        <v>1113</v>
      </c>
      <c r="AZ498" s="39" t="str">
        <f>データ!S498</f>
        <v>　</v>
      </c>
      <c r="BA498" s="41" t="s">
        <v>1024</v>
      </c>
      <c r="BB498" s="40" t="s">
        <v>1319</v>
      </c>
      <c r="BC498" s="39" t="str">
        <f>データ!T498</f>
        <v>-</v>
      </c>
      <c r="BD498" s="41" t="s">
        <v>1024</v>
      </c>
      <c r="BE498" s="40" t="s">
        <v>1320</v>
      </c>
      <c r="BF498" s="39" t="str">
        <f>データ!U498</f>
        <v>-</v>
      </c>
      <c r="BG498" s="41" t="s">
        <v>1024</v>
      </c>
      <c r="BH498" s="40" t="s">
        <v>1319</v>
      </c>
      <c r="BI498" s="39" t="str">
        <f>データ!V498</f>
        <v>メダル</v>
      </c>
      <c r="BJ498" s="41" t="s">
        <v>1024</v>
      </c>
      <c r="BK498" s="10" t="s">
        <v>1019</v>
      </c>
    </row>
    <row r="499" spans="1:63" x14ac:dyDescent="0.15">
      <c r="A499" s="10" t="s">
        <v>1016</v>
      </c>
      <c r="B499" s="10" t="s">
        <v>1454</v>
      </c>
      <c r="C499" s="38" t="str">
        <f>"./images/thumbnail/"&amp;データ!B499&amp;".jpg"</f>
        <v>./images/thumbnail/1830.jpg</v>
      </c>
      <c r="D499" s="38" t="s">
        <v>1455</v>
      </c>
      <c r="E499" s="38" t="str">
        <f>"./images/thumbnail/"&amp;データ!B499&amp;".jpg"</f>
        <v>./images/thumbnail/1830.jpg</v>
      </c>
      <c r="F499" s="38" t="s">
        <v>1116</v>
      </c>
      <c r="G499" s="38" t="s">
        <v>1319</v>
      </c>
      <c r="H499" s="38" t="str">
        <f>データ!C499</f>
        <v>ロマーヌ</v>
      </c>
      <c r="I499" s="38" t="s">
        <v>1024</v>
      </c>
      <c r="J499" s="38" t="s">
        <v>1320</v>
      </c>
      <c r="K499" s="38" t="str">
        <f>データ!D499</f>
        <v>UR</v>
      </c>
      <c r="L499" s="38" t="s">
        <v>1024</v>
      </c>
      <c r="M499" s="38" t="s">
        <v>1321</v>
      </c>
      <c r="N499" s="38">
        <f>データ!E499</f>
        <v>14</v>
      </c>
      <c r="O499" s="38" t="s">
        <v>1024</v>
      </c>
      <c r="P499" s="38" t="s">
        <v>1319</v>
      </c>
      <c r="Q499" s="38" t="str">
        <f>データ!F499</f>
        <v>突</v>
      </c>
      <c r="R499" s="38" t="s">
        <v>1024</v>
      </c>
      <c r="S499" s="38" t="s">
        <v>1319</v>
      </c>
      <c r="T499" s="39">
        <f>データ!G499</f>
        <v>17969</v>
      </c>
      <c r="U499" s="40" t="s">
        <v>1024</v>
      </c>
      <c r="V499" s="40" t="s">
        <v>1319</v>
      </c>
      <c r="W499" s="39">
        <f>データ!H499</f>
        <v>6139</v>
      </c>
      <c r="X499" s="40" t="s">
        <v>1024</v>
      </c>
      <c r="Y499" s="40" t="s">
        <v>1319</v>
      </c>
      <c r="Z499" s="39">
        <f>データ!I499</f>
        <v>7389</v>
      </c>
      <c r="AA499" s="40" t="s">
        <v>1024</v>
      </c>
      <c r="AB499" s="40" t="s">
        <v>1322</v>
      </c>
      <c r="AC499" s="39" t="str">
        <f>データ!J499</f>
        <v>SS+</v>
      </c>
      <c r="AD499" s="38" t="s">
        <v>1024</v>
      </c>
      <c r="AE499" s="40" t="s">
        <v>1323</v>
      </c>
      <c r="AF499" s="39">
        <f>データ!K499</f>
        <v>31497</v>
      </c>
      <c r="AG499" s="40" t="s">
        <v>1024</v>
      </c>
      <c r="AH499" s="40" t="s">
        <v>1324</v>
      </c>
      <c r="AI499" s="39" t="str">
        <f>データ!L499</f>
        <v>蒼突の神威</v>
      </c>
      <c r="AJ499" s="10" t="s">
        <v>1113</v>
      </c>
      <c r="AK499" s="39" t="str">
        <f>データ!M499</f>
        <v>味方突属性の攻撃力をUP[特大]</v>
      </c>
      <c r="AL499" s="10" t="s">
        <v>1024</v>
      </c>
      <c r="AM499" s="40" t="s">
        <v>1325</v>
      </c>
      <c r="AN499" s="39" t="str">
        <f>データ!N499</f>
        <v>-</v>
      </c>
      <c r="AO499" s="10" t="s">
        <v>1113</v>
      </c>
      <c r="AP499" s="39" t="str">
        <f>データ!O499</f>
        <v>　</v>
      </c>
      <c r="AQ499" s="41" t="s">
        <v>1024</v>
      </c>
      <c r="AR499" s="40" t="s">
        <v>1324</v>
      </c>
      <c r="AS499" s="39" t="str">
        <f>データ!P499</f>
        <v>キャッスルウィークネス／真</v>
      </c>
      <c r="AT499" s="10" t="s">
        <v>1113</v>
      </c>
      <c r="AU499" s="39" t="str">
        <f>データ!Q499</f>
        <v>対戦騎士団の城強度Lvが中DOWN(3分間)</v>
      </c>
      <c r="AV499" s="10" t="s">
        <v>1024</v>
      </c>
      <c r="AW499" s="40" t="s">
        <v>1324</v>
      </c>
      <c r="AX499" s="39" t="str">
        <f>データ!R499</f>
        <v>-</v>
      </c>
      <c r="AY499" s="10" t="s">
        <v>1113</v>
      </c>
      <c r="AZ499" s="39" t="str">
        <f>データ!S499</f>
        <v>　</v>
      </c>
      <c r="BA499" s="41" t="s">
        <v>1024</v>
      </c>
      <c r="BB499" s="40" t="s">
        <v>1319</v>
      </c>
      <c r="BC499" s="39" t="str">
        <f>データ!T499</f>
        <v>-</v>
      </c>
      <c r="BD499" s="41" t="s">
        <v>1024</v>
      </c>
      <c r="BE499" s="40" t="s">
        <v>1320</v>
      </c>
      <c r="BF499" s="39" t="str">
        <f>データ!U499</f>
        <v>-</v>
      </c>
      <c r="BG499" s="41" t="s">
        <v>1024</v>
      </c>
      <c r="BH499" s="40" t="s">
        <v>1319</v>
      </c>
      <c r="BI499" s="39" t="str">
        <f>データ!V499</f>
        <v>グラン</v>
      </c>
      <c r="BJ499" s="41" t="s">
        <v>1024</v>
      </c>
      <c r="BK499" s="10" t="s">
        <v>1019</v>
      </c>
    </row>
    <row r="500" spans="1:63" x14ac:dyDescent="0.15">
      <c r="A500" s="10" t="s">
        <v>1016</v>
      </c>
      <c r="B500" s="10" t="s">
        <v>1454</v>
      </c>
      <c r="C500" s="38" t="str">
        <f>"./images/thumbnail/"&amp;データ!B500&amp;".jpg"</f>
        <v>./images/thumbnail/1832.jpg</v>
      </c>
      <c r="D500" s="38" t="s">
        <v>1455</v>
      </c>
      <c r="E500" s="38" t="str">
        <f>"./images/thumbnail/"&amp;データ!B500&amp;".jpg"</f>
        <v>./images/thumbnail/1832.jpg</v>
      </c>
      <c r="F500" s="38" t="s">
        <v>1116</v>
      </c>
      <c r="G500" s="38" t="s">
        <v>1319</v>
      </c>
      <c r="H500" s="38" t="str">
        <f>データ!C500</f>
        <v>クラウス</v>
      </c>
      <c r="I500" s="38" t="s">
        <v>1024</v>
      </c>
      <c r="J500" s="38" t="s">
        <v>1320</v>
      </c>
      <c r="K500" s="38" t="str">
        <f>データ!D500</f>
        <v>UR</v>
      </c>
      <c r="L500" s="38" t="s">
        <v>1024</v>
      </c>
      <c r="M500" s="38" t="s">
        <v>1321</v>
      </c>
      <c r="N500" s="38">
        <f>データ!E500</f>
        <v>14</v>
      </c>
      <c r="O500" s="38" t="s">
        <v>1024</v>
      </c>
      <c r="P500" s="38" t="s">
        <v>1319</v>
      </c>
      <c r="Q500" s="38" t="str">
        <f>データ!F500</f>
        <v>斬</v>
      </c>
      <c r="R500" s="38" t="s">
        <v>1024</v>
      </c>
      <c r="S500" s="38" t="s">
        <v>1319</v>
      </c>
      <c r="T500" s="39">
        <f>データ!G500</f>
        <v>19836</v>
      </c>
      <c r="U500" s="40" t="s">
        <v>1024</v>
      </c>
      <c r="V500" s="40" t="s">
        <v>1319</v>
      </c>
      <c r="W500" s="39">
        <f>データ!H500</f>
        <v>7562</v>
      </c>
      <c r="X500" s="40" t="s">
        <v>1024</v>
      </c>
      <c r="Y500" s="40" t="s">
        <v>1319</v>
      </c>
      <c r="Z500" s="39">
        <f>データ!I500</f>
        <v>5943</v>
      </c>
      <c r="AA500" s="40" t="s">
        <v>1024</v>
      </c>
      <c r="AB500" s="40" t="s">
        <v>1322</v>
      </c>
      <c r="AC500" s="39" t="str">
        <f>データ!J500</f>
        <v>S</v>
      </c>
      <c r="AD500" s="38" t="s">
        <v>1024</v>
      </c>
      <c r="AE500" s="40" t="s">
        <v>1323</v>
      </c>
      <c r="AF500" s="39">
        <f>データ!K500</f>
        <v>33341</v>
      </c>
      <c r="AG500" s="40" t="s">
        <v>1024</v>
      </c>
      <c r="AH500" s="40" t="s">
        <v>1324</v>
      </c>
      <c r="AI500" s="39" t="str">
        <f>データ!L500</f>
        <v>対蒼の薙風／煌</v>
      </c>
      <c r="AJ500" s="10" t="s">
        <v>1113</v>
      </c>
      <c r="AK500" s="39" t="str">
        <f>データ!M500</f>
        <v>突に強く斬に弱い横一列攻撃[特大]</v>
      </c>
      <c r="AL500" s="10" t="s">
        <v>1024</v>
      </c>
      <c r="AM500" s="40" t="s">
        <v>1325</v>
      </c>
      <c r="AN500" s="39" t="str">
        <f>データ!N500</f>
        <v>-</v>
      </c>
      <c r="AO500" s="10" t="s">
        <v>1113</v>
      </c>
      <c r="AP500" s="39" t="str">
        <f>データ!O500</f>
        <v>　</v>
      </c>
      <c r="AQ500" s="41" t="s">
        <v>1024</v>
      </c>
      <c r="AR500" s="40" t="s">
        <v>1324</v>
      </c>
      <c r="AS500" s="39" t="str">
        <f>データ!P500</f>
        <v>メナス／真</v>
      </c>
      <c r="AT500" s="10" t="s">
        <v>1113</v>
      </c>
      <c r="AU500" s="39" t="str">
        <f>データ!Q500</f>
        <v>対戦騎士団全体の防御力が中DOWN(3分間)</v>
      </c>
      <c r="AV500" s="10" t="s">
        <v>1024</v>
      </c>
      <c r="AW500" s="40" t="s">
        <v>1324</v>
      </c>
      <c r="AX500" s="39" t="str">
        <f>データ!R500</f>
        <v>-</v>
      </c>
      <c r="AY500" s="10" t="s">
        <v>1113</v>
      </c>
      <c r="AZ500" s="39" t="str">
        <f>データ!S500</f>
        <v>　</v>
      </c>
      <c r="BA500" s="41" t="s">
        <v>1024</v>
      </c>
      <c r="BB500" s="40" t="s">
        <v>1319</v>
      </c>
      <c r="BC500" s="39" t="str">
        <f>データ!T500</f>
        <v>-</v>
      </c>
      <c r="BD500" s="41" t="s">
        <v>1024</v>
      </c>
      <c r="BE500" s="40" t="s">
        <v>1320</v>
      </c>
      <c r="BF500" s="39" t="str">
        <f>データ!U500</f>
        <v>-</v>
      </c>
      <c r="BG500" s="41" t="s">
        <v>1024</v>
      </c>
      <c r="BH500" s="40" t="s">
        <v>1319</v>
      </c>
      <c r="BI500" s="39" t="str">
        <f>データ!V500</f>
        <v>常設</v>
      </c>
      <c r="BJ500" s="41" t="s">
        <v>1024</v>
      </c>
      <c r="BK500" s="10" t="s">
        <v>1019</v>
      </c>
    </row>
    <row r="501" spans="1:63" x14ac:dyDescent="0.15">
      <c r="A501" s="10" t="s">
        <v>1016</v>
      </c>
      <c r="B501" s="10" t="s">
        <v>1454</v>
      </c>
      <c r="C501" s="38" t="str">
        <f>"./images/thumbnail/"&amp;データ!B501&amp;".jpg"</f>
        <v>./images/thumbnail/1832_a.jpg</v>
      </c>
      <c r="D501" s="38" t="s">
        <v>1455</v>
      </c>
      <c r="E501" s="38" t="str">
        <f>"./images/thumbnail/"&amp;データ!B501&amp;".jpg"</f>
        <v>./images/thumbnail/1832_a.jpg</v>
      </c>
      <c r="F501" s="38" t="s">
        <v>1116</v>
      </c>
      <c r="G501" s="38" t="s">
        <v>1319</v>
      </c>
      <c r="H501" s="38" t="str">
        <f>データ!C501</f>
        <v>クラウス</v>
      </c>
      <c r="I501" s="38" t="s">
        <v>1024</v>
      </c>
      <c r="J501" s="38" t="s">
        <v>1320</v>
      </c>
      <c r="K501" s="38" t="str">
        <f>データ!D501</f>
        <v>UR</v>
      </c>
      <c r="L501" s="38" t="s">
        <v>1024</v>
      </c>
      <c r="M501" s="38" t="s">
        <v>1321</v>
      </c>
      <c r="N501" s="38">
        <f>データ!E501</f>
        <v>14</v>
      </c>
      <c r="O501" s="38" t="s">
        <v>1024</v>
      </c>
      <c r="P501" s="38" t="s">
        <v>1319</v>
      </c>
      <c r="Q501" s="38" t="str">
        <f>データ!F501</f>
        <v>斬</v>
      </c>
      <c r="R501" s="38" t="s">
        <v>1024</v>
      </c>
      <c r="S501" s="38" t="s">
        <v>1319</v>
      </c>
      <c r="T501" s="39">
        <f>データ!G501</f>
        <v>24048</v>
      </c>
      <c r="U501" s="40" t="s">
        <v>1024</v>
      </c>
      <c r="V501" s="40" t="s">
        <v>1319</v>
      </c>
      <c r="W501" s="39">
        <f>データ!H501</f>
        <v>10586</v>
      </c>
      <c r="X501" s="40" t="s">
        <v>1024</v>
      </c>
      <c r="Y501" s="40" t="s">
        <v>1319</v>
      </c>
      <c r="Z501" s="39">
        <f>データ!I501</f>
        <v>8316</v>
      </c>
      <c r="AA501" s="40" t="s">
        <v>1024</v>
      </c>
      <c r="AB501" s="40" t="s">
        <v>1322</v>
      </c>
      <c r="AC501" s="39" t="str">
        <f>データ!J501</f>
        <v>SS+</v>
      </c>
      <c r="AD501" s="38" t="s">
        <v>1024</v>
      </c>
      <c r="AE501" s="40" t="s">
        <v>1323</v>
      </c>
      <c r="AF501" s="39">
        <f>データ!K501</f>
        <v>42950</v>
      </c>
      <c r="AG501" s="40" t="s">
        <v>1024</v>
      </c>
      <c r="AH501" s="40" t="s">
        <v>1324</v>
      </c>
      <c r="AI501" s="39" t="str">
        <f>データ!L501</f>
        <v>対蒼の薙風／煌＋</v>
      </c>
      <c r="AJ501" s="10" t="s">
        <v>1113</v>
      </c>
      <c r="AK501" s="39" t="str">
        <f>データ!M501</f>
        <v>突に強く斬に弱い横一列攻撃[超極大]</v>
      </c>
      <c r="AL501" s="38" t="s">
        <v>1024</v>
      </c>
      <c r="AM501" s="40" t="s">
        <v>1325</v>
      </c>
      <c r="AN501" s="39" t="str">
        <f>データ!N501</f>
        <v>-</v>
      </c>
      <c r="AO501" s="10" t="s">
        <v>1113</v>
      </c>
      <c r="AP501" s="39" t="str">
        <f>データ!O501</f>
        <v>　</v>
      </c>
      <c r="AQ501" s="41" t="s">
        <v>1024</v>
      </c>
      <c r="AR501" s="40" t="s">
        <v>1324</v>
      </c>
      <c r="AS501" s="39" t="str">
        <f>データ!P501</f>
        <v>メナス／真</v>
      </c>
      <c r="AT501" s="10" t="s">
        <v>1113</v>
      </c>
      <c r="AU501" s="39" t="str">
        <f>データ!Q501</f>
        <v>対戦騎士団全体の防御力が中DOWN(3分間)</v>
      </c>
      <c r="AV501" s="10" t="s">
        <v>1024</v>
      </c>
      <c r="AW501" s="40" t="s">
        <v>1324</v>
      </c>
      <c r="AX501" s="39" t="str">
        <f>データ!R501</f>
        <v>-</v>
      </c>
      <c r="AY501" s="10" t="s">
        <v>1113</v>
      </c>
      <c r="AZ501" s="39" t="str">
        <f>データ!S501</f>
        <v>　</v>
      </c>
      <c r="BA501" s="41" t="s">
        <v>1024</v>
      </c>
      <c r="BB501" s="40" t="s">
        <v>1319</v>
      </c>
      <c r="BC501" s="39" t="str">
        <f>データ!T501</f>
        <v>-</v>
      </c>
      <c r="BD501" s="41" t="s">
        <v>1024</v>
      </c>
      <c r="BE501" s="40" t="s">
        <v>1320</v>
      </c>
      <c r="BF501" s="39" t="str">
        <f>データ!U501</f>
        <v>-</v>
      </c>
      <c r="BG501" s="41" t="s">
        <v>1024</v>
      </c>
      <c r="BH501" s="40" t="s">
        <v>1319</v>
      </c>
      <c r="BI501" s="39" t="str">
        <f>データ!V501</f>
        <v>精鋭化ユニット</v>
      </c>
      <c r="BJ501" s="41" t="s">
        <v>1024</v>
      </c>
      <c r="BK501" s="10" t="s">
        <v>1019</v>
      </c>
    </row>
    <row r="502" spans="1:63" x14ac:dyDescent="0.15">
      <c r="A502" s="10" t="s">
        <v>1016</v>
      </c>
      <c r="B502" s="10" t="s">
        <v>1454</v>
      </c>
      <c r="C502" s="38" t="str">
        <f>"./images/thumbnail/"&amp;データ!B502&amp;".jpg"</f>
        <v>./images/thumbnail/1832_b.jpg</v>
      </c>
      <c r="D502" s="38" t="s">
        <v>1455</v>
      </c>
      <c r="E502" s="38" t="str">
        <f>"./images/thumbnail/"&amp;データ!B502&amp;".jpg"</f>
        <v>./images/thumbnail/1832_b.jpg</v>
      </c>
      <c r="F502" s="38" t="s">
        <v>1116</v>
      </c>
      <c r="G502" s="38" t="s">
        <v>1319</v>
      </c>
      <c r="H502" s="38" t="str">
        <f>データ!C502</f>
        <v>クラウス</v>
      </c>
      <c r="I502" s="38" t="s">
        <v>1024</v>
      </c>
      <c r="J502" s="38" t="s">
        <v>1320</v>
      </c>
      <c r="K502" s="38" t="str">
        <f>データ!D502</f>
        <v>UR</v>
      </c>
      <c r="L502" s="38" t="s">
        <v>1024</v>
      </c>
      <c r="M502" s="38" t="s">
        <v>1321</v>
      </c>
      <c r="N502" s="38">
        <f>データ!E502</f>
        <v>14</v>
      </c>
      <c r="O502" s="38" t="s">
        <v>1024</v>
      </c>
      <c r="P502" s="38" t="s">
        <v>1319</v>
      </c>
      <c r="Q502" s="38" t="str">
        <f>データ!F502</f>
        <v>斬</v>
      </c>
      <c r="R502" s="38" t="s">
        <v>1024</v>
      </c>
      <c r="S502" s="38" t="s">
        <v>1319</v>
      </c>
      <c r="T502" s="39">
        <f>データ!G502</f>
        <v>23061</v>
      </c>
      <c r="U502" s="40" t="s">
        <v>1024</v>
      </c>
      <c r="V502" s="40" t="s">
        <v>1319</v>
      </c>
      <c r="W502" s="39">
        <f>データ!H502</f>
        <v>10208</v>
      </c>
      <c r="X502" s="40" t="s">
        <v>1024</v>
      </c>
      <c r="Y502" s="40" t="s">
        <v>1319</v>
      </c>
      <c r="Z502" s="39">
        <f>データ!I502</f>
        <v>8022</v>
      </c>
      <c r="AA502" s="40" t="s">
        <v>1024</v>
      </c>
      <c r="AB502" s="40" t="s">
        <v>1322</v>
      </c>
      <c r="AC502" s="39" t="str">
        <f>データ!J502</f>
        <v>SS+</v>
      </c>
      <c r="AD502" s="38" t="s">
        <v>1024</v>
      </c>
      <c r="AE502" s="40" t="s">
        <v>1323</v>
      </c>
      <c r="AF502" s="39">
        <f>データ!K502</f>
        <v>41291</v>
      </c>
      <c r="AG502" s="40" t="s">
        <v>1024</v>
      </c>
      <c r="AH502" s="40" t="s">
        <v>1324</v>
      </c>
      <c r="AI502" s="39" t="str">
        <f>データ!L502</f>
        <v>対蒼の薙風／煌</v>
      </c>
      <c r="AJ502" s="10" t="s">
        <v>1113</v>
      </c>
      <c r="AK502" s="39" t="str">
        <f>データ!M502</f>
        <v>突に強く斬に弱い横一列攻撃[特大]</v>
      </c>
      <c r="AL502" s="10" t="s">
        <v>1024</v>
      </c>
      <c r="AM502" s="40" t="s">
        <v>1325</v>
      </c>
      <c r="AN502" s="39" t="str">
        <f>データ!N502</f>
        <v>-</v>
      </c>
      <c r="AO502" s="10" t="s">
        <v>1113</v>
      </c>
      <c r="AP502" s="39" t="str">
        <f>データ!O502</f>
        <v>　</v>
      </c>
      <c r="AQ502" s="41" t="s">
        <v>1024</v>
      </c>
      <c r="AR502" s="40" t="s">
        <v>1324</v>
      </c>
      <c r="AS502" s="39" t="str">
        <f>データ!P502</f>
        <v>迷妄の剣鬼</v>
      </c>
      <c r="AT502" s="10" t="s">
        <v>1113</v>
      </c>
      <c r="AU502" s="39" t="str">
        <f>データ!Q502</f>
        <v>対戦騎士団全体の防御力が特大DOWN(5分間)</v>
      </c>
      <c r="AV502" s="10" t="s">
        <v>1024</v>
      </c>
      <c r="AW502" s="40" t="s">
        <v>1324</v>
      </c>
      <c r="AX502" s="39" t="str">
        <f>データ!R502</f>
        <v>-</v>
      </c>
      <c r="AY502" s="10" t="s">
        <v>1113</v>
      </c>
      <c r="AZ502" s="39" t="str">
        <f>データ!S502</f>
        <v>　</v>
      </c>
      <c r="BA502" s="41" t="s">
        <v>1024</v>
      </c>
      <c r="BB502" s="40" t="s">
        <v>1319</v>
      </c>
      <c r="BC502" s="39" t="str">
        <f>データ!T502</f>
        <v>-</v>
      </c>
      <c r="BD502" s="41" t="s">
        <v>1024</v>
      </c>
      <c r="BE502" s="40" t="s">
        <v>1320</v>
      </c>
      <c r="BF502" s="39" t="str">
        <f>データ!U502</f>
        <v>-</v>
      </c>
      <c r="BG502" s="41" t="s">
        <v>1024</v>
      </c>
      <c r="BH502" s="40" t="s">
        <v>1319</v>
      </c>
      <c r="BI502" s="39" t="str">
        <f>データ!V502</f>
        <v>精鋭化ユニット</v>
      </c>
      <c r="BJ502" s="41" t="s">
        <v>1024</v>
      </c>
      <c r="BK502" s="10" t="s">
        <v>1019</v>
      </c>
    </row>
    <row r="503" spans="1:63" x14ac:dyDescent="0.15">
      <c r="A503" s="10" t="s">
        <v>1016</v>
      </c>
      <c r="B503" s="10" t="s">
        <v>1454</v>
      </c>
      <c r="C503" s="38" t="str">
        <f>"./images/thumbnail/"&amp;データ!B503&amp;".jpg"</f>
        <v>./images/thumbnail/1834.jpg</v>
      </c>
      <c r="D503" s="38" t="s">
        <v>1455</v>
      </c>
      <c r="E503" s="38" t="str">
        <f>"./images/thumbnail/"&amp;データ!B503&amp;".jpg"</f>
        <v>./images/thumbnail/1834.jpg</v>
      </c>
      <c r="F503" s="38" t="s">
        <v>1116</v>
      </c>
      <c r="G503" s="38" t="s">
        <v>1319</v>
      </c>
      <c r="H503" s="38" t="str">
        <f>データ!C503</f>
        <v>カリス</v>
      </c>
      <c r="I503" s="38" t="s">
        <v>1024</v>
      </c>
      <c r="J503" s="38" t="s">
        <v>1320</v>
      </c>
      <c r="K503" s="38" t="str">
        <f>データ!D503</f>
        <v>UR</v>
      </c>
      <c r="L503" s="38" t="s">
        <v>1024</v>
      </c>
      <c r="M503" s="38" t="s">
        <v>1321</v>
      </c>
      <c r="N503" s="38">
        <f>データ!E503</f>
        <v>14</v>
      </c>
      <c r="O503" s="38" t="s">
        <v>1024</v>
      </c>
      <c r="P503" s="38" t="s">
        <v>1319</v>
      </c>
      <c r="Q503" s="38" t="str">
        <f>データ!F503</f>
        <v>突</v>
      </c>
      <c r="R503" s="38" t="s">
        <v>1024</v>
      </c>
      <c r="S503" s="38" t="s">
        <v>1319</v>
      </c>
      <c r="T503" s="39">
        <f>データ!G503</f>
        <v>19250</v>
      </c>
      <c r="U503" s="40" t="s">
        <v>1024</v>
      </c>
      <c r="V503" s="40" t="s">
        <v>1319</v>
      </c>
      <c r="W503" s="39">
        <f>データ!H503</f>
        <v>6583</v>
      </c>
      <c r="X503" s="40" t="s">
        <v>1024</v>
      </c>
      <c r="Y503" s="40" t="s">
        <v>1319</v>
      </c>
      <c r="Z503" s="39">
        <f>データ!I503</f>
        <v>6893</v>
      </c>
      <c r="AA503" s="40" t="s">
        <v>1024</v>
      </c>
      <c r="AB503" s="40" t="s">
        <v>1322</v>
      </c>
      <c r="AC503" s="39" t="str">
        <f>データ!J503</f>
        <v>SS+</v>
      </c>
      <c r="AD503" s="38" t="s">
        <v>1024</v>
      </c>
      <c r="AE503" s="40" t="s">
        <v>1323</v>
      </c>
      <c r="AF503" s="39">
        <f>データ!K503</f>
        <v>32726</v>
      </c>
      <c r="AG503" s="40" t="s">
        <v>1024</v>
      </c>
      <c r="AH503" s="40" t="s">
        <v>1324</v>
      </c>
      <c r="AI503" s="39" t="str">
        <f>データ!L503</f>
        <v>強奪者の雷／煌</v>
      </c>
      <c r="AJ503" s="10" t="s">
        <v>1113</v>
      </c>
      <c r="AK503" s="39" t="str">
        <f>データ!M503</f>
        <v>単体攻撃（宝箱優先／追加ダメージ）[特大]</v>
      </c>
      <c r="AL503" s="10" t="s">
        <v>1024</v>
      </c>
      <c r="AM503" s="40" t="s">
        <v>1325</v>
      </c>
      <c r="AN503" s="39" t="str">
        <f>データ!N503</f>
        <v>-</v>
      </c>
      <c r="AO503" s="10" t="s">
        <v>1113</v>
      </c>
      <c r="AP503" s="39" t="str">
        <f>データ!O503</f>
        <v>　</v>
      </c>
      <c r="AQ503" s="41" t="s">
        <v>1024</v>
      </c>
      <c r="AR503" s="40" t="s">
        <v>1324</v>
      </c>
      <c r="AS503" s="39" t="str">
        <f>データ!P503</f>
        <v>バーサク／真</v>
      </c>
      <c r="AT503" s="10" t="s">
        <v>1113</v>
      </c>
      <c r="AU503" s="39" t="str">
        <f>データ!Q503</f>
        <v>強襲が発生無効、バトル時に攻・防中UP(3分間)</v>
      </c>
      <c r="AV503" s="10" t="s">
        <v>1024</v>
      </c>
      <c r="AW503" s="40" t="s">
        <v>1324</v>
      </c>
      <c r="AX503" s="39" t="str">
        <f>データ!R503</f>
        <v>-</v>
      </c>
      <c r="AY503" s="10" t="s">
        <v>1113</v>
      </c>
      <c r="AZ503" s="39" t="str">
        <f>データ!S503</f>
        <v>　</v>
      </c>
      <c r="BA503" s="41" t="s">
        <v>1024</v>
      </c>
      <c r="BB503" s="40" t="s">
        <v>1319</v>
      </c>
      <c r="BC503" s="39" t="str">
        <f>データ!T503</f>
        <v>-</v>
      </c>
      <c r="BD503" s="41" t="s">
        <v>1024</v>
      </c>
      <c r="BE503" s="40" t="s">
        <v>1320</v>
      </c>
      <c r="BF503" s="39" t="str">
        <f>データ!U503</f>
        <v>-</v>
      </c>
      <c r="BG503" s="41" t="s">
        <v>1024</v>
      </c>
      <c r="BH503" s="40" t="s">
        <v>1319</v>
      </c>
      <c r="BI503" s="39" t="str">
        <f>データ!V503</f>
        <v>常設</v>
      </c>
      <c r="BJ503" s="41" t="s">
        <v>1024</v>
      </c>
      <c r="BK503" s="10" t="s">
        <v>1019</v>
      </c>
    </row>
    <row r="504" spans="1:63" x14ac:dyDescent="0.15">
      <c r="A504" s="10" t="s">
        <v>1016</v>
      </c>
      <c r="B504" s="10" t="s">
        <v>1454</v>
      </c>
      <c r="C504" s="38" t="str">
        <f>"./images/thumbnail/"&amp;データ!B504&amp;".jpg"</f>
        <v>./images/thumbnail/1834_a.jpg</v>
      </c>
      <c r="D504" s="38" t="s">
        <v>1455</v>
      </c>
      <c r="E504" s="38" t="str">
        <f>"./images/thumbnail/"&amp;データ!B504&amp;".jpg"</f>
        <v>./images/thumbnail/1834_a.jpg</v>
      </c>
      <c r="F504" s="38" t="s">
        <v>1116</v>
      </c>
      <c r="G504" s="38" t="s">
        <v>1319</v>
      </c>
      <c r="H504" s="38" t="str">
        <f>データ!C504</f>
        <v>カリス</v>
      </c>
      <c r="I504" s="38" t="s">
        <v>1024</v>
      </c>
      <c r="J504" s="38" t="s">
        <v>1320</v>
      </c>
      <c r="K504" s="38" t="str">
        <f>データ!D504</f>
        <v>UR</v>
      </c>
      <c r="L504" s="38" t="s">
        <v>1024</v>
      </c>
      <c r="M504" s="38" t="s">
        <v>1321</v>
      </c>
      <c r="N504" s="38">
        <f>データ!E504</f>
        <v>14</v>
      </c>
      <c r="O504" s="38" t="s">
        <v>1024</v>
      </c>
      <c r="P504" s="38" t="s">
        <v>1319</v>
      </c>
      <c r="Q504" s="38" t="str">
        <f>データ!F504</f>
        <v>突</v>
      </c>
      <c r="R504" s="38" t="s">
        <v>1024</v>
      </c>
      <c r="S504" s="38" t="s">
        <v>1319</v>
      </c>
      <c r="T504" s="39">
        <f>データ!G504</f>
        <v>26957</v>
      </c>
      <c r="U504" s="40" t="s">
        <v>1024</v>
      </c>
      <c r="V504" s="40" t="s">
        <v>1319</v>
      </c>
      <c r="W504" s="39">
        <f>データ!H504</f>
        <v>8095</v>
      </c>
      <c r="X504" s="40" t="s">
        <v>1024</v>
      </c>
      <c r="Y504" s="40" t="s">
        <v>1319</v>
      </c>
      <c r="Z504" s="39">
        <f>データ!I504</f>
        <v>10064</v>
      </c>
      <c r="AA504" s="40" t="s">
        <v>1024</v>
      </c>
      <c r="AB504" s="40" t="s">
        <v>1322</v>
      </c>
      <c r="AC504" s="39" t="str">
        <f>データ!J504</f>
        <v>SS4</v>
      </c>
      <c r="AD504" s="38" t="s">
        <v>1024</v>
      </c>
      <c r="AE504" s="40" t="s">
        <v>1323</v>
      </c>
      <c r="AF504" s="39">
        <f>データ!K504</f>
        <v>45116</v>
      </c>
      <c r="AG504" s="40" t="s">
        <v>1024</v>
      </c>
      <c r="AH504" s="40" t="s">
        <v>1324</v>
      </c>
      <c r="AI504" s="39" t="str">
        <f>データ!L504</f>
        <v>強奪者の雷／煌＋</v>
      </c>
      <c r="AJ504" s="10" t="s">
        <v>1113</v>
      </c>
      <c r="AK504" s="39" t="str">
        <f>データ!M504</f>
        <v>単体攻撃(宝箱優先／追加ダメージ)[極大]</v>
      </c>
      <c r="AL504" s="10" t="s">
        <v>1024</v>
      </c>
      <c r="AM504" s="40" t="s">
        <v>1325</v>
      </c>
      <c r="AN504" s="39" t="str">
        <f>データ!N504</f>
        <v>-</v>
      </c>
      <c r="AO504" s="10" t="s">
        <v>1113</v>
      </c>
      <c r="AP504" s="39" t="str">
        <f>データ!O504</f>
        <v>　</v>
      </c>
      <c r="AQ504" s="41" t="s">
        <v>1024</v>
      </c>
      <c r="AR504" s="40" t="s">
        <v>1324</v>
      </c>
      <c r="AS504" s="39" t="str">
        <f>データ!P504</f>
        <v>バーサク／真</v>
      </c>
      <c r="AT504" s="10" t="s">
        <v>1113</v>
      </c>
      <c r="AU504" s="39" t="str">
        <f>データ!Q504</f>
        <v>強襲が発生無効、バトル時に攻・防中UP(3分間)</v>
      </c>
      <c r="AV504" s="10" t="s">
        <v>1024</v>
      </c>
      <c r="AW504" s="40" t="s">
        <v>1324</v>
      </c>
      <c r="AX504" s="39" t="str">
        <f>データ!R504</f>
        <v>-</v>
      </c>
      <c r="AY504" s="10" t="s">
        <v>1113</v>
      </c>
      <c r="AZ504" s="39" t="str">
        <f>データ!S504</f>
        <v>　</v>
      </c>
      <c r="BA504" s="41" t="s">
        <v>1024</v>
      </c>
      <c r="BB504" s="40" t="s">
        <v>1319</v>
      </c>
      <c r="BC504" s="39" t="str">
        <f>データ!T504</f>
        <v>-</v>
      </c>
      <c r="BD504" s="41" t="s">
        <v>1024</v>
      </c>
      <c r="BE504" s="40" t="s">
        <v>1320</v>
      </c>
      <c r="BF504" s="39" t="str">
        <f>データ!U504</f>
        <v>-</v>
      </c>
      <c r="BG504" s="41" t="s">
        <v>1024</v>
      </c>
      <c r="BH504" s="40" t="s">
        <v>1319</v>
      </c>
      <c r="BI504" s="39" t="str">
        <f>データ!V504</f>
        <v>精鋭化ユニット</v>
      </c>
      <c r="BJ504" s="41" t="s">
        <v>1024</v>
      </c>
      <c r="BK504" s="10" t="s">
        <v>1019</v>
      </c>
    </row>
    <row r="505" spans="1:63" x14ac:dyDescent="0.15">
      <c r="A505" s="10" t="s">
        <v>1016</v>
      </c>
      <c r="B505" s="10" t="s">
        <v>1454</v>
      </c>
      <c r="C505" s="38" t="str">
        <f>"./images/thumbnail/"&amp;データ!B505&amp;".jpg"</f>
        <v>./images/thumbnail/1834_b.jpg</v>
      </c>
      <c r="D505" s="38" t="s">
        <v>1455</v>
      </c>
      <c r="E505" s="38" t="str">
        <f>"./images/thumbnail/"&amp;データ!B505&amp;".jpg"</f>
        <v>./images/thumbnail/1834_b.jpg</v>
      </c>
      <c r="F505" s="38" t="s">
        <v>1116</v>
      </c>
      <c r="G505" s="38" t="s">
        <v>1319</v>
      </c>
      <c r="H505" s="38" t="str">
        <f>データ!C505</f>
        <v>カリス</v>
      </c>
      <c r="I505" s="38" t="s">
        <v>1024</v>
      </c>
      <c r="J505" s="38" t="s">
        <v>1320</v>
      </c>
      <c r="K505" s="38" t="str">
        <f>データ!D505</f>
        <v>UR</v>
      </c>
      <c r="L505" s="38" t="s">
        <v>1024</v>
      </c>
      <c r="M505" s="38" t="s">
        <v>1321</v>
      </c>
      <c r="N505" s="38">
        <f>データ!E505</f>
        <v>14</v>
      </c>
      <c r="O505" s="38" t="s">
        <v>1024</v>
      </c>
      <c r="P505" s="38" t="s">
        <v>1319</v>
      </c>
      <c r="Q505" s="38" t="str">
        <f>データ!F505</f>
        <v>突</v>
      </c>
      <c r="R505" s="38" t="s">
        <v>1024</v>
      </c>
      <c r="S505" s="38" t="s">
        <v>1319</v>
      </c>
      <c r="T505" s="39">
        <f>データ!G505</f>
        <v>25025</v>
      </c>
      <c r="U505" s="40" t="s">
        <v>1024</v>
      </c>
      <c r="V505" s="40" t="s">
        <v>1319</v>
      </c>
      <c r="W505" s="39">
        <f>データ!H505</f>
        <v>7759</v>
      </c>
      <c r="X505" s="40" t="s">
        <v>1024</v>
      </c>
      <c r="Y505" s="40" t="s">
        <v>1319</v>
      </c>
      <c r="Z505" s="39">
        <f>データ!I505</f>
        <v>9308</v>
      </c>
      <c r="AA505" s="40" t="s">
        <v>1024</v>
      </c>
      <c r="AB505" s="40" t="s">
        <v>1322</v>
      </c>
      <c r="AC505" s="39" t="str">
        <f>データ!J505</f>
        <v>SS4</v>
      </c>
      <c r="AD505" s="38" t="s">
        <v>1024</v>
      </c>
      <c r="AE505" s="40" t="s">
        <v>1323</v>
      </c>
      <c r="AF505" s="39">
        <f>データ!K505</f>
        <v>42092</v>
      </c>
      <c r="AG505" s="40" t="s">
        <v>1024</v>
      </c>
      <c r="AH505" s="40" t="s">
        <v>1324</v>
      </c>
      <c r="AI505" s="39" t="str">
        <f>データ!L505</f>
        <v>強奪者の雷／煌</v>
      </c>
      <c r="AJ505" s="10" t="s">
        <v>1113</v>
      </c>
      <c r="AK505" s="39" t="str">
        <f>データ!M505</f>
        <v>単体攻撃（宝箱優先／追加ダメージ）[特大]</v>
      </c>
      <c r="AL505" s="10" t="s">
        <v>1024</v>
      </c>
      <c r="AM505" s="40" t="s">
        <v>1325</v>
      </c>
      <c r="AN505" s="39" t="str">
        <f>データ!N505</f>
        <v>-</v>
      </c>
      <c r="AO505" s="10" t="s">
        <v>1113</v>
      </c>
      <c r="AP505" s="39" t="str">
        <f>データ!O505</f>
        <v>　</v>
      </c>
      <c r="AQ505" s="41" t="s">
        <v>1024</v>
      </c>
      <c r="AR505" s="40" t="s">
        <v>1324</v>
      </c>
      <c r="AS505" s="39" t="str">
        <f>データ!P505</f>
        <v>喧嘩上等！</v>
      </c>
      <c r="AT505" s="10" t="s">
        <v>1113</v>
      </c>
      <c r="AU505" s="39" t="str">
        <f>データ!Q505</f>
        <v>強襲が発生無効、バトル時に攻・防特大UP(5分間)</v>
      </c>
      <c r="AV505" s="10" t="s">
        <v>1024</v>
      </c>
      <c r="AW505" s="40" t="s">
        <v>1324</v>
      </c>
      <c r="AX505" s="39" t="str">
        <f>データ!R505</f>
        <v>-</v>
      </c>
      <c r="AY505" s="10" t="s">
        <v>1113</v>
      </c>
      <c r="AZ505" s="39" t="str">
        <f>データ!S505</f>
        <v>　</v>
      </c>
      <c r="BA505" s="41" t="s">
        <v>1024</v>
      </c>
      <c r="BB505" s="40" t="s">
        <v>1319</v>
      </c>
      <c r="BC505" s="39" t="str">
        <f>データ!T505</f>
        <v>-</v>
      </c>
      <c r="BD505" s="41" t="s">
        <v>1024</v>
      </c>
      <c r="BE505" s="40" t="s">
        <v>1320</v>
      </c>
      <c r="BF505" s="39" t="str">
        <f>データ!U505</f>
        <v>-</v>
      </c>
      <c r="BG505" s="41" t="s">
        <v>1024</v>
      </c>
      <c r="BH505" s="40" t="s">
        <v>1319</v>
      </c>
      <c r="BI505" s="39" t="str">
        <f>データ!V505</f>
        <v>精鋭化ユニット</v>
      </c>
      <c r="BJ505" s="41" t="s">
        <v>1024</v>
      </c>
      <c r="BK505" s="10" t="s">
        <v>1019</v>
      </c>
    </row>
    <row r="506" spans="1:63" x14ac:dyDescent="0.15">
      <c r="A506" s="10" t="s">
        <v>1016</v>
      </c>
      <c r="B506" s="10" t="s">
        <v>1454</v>
      </c>
      <c r="C506" s="38" t="str">
        <f>"./images/thumbnail/"&amp;データ!B506&amp;".jpg"</f>
        <v>./images/thumbnail/1836.jpg</v>
      </c>
      <c r="D506" s="38" t="s">
        <v>1455</v>
      </c>
      <c r="E506" s="38" t="str">
        <f>"./images/thumbnail/"&amp;データ!B506&amp;".jpg"</f>
        <v>./images/thumbnail/1836.jpg</v>
      </c>
      <c r="F506" s="38" t="s">
        <v>1116</v>
      </c>
      <c r="G506" s="38" t="s">
        <v>1319</v>
      </c>
      <c r="H506" s="38" t="str">
        <f>データ!C506</f>
        <v>ノリス</v>
      </c>
      <c r="I506" s="38" t="s">
        <v>1024</v>
      </c>
      <c r="J506" s="38" t="s">
        <v>1320</v>
      </c>
      <c r="K506" s="38" t="str">
        <f>データ!D506</f>
        <v>UR</v>
      </c>
      <c r="L506" s="38" t="s">
        <v>1024</v>
      </c>
      <c r="M506" s="38" t="s">
        <v>1321</v>
      </c>
      <c r="N506" s="38">
        <f>データ!E506</f>
        <v>14</v>
      </c>
      <c r="O506" s="38" t="s">
        <v>1024</v>
      </c>
      <c r="P506" s="38" t="s">
        <v>1319</v>
      </c>
      <c r="Q506" s="38" t="str">
        <f>データ!F506</f>
        <v>斬</v>
      </c>
      <c r="R506" s="38" t="s">
        <v>1024</v>
      </c>
      <c r="S506" s="38" t="s">
        <v>1319</v>
      </c>
      <c r="T506" s="39">
        <f>データ!G506</f>
        <v>17507</v>
      </c>
      <c r="U506" s="40" t="s">
        <v>1024</v>
      </c>
      <c r="V506" s="40" t="s">
        <v>1319</v>
      </c>
      <c r="W506" s="39">
        <f>データ!H506</f>
        <v>8044</v>
      </c>
      <c r="X506" s="40" t="s">
        <v>1024</v>
      </c>
      <c r="Y506" s="40" t="s">
        <v>1319</v>
      </c>
      <c r="Z506" s="39">
        <f>データ!I506</f>
        <v>6256</v>
      </c>
      <c r="AA506" s="40" t="s">
        <v>1024</v>
      </c>
      <c r="AB506" s="40" t="s">
        <v>1322</v>
      </c>
      <c r="AC506" s="39" t="str">
        <f>データ!J506</f>
        <v>S</v>
      </c>
      <c r="AD506" s="38" t="s">
        <v>1024</v>
      </c>
      <c r="AE506" s="40" t="s">
        <v>1323</v>
      </c>
      <c r="AF506" s="39">
        <f>データ!K506</f>
        <v>31807</v>
      </c>
      <c r="AG506" s="40" t="s">
        <v>1024</v>
      </c>
      <c r="AH506" s="40" t="s">
        <v>1324</v>
      </c>
      <c r="AI506" s="39" t="str">
        <f>データ!L506</f>
        <v>地幻氷の縦十字／煌</v>
      </c>
      <c r="AJ506" s="10" t="s">
        <v>1113</v>
      </c>
      <c r="AK506" s="39" t="str">
        <f>データ!M506</f>
        <v>十字型攻撃[特大]自分の防御力UP[特大]</v>
      </c>
      <c r="AL506" s="10" t="s">
        <v>1024</v>
      </c>
      <c r="AM506" s="40" t="s">
        <v>1325</v>
      </c>
      <c r="AN506" s="39" t="str">
        <f>データ!N506</f>
        <v>-</v>
      </c>
      <c r="AO506" s="10" t="s">
        <v>1113</v>
      </c>
      <c r="AP506" s="39" t="str">
        <f>データ!O506</f>
        <v>　</v>
      </c>
      <c r="AQ506" s="41" t="s">
        <v>1024</v>
      </c>
      <c r="AR506" s="40" t="s">
        <v>1324</v>
      </c>
      <c r="AS506" s="39" t="str">
        <f>データ!P506</f>
        <v>エースオーダー／真</v>
      </c>
      <c r="AT506" s="10" t="s">
        <v>1113</v>
      </c>
      <c r="AU506" s="39" t="str">
        <f>データ!Q506</f>
        <v>騎士団全体の攻・防が中UP(3分間)</v>
      </c>
      <c r="AV506" s="10" t="s">
        <v>1024</v>
      </c>
      <c r="AW506" s="40" t="s">
        <v>1324</v>
      </c>
      <c r="AX506" s="39" t="str">
        <f>データ!R506</f>
        <v>-</v>
      </c>
      <c r="AY506" s="10" t="s">
        <v>1113</v>
      </c>
      <c r="AZ506" s="39" t="str">
        <f>データ!S506</f>
        <v>　</v>
      </c>
      <c r="BA506" s="41" t="s">
        <v>1024</v>
      </c>
      <c r="BB506" s="40" t="s">
        <v>1319</v>
      </c>
      <c r="BC506" s="39" t="str">
        <f>データ!T506</f>
        <v>-</v>
      </c>
      <c r="BD506" s="41" t="s">
        <v>1024</v>
      </c>
      <c r="BE506" s="40" t="s">
        <v>1320</v>
      </c>
      <c r="BF506" s="39" t="str">
        <f>データ!U506</f>
        <v>-</v>
      </c>
      <c r="BG506" s="41" t="s">
        <v>1024</v>
      </c>
      <c r="BH506" s="40" t="s">
        <v>1319</v>
      </c>
      <c r="BI506" s="39" t="str">
        <f>データ!V506</f>
        <v>ガチャイベ</v>
      </c>
      <c r="BJ506" s="41" t="s">
        <v>1024</v>
      </c>
      <c r="BK506" s="10" t="s">
        <v>1019</v>
      </c>
    </row>
    <row r="507" spans="1:63" x14ac:dyDescent="0.15">
      <c r="A507" s="10" t="s">
        <v>1016</v>
      </c>
      <c r="B507" s="10" t="s">
        <v>1454</v>
      </c>
      <c r="C507" s="38" t="str">
        <f>"./images/thumbnail/"&amp;データ!B507&amp;".jpg"</f>
        <v>./images/thumbnail/1836_a.jpg</v>
      </c>
      <c r="D507" s="38" t="s">
        <v>1455</v>
      </c>
      <c r="E507" s="38" t="str">
        <f>"./images/thumbnail/"&amp;データ!B507&amp;".jpg"</f>
        <v>./images/thumbnail/1836_a.jpg</v>
      </c>
      <c r="F507" s="38" t="s">
        <v>1116</v>
      </c>
      <c r="G507" s="38" t="s">
        <v>1319</v>
      </c>
      <c r="H507" s="38" t="str">
        <f>データ!C507</f>
        <v>ノリス</v>
      </c>
      <c r="I507" s="38" t="s">
        <v>1024</v>
      </c>
      <c r="J507" s="38" t="s">
        <v>1320</v>
      </c>
      <c r="K507" s="38" t="str">
        <f>データ!D507</f>
        <v>UR</v>
      </c>
      <c r="L507" s="38" t="s">
        <v>1024</v>
      </c>
      <c r="M507" s="38" t="s">
        <v>1321</v>
      </c>
      <c r="N507" s="38">
        <f>データ!E507</f>
        <v>14</v>
      </c>
      <c r="O507" s="38" t="s">
        <v>1024</v>
      </c>
      <c r="P507" s="38" t="s">
        <v>1319</v>
      </c>
      <c r="Q507" s="38" t="str">
        <f>データ!F507</f>
        <v>斬</v>
      </c>
      <c r="R507" s="38" t="s">
        <v>1024</v>
      </c>
      <c r="S507" s="38" t="s">
        <v>1319</v>
      </c>
      <c r="T507" s="39">
        <f>データ!G507</f>
        <v>21875</v>
      </c>
      <c r="U507" s="40" t="s">
        <v>1024</v>
      </c>
      <c r="V507" s="40" t="s">
        <v>1319</v>
      </c>
      <c r="W507" s="39">
        <f>データ!H507</f>
        <v>11257</v>
      </c>
      <c r="X507" s="40" t="s">
        <v>1024</v>
      </c>
      <c r="Y507" s="40" t="s">
        <v>1319</v>
      </c>
      <c r="Z507" s="39">
        <f>データ!I507</f>
        <v>8440</v>
      </c>
      <c r="AA507" s="40" t="s">
        <v>1024</v>
      </c>
      <c r="AB507" s="40" t="s">
        <v>1322</v>
      </c>
      <c r="AC507" s="39" t="str">
        <f>データ!J507</f>
        <v>SS+</v>
      </c>
      <c r="AD507" s="38" t="s">
        <v>1024</v>
      </c>
      <c r="AE507" s="40" t="s">
        <v>1323</v>
      </c>
      <c r="AF507" s="39">
        <f>データ!K507</f>
        <v>41572</v>
      </c>
      <c r="AG507" s="40" t="s">
        <v>1024</v>
      </c>
      <c r="AH507" s="40" t="s">
        <v>1324</v>
      </c>
      <c r="AI507" s="39" t="str">
        <f>データ!L507</f>
        <v>地幻氷の縦十字／煌＋</v>
      </c>
      <c r="AJ507" s="10" t="s">
        <v>1113</v>
      </c>
      <c r="AK507" s="39" t="str">
        <f>データ!M507</f>
        <v>十字型攻撃[極大]自分の防御力UP[極大]</v>
      </c>
      <c r="AL507" s="10" t="s">
        <v>1024</v>
      </c>
      <c r="AM507" s="40" t="s">
        <v>1325</v>
      </c>
      <c r="AN507" s="39" t="str">
        <f>データ!N507</f>
        <v>-</v>
      </c>
      <c r="AO507" s="10" t="s">
        <v>1113</v>
      </c>
      <c r="AP507" s="39" t="str">
        <f>データ!O507</f>
        <v>　</v>
      </c>
      <c r="AQ507" s="41" t="s">
        <v>1024</v>
      </c>
      <c r="AR507" s="40" t="s">
        <v>1324</v>
      </c>
      <c r="AS507" s="39" t="str">
        <f>データ!P507</f>
        <v>エースオーダー／真</v>
      </c>
      <c r="AT507" s="10" t="s">
        <v>1113</v>
      </c>
      <c r="AU507" s="39" t="str">
        <f>データ!Q507</f>
        <v>騎士団全体の攻・防が中UP(3分間)</v>
      </c>
      <c r="AV507" s="10" t="s">
        <v>1024</v>
      </c>
      <c r="AW507" s="40" t="s">
        <v>1324</v>
      </c>
      <c r="AX507" s="39" t="str">
        <f>データ!R507</f>
        <v>-</v>
      </c>
      <c r="AY507" s="10" t="s">
        <v>1113</v>
      </c>
      <c r="AZ507" s="39" t="str">
        <f>データ!S507</f>
        <v>　</v>
      </c>
      <c r="BA507" s="41" t="s">
        <v>1024</v>
      </c>
      <c r="BB507" s="40" t="s">
        <v>1319</v>
      </c>
      <c r="BC507" s="39" t="str">
        <f>データ!T507</f>
        <v>-</v>
      </c>
      <c r="BD507" s="41" t="s">
        <v>1024</v>
      </c>
      <c r="BE507" s="40" t="s">
        <v>1320</v>
      </c>
      <c r="BF507" s="39" t="str">
        <f>データ!U507</f>
        <v>-</v>
      </c>
      <c r="BG507" s="41" t="s">
        <v>1024</v>
      </c>
      <c r="BH507" s="40" t="s">
        <v>1319</v>
      </c>
      <c r="BI507" s="39" t="str">
        <f>データ!V507</f>
        <v>精鋭化ユニット</v>
      </c>
      <c r="BJ507" s="41" t="s">
        <v>1024</v>
      </c>
      <c r="BK507" s="10" t="s">
        <v>1019</v>
      </c>
    </row>
    <row r="508" spans="1:63" x14ac:dyDescent="0.15">
      <c r="A508" s="10" t="s">
        <v>1016</v>
      </c>
      <c r="B508" s="10" t="s">
        <v>1454</v>
      </c>
      <c r="C508" s="38" t="str">
        <f>"./images/thumbnail/"&amp;データ!B508&amp;".jpg"</f>
        <v>./images/thumbnail/1836_b.jpg</v>
      </c>
      <c r="D508" s="38" t="s">
        <v>1455</v>
      </c>
      <c r="E508" s="38" t="str">
        <f>"./images/thumbnail/"&amp;データ!B508&amp;".jpg"</f>
        <v>./images/thumbnail/1836_b.jpg</v>
      </c>
      <c r="F508" s="38" t="s">
        <v>1116</v>
      </c>
      <c r="G508" s="38" t="s">
        <v>1319</v>
      </c>
      <c r="H508" s="38" t="str">
        <f>データ!C508</f>
        <v>ノリス</v>
      </c>
      <c r="I508" s="38" t="s">
        <v>1024</v>
      </c>
      <c r="J508" s="38" t="s">
        <v>1320</v>
      </c>
      <c r="K508" s="38" t="str">
        <f>データ!D508</f>
        <v>UR</v>
      </c>
      <c r="L508" s="38" t="s">
        <v>1024</v>
      </c>
      <c r="M508" s="38" t="s">
        <v>1321</v>
      </c>
      <c r="N508" s="38">
        <f>データ!E508</f>
        <v>14</v>
      </c>
      <c r="O508" s="38" t="s">
        <v>1024</v>
      </c>
      <c r="P508" s="38" t="s">
        <v>1319</v>
      </c>
      <c r="Q508" s="38" t="str">
        <f>データ!F508</f>
        <v>斬</v>
      </c>
      <c r="R508" s="38" t="s">
        <v>1024</v>
      </c>
      <c r="S508" s="38" t="s">
        <v>1319</v>
      </c>
      <c r="T508" s="39">
        <f>データ!G508</f>
        <v>21014</v>
      </c>
      <c r="U508" s="40" t="s">
        <v>1024</v>
      </c>
      <c r="V508" s="40" t="s">
        <v>1319</v>
      </c>
      <c r="W508" s="39">
        <f>データ!H508</f>
        <v>10858</v>
      </c>
      <c r="X508" s="40" t="s">
        <v>1024</v>
      </c>
      <c r="Y508" s="40" t="s">
        <v>1319</v>
      </c>
      <c r="Z508" s="39">
        <f>データ!I508</f>
        <v>8125</v>
      </c>
      <c r="AA508" s="40" t="s">
        <v>1024</v>
      </c>
      <c r="AB508" s="40" t="s">
        <v>1322</v>
      </c>
      <c r="AC508" s="39" t="str">
        <f>データ!J508</f>
        <v>SS+</v>
      </c>
      <c r="AD508" s="38" t="s">
        <v>1024</v>
      </c>
      <c r="AE508" s="40" t="s">
        <v>1323</v>
      </c>
      <c r="AF508" s="39">
        <f>データ!K508</f>
        <v>39997</v>
      </c>
      <c r="AG508" s="40" t="s">
        <v>1024</v>
      </c>
      <c r="AH508" s="40" t="s">
        <v>1324</v>
      </c>
      <c r="AI508" s="39" t="str">
        <f>データ!L508</f>
        <v>地幻氷の縦十字／煌</v>
      </c>
      <c r="AJ508" s="10" t="s">
        <v>1113</v>
      </c>
      <c r="AK508" s="39" t="str">
        <f>データ!M508</f>
        <v>十字型攻撃[特大]自分の防御力UP[特大]</v>
      </c>
      <c r="AL508" s="10" t="s">
        <v>1024</v>
      </c>
      <c r="AM508" s="40" t="s">
        <v>1325</v>
      </c>
      <c r="AN508" s="39" t="str">
        <f>データ!N508</f>
        <v>-</v>
      </c>
      <c r="AO508" s="10" t="s">
        <v>1113</v>
      </c>
      <c r="AP508" s="39" t="str">
        <f>データ!O508</f>
        <v>　</v>
      </c>
      <c r="AQ508" s="41" t="s">
        <v>1024</v>
      </c>
      <c r="AR508" s="40" t="s">
        <v>1324</v>
      </c>
      <c r="AS508" s="39" t="str">
        <f>データ!P508</f>
        <v>エピロスの真珠</v>
      </c>
      <c r="AT508" s="10" t="s">
        <v>1113</v>
      </c>
      <c r="AU508" s="39" t="str">
        <f>データ!Q508</f>
        <v>騎士団全体の攻・防が特大UP(3分間)</v>
      </c>
      <c r="AV508" s="10" t="s">
        <v>1024</v>
      </c>
      <c r="AW508" s="40" t="s">
        <v>1324</v>
      </c>
      <c r="AX508" s="39" t="str">
        <f>データ!R508</f>
        <v>-</v>
      </c>
      <c r="AY508" s="10" t="s">
        <v>1113</v>
      </c>
      <c r="AZ508" s="39" t="str">
        <f>データ!S508</f>
        <v>　</v>
      </c>
      <c r="BA508" s="41" t="s">
        <v>1024</v>
      </c>
      <c r="BB508" s="40" t="s">
        <v>1319</v>
      </c>
      <c r="BC508" s="39" t="str">
        <f>データ!T508</f>
        <v>-</v>
      </c>
      <c r="BD508" s="41" t="s">
        <v>1024</v>
      </c>
      <c r="BE508" s="40" t="s">
        <v>1320</v>
      </c>
      <c r="BF508" s="39" t="str">
        <f>データ!U508</f>
        <v>-</v>
      </c>
      <c r="BG508" s="41" t="s">
        <v>1024</v>
      </c>
      <c r="BH508" s="40" t="s">
        <v>1319</v>
      </c>
      <c r="BI508" s="39" t="str">
        <f>データ!V508</f>
        <v>精鋭化ユニット</v>
      </c>
      <c r="BJ508" s="41" t="s">
        <v>1024</v>
      </c>
      <c r="BK508" s="10" t="s">
        <v>1019</v>
      </c>
    </row>
    <row r="509" spans="1:63" x14ac:dyDescent="0.15">
      <c r="A509" s="10" t="s">
        <v>1016</v>
      </c>
      <c r="B509" s="10" t="s">
        <v>1454</v>
      </c>
      <c r="C509" s="38" t="str">
        <f>"./images/thumbnail/"&amp;データ!B509&amp;".jpg"</f>
        <v>./images/thumbnail/1838.jpg</v>
      </c>
      <c r="D509" s="38" t="s">
        <v>1455</v>
      </c>
      <c r="E509" s="38" t="str">
        <f>"./images/thumbnail/"&amp;データ!B509&amp;".jpg"</f>
        <v>./images/thumbnail/1838.jpg</v>
      </c>
      <c r="F509" s="38" t="s">
        <v>1116</v>
      </c>
      <c r="G509" s="38" t="s">
        <v>1319</v>
      </c>
      <c r="H509" s="38" t="str">
        <f>データ!C509</f>
        <v>レティシア</v>
      </c>
      <c r="I509" s="38" t="s">
        <v>1024</v>
      </c>
      <c r="J509" s="38" t="s">
        <v>1320</v>
      </c>
      <c r="K509" s="38" t="str">
        <f>データ!D509</f>
        <v>UR</v>
      </c>
      <c r="L509" s="38" t="s">
        <v>1024</v>
      </c>
      <c r="M509" s="38" t="s">
        <v>1321</v>
      </c>
      <c r="N509" s="38">
        <f>データ!E509</f>
        <v>14</v>
      </c>
      <c r="O509" s="38" t="s">
        <v>1024</v>
      </c>
      <c r="P509" s="38" t="s">
        <v>1319</v>
      </c>
      <c r="Q509" s="38" t="str">
        <f>データ!F509</f>
        <v>突</v>
      </c>
      <c r="R509" s="38" t="s">
        <v>1024</v>
      </c>
      <c r="S509" s="38" t="s">
        <v>1319</v>
      </c>
      <c r="T509" s="39">
        <f>データ!G509</f>
        <v>20649</v>
      </c>
      <c r="U509" s="40" t="s">
        <v>1024</v>
      </c>
      <c r="V509" s="40" t="s">
        <v>1319</v>
      </c>
      <c r="W509" s="39">
        <f>データ!H509</f>
        <v>6145</v>
      </c>
      <c r="X509" s="40" t="s">
        <v>1024</v>
      </c>
      <c r="Y509" s="40" t="s">
        <v>1319</v>
      </c>
      <c r="Z509" s="39">
        <f>データ!I509</f>
        <v>6430</v>
      </c>
      <c r="AA509" s="40" t="s">
        <v>1024</v>
      </c>
      <c r="AB509" s="40" t="s">
        <v>1322</v>
      </c>
      <c r="AC509" s="39" t="str">
        <f>データ!J509</f>
        <v>SS+</v>
      </c>
      <c r="AD509" s="38" t="s">
        <v>1024</v>
      </c>
      <c r="AE509" s="40" t="s">
        <v>1323</v>
      </c>
      <c r="AF509" s="39">
        <f>データ!K509</f>
        <v>33224</v>
      </c>
      <c r="AG509" s="40" t="s">
        <v>1024</v>
      </c>
      <c r="AH509" s="40" t="s">
        <v>1324</v>
      </c>
      <c r="AI509" s="39" t="str">
        <f>データ!L509</f>
        <v>天焔幻の一閃／煌</v>
      </c>
      <c r="AJ509" s="10" t="s">
        <v>1113</v>
      </c>
      <c r="AK509" s="39" t="str">
        <f>データ!M509</f>
        <v>横一列攻撃[特大]自分の攻撃力UP[特大]</v>
      </c>
      <c r="AL509" s="10" t="s">
        <v>1024</v>
      </c>
      <c r="AM509" s="40" t="s">
        <v>1325</v>
      </c>
      <c r="AN509" s="39" t="str">
        <f>データ!N509</f>
        <v>-</v>
      </c>
      <c r="AO509" s="10" t="s">
        <v>1113</v>
      </c>
      <c r="AP509" s="39" t="str">
        <f>データ!O509</f>
        <v>　</v>
      </c>
      <c r="AQ509" s="41" t="s">
        <v>1024</v>
      </c>
      <c r="AR509" s="40" t="s">
        <v>1324</v>
      </c>
      <c r="AS509" s="39" t="str">
        <f>データ!P509</f>
        <v>アサルトオーダー／真</v>
      </c>
      <c r="AT509" s="10" t="s">
        <v>1113</v>
      </c>
      <c r="AU509" s="39" t="str">
        <f>データ!Q509</f>
        <v>騎士団全体の攻撃力が中UP(3分間)</v>
      </c>
      <c r="AV509" s="10" t="s">
        <v>1024</v>
      </c>
      <c r="AW509" s="40" t="s">
        <v>1324</v>
      </c>
      <c r="AX509" s="39" t="str">
        <f>データ!R509</f>
        <v>-</v>
      </c>
      <c r="AY509" s="10" t="s">
        <v>1113</v>
      </c>
      <c r="AZ509" s="39" t="str">
        <f>データ!S509</f>
        <v>　</v>
      </c>
      <c r="BA509" s="41" t="s">
        <v>1024</v>
      </c>
      <c r="BB509" s="40" t="s">
        <v>1319</v>
      </c>
      <c r="BC509" s="39" t="str">
        <f>データ!T509</f>
        <v>-</v>
      </c>
      <c r="BD509" s="41" t="s">
        <v>1024</v>
      </c>
      <c r="BE509" s="40" t="s">
        <v>1320</v>
      </c>
      <c r="BF509" s="39" t="str">
        <f>データ!U509</f>
        <v>-</v>
      </c>
      <c r="BG509" s="41" t="s">
        <v>1024</v>
      </c>
      <c r="BH509" s="40" t="s">
        <v>1319</v>
      </c>
      <c r="BI509" s="39" t="str">
        <f>データ!V509</f>
        <v>ガチャイベ</v>
      </c>
      <c r="BJ509" s="41" t="s">
        <v>1024</v>
      </c>
      <c r="BK509" s="10" t="s">
        <v>1019</v>
      </c>
    </row>
    <row r="510" spans="1:63" x14ac:dyDescent="0.15">
      <c r="A510" s="10" t="s">
        <v>1016</v>
      </c>
      <c r="B510" s="10" t="s">
        <v>1454</v>
      </c>
      <c r="C510" s="38" t="str">
        <f>"./images/thumbnail/"&amp;データ!B510&amp;".jpg"</f>
        <v>./images/thumbnail/1840.jpg</v>
      </c>
      <c r="D510" s="38" t="s">
        <v>1455</v>
      </c>
      <c r="E510" s="38" t="str">
        <f>"./images/thumbnail/"&amp;データ!B510&amp;".jpg"</f>
        <v>./images/thumbnail/1840.jpg</v>
      </c>
      <c r="F510" s="38" t="s">
        <v>1116</v>
      </c>
      <c r="G510" s="38" t="s">
        <v>1319</v>
      </c>
      <c r="H510" s="38" t="str">
        <f>データ!C510</f>
        <v>ラム</v>
      </c>
      <c r="I510" s="38" t="s">
        <v>1024</v>
      </c>
      <c r="J510" s="38" t="s">
        <v>1320</v>
      </c>
      <c r="K510" s="38" t="str">
        <f>データ!D510</f>
        <v>UR</v>
      </c>
      <c r="L510" s="38" t="s">
        <v>1024</v>
      </c>
      <c r="M510" s="38" t="s">
        <v>1321</v>
      </c>
      <c r="N510" s="38">
        <f>データ!E510</f>
        <v>14</v>
      </c>
      <c r="O510" s="38" t="s">
        <v>1024</v>
      </c>
      <c r="P510" s="38" t="s">
        <v>1319</v>
      </c>
      <c r="Q510" s="38" t="str">
        <f>データ!F510</f>
        <v>打</v>
      </c>
      <c r="R510" s="38" t="s">
        <v>1024</v>
      </c>
      <c r="S510" s="38" t="s">
        <v>1319</v>
      </c>
      <c r="T510" s="39">
        <f>データ!G510</f>
        <v>21267</v>
      </c>
      <c r="U510" s="40" t="s">
        <v>1024</v>
      </c>
      <c r="V510" s="40" t="s">
        <v>1319</v>
      </c>
      <c r="W510" s="39">
        <f>データ!H510</f>
        <v>6074</v>
      </c>
      <c r="X510" s="40" t="s">
        <v>1024</v>
      </c>
      <c r="Y510" s="40" t="s">
        <v>1319</v>
      </c>
      <c r="Z510" s="39">
        <f>データ!I510</f>
        <v>9759</v>
      </c>
      <c r="AA510" s="40" t="s">
        <v>1024</v>
      </c>
      <c r="AB510" s="40" t="s">
        <v>1322</v>
      </c>
      <c r="AC510" s="39" t="str">
        <f>データ!J510</f>
        <v>A+</v>
      </c>
      <c r="AD510" s="38" t="s">
        <v>1024</v>
      </c>
      <c r="AE510" s="40" t="s">
        <v>1323</v>
      </c>
      <c r="AF510" s="39">
        <f>データ!K510</f>
        <v>37100</v>
      </c>
      <c r="AG510" s="40" t="s">
        <v>1024</v>
      </c>
      <c r="AH510" s="40" t="s">
        <v>1324</v>
      </c>
      <c r="AI510" s="39" t="str">
        <f>データ!L510</f>
        <v>癒やしの光／煌</v>
      </c>
      <c r="AJ510" s="10" t="s">
        <v>1113</v>
      </c>
      <c r="AK510" s="39" t="str">
        <f>データ!M510</f>
        <v>最もダメージが多い味方1人のHP回復[特大]</v>
      </c>
      <c r="AL510" s="10" t="s">
        <v>1024</v>
      </c>
      <c r="AM510" s="40" t="s">
        <v>1325</v>
      </c>
      <c r="AN510" s="39" t="str">
        <f>データ!N510</f>
        <v>-</v>
      </c>
      <c r="AO510" s="10" t="s">
        <v>1113</v>
      </c>
      <c r="AP510" s="39" t="str">
        <f>データ!O510</f>
        <v>　</v>
      </c>
      <c r="AQ510" s="41" t="s">
        <v>1024</v>
      </c>
      <c r="AR510" s="40" t="s">
        <v>1324</v>
      </c>
      <c r="AS510" s="39" t="str">
        <f>データ!P510</f>
        <v>カウンター／絶</v>
      </c>
      <c r="AT510" s="10" t="s">
        <v>1113</v>
      </c>
      <c r="AU510" s="39" t="str">
        <f>データ!Q510</f>
        <v>迎撃時にパーティ全体の攻・防が大UP(3分間)</v>
      </c>
      <c r="AV510" s="10" t="s">
        <v>1024</v>
      </c>
      <c r="AW510" s="40" t="s">
        <v>1324</v>
      </c>
      <c r="AX510" s="39" t="str">
        <f>データ!R510</f>
        <v>-</v>
      </c>
      <c r="AY510" s="10" t="s">
        <v>1113</v>
      </c>
      <c r="AZ510" s="39" t="str">
        <f>データ!S510</f>
        <v>　</v>
      </c>
      <c r="BA510" s="41" t="s">
        <v>1024</v>
      </c>
      <c r="BB510" s="40" t="s">
        <v>1319</v>
      </c>
      <c r="BC510" s="39" t="str">
        <f>データ!T510</f>
        <v>-</v>
      </c>
      <c r="BD510" s="41" t="s">
        <v>1024</v>
      </c>
      <c r="BE510" s="40" t="s">
        <v>1320</v>
      </c>
      <c r="BF510" s="39" t="str">
        <f>データ!U510</f>
        <v>-</v>
      </c>
      <c r="BG510" s="41" t="s">
        <v>1024</v>
      </c>
      <c r="BH510" s="40" t="s">
        <v>1319</v>
      </c>
      <c r="BI510" s="39" t="str">
        <f>データ!V510</f>
        <v>魔女の追憶イベ</v>
      </c>
      <c r="BJ510" s="41" t="s">
        <v>1024</v>
      </c>
      <c r="BK510" s="10" t="s">
        <v>1019</v>
      </c>
    </row>
    <row r="511" spans="1:63" x14ac:dyDescent="0.15">
      <c r="A511" s="10" t="s">
        <v>1016</v>
      </c>
      <c r="B511" s="10" t="s">
        <v>1454</v>
      </c>
      <c r="C511" s="38" t="str">
        <f>"./images/thumbnail/"&amp;データ!B511&amp;".jpg"</f>
        <v>./images/thumbnail/1842.jpg</v>
      </c>
      <c r="D511" s="38" t="s">
        <v>1455</v>
      </c>
      <c r="E511" s="38" t="str">
        <f>"./images/thumbnail/"&amp;データ!B511&amp;".jpg"</f>
        <v>./images/thumbnail/1842.jpg</v>
      </c>
      <c r="F511" s="38" t="s">
        <v>1116</v>
      </c>
      <c r="G511" s="38" t="s">
        <v>1319</v>
      </c>
      <c r="H511" s="38" t="str">
        <f>データ!C511</f>
        <v>ヒルダ</v>
      </c>
      <c r="I511" s="38" t="s">
        <v>1024</v>
      </c>
      <c r="J511" s="38" t="s">
        <v>1320</v>
      </c>
      <c r="K511" s="38" t="str">
        <f>データ!D511</f>
        <v>UR</v>
      </c>
      <c r="L511" s="38" t="s">
        <v>1024</v>
      </c>
      <c r="M511" s="38" t="s">
        <v>1321</v>
      </c>
      <c r="N511" s="38">
        <f>データ!E511</f>
        <v>14</v>
      </c>
      <c r="O511" s="38" t="s">
        <v>1024</v>
      </c>
      <c r="P511" s="38" t="s">
        <v>1319</v>
      </c>
      <c r="Q511" s="38" t="str">
        <f>データ!F511</f>
        <v>遠</v>
      </c>
      <c r="R511" s="38" t="s">
        <v>1024</v>
      </c>
      <c r="S511" s="38" t="s">
        <v>1319</v>
      </c>
      <c r="T511" s="39">
        <f>データ!G511</f>
        <v>20432</v>
      </c>
      <c r="U511" s="40" t="s">
        <v>1024</v>
      </c>
      <c r="V511" s="40" t="s">
        <v>1319</v>
      </c>
      <c r="W511" s="39">
        <f>データ!H511</f>
        <v>7127</v>
      </c>
      <c r="X511" s="40" t="s">
        <v>1024</v>
      </c>
      <c r="Y511" s="40" t="s">
        <v>1319</v>
      </c>
      <c r="Z511" s="39">
        <f>データ!I511</f>
        <v>5180</v>
      </c>
      <c r="AA511" s="40" t="s">
        <v>1024</v>
      </c>
      <c r="AB511" s="40" t="s">
        <v>1322</v>
      </c>
      <c r="AC511" s="39" t="str">
        <f>データ!J511</f>
        <v>S+</v>
      </c>
      <c r="AD511" s="38" t="s">
        <v>1024</v>
      </c>
      <c r="AE511" s="40" t="s">
        <v>1323</v>
      </c>
      <c r="AF511" s="39">
        <f>データ!K511</f>
        <v>32739</v>
      </c>
      <c r="AG511" s="40" t="s">
        <v>1024</v>
      </c>
      <c r="AH511" s="40" t="s">
        <v>1324</v>
      </c>
      <c r="AI511" s="39" t="str">
        <f>データ!L511</f>
        <v>浄化の一撃／真</v>
      </c>
      <c r="AJ511" s="10" t="s">
        <v>1113</v>
      </c>
      <c r="AK511" s="39" t="str">
        <f>データ!M511</f>
        <v>単体固定ダメージ[中]+味方ステータスDOWN解除</v>
      </c>
      <c r="AL511" s="38" t="s">
        <v>1024</v>
      </c>
      <c r="AM511" s="40" t="s">
        <v>1325</v>
      </c>
      <c r="AN511" s="39" t="str">
        <f>データ!N511</f>
        <v>-</v>
      </c>
      <c r="AO511" s="10" t="s">
        <v>1113</v>
      </c>
      <c r="AP511" s="39" t="str">
        <f>データ!O511</f>
        <v>　</v>
      </c>
      <c r="AQ511" s="41" t="s">
        <v>1024</v>
      </c>
      <c r="AR511" s="40" t="s">
        <v>1324</v>
      </c>
      <c r="AS511" s="39" t="str">
        <f>データ!P511</f>
        <v>エッジノート／絶</v>
      </c>
      <c r="AT511" s="10" t="s">
        <v>1113</v>
      </c>
      <c r="AU511" s="39" t="str">
        <f>データ!Q511</f>
        <v>CB時に獲得ポイント大UP＆BPが大回復(3回)</v>
      </c>
      <c r="AV511" s="10" t="s">
        <v>1024</v>
      </c>
      <c r="AW511" s="40" t="s">
        <v>1324</v>
      </c>
      <c r="AX511" s="39" t="str">
        <f>データ!R511</f>
        <v>-</v>
      </c>
      <c r="AY511" s="10" t="s">
        <v>1113</v>
      </c>
      <c r="AZ511" s="39" t="str">
        <f>データ!S511</f>
        <v>　</v>
      </c>
      <c r="BA511" s="41" t="s">
        <v>1024</v>
      </c>
      <c r="BB511" s="40" t="s">
        <v>1319</v>
      </c>
      <c r="BC511" s="39" t="str">
        <f>データ!T511</f>
        <v>-</v>
      </c>
      <c r="BD511" s="41" t="s">
        <v>1024</v>
      </c>
      <c r="BE511" s="40" t="s">
        <v>1320</v>
      </c>
      <c r="BF511" s="39" t="str">
        <f>データ!U511</f>
        <v>-</v>
      </c>
      <c r="BG511" s="41" t="s">
        <v>1024</v>
      </c>
      <c r="BH511" s="40" t="s">
        <v>1319</v>
      </c>
      <c r="BI511" s="39" t="str">
        <f>データ!V511</f>
        <v>ガチャイベ</v>
      </c>
      <c r="BJ511" s="41" t="s">
        <v>1024</v>
      </c>
      <c r="BK511" s="10" t="s">
        <v>1019</v>
      </c>
    </row>
    <row r="512" spans="1:63" x14ac:dyDescent="0.15">
      <c r="A512" s="10" t="s">
        <v>1016</v>
      </c>
      <c r="B512" s="10" t="s">
        <v>1454</v>
      </c>
      <c r="C512" s="38" t="str">
        <f>"./images/thumbnail/"&amp;データ!B512&amp;".jpg"</f>
        <v>./images/thumbnail/1846.jpg</v>
      </c>
      <c r="D512" s="38" t="s">
        <v>1455</v>
      </c>
      <c r="E512" s="38" t="str">
        <f>"./images/thumbnail/"&amp;データ!B512&amp;".jpg"</f>
        <v>./images/thumbnail/1846.jpg</v>
      </c>
      <c r="F512" s="38" t="s">
        <v>1116</v>
      </c>
      <c r="G512" s="38" t="s">
        <v>1319</v>
      </c>
      <c r="H512" s="38" t="str">
        <f>データ!C512</f>
        <v>ヴァルム</v>
      </c>
      <c r="I512" s="38" t="s">
        <v>1024</v>
      </c>
      <c r="J512" s="38" t="s">
        <v>1320</v>
      </c>
      <c r="K512" s="38" t="str">
        <f>データ!D512</f>
        <v>SSR</v>
      </c>
      <c r="L512" s="38" t="s">
        <v>1024</v>
      </c>
      <c r="M512" s="38" t="s">
        <v>1321</v>
      </c>
      <c r="N512" s="38">
        <f>データ!E512</f>
        <v>13</v>
      </c>
      <c r="O512" s="38" t="s">
        <v>1024</v>
      </c>
      <c r="P512" s="38" t="s">
        <v>1319</v>
      </c>
      <c r="Q512" s="38" t="str">
        <f>データ!F512</f>
        <v>打</v>
      </c>
      <c r="R512" s="38" t="s">
        <v>1024</v>
      </c>
      <c r="S512" s="38" t="s">
        <v>1319</v>
      </c>
      <c r="T512" s="39">
        <f>データ!G512</f>
        <v>19128</v>
      </c>
      <c r="U512" s="40" t="s">
        <v>1024</v>
      </c>
      <c r="V512" s="40" t="s">
        <v>1319</v>
      </c>
      <c r="W512" s="39">
        <f>データ!H512</f>
        <v>5252</v>
      </c>
      <c r="X512" s="40" t="s">
        <v>1024</v>
      </c>
      <c r="Y512" s="40" t="s">
        <v>1319</v>
      </c>
      <c r="Z512" s="39">
        <f>データ!I512</f>
        <v>7990</v>
      </c>
      <c r="AA512" s="40" t="s">
        <v>1024</v>
      </c>
      <c r="AB512" s="40" t="s">
        <v>1322</v>
      </c>
      <c r="AC512" s="39" t="str">
        <f>データ!J512</f>
        <v>A-</v>
      </c>
      <c r="AD512" s="38" t="s">
        <v>1024</v>
      </c>
      <c r="AE512" s="40" t="s">
        <v>1323</v>
      </c>
      <c r="AF512" s="39">
        <f>データ!K512</f>
        <v>32370</v>
      </c>
      <c r="AG512" s="40" t="s">
        <v>1024</v>
      </c>
      <c r="AH512" s="40" t="s">
        <v>1324</v>
      </c>
      <c r="AI512" s="39" t="str">
        <f>データ!L512</f>
        <v>聖天消滅／遠翠</v>
      </c>
      <c r="AJ512" s="10" t="s">
        <v>1113</v>
      </c>
      <c r="AK512" s="39" t="str">
        <f>データ!M512</f>
        <v>敵遠属性の攻撃力と防御力をDOWN[大]</v>
      </c>
      <c r="AL512" s="10" t="s">
        <v>1024</v>
      </c>
      <c r="AM512" s="40" t="s">
        <v>1325</v>
      </c>
      <c r="AN512" s="39" t="str">
        <f>データ!N512</f>
        <v>-</v>
      </c>
      <c r="AO512" s="10" t="s">
        <v>1113</v>
      </c>
      <c r="AP512" s="39" t="str">
        <f>データ!O512</f>
        <v>　</v>
      </c>
      <c r="AQ512" s="41" t="s">
        <v>1024</v>
      </c>
      <c r="AR512" s="40" t="s">
        <v>1324</v>
      </c>
      <c r="AS512" s="39" t="str">
        <f>データ!P512</f>
        <v>リヴァイブ／絶</v>
      </c>
      <c r="AT512" s="10" t="s">
        <v>1113</v>
      </c>
      <c r="AU512" s="39" t="str">
        <f>データ!Q512</f>
        <v>高確率で戦闘不能ユニットを復帰</v>
      </c>
      <c r="AV512" s="10" t="s">
        <v>1024</v>
      </c>
      <c r="AW512" s="40" t="s">
        <v>1324</v>
      </c>
      <c r="AX512" s="39" t="str">
        <f>データ!R512</f>
        <v>-</v>
      </c>
      <c r="AY512" s="10" t="s">
        <v>1113</v>
      </c>
      <c r="AZ512" s="39" t="str">
        <f>データ!S512</f>
        <v>　</v>
      </c>
      <c r="BA512" s="41" t="s">
        <v>1024</v>
      </c>
      <c r="BB512" s="40" t="s">
        <v>1319</v>
      </c>
      <c r="BC512" s="39" t="str">
        <f>データ!T512</f>
        <v>-</v>
      </c>
      <c r="BD512" s="41" t="s">
        <v>1024</v>
      </c>
      <c r="BE512" s="40" t="s">
        <v>1320</v>
      </c>
      <c r="BF512" s="39" t="str">
        <f>データ!U512</f>
        <v>-</v>
      </c>
      <c r="BG512" s="41" t="s">
        <v>1024</v>
      </c>
      <c r="BH512" s="40" t="s">
        <v>1319</v>
      </c>
      <c r="BI512" s="39" t="str">
        <f>データ!V512</f>
        <v>魔女の追憶イベ</v>
      </c>
      <c r="BJ512" s="41" t="s">
        <v>1024</v>
      </c>
      <c r="BK512" s="10" t="s">
        <v>1019</v>
      </c>
    </row>
    <row r="513" spans="1:63" x14ac:dyDescent="0.15">
      <c r="A513" s="10" t="s">
        <v>1016</v>
      </c>
      <c r="B513" s="10" t="s">
        <v>1454</v>
      </c>
      <c r="C513" s="38" t="str">
        <f>"./images/thumbnail/"&amp;データ!B513&amp;".jpg"</f>
        <v>./images/thumbnail/1848.jpg</v>
      </c>
      <c r="D513" s="38" t="s">
        <v>1455</v>
      </c>
      <c r="E513" s="38" t="str">
        <f>"./images/thumbnail/"&amp;データ!B513&amp;".jpg"</f>
        <v>./images/thumbnail/1848.jpg</v>
      </c>
      <c r="F513" s="38" t="s">
        <v>1116</v>
      </c>
      <c r="G513" s="38" t="s">
        <v>1319</v>
      </c>
      <c r="H513" s="38" t="str">
        <f>データ!C513</f>
        <v>フルール</v>
      </c>
      <c r="I513" s="38" t="s">
        <v>1024</v>
      </c>
      <c r="J513" s="38" t="s">
        <v>1320</v>
      </c>
      <c r="K513" s="38" t="str">
        <f>データ!D513</f>
        <v>SSR</v>
      </c>
      <c r="L513" s="38" t="s">
        <v>1024</v>
      </c>
      <c r="M513" s="38" t="s">
        <v>1321</v>
      </c>
      <c r="N513" s="38">
        <f>データ!E513</f>
        <v>13</v>
      </c>
      <c r="O513" s="38" t="s">
        <v>1024</v>
      </c>
      <c r="P513" s="38" t="s">
        <v>1319</v>
      </c>
      <c r="Q513" s="38" t="str">
        <f>データ!F513</f>
        <v>突</v>
      </c>
      <c r="R513" s="38" t="s">
        <v>1024</v>
      </c>
      <c r="S513" s="38" t="s">
        <v>1319</v>
      </c>
      <c r="T513" s="39">
        <f>データ!G513</f>
        <v>18265</v>
      </c>
      <c r="U513" s="40" t="s">
        <v>1024</v>
      </c>
      <c r="V513" s="40" t="s">
        <v>1319</v>
      </c>
      <c r="W513" s="39">
        <f>データ!H513</f>
        <v>4736</v>
      </c>
      <c r="X513" s="40" t="s">
        <v>1024</v>
      </c>
      <c r="Y513" s="40" t="s">
        <v>1319</v>
      </c>
      <c r="Z513" s="39">
        <f>データ!I513</f>
        <v>6431</v>
      </c>
      <c r="AA513" s="40" t="s">
        <v>1024</v>
      </c>
      <c r="AB513" s="40" t="s">
        <v>1322</v>
      </c>
      <c r="AC513" s="39" t="str">
        <f>データ!J513</f>
        <v>SS-</v>
      </c>
      <c r="AD513" s="38" t="s">
        <v>1024</v>
      </c>
      <c r="AE513" s="40" t="s">
        <v>1323</v>
      </c>
      <c r="AF513" s="39">
        <f>データ!K513</f>
        <v>29432</v>
      </c>
      <c r="AG513" s="40" t="s">
        <v>1024</v>
      </c>
      <c r="AH513" s="40" t="s">
        <v>1324</v>
      </c>
      <c r="AI513" s="39" t="str">
        <f>データ!L513</f>
        <v xml:space="preserve">対翠の突風／真 </v>
      </c>
      <c r="AJ513" s="10" t="s">
        <v>1113</v>
      </c>
      <c r="AK513" s="39" t="str">
        <f>データ!M513</f>
        <v>遠に強く打に弱い縦一列攻撃[中]</v>
      </c>
      <c r="AL513" s="38" t="s">
        <v>1024</v>
      </c>
      <c r="AM513" s="40" t="s">
        <v>1325</v>
      </c>
      <c r="AN513" s="39" t="str">
        <f>データ!N513</f>
        <v>-</v>
      </c>
      <c r="AO513" s="10" t="s">
        <v>1113</v>
      </c>
      <c r="AP513" s="39" t="str">
        <f>データ!O513</f>
        <v>　</v>
      </c>
      <c r="AQ513" s="41" t="s">
        <v>1024</v>
      </c>
      <c r="AR513" s="40" t="s">
        <v>1324</v>
      </c>
      <c r="AS513" s="39" t="str">
        <f>データ!P513</f>
        <v>リヴァイブ／絶</v>
      </c>
      <c r="AT513" s="10" t="s">
        <v>1113</v>
      </c>
      <c r="AU513" s="39" t="str">
        <f>データ!Q513</f>
        <v>高確率で戦闘不能ユニットを復帰</v>
      </c>
      <c r="AV513" s="10" t="s">
        <v>1024</v>
      </c>
      <c r="AW513" s="40" t="s">
        <v>1324</v>
      </c>
      <c r="AX513" s="39" t="str">
        <f>データ!R513</f>
        <v>-</v>
      </c>
      <c r="AY513" s="10" t="s">
        <v>1113</v>
      </c>
      <c r="AZ513" s="39" t="str">
        <f>データ!S513</f>
        <v>　</v>
      </c>
      <c r="BA513" s="41" t="s">
        <v>1024</v>
      </c>
      <c r="BB513" s="40" t="s">
        <v>1319</v>
      </c>
      <c r="BC513" s="39" t="str">
        <f>データ!T513</f>
        <v>-</v>
      </c>
      <c r="BD513" s="41" t="s">
        <v>1024</v>
      </c>
      <c r="BE513" s="40" t="s">
        <v>1320</v>
      </c>
      <c r="BF513" s="39" t="str">
        <f>データ!U513</f>
        <v>-</v>
      </c>
      <c r="BG513" s="41" t="s">
        <v>1024</v>
      </c>
      <c r="BH513" s="40" t="s">
        <v>1319</v>
      </c>
      <c r="BI513" s="39" t="str">
        <f>データ!V513</f>
        <v>マゴニア</v>
      </c>
      <c r="BJ513" s="41" t="s">
        <v>1024</v>
      </c>
      <c r="BK513" s="10" t="s">
        <v>1019</v>
      </c>
    </row>
    <row r="514" spans="1:63" x14ac:dyDescent="0.15">
      <c r="A514" s="10" t="s">
        <v>1016</v>
      </c>
      <c r="B514" s="10" t="s">
        <v>1454</v>
      </c>
      <c r="C514" s="38" t="str">
        <f>"./images/thumbnail/"&amp;データ!B514&amp;".jpg"</f>
        <v>./images/thumbnail/1849.jpg</v>
      </c>
      <c r="D514" s="38" t="s">
        <v>1455</v>
      </c>
      <c r="E514" s="38" t="str">
        <f>"./images/thumbnail/"&amp;データ!B514&amp;".jpg"</f>
        <v>./images/thumbnail/1849.jpg</v>
      </c>
      <c r="F514" s="38" t="s">
        <v>1116</v>
      </c>
      <c r="G514" s="38" t="s">
        <v>1319</v>
      </c>
      <c r="H514" s="38" t="str">
        <f>データ!C514</f>
        <v>ランドルフ</v>
      </c>
      <c r="I514" s="38" t="s">
        <v>1024</v>
      </c>
      <c r="J514" s="38" t="s">
        <v>1320</v>
      </c>
      <c r="K514" s="38" t="str">
        <f>データ!D514</f>
        <v>UR</v>
      </c>
      <c r="L514" s="38" t="s">
        <v>1024</v>
      </c>
      <c r="M514" s="38" t="s">
        <v>1321</v>
      </c>
      <c r="N514" s="38">
        <f>データ!E514</f>
        <v>14</v>
      </c>
      <c r="O514" s="38" t="s">
        <v>1024</v>
      </c>
      <c r="P514" s="38" t="s">
        <v>1319</v>
      </c>
      <c r="Q514" s="38" t="str">
        <f>データ!F514</f>
        <v>遠</v>
      </c>
      <c r="R514" s="38" t="s">
        <v>1024</v>
      </c>
      <c r="S514" s="38" t="s">
        <v>1319</v>
      </c>
      <c r="T514" s="39">
        <f>データ!G514</f>
        <v>20839</v>
      </c>
      <c r="U514" s="40" t="s">
        <v>1024</v>
      </c>
      <c r="V514" s="40" t="s">
        <v>1319</v>
      </c>
      <c r="W514" s="39">
        <f>データ!H514</f>
        <v>6161</v>
      </c>
      <c r="X514" s="40" t="s">
        <v>1024</v>
      </c>
      <c r="Y514" s="40" t="s">
        <v>1319</v>
      </c>
      <c r="Z514" s="39">
        <f>データ!I514</f>
        <v>5597</v>
      </c>
      <c r="AA514" s="40" t="s">
        <v>1024</v>
      </c>
      <c r="AB514" s="40" t="s">
        <v>1322</v>
      </c>
      <c r="AC514" s="39" t="str">
        <f>データ!J514</f>
        <v>S+</v>
      </c>
      <c r="AD514" s="38" t="s">
        <v>1024</v>
      </c>
      <c r="AE514" s="40" t="s">
        <v>1323</v>
      </c>
      <c r="AF514" s="39">
        <f>データ!K514</f>
        <v>32597</v>
      </c>
      <c r="AG514" s="40" t="s">
        <v>1024</v>
      </c>
      <c r="AH514" s="40" t="s">
        <v>1324</v>
      </c>
      <c r="AI514" s="39" t="str">
        <f>データ!L514</f>
        <v>暗闇の言霊／煌</v>
      </c>
      <c r="AJ514" s="10" t="s">
        <v>1113</v>
      </c>
      <c r="AK514" s="39" t="str">
        <f>データ!M514</f>
        <v>一定確率で敵を暗闇状態にする[超高確率]</v>
      </c>
      <c r="AL514" s="10" t="s">
        <v>1024</v>
      </c>
      <c r="AM514" s="40" t="s">
        <v>1325</v>
      </c>
      <c r="AN514" s="39" t="str">
        <f>データ!N514</f>
        <v>-</v>
      </c>
      <c r="AO514" s="10" t="s">
        <v>1113</v>
      </c>
      <c r="AP514" s="39" t="str">
        <f>データ!O514</f>
        <v>　</v>
      </c>
      <c r="AQ514" s="41" t="s">
        <v>1024</v>
      </c>
      <c r="AR514" s="40" t="s">
        <v>1324</v>
      </c>
      <c r="AS514" s="39" t="str">
        <f>データ!P514</f>
        <v>シャドウ／真</v>
      </c>
      <c r="AT514" s="10" t="s">
        <v>1113</v>
      </c>
      <c r="AU514" s="39" t="str">
        <f>データ!Q514</f>
        <v>バトル時の強襲CB率が中UP(3分間)</v>
      </c>
      <c r="AV514" s="10" t="s">
        <v>1024</v>
      </c>
      <c r="AW514" s="40" t="s">
        <v>1324</v>
      </c>
      <c r="AX514" s="39" t="str">
        <f>データ!R514</f>
        <v>-</v>
      </c>
      <c r="AY514" s="10" t="s">
        <v>1113</v>
      </c>
      <c r="AZ514" s="39" t="str">
        <f>データ!S514</f>
        <v>　</v>
      </c>
      <c r="BA514" s="41" t="s">
        <v>1024</v>
      </c>
      <c r="BB514" s="40" t="s">
        <v>1319</v>
      </c>
      <c r="BC514" s="39" t="str">
        <f>データ!T514</f>
        <v>-</v>
      </c>
      <c r="BD514" s="41" t="s">
        <v>1024</v>
      </c>
      <c r="BE514" s="40" t="s">
        <v>1320</v>
      </c>
      <c r="BF514" s="39" t="str">
        <f>データ!U514</f>
        <v>-</v>
      </c>
      <c r="BG514" s="41" t="s">
        <v>1024</v>
      </c>
      <c r="BH514" s="40" t="s">
        <v>1319</v>
      </c>
      <c r="BI514" s="39" t="str">
        <f>データ!V514</f>
        <v>マゴニア</v>
      </c>
      <c r="BJ514" s="41" t="s">
        <v>1024</v>
      </c>
      <c r="BK514" s="10" t="s">
        <v>1019</v>
      </c>
    </row>
    <row r="515" spans="1:63" x14ac:dyDescent="0.15">
      <c r="A515" s="10" t="s">
        <v>1016</v>
      </c>
      <c r="B515" s="10" t="s">
        <v>1454</v>
      </c>
      <c r="C515" s="38" t="str">
        <f>"./images/thumbnail/"&amp;データ!B515&amp;".jpg"</f>
        <v>./images/thumbnail/1850.jpg</v>
      </c>
      <c r="D515" s="38" t="s">
        <v>1455</v>
      </c>
      <c r="E515" s="38" t="str">
        <f>"./images/thumbnail/"&amp;データ!B515&amp;".jpg"</f>
        <v>./images/thumbnail/1850.jpg</v>
      </c>
      <c r="F515" s="38" t="s">
        <v>1116</v>
      </c>
      <c r="G515" s="38" t="s">
        <v>1319</v>
      </c>
      <c r="H515" s="38" t="str">
        <f>データ!C515</f>
        <v>エレン</v>
      </c>
      <c r="I515" s="38" t="s">
        <v>1024</v>
      </c>
      <c r="J515" s="38" t="s">
        <v>1320</v>
      </c>
      <c r="K515" s="38" t="str">
        <f>データ!D515</f>
        <v>UR</v>
      </c>
      <c r="L515" s="38" t="s">
        <v>1024</v>
      </c>
      <c r="M515" s="38" t="s">
        <v>1321</v>
      </c>
      <c r="N515" s="38">
        <f>データ!E515</f>
        <v>14</v>
      </c>
      <c r="O515" s="38" t="s">
        <v>1024</v>
      </c>
      <c r="P515" s="38" t="s">
        <v>1319</v>
      </c>
      <c r="Q515" s="38" t="str">
        <f>データ!F515</f>
        <v>打</v>
      </c>
      <c r="R515" s="38" t="s">
        <v>1024</v>
      </c>
      <c r="S515" s="38" t="s">
        <v>1319</v>
      </c>
      <c r="T515" s="39">
        <f>データ!G515</f>
        <v>21105</v>
      </c>
      <c r="U515" s="40" t="s">
        <v>1024</v>
      </c>
      <c r="V515" s="40" t="s">
        <v>1319</v>
      </c>
      <c r="W515" s="39">
        <f>データ!H515</f>
        <v>5965</v>
      </c>
      <c r="X515" s="40" t="s">
        <v>1024</v>
      </c>
      <c r="Y515" s="40" t="s">
        <v>1319</v>
      </c>
      <c r="Z515" s="39">
        <f>データ!I515</f>
        <v>9678</v>
      </c>
      <c r="AA515" s="40" t="s">
        <v>1024</v>
      </c>
      <c r="AB515" s="40" t="s">
        <v>1322</v>
      </c>
      <c r="AC515" s="39" t="str">
        <f>データ!J515</f>
        <v>A+</v>
      </c>
      <c r="AD515" s="38" t="s">
        <v>1024</v>
      </c>
      <c r="AE515" s="40" t="s">
        <v>1323</v>
      </c>
      <c r="AF515" s="39">
        <f>データ!K515</f>
        <v>36748</v>
      </c>
      <c r="AG515" s="40" t="s">
        <v>1024</v>
      </c>
      <c r="AH515" s="40" t="s">
        <v>1324</v>
      </c>
      <c r="AI515" s="39" t="str">
        <f>データ!L515</f>
        <v>沈黙の言霊／煌</v>
      </c>
      <c r="AJ515" s="10" t="s">
        <v>1113</v>
      </c>
      <c r="AK515" s="39" t="str">
        <f>データ!M515</f>
        <v>一定確率で敵を沈黙状態にする[超高確率]</v>
      </c>
      <c r="AL515" s="10" t="s">
        <v>1024</v>
      </c>
      <c r="AM515" s="40" t="s">
        <v>1325</v>
      </c>
      <c r="AN515" s="39" t="str">
        <f>データ!N515</f>
        <v>-</v>
      </c>
      <c r="AO515" s="10" t="s">
        <v>1113</v>
      </c>
      <c r="AP515" s="39" t="str">
        <f>データ!O515</f>
        <v>　</v>
      </c>
      <c r="AQ515" s="41" t="s">
        <v>1024</v>
      </c>
      <c r="AR515" s="40" t="s">
        <v>1324</v>
      </c>
      <c r="AS515" s="39" t="str">
        <f>データ!P515</f>
        <v>ジャガーノート／絶</v>
      </c>
      <c r="AT515" s="10" t="s">
        <v>1113</v>
      </c>
      <c r="AU515" s="39" t="str">
        <f>データ!Q515</f>
        <v>バトルで敵を全滅するとBPが大回復(バトル3回)</v>
      </c>
      <c r="AV515" s="10" t="s">
        <v>1024</v>
      </c>
      <c r="AW515" s="40" t="s">
        <v>1324</v>
      </c>
      <c r="AX515" s="39" t="str">
        <f>データ!R515</f>
        <v>-</v>
      </c>
      <c r="AY515" s="10" t="s">
        <v>1113</v>
      </c>
      <c r="AZ515" s="39" t="str">
        <f>データ!S515</f>
        <v>　</v>
      </c>
      <c r="BA515" s="41" t="s">
        <v>1024</v>
      </c>
      <c r="BB515" s="40" t="s">
        <v>1319</v>
      </c>
      <c r="BC515" s="39" t="str">
        <f>データ!T515</f>
        <v>-</v>
      </c>
      <c r="BD515" s="41" t="s">
        <v>1024</v>
      </c>
      <c r="BE515" s="40" t="s">
        <v>1320</v>
      </c>
      <c r="BF515" s="39" t="str">
        <f>データ!U515</f>
        <v>-</v>
      </c>
      <c r="BG515" s="41" t="s">
        <v>1024</v>
      </c>
      <c r="BH515" s="40" t="s">
        <v>1319</v>
      </c>
      <c r="BI515" s="39" t="str">
        <f>データ!V515</f>
        <v>進撃の巨人コラボ2</v>
      </c>
      <c r="BJ515" s="41" t="s">
        <v>1024</v>
      </c>
      <c r="BK515" s="10" t="s">
        <v>1019</v>
      </c>
    </row>
    <row r="516" spans="1:63" x14ac:dyDescent="0.15">
      <c r="A516" s="10" t="s">
        <v>1016</v>
      </c>
      <c r="B516" s="10" t="s">
        <v>1454</v>
      </c>
      <c r="C516" s="38" t="str">
        <f>"./images/thumbnail/"&amp;データ!B516&amp;".jpg"</f>
        <v>./images/thumbnail/1851.jpg</v>
      </c>
      <c r="D516" s="38" t="s">
        <v>1455</v>
      </c>
      <c r="E516" s="38" t="str">
        <f>"./images/thumbnail/"&amp;データ!B516&amp;".jpg"</f>
        <v>./images/thumbnail/1851.jpg</v>
      </c>
      <c r="F516" s="38" t="s">
        <v>1116</v>
      </c>
      <c r="G516" s="38" t="s">
        <v>1319</v>
      </c>
      <c r="H516" s="38" t="str">
        <f>データ!C516</f>
        <v>ミカサ</v>
      </c>
      <c r="I516" s="38" t="s">
        <v>1024</v>
      </c>
      <c r="J516" s="38" t="s">
        <v>1320</v>
      </c>
      <c r="K516" s="38" t="str">
        <f>データ!D516</f>
        <v>UR</v>
      </c>
      <c r="L516" s="38" t="s">
        <v>1024</v>
      </c>
      <c r="M516" s="38" t="s">
        <v>1321</v>
      </c>
      <c r="N516" s="38">
        <f>データ!E516</f>
        <v>15</v>
      </c>
      <c r="O516" s="38" t="s">
        <v>1024</v>
      </c>
      <c r="P516" s="38" t="s">
        <v>1319</v>
      </c>
      <c r="Q516" s="38" t="str">
        <f>データ!F516</f>
        <v>斬</v>
      </c>
      <c r="R516" s="38" t="s">
        <v>1024</v>
      </c>
      <c r="S516" s="38" t="s">
        <v>1319</v>
      </c>
      <c r="T516" s="39">
        <f>データ!G516</f>
        <v>18917</v>
      </c>
      <c r="U516" s="40" t="s">
        <v>1024</v>
      </c>
      <c r="V516" s="40" t="s">
        <v>1319</v>
      </c>
      <c r="W516" s="39">
        <f>データ!H516</f>
        <v>9260</v>
      </c>
      <c r="X516" s="40" t="s">
        <v>1024</v>
      </c>
      <c r="Y516" s="40" t="s">
        <v>1319</v>
      </c>
      <c r="Z516" s="39">
        <f>データ!I516</f>
        <v>7885</v>
      </c>
      <c r="AA516" s="40" t="s">
        <v>1024</v>
      </c>
      <c r="AB516" s="40" t="s">
        <v>1322</v>
      </c>
      <c r="AC516" s="39" t="str">
        <f>データ!J516</f>
        <v>SS-</v>
      </c>
      <c r="AD516" s="38" t="s">
        <v>1024</v>
      </c>
      <c r="AE516" s="40" t="s">
        <v>1323</v>
      </c>
      <c r="AF516" s="39">
        <f>データ!K516</f>
        <v>36062</v>
      </c>
      <c r="AG516" s="40" t="s">
        <v>1024</v>
      </c>
      <c r="AH516" s="40" t="s">
        <v>1324</v>
      </c>
      <c r="AI516" s="39" t="str">
        <f>データ!L516</f>
        <v>この世界は残酷だ…</v>
      </c>
      <c r="AJ516" s="10" t="s">
        <v>1113</v>
      </c>
      <c r="AK516" s="39" t="str">
        <f>データ!M516</f>
        <v>X字型攻撃[特大]自分の防御力UP[特大]</v>
      </c>
      <c r="AL516" s="10" t="s">
        <v>1024</v>
      </c>
      <c r="AM516" s="40" t="s">
        <v>1325</v>
      </c>
      <c r="AN516" s="39" t="str">
        <f>データ!N516</f>
        <v>-</v>
      </c>
      <c r="AO516" s="10" t="s">
        <v>1113</v>
      </c>
      <c r="AP516" s="39" t="str">
        <f>データ!O516</f>
        <v>　</v>
      </c>
      <c r="AQ516" s="41" t="s">
        <v>1024</v>
      </c>
      <c r="AR516" s="40" t="s">
        <v>1324</v>
      </c>
      <c r="AS516" s="39" t="str">
        <f>データ!P516</f>
        <v>アサルト／煌</v>
      </c>
      <c r="AT516" s="10" t="s">
        <v>1113</v>
      </c>
      <c r="AU516" s="39" t="str">
        <f>データ!Q516</f>
        <v>パーティ全体の攻撃力が特大UP(3分間)</v>
      </c>
      <c r="AV516" s="10" t="s">
        <v>1024</v>
      </c>
      <c r="AW516" s="40" t="s">
        <v>1324</v>
      </c>
      <c r="AX516" s="39" t="str">
        <f>データ!R516</f>
        <v>シャドウ／真</v>
      </c>
      <c r="AY516" s="10" t="s">
        <v>1113</v>
      </c>
      <c r="AZ516" s="39" t="str">
        <f>データ!S516</f>
        <v>バトル時の強襲CB率が中UP(3分間)</v>
      </c>
      <c r="BA516" s="41" t="s">
        <v>1024</v>
      </c>
      <c r="BB516" s="40" t="s">
        <v>1319</v>
      </c>
      <c r="BC516" s="39" t="str">
        <f>データ!T516</f>
        <v>-</v>
      </c>
      <c r="BD516" s="41" t="s">
        <v>1024</v>
      </c>
      <c r="BE516" s="40" t="s">
        <v>1320</v>
      </c>
      <c r="BF516" s="39" t="str">
        <f>データ!U516</f>
        <v>-</v>
      </c>
      <c r="BG516" s="41" t="s">
        <v>1024</v>
      </c>
      <c r="BH516" s="40" t="s">
        <v>1319</v>
      </c>
      <c r="BI516" s="39" t="str">
        <f>データ!V516</f>
        <v>進撃の巨人コラボ2</v>
      </c>
      <c r="BJ516" s="41" t="s">
        <v>1024</v>
      </c>
      <c r="BK516" s="10" t="s">
        <v>1019</v>
      </c>
    </row>
    <row r="517" spans="1:63" x14ac:dyDescent="0.15">
      <c r="A517" s="10" t="s">
        <v>1016</v>
      </c>
      <c r="B517" s="10" t="s">
        <v>1454</v>
      </c>
      <c r="C517" s="38" t="str">
        <f>"./images/thumbnail/"&amp;データ!B517&amp;".jpg"</f>
        <v>./images/thumbnail/1853.jpg</v>
      </c>
      <c r="D517" s="38" t="s">
        <v>1455</v>
      </c>
      <c r="E517" s="38" t="str">
        <f>"./images/thumbnail/"&amp;データ!B517&amp;".jpg"</f>
        <v>./images/thumbnail/1853.jpg</v>
      </c>
      <c r="F517" s="38" t="s">
        <v>1116</v>
      </c>
      <c r="G517" s="38" t="s">
        <v>1319</v>
      </c>
      <c r="H517" s="38" t="str">
        <f>データ!C517</f>
        <v>ジャン</v>
      </c>
      <c r="I517" s="38" t="s">
        <v>1024</v>
      </c>
      <c r="J517" s="38" t="s">
        <v>1320</v>
      </c>
      <c r="K517" s="38" t="str">
        <f>データ!D517</f>
        <v>UR</v>
      </c>
      <c r="L517" s="38" t="s">
        <v>1024</v>
      </c>
      <c r="M517" s="38" t="s">
        <v>1321</v>
      </c>
      <c r="N517" s="38">
        <f>データ!E517</f>
        <v>14</v>
      </c>
      <c r="O517" s="38" t="s">
        <v>1024</v>
      </c>
      <c r="P517" s="38" t="s">
        <v>1319</v>
      </c>
      <c r="Q517" s="38" t="str">
        <f>データ!F517</f>
        <v>打</v>
      </c>
      <c r="R517" s="38" t="s">
        <v>1024</v>
      </c>
      <c r="S517" s="38" t="s">
        <v>1319</v>
      </c>
      <c r="T517" s="39">
        <f>データ!G517</f>
        <v>24564</v>
      </c>
      <c r="U517" s="40" t="s">
        <v>1024</v>
      </c>
      <c r="V517" s="40" t="s">
        <v>1319</v>
      </c>
      <c r="W517" s="39">
        <f>データ!H517</f>
        <v>7020</v>
      </c>
      <c r="X517" s="40" t="s">
        <v>1024</v>
      </c>
      <c r="Y517" s="40" t="s">
        <v>1319</v>
      </c>
      <c r="Z517" s="39">
        <f>データ!I517</f>
        <v>8021</v>
      </c>
      <c r="AA517" s="40" t="s">
        <v>1024</v>
      </c>
      <c r="AB517" s="40" t="s">
        <v>1322</v>
      </c>
      <c r="AC517" s="39" t="str">
        <f>データ!J517</f>
        <v>A+</v>
      </c>
      <c r="AD517" s="38" t="s">
        <v>1024</v>
      </c>
      <c r="AE517" s="40" t="s">
        <v>1323</v>
      </c>
      <c r="AF517" s="39">
        <f>データ!K517</f>
        <v>39605</v>
      </c>
      <c r="AG517" s="40" t="s">
        <v>1024</v>
      </c>
      <c r="AH517" s="40" t="s">
        <v>1324</v>
      </c>
      <c r="AI517" s="39" t="str">
        <f>データ!L517</f>
        <v>天魔幻の閃光／絶</v>
      </c>
      <c r="AJ517" s="10" t="s">
        <v>1113</v>
      </c>
      <c r="AK517" s="39" t="str">
        <f>データ!M517</f>
        <v>縦一列攻撃[大]自分の攻撃力UP[大]</v>
      </c>
      <c r="AL517" s="10" t="s">
        <v>1024</v>
      </c>
      <c r="AM517" s="40" t="s">
        <v>1325</v>
      </c>
      <c r="AN517" s="39" t="str">
        <f>データ!N517</f>
        <v>-</v>
      </c>
      <c r="AO517" s="10" t="s">
        <v>1113</v>
      </c>
      <c r="AP517" s="39" t="str">
        <f>データ!O517</f>
        <v>　</v>
      </c>
      <c r="AQ517" s="41" t="s">
        <v>1024</v>
      </c>
      <c r="AR517" s="40" t="s">
        <v>1324</v>
      </c>
      <c r="AS517" s="39" t="str">
        <f>データ!P517</f>
        <v>メナス／真</v>
      </c>
      <c r="AT517" s="10" t="s">
        <v>1113</v>
      </c>
      <c r="AU517" s="39" t="str">
        <f>データ!Q517</f>
        <v>対戦騎士団全体の防御力が中DOWN(3分間)</v>
      </c>
      <c r="AV517" s="10" t="s">
        <v>1024</v>
      </c>
      <c r="AW517" s="40" t="s">
        <v>1324</v>
      </c>
      <c r="AX517" s="39" t="str">
        <f>データ!R517</f>
        <v>-</v>
      </c>
      <c r="AY517" s="10" t="s">
        <v>1113</v>
      </c>
      <c r="AZ517" s="39" t="str">
        <f>データ!S517</f>
        <v>　</v>
      </c>
      <c r="BA517" s="41" t="s">
        <v>1024</v>
      </c>
      <c r="BB517" s="40" t="s">
        <v>1319</v>
      </c>
      <c r="BC517" s="39" t="str">
        <f>データ!T517</f>
        <v>-</v>
      </c>
      <c r="BD517" s="41" t="s">
        <v>1024</v>
      </c>
      <c r="BE517" s="40" t="s">
        <v>1320</v>
      </c>
      <c r="BF517" s="39" t="str">
        <f>データ!U517</f>
        <v>-</v>
      </c>
      <c r="BG517" s="41" t="s">
        <v>1024</v>
      </c>
      <c r="BH517" s="40" t="s">
        <v>1319</v>
      </c>
      <c r="BI517" s="39" t="str">
        <f>データ!V517</f>
        <v>進撃の巨人コラボ2</v>
      </c>
      <c r="BJ517" s="41" t="s">
        <v>1024</v>
      </c>
      <c r="BK517" s="10" t="s">
        <v>1019</v>
      </c>
    </row>
    <row r="518" spans="1:63" x14ac:dyDescent="0.15">
      <c r="A518" s="10" t="s">
        <v>1016</v>
      </c>
      <c r="B518" s="10" t="s">
        <v>1454</v>
      </c>
      <c r="C518" s="38" t="str">
        <f>"./images/thumbnail/"&amp;データ!B518&amp;".jpg"</f>
        <v>./images/thumbnail/1854.jpg</v>
      </c>
      <c r="D518" s="38" t="s">
        <v>1455</v>
      </c>
      <c r="E518" s="38" t="str">
        <f>"./images/thumbnail/"&amp;データ!B518&amp;".jpg"</f>
        <v>./images/thumbnail/1854.jpg</v>
      </c>
      <c r="F518" s="38" t="s">
        <v>1116</v>
      </c>
      <c r="G518" s="38" t="s">
        <v>1319</v>
      </c>
      <c r="H518" s="38" t="str">
        <f>データ!C518</f>
        <v>ハンジ</v>
      </c>
      <c r="I518" s="38" t="s">
        <v>1024</v>
      </c>
      <c r="J518" s="38" t="s">
        <v>1320</v>
      </c>
      <c r="K518" s="38" t="str">
        <f>データ!D518</f>
        <v>UR</v>
      </c>
      <c r="L518" s="38" t="s">
        <v>1024</v>
      </c>
      <c r="M518" s="38" t="s">
        <v>1321</v>
      </c>
      <c r="N518" s="38">
        <f>データ!E518</f>
        <v>14</v>
      </c>
      <c r="O518" s="38" t="s">
        <v>1024</v>
      </c>
      <c r="P518" s="38" t="s">
        <v>1319</v>
      </c>
      <c r="Q518" s="38" t="str">
        <f>データ!F518</f>
        <v>遠</v>
      </c>
      <c r="R518" s="38" t="s">
        <v>1024</v>
      </c>
      <c r="S518" s="38" t="s">
        <v>1319</v>
      </c>
      <c r="T518" s="39">
        <f>データ!G518</f>
        <v>17734</v>
      </c>
      <c r="U518" s="40" t="s">
        <v>1024</v>
      </c>
      <c r="V518" s="40" t="s">
        <v>1319</v>
      </c>
      <c r="W518" s="39">
        <f>データ!H518</f>
        <v>7296</v>
      </c>
      <c r="X518" s="40" t="s">
        <v>1024</v>
      </c>
      <c r="Y518" s="40" t="s">
        <v>1319</v>
      </c>
      <c r="Z518" s="39">
        <f>データ!I518</f>
        <v>5569</v>
      </c>
      <c r="AA518" s="40" t="s">
        <v>1024</v>
      </c>
      <c r="AB518" s="40" t="s">
        <v>1322</v>
      </c>
      <c r="AC518" s="39" t="str">
        <f>データ!J518</f>
        <v>S+</v>
      </c>
      <c r="AD518" s="38" t="s">
        <v>1024</v>
      </c>
      <c r="AE518" s="40" t="s">
        <v>1323</v>
      </c>
      <c r="AF518" s="39">
        <f>データ!K518</f>
        <v>30599</v>
      </c>
      <c r="AG518" s="40" t="s">
        <v>1024</v>
      </c>
      <c r="AH518" s="40" t="s">
        <v>1324</v>
      </c>
      <c r="AI518" s="39" t="str">
        <f>データ!L518</f>
        <v>光芒の神威</v>
      </c>
      <c r="AJ518" s="10" t="s">
        <v>1113</v>
      </c>
      <c r="AK518" s="39" t="str">
        <f>データ!M518</f>
        <v>味方全体の攻撃力をUP[特大]</v>
      </c>
      <c r="AL518" s="10" t="s">
        <v>1024</v>
      </c>
      <c r="AM518" s="40" t="s">
        <v>1325</v>
      </c>
      <c r="AN518" s="39" t="str">
        <f>データ!N518</f>
        <v>-</v>
      </c>
      <c r="AO518" s="10" t="s">
        <v>1113</v>
      </c>
      <c r="AP518" s="39" t="str">
        <f>データ!O518</f>
        <v>　</v>
      </c>
      <c r="AQ518" s="41" t="s">
        <v>1024</v>
      </c>
      <c r="AR518" s="40" t="s">
        <v>1324</v>
      </c>
      <c r="AS518" s="39" t="str">
        <f>データ!P518</f>
        <v>キャッスルウィークネス／真</v>
      </c>
      <c r="AT518" s="10" t="s">
        <v>1113</v>
      </c>
      <c r="AU518" s="39" t="str">
        <f>データ!Q518</f>
        <v>対戦騎士団の城強度Lvが中DOWN(3分間)</v>
      </c>
      <c r="AV518" s="10" t="s">
        <v>1024</v>
      </c>
      <c r="AW518" s="40" t="s">
        <v>1324</v>
      </c>
      <c r="AX518" s="39" t="str">
        <f>データ!R518</f>
        <v>-</v>
      </c>
      <c r="AY518" s="10" t="s">
        <v>1113</v>
      </c>
      <c r="AZ518" s="39" t="str">
        <f>データ!S518</f>
        <v>　</v>
      </c>
      <c r="BA518" s="41" t="s">
        <v>1024</v>
      </c>
      <c r="BB518" s="40" t="s">
        <v>1319</v>
      </c>
      <c r="BC518" s="39" t="str">
        <f>データ!T518</f>
        <v>-</v>
      </c>
      <c r="BD518" s="41" t="s">
        <v>1024</v>
      </c>
      <c r="BE518" s="40" t="s">
        <v>1320</v>
      </c>
      <c r="BF518" s="39" t="str">
        <f>データ!U518</f>
        <v>-</v>
      </c>
      <c r="BG518" s="41" t="s">
        <v>1024</v>
      </c>
      <c r="BH518" s="40" t="s">
        <v>1319</v>
      </c>
      <c r="BI518" s="39" t="str">
        <f>データ!V518</f>
        <v>進撃の巨人コラボ2</v>
      </c>
      <c r="BJ518" s="41" t="s">
        <v>1024</v>
      </c>
      <c r="BK518" s="10" t="s">
        <v>1019</v>
      </c>
    </row>
    <row r="519" spans="1:63" x14ac:dyDescent="0.15">
      <c r="A519" s="10" t="s">
        <v>1016</v>
      </c>
      <c r="B519" s="10" t="s">
        <v>1454</v>
      </c>
      <c r="C519" s="38" t="str">
        <f>"./images/thumbnail/"&amp;データ!B519&amp;".jpg"</f>
        <v>./images/thumbnail/1856.jpg</v>
      </c>
      <c r="D519" s="38" t="s">
        <v>1455</v>
      </c>
      <c r="E519" s="38" t="str">
        <f>"./images/thumbnail/"&amp;データ!B519&amp;".jpg"</f>
        <v>./images/thumbnail/1856.jpg</v>
      </c>
      <c r="F519" s="38" t="s">
        <v>1116</v>
      </c>
      <c r="G519" s="38" t="s">
        <v>1319</v>
      </c>
      <c r="H519" s="38" t="str">
        <f>データ!C519</f>
        <v>コニー</v>
      </c>
      <c r="I519" s="38" t="s">
        <v>1024</v>
      </c>
      <c r="J519" s="38" t="s">
        <v>1320</v>
      </c>
      <c r="K519" s="38" t="str">
        <f>データ!D519</f>
        <v>UR</v>
      </c>
      <c r="L519" s="38" t="s">
        <v>1024</v>
      </c>
      <c r="M519" s="38" t="s">
        <v>1321</v>
      </c>
      <c r="N519" s="38">
        <f>データ!E519</f>
        <v>14</v>
      </c>
      <c r="O519" s="38" t="s">
        <v>1024</v>
      </c>
      <c r="P519" s="38" t="s">
        <v>1319</v>
      </c>
      <c r="Q519" s="38" t="str">
        <f>データ!F519</f>
        <v>斬</v>
      </c>
      <c r="R519" s="38" t="s">
        <v>1024</v>
      </c>
      <c r="S519" s="38" t="s">
        <v>1319</v>
      </c>
      <c r="T519" s="39">
        <f>データ!G519</f>
        <v>18485</v>
      </c>
      <c r="U519" s="40" t="s">
        <v>1024</v>
      </c>
      <c r="V519" s="40" t="s">
        <v>1319</v>
      </c>
      <c r="W519" s="39">
        <f>データ!H519</f>
        <v>8498</v>
      </c>
      <c r="X519" s="40" t="s">
        <v>1024</v>
      </c>
      <c r="Y519" s="40" t="s">
        <v>1319</v>
      </c>
      <c r="Z519" s="39">
        <f>データ!I519</f>
        <v>5900</v>
      </c>
      <c r="AA519" s="40" t="s">
        <v>1024</v>
      </c>
      <c r="AB519" s="40" t="s">
        <v>1322</v>
      </c>
      <c r="AC519" s="39" t="str">
        <f>データ!J519</f>
        <v>S</v>
      </c>
      <c r="AD519" s="38" t="s">
        <v>1024</v>
      </c>
      <c r="AE519" s="40" t="s">
        <v>1323</v>
      </c>
      <c r="AF519" s="39">
        <f>データ!K519</f>
        <v>32883</v>
      </c>
      <c r="AG519" s="40" t="s">
        <v>1024</v>
      </c>
      <c r="AH519" s="40" t="s">
        <v>1324</v>
      </c>
      <c r="AI519" s="39" t="str">
        <f>データ!L519</f>
        <v>対紫の薙風／煌</v>
      </c>
      <c r="AJ519" s="10" t="s">
        <v>1113</v>
      </c>
      <c r="AK519" s="39" t="str">
        <f>データ!M519</f>
        <v>打に強く遠に弱い横一列攻撃[特大]</v>
      </c>
      <c r="AL519" s="10" t="s">
        <v>1024</v>
      </c>
      <c r="AM519" s="40" t="s">
        <v>1325</v>
      </c>
      <c r="AN519" s="39" t="str">
        <f>データ!N519</f>
        <v>-</v>
      </c>
      <c r="AO519" s="10" t="s">
        <v>1113</v>
      </c>
      <c r="AP519" s="39" t="str">
        <f>データ!O519</f>
        <v>　</v>
      </c>
      <c r="AQ519" s="41" t="s">
        <v>1024</v>
      </c>
      <c r="AR519" s="40" t="s">
        <v>1324</v>
      </c>
      <c r="AS519" s="39" t="str">
        <f>データ!P519</f>
        <v>ブリッツ</v>
      </c>
      <c r="AT519" s="10" t="s">
        <v>1113</v>
      </c>
      <c r="AU519" s="39" t="str">
        <f>データ!Q519</f>
        <v>強襲CBの発生確率・強襲時獲得ポイントUP(3分間)</v>
      </c>
      <c r="AV519" s="10" t="s">
        <v>1024</v>
      </c>
      <c r="AW519" s="40" t="s">
        <v>1324</v>
      </c>
      <c r="AX519" s="39" t="str">
        <f>データ!R519</f>
        <v>-</v>
      </c>
      <c r="AY519" s="10" t="s">
        <v>1113</v>
      </c>
      <c r="AZ519" s="39" t="str">
        <f>データ!S519</f>
        <v>　</v>
      </c>
      <c r="BA519" s="41" t="s">
        <v>1024</v>
      </c>
      <c r="BB519" s="40" t="s">
        <v>1319</v>
      </c>
      <c r="BC519" s="39" t="str">
        <f>データ!T519</f>
        <v>-</v>
      </c>
      <c r="BD519" s="41" t="s">
        <v>1024</v>
      </c>
      <c r="BE519" s="40" t="s">
        <v>1320</v>
      </c>
      <c r="BF519" s="39" t="str">
        <f>データ!U519</f>
        <v>-</v>
      </c>
      <c r="BG519" s="41" t="s">
        <v>1024</v>
      </c>
      <c r="BH519" s="40" t="s">
        <v>1319</v>
      </c>
      <c r="BI519" s="39" t="str">
        <f>データ!V519</f>
        <v>進撃の巨人コラボ2</v>
      </c>
      <c r="BJ519" s="41" t="s">
        <v>1024</v>
      </c>
      <c r="BK519" s="10" t="s">
        <v>1019</v>
      </c>
    </row>
    <row r="520" spans="1:63" x14ac:dyDescent="0.15">
      <c r="A520" s="10" t="s">
        <v>1016</v>
      </c>
      <c r="B520" s="10" t="s">
        <v>1454</v>
      </c>
      <c r="C520" s="38" t="str">
        <f>"./images/thumbnail/"&amp;データ!B520&amp;".jpg"</f>
        <v>./images/thumbnail/1857.jpg</v>
      </c>
      <c r="D520" s="38" t="s">
        <v>1455</v>
      </c>
      <c r="E520" s="38" t="str">
        <f>"./images/thumbnail/"&amp;データ!B520&amp;".jpg"</f>
        <v>./images/thumbnail/1857.jpg</v>
      </c>
      <c r="F520" s="38" t="s">
        <v>1116</v>
      </c>
      <c r="G520" s="38" t="s">
        <v>1319</v>
      </c>
      <c r="H520" s="38" t="str">
        <f>データ!C520</f>
        <v>リヴァイ</v>
      </c>
      <c r="I520" s="38" t="s">
        <v>1024</v>
      </c>
      <c r="J520" s="38" t="s">
        <v>1320</v>
      </c>
      <c r="K520" s="38" t="str">
        <f>データ!D520</f>
        <v>UR</v>
      </c>
      <c r="L520" s="38" t="s">
        <v>1024</v>
      </c>
      <c r="M520" s="38" t="s">
        <v>1321</v>
      </c>
      <c r="N520" s="38">
        <f>データ!E520</f>
        <v>15</v>
      </c>
      <c r="O520" s="38" t="s">
        <v>1024</v>
      </c>
      <c r="P520" s="38" t="s">
        <v>1319</v>
      </c>
      <c r="Q520" s="38" t="str">
        <f>データ!F520</f>
        <v>突</v>
      </c>
      <c r="R520" s="38" t="s">
        <v>1024</v>
      </c>
      <c r="S520" s="38" t="s">
        <v>1319</v>
      </c>
      <c r="T520" s="39">
        <f>データ!G520</f>
        <v>26018</v>
      </c>
      <c r="U520" s="40" t="s">
        <v>1024</v>
      </c>
      <c r="V520" s="40" t="s">
        <v>1319</v>
      </c>
      <c r="W520" s="39">
        <f>データ!H520</f>
        <v>6080</v>
      </c>
      <c r="X520" s="40" t="s">
        <v>1024</v>
      </c>
      <c r="Y520" s="40" t="s">
        <v>1319</v>
      </c>
      <c r="Z520" s="39">
        <f>データ!I520</f>
        <v>8275</v>
      </c>
      <c r="AA520" s="40" t="s">
        <v>1024</v>
      </c>
      <c r="AB520" s="40" t="s">
        <v>1322</v>
      </c>
      <c r="AC520" s="39" t="str">
        <f>データ!J520</f>
        <v>SS2</v>
      </c>
      <c r="AD520" s="38" t="s">
        <v>1024</v>
      </c>
      <c r="AE520" s="40" t="s">
        <v>1323</v>
      </c>
      <c r="AF520" s="39">
        <f>データ!K520</f>
        <v>40373</v>
      </c>
      <c r="AG520" s="40" t="s">
        <v>1024</v>
      </c>
      <c r="AH520" s="40" t="s">
        <v>1324</v>
      </c>
      <c r="AI520" s="39" t="str">
        <f>データ!L520</f>
        <v>よく喋るな豚野郎…</v>
      </c>
      <c r="AJ520" s="10" t="s">
        <v>1113</v>
      </c>
      <c r="AK520" s="39" t="str">
        <f>データ!M520</f>
        <v>横一列攻撃[特大]自分の防御力UP[特大]</v>
      </c>
      <c r="AL520" s="10" t="s">
        <v>1024</v>
      </c>
      <c r="AM520" s="40" t="s">
        <v>1325</v>
      </c>
      <c r="AN520" s="39" t="str">
        <f>データ!N520</f>
        <v>-</v>
      </c>
      <c r="AO520" s="10" t="s">
        <v>1113</v>
      </c>
      <c r="AP520" s="39" t="str">
        <f>データ!O520</f>
        <v>　</v>
      </c>
      <c r="AQ520" s="41" t="s">
        <v>1024</v>
      </c>
      <c r="AR520" s="40" t="s">
        <v>1324</v>
      </c>
      <c r="AS520" s="39" t="str">
        <f>データ!P520</f>
        <v>ランページ／絶</v>
      </c>
      <c r="AT520" s="10" t="s">
        <v>1113</v>
      </c>
      <c r="AU520" s="39" t="str">
        <f>データ!Q520</f>
        <v>バトルで獲得する騎士団戦スコアが大アップ(3分間)</v>
      </c>
      <c r="AV520" s="10" t="s">
        <v>1024</v>
      </c>
      <c r="AW520" s="40" t="s">
        <v>1324</v>
      </c>
      <c r="AX520" s="39" t="str">
        <f>データ!R520</f>
        <v>バーサク／真</v>
      </c>
      <c r="AY520" s="10" t="s">
        <v>1113</v>
      </c>
      <c r="AZ520" s="39" t="str">
        <f>データ!S520</f>
        <v>強襲が発生無効、バトル時に攻・防中UP(3分間)</v>
      </c>
      <c r="BA520" s="41" t="s">
        <v>1024</v>
      </c>
      <c r="BB520" s="40" t="s">
        <v>1319</v>
      </c>
      <c r="BC520" s="39" t="str">
        <f>データ!T520</f>
        <v>-</v>
      </c>
      <c r="BD520" s="41" t="s">
        <v>1024</v>
      </c>
      <c r="BE520" s="40" t="s">
        <v>1320</v>
      </c>
      <c r="BF520" s="39" t="str">
        <f>データ!U520</f>
        <v>-</v>
      </c>
      <c r="BG520" s="41" t="s">
        <v>1024</v>
      </c>
      <c r="BH520" s="40" t="s">
        <v>1319</v>
      </c>
      <c r="BI520" s="39" t="str">
        <f>データ!V520</f>
        <v>進撃の巨人コラボ2</v>
      </c>
      <c r="BJ520" s="41" t="s">
        <v>1024</v>
      </c>
      <c r="BK520" s="10" t="s">
        <v>1019</v>
      </c>
    </row>
    <row r="521" spans="1:63" x14ac:dyDescent="0.15">
      <c r="A521" s="10" t="s">
        <v>1016</v>
      </c>
      <c r="B521" s="10" t="s">
        <v>1454</v>
      </c>
      <c r="C521" s="38" t="str">
        <f>"./images/thumbnail/"&amp;データ!B521&amp;".jpg"</f>
        <v>./images/thumbnail/1859.jpg</v>
      </c>
      <c r="D521" s="38" t="s">
        <v>1455</v>
      </c>
      <c r="E521" s="38" t="str">
        <f>"./images/thumbnail/"&amp;データ!B521&amp;".jpg"</f>
        <v>./images/thumbnail/1859.jpg</v>
      </c>
      <c r="F521" s="38" t="s">
        <v>1116</v>
      </c>
      <c r="G521" s="38" t="s">
        <v>1319</v>
      </c>
      <c r="H521" s="38" t="str">
        <f>データ!C521</f>
        <v>クリスタ</v>
      </c>
      <c r="I521" s="38" t="s">
        <v>1024</v>
      </c>
      <c r="J521" s="38" t="s">
        <v>1320</v>
      </c>
      <c r="K521" s="38" t="str">
        <f>データ!D521</f>
        <v>UR</v>
      </c>
      <c r="L521" s="38" t="s">
        <v>1024</v>
      </c>
      <c r="M521" s="38" t="s">
        <v>1321</v>
      </c>
      <c r="N521" s="38">
        <f>データ!E521</f>
        <v>14</v>
      </c>
      <c r="O521" s="38" t="s">
        <v>1024</v>
      </c>
      <c r="P521" s="38" t="s">
        <v>1319</v>
      </c>
      <c r="Q521" s="38" t="str">
        <f>データ!F521</f>
        <v>遠</v>
      </c>
      <c r="R521" s="38" t="s">
        <v>1024</v>
      </c>
      <c r="S521" s="38" t="s">
        <v>1319</v>
      </c>
      <c r="T521" s="39">
        <f>データ!G521</f>
        <v>20326</v>
      </c>
      <c r="U521" s="40" t="s">
        <v>1024</v>
      </c>
      <c r="V521" s="40" t="s">
        <v>1319</v>
      </c>
      <c r="W521" s="39">
        <f>データ!H521</f>
        <v>7092</v>
      </c>
      <c r="X521" s="40" t="s">
        <v>1024</v>
      </c>
      <c r="Y521" s="40" t="s">
        <v>1319</v>
      </c>
      <c r="Z521" s="39">
        <f>データ!I521</f>
        <v>5456</v>
      </c>
      <c r="AA521" s="40" t="s">
        <v>1024</v>
      </c>
      <c r="AB521" s="40" t="s">
        <v>1322</v>
      </c>
      <c r="AC521" s="39" t="str">
        <f>データ!J521</f>
        <v>S+</v>
      </c>
      <c r="AD521" s="38" t="s">
        <v>1024</v>
      </c>
      <c r="AE521" s="40" t="s">
        <v>1323</v>
      </c>
      <c r="AF521" s="39">
        <f>データ!K521</f>
        <v>32874</v>
      </c>
      <c r="AG521" s="40" t="s">
        <v>1024</v>
      </c>
      <c r="AH521" s="40" t="s">
        <v>1324</v>
      </c>
      <c r="AI521" s="39" t="str">
        <f>データ!L521</f>
        <v>治癒の一撃／絶</v>
      </c>
      <c r="AJ521" s="10" t="s">
        <v>1113</v>
      </c>
      <c r="AK521" s="39" t="str">
        <f>データ!M521</f>
        <v>単体固定ﾀﾞﾒｰｼﾞ[大]+味方状態異常解除</v>
      </c>
      <c r="AL521" s="10" t="s">
        <v>1024</v>
      </c>
      <c r="AM521" s="40" t="s">
        <v>1325</v>
      </c>
      <c r="AN521" s="39" t="str">
        <f>データ!N521</f>
        <v>-</v>
      </c>
      <c r="AO521" s="10" t="s">
        <v>1113</v>
      </c>
      <c r="AP521" s="39" t="str">
        <f>データ!O521</f>
        <v>　</v>
      </c>
      <c r="AQ521" s="41" t="s">
        <v>1024</v>
      </c>
      <c r="AR521" s="40" t="s">
        <v>1324</v>
      </c>
      <c r="AS521" s="39" t="str">
        <f>データ!P521</f>
        <v>エースオーダー／真</v>
      </c>
      <c r="AT521" s="10" t="s">
        <v>1113</v>
      </c>
      <c r="AU521" s="39" t="str">
        <f>データ!Q521</f>
        <v>騎士団全体の攻・防が中UP(3分間)</v>
      </c>
      <c r="AV521" s="10" t="s">
        <v>1024</v>
      </c>
      <c r="AW521" s="40" t="s">
        <v>1324</v>
      </c>
      <c r="AX521" s="39" t="str">
        <f>データ!R521</f>
        <v>-</v>
      </c>
      <c r="AY521" s="10" t="s">
        <v>1113</v>
      </c>
      <c r="AZ521" s="39" t="str">
        <f>データ!S521</f>
        <v>　</v>
      </c>
      <c r="BA521" s="41" t="s">
        <v>1024</v>
      </c>
      <c r="BB521" s="40" t="s">
        <v>1319</v>
      </c>
      <c r="BC521" s="39" t="str">
        <f>データ!T521</f>
        <v>-</v>
      </c>
      <c r="BD521" s="41" t="s">
        <v>1024</v>
      </c>
      <c r="BE521" s="40" t="s">
        <v>1320</v>
      </c>
      <c r="BF521" s="39" t="str">
        <f>データ!U521</f>
        <v>-</v>
      </c>
      <c r="BG521" s="41" t="s">
        <v>1024</v>
      </c>
      <c r="BH521" s="40" t="s">
        <v>1319</v>
      </c>
      <c r="BI521" s="39" t="str">
        <f>データ!V521</f>
        <v>進撃の巨人コラボ2</v>
      </c>
      <c r="BJ521" s="41" t="s">
        <v>1024</v>
      </c>
      <c r="BK521" s="10" t="s">
        <v>1019</v>
      </c>
    </row>
    <row r="522" spans="1:63" x14ac:dyDescent="0.15">
      <c r="A522" s="10" t="s">
        <v>1016</v>
      </c>
      <c r="B522" s="10" t="s">
        <v>1454</v>
      </c>
      <c r="C522" s="38" t="str">
        <f>"./images/thumbnail/"&amp;データ!B522&amp;".jpg"</f>
        <v>./images/thumbnail/1860.jpg</v>
      </c>
      <c r="D522" s="38" t="s">
        <v>1455</v>
      </c>
      <c r="E522" s="38" t="str">
        <f>"./images/thumbnail/"&amp;データ!B522&amp;".jpg"</f>
        <v>./images/thumbnail/1860.jpg</v>
      </c>
      <c r="F522" s="38" t="s">
        <v>1116</v>
      </c>
      <c r="G522" s="38" t="s">
        <v>1319</v>
      </c>
      <c r="H522" s="38" t="str">
        <f>データ!C522</f>
        <v>エルヴィン</v>
      </c>
      <c r="I522" s="38" t="s">
        <v>1024</v>
      </c>
      <c r="J522" s="38" t="s">
        <v>1320</v>
      </c>
      <c r="K522" s="38" t="str">
        <f>データ!D522</f>
        <v>UR</v>
      </c>
      <c r="L522" s="38" t="s">
        <v>1024</v>
      </c>
      <c r="M522" s="38" t="s">
        <v>1321</v>
      </c>
      <c r="N522" s="38">
        <f>データ!E522</f>
        <v>14</v>
      </c>
      <c r="O522" s="38" t="s">
        <v>1024</v>
      </c>
      <c r="P522" s="38" t="s">
        <v>1319</v>
      </c>
      <c r="Q522" s="38" t="str">
        <f>データ!F522</f>
        <v>打</v>
      </c>
      <c r="R522" s="38" t="s">
        <v>1024</v>
      </c>
      <c r="S522" s="38" t="s">
        <v>1319</v>
      </c>
      <c r="T522" s="39">
        <f>データ!G522</f>
        <v>22328</v>
      </c>
      <c r="U522" s="40" t="s">
        <v>1024</v>
      </c>
      <c r="V522" s="40" t="s">
        <v>1319</v>
      </c>
      <c r="W522" s="39">
        <f>データ!H522</f>
        <v>6328</v>
      </c>
      <c r="X522" s="40" t="s">
        <v>1024</v>
      </c>
      <c r="Y522" s="40" t="s">
        <v>1319</v>
      </c>
      <c r="Z522" s="39">
        <f>データ!I522</f>
        <v>8709</v>
      </c>
      <c r="AA522" s="40" t="s">
        <v>1024</v>
      </c>
      <c r="AB522" s="40" t="s">
        <v>1322</v>
      </c>
      <c r="AC522" s="39" t="str">
        <f>データ!J522</f>
        <v>A+</v>
      </c>
      <c r="AD522" s="38" t="s">
        <v>1024</v>
      </c>
      <c r="AE522" s="40" t="s">
        <v>1323</v>
      </c>
      <c r="AF522" s="39">
        <f>データ!K522</f>
        <v>37365</v>
      </c>
      <c r="AG522" s="40" t="s">
        <v>1024</v>
      </c>
      <c r="AH522" s="40" t="s">
        <v>1324</v>
      </c>
      <c r="AI522" s="39" t="str">
        <f>データ!L522</f>
        <v>紫打の神威</v>
      </c>
      <c r="AJ522" s="10" t="s">
        <v>1113</v>
      </c>
      <c r="AK522" s="39" t="str">
        <f>データ!M522</f>
        <v>味方打属性の攻撃力をUP[特大]</v>
      </c>
      <c r="AL522" s="10" t="s">
        <v>1024</v>
      </c>
      <c r="AM522" s="40" t="s">
        <v>1325</v>
      </c>
      <c r="AN522" s="39" t="str">
        <f>データ!N522</f>
        <v>-</v>
      </c>
      <c r="AO522" s="10" t="s">
        <v>1113</v>
      </c>
      <c r="AP522" s="39" t="str">
        <f>データ!O522</f>
        <v>　</v>
      </c>
      <c r="AQ522" s="41" t="s">
        <v>1024</v>
      </c>
      <c r="AR522" s="40" t="s">
        <v>1324</v>
      </c>
      <c r="AS522" s="39" t="str">
        <f>データ!P522</f>
        <v>オラクル／絶</v>
      </c>
      <c r="AT522" s="10" t="s">
        <v>1113</v>
      </c>
      <c r="AU522" s="39" t="str">
        <f>データ!Q522</f>
        <v>パーティ全体のスキル発動率が大UP(3分間)</v>
      </c>
      <c r="AV522" s="10" t="s">
        <v>1024</v>
      </c>
      <c r="AW522" s="40" t="s">
        <v>1324</v>
      </c>
      <c r="AX522" s="39" t="str">
        <f>データ!R522</f>
        <v>-</v>
      </c>
      <c r="AY522" s="10" t="s">
        <v>1113</v>
      </c>
      <c r="AZ522" s="39" t="str">
        <f>データ!S522</f>
        <v>　</v>
      </c>
      <c r="BA522" s="41" t="s">
        <v>1024</v>
      </c>
      <c r="BB522" s="40" t="s">
        <v>1319</v>
      </c>
      <c r="BC522" s="39" t="str">
        <f>データ!T522</f>
        <v>-</v>
      </c>
      <c r="BD522" s="41" t="s">
        <v>1024</v>
      </c>
      <c r="BE522" s="40" t="s">
        <v>1320</v>
      </c>
      <c r="BF522" s="39" t="str">
        <f>データ!U522</f>
        <v>-</v>
      </c>
      <c r="BG522" s="41" t="s">
        <v>1024</v>
      </c>
      <c r="BH522" s="40" t="s">
        <v>1319</v>
      </c>
      <c r="BI522" s="39" t="str">
        <f>データ!V522</f>
        <v>進撃の巨人コラボ2</v>
      </c>
      <c r="BJ522" s="41" t="s">
        <v>1024</v>
      </c>
      <c r="BK522" s="10" t="s">
        <v>1019</v>
      </c>
    </row>
    <row r="523" spans="1:63" x14ac:dyDescent="0.15">
      <c r="A523" s="10" t="s">
        <v>1016</v>
      </c>
      <c r="B523" s="10" t="s">
        <v>1454</v>
      </c>
      <c r="C523" s="38" t="str">
        <f>"./images/thumbnail/"&amp;データ!B523&amp;".jpg"</f>
        <v>./images/thumbnail/1862.jpg</v>
      </c>
      <c r="D523" s="38" t="s">
        <v>1455</v>
      </c>
      <c r="E523" s="38" t="str">
        <f>"./images/thumbnail/"&amp;データ!B523&amp;".jpg"</f>
        <v>./images/thumbnail/1862.jpg</v>
      </c>
      <c r="F523" s="38" t="s">
        <v>1116</v>
      </c>
      <c r="G523" s="38" t="s">
        <v>1319</v>
      </c>
      <c r="H523" s="38" t="str">
        <f>データ!C523</f>
        <v>リザ</v>
      </c>
      <c r="I523" s="38" t="s">
        <v>1024</v>
      </c>
      <c r="J523" s="38" t="s">
        <v>1320</v>
      </c>
      <c r="K523" s="38" t="str">
        <f>データ!D523</f>
        <v>SSR</v>
      </c>
      <c r="L523" s="38" t="s">
        <v>1024</v>
      </c>
      <c r="M523" s="38" t="s">
        <v>1321</v>
      </c>
      <c r="N523" s="38">
        <f>データ!E523</f>
        <v>13</v>
      </c>
      <c r="O523" s="38" t="s">
        <v>1024</v>
      </c>
      <c r="P523" s="38" t="s">
        <v>1319</v>
      </c>
      <c r="Q523" s="38" t="str">
        <f>データ!F523</f>
        <v>遠</v>
      </c>
      <c r="R523" s="38" t="s">
        <v>1024</v>
      </c>
      <c r="S523" s="38" t="s">
        <v>1319</v>
      </c>
      <c r="T523" s="39">
        <f>データ!G523</f>
        <v>15813</v>
      </c>
      <c r="U523" s="40" t="s">
        <v>1024</v>
      </c>
      <c r="V523" s="40" t="s">
        <v>1319</v>
      </c>
      <c r="W523" s="39">
        <f>データ!H523</f>
        <v>5516</v>
      </c>
      <c r="X523" s="40" t="s">
        <v>1024</v>
      </c>
      <c r="Y523" s="40" t="s">
        <v>1319</v>
      </c>
      <c r="Z523" s="39">
        <f>データ!I523</f>
        <v>5692</v>
      </c>
      <c r="AA523" s="40" t="s">
        <v>1024</v>
      </c>
      <c r="AB523" s="40" t="s">
        <v>1322</v>
      </c>
      <c r="AC523" s="39" t="str">
        <f>データ!J523</f>
        <v>S-</v>
      </c>
      <c r="AD523" s="38" t="s">
        <v>1024</v>
      </c>
      <c r="AE523" s="40" t="s">
        <v>1323</v>
      </c>
      <c r="AF523" s="39">
        <f>データ!K523</f>
        <v>27021</v>
      </c>
      <c r="AG523" s="40" t="s">
        <v>1024</v>
      </c>
      <c r="AH523" s="40" t="s">
        <v>1324</v>
      </c>
      <c r="AI523" s="39" t="str">
        <f>データ!L523</f>
        <v>夢限の息吹／真</v>
      </c>
      <c r="AJ523" s="10" t="s">
        <v>1113</v>
      </c>
      <c r="AK523" s="39" t="str">
        <f>データ!M523</f>
        <v>味方1体を蘇生[HP中]</v>
      </c>
      <c r="AL523" s="10" t="s">
        <v>1024</v>
      </c>
      <c r="AM523" s="40" t="s">
        <v>1325</v>
      </c>
      <c r="AN523" s="39" t="str">
        <f>データ!N523</f>
        <v>-</v>
      </c>
      <c r="AO523" s="10" t="s">
        <v>1113</v>
      </c>
      <c r="AP523" s="39" t="str">
        <f>データ!O523</f>
        <v>　</v>
      </c>
      <c r="AQ523" s="41" t="s">
        <v>1024</v>
      </c>
      <c r="AR523" s="40" t="s">
        <v>1324</v>
      </c>
      <c r="AS523" s="39" t="str">
        <f>データ!P523</f>
        <v>リヴァイブ／絶</v>
      </c>
      <c r="AT523" s="10" t="s">
        <v>1113</v>
      </c>
      <c r="AU523" s="39" t="str">
        <f>データ!Q523</f>
        <v>高確率で戦闘不能ユニットを復帰</v>
      </c>
      <c r="AV523" s="10" t="s">
        <v>1024</v>
      </c>
      <c r="AW523" s="40" t="s">
        <v>1324</v>
      </c>
      <c r="AX523" s="39" t="str">
        <f>データ!R523</f>
        <v>-</v>
      </c>
      <c r="AY523" s="10" t="s">
        <v>1113</v>
      </c>
      <c r="AZ523" s="39" t="str">
        <f>データ!S523</f>
        <v>　</v>
      </c>
      <c r="BA523" s="41" t="s">
        <v>1024</v>
      </c>
      <c r="BB523" s="40" t="s">
        <v>1319</v>
      </c>
      <c r="BC523" s="39" t="str">
        <f>データ!T523</f>
        <v>-</v>
      </c>
      <c r="BD523" s="41" t="s">
        <v>1024</v>
      </c>
      <c r="BE523" s="40" t="s">
        <v>1320</v>
      </c>
      <c r="BF523" s="39" t="str">
        <f>データ!U523</f>
        <v>-</v>
      </c>
      <c r="BG523" s="41" t="s">
        <v>1024</v>
      </c>
      <c r="BH523" s="40" t="s">
        <v>1319</v>
      </c>
      <c r="BI523" s="39" t="str">
        <f>データ!V523</f>
        <v>メダル</v>
      </c>
      <c r="BJ523" s="41" t="s">
        <v>1024</v>
      </c>
      <c r="BK523" s="10" t="s">
        <v>1019</v>
      </c>
    </row>
    <row r="524" spans="1:63" x14ac:dyDescent="0.15">
      <c r="A524" s="10" t="s">
        <v>1016</v>
      </c>
      <c r="B524" s="10" t="s">
        <v>1454</v>
      </c>
      <c r="C524" s="38" t="str">
        <f>"./images/thumbnail/"&amp;データ!B524&amp;".jpg"</f>
        <v>./images/thumbnail/1864.jpg</v>
      </c>
      <c r="D524" s="38" t="s">
        <v>1455</v>
      </c>
      <c r="E524" s="38" t="str">
        <f>"./images/thumbnail/"&amp;データ!B524&amp;".jpg"</f>
        <v>./images/thumbnail/1864.jpg</v>
      </c>
      <c r="F524" s="38" t="s">
        <v>1116</v>
      </c>
      <c r="G524" s="38" t="s">
        <v>1319</v>
      </c>
      <c r="H524" s="38" t="str">
        <f>データ!C524</f>
        <v>ラエド</v>
      </c>
      <c r="I524" s="38" t="s">
        <v>1024</v>
      </c>
      <c r="J524" s="38" t="s">
        <v>1320</v>
      </c>
      <c r="K524" s="38" t="str">
        <f>データ!D524</f>
        <v>UR</v>
      </c>
      <c r="L524" s="38" t="s">
        <v>1024</v>
      </c>
      <c r="M524" s="38" t="s">
        <v>1321</v>
      </c>
      <c r="N524" s="38">
        <f>データ!E524</f>
        <v>14</v>
      </c>
      <c r="O524" s="38" t="s">
        <v>1024</v>
      </c>
      <c r="P524" s="38" t="s">
        <v>1319</v>
      </c>
      <c r="Q524" s="38" t="str">
        <f>データ!F524</f>
        <v>遠</v>
      </c>
      <c r="R524" s="38" t="s">
        <v>1024</v>
      </c>
      <c r="S524" s="38" t="s">
        <v>1319</v>
      </c>
      <c r="T524" s="39">
        <f>データ!G524</f>
        <v>18778</v>
      </c>
      <c r="U524" s="40" t="s">
        <v>1024</v>
      </c>
      <c r="V524" s="40" t="s">
        <v>1319</v>
      </c>
      <c r="W524" s="39">
        <f>データ!H524</f>
        <v>6936</v>
      </c>
      <c r="X524" s="40" t="s">
        <v>1024</v>
      </c>
      <c r="Y524" s="40" t="s">
        <v>1319</v>
      </c>
      <c r="Z524" s="39">
        <f>データ!I524</f>
        <v>5283</v>
      </c>
      <c r="AA524" s="40" t="s">
        <v>1024</v>
      </c>
      <c r="AB524" s="40" t="s">
        <v>1322</v>
      </c>
      <c r="AC524" s="39" t="str">
        <f>データ!J524</f>
        <v>SS+</v>
      </c>
      <c r="AD524" s="38" t="s">
        <v>1024</v>
      </c>
      <c r="AE524" s="40" t="s">
        <v>1323</v>
      </c>
      <c r="AF524" s="39">
        <f>データ!K524</f>
        <v>30997</v>
      </c>
      <c r="AG524" s="40" t="s">
        <v>1024</v>
      </c>
      <c r="AH524" s="40" t="s">
        <v>1324</v>
      </c>
      <c r="AI524" s="39" t="str">
        <f>データ!L524</f>
        <v>天魔幻の閃光／煌</v>
      </c>
      <c r="AJ524" s="10" t="s">
        <v>1113</v>
      </c>
      <c r="AK524" s="39" t="str">
        <f>データ!M524</f>
        <v>縦一列攻撃[特大]自分の攻撃力UP[特大]</v>
      </c>
      <c r="AL524" s="10" t="s">
        <v>1024</v>
      </c>
      <c r="AM524" s="40" t="s">
        <v>1325</v>
      </c>
      <c r="AN524" s="39" t="str">
        <f>データ!N524</f>
        <v>-</v>
      </c>
      <c r="AO524" s="10" t="s">
        <v>1113</v>
      </c>
      <c r="AP524" s="39" t="str">
        <f>データ!O524</f>
        <v>　</v>
      </c>
      <c r="AQ524" s="41" t="s">
        <v>1024</v>
      </c>
      <c r="AR524" s="40" t="s">
        <v>1324</v>
      </c>
      <c r="AS524" s="39" t="str">
        <f>データ!P524</f>
        <v>ブリッツ</v>
      </c>
      <c r="AT524" s="10" t="s">
        <v>1113</v>
      </c>
      <c r="AU524" s="39" t="str">
        <f>データ!Q524</f>
        <v>強襲CBの発生確率・強襲時獲得ポイントUP(3分間)</v>
      </c>
      <c r="AV524" s="10" t="s">
        <v>1024</v>
      </c>
      <c r="AW524" s="40" t="s">
        <v>1324</v>
      </c>
      <c r="AX524" s="39" t="str">
        <f>データ!R524</f>
        <v>-</v>
      </c>
      <c r="AY524" s="10" t="s">
        <v>1113</v>
      </c>
      <c r="AZ524" s="39" t="str">
        <f>データ!S524</f>
        <v>　</v>
      </c>
      <c r="BA524" s="41" t="s">
        <v>1024</v>
      </c>
      <c r="BB524" s="40" t="s">
        <v>1319</v>
      </c>
      <c r="BC524" s="39" t="str">
        <f>データ!T524</f>
        <v>-</v>
      </c>
      <c r="BD524" s="41" t="s">
        <v>1024</v>
      </c>
      <c r="BE524" s="40" t="s">
        <v>1320</v>
      </c>
      <c r="BF524" s="39" t="str">
        <f>データ!U524</f>
        <v>-</v>
      </c>
      <c r="BG524" s="41" t="s">
        <v>1024</v>
      </c>
      <c r="BH524" s="40" t="s">
        <v>1319</v>
      </c>
      <c r="BI524" s="39" t="str">
        <f>データ!V524</f>
        <v>常設</v>
      </c>
      <c r="BJ524" s="41" t="s">
        <v>1024</v>
      </c>
      <c r="BK524" s="10" t="s">
        <v>1019</v>
      </c>
    </row>
    <row r="525" spans="1:63" x14ac:dyDescent="0.15">
      <c r="A525" s="10" t="s">
        <v>1016</v>
      </c>
      <c r="B525" s="10" t="s">
        <v>1454</v>
      </c>
      <c r="C525" s="38" t="str">
        <f>"./images/thumbnail/"&amp;データ!B525&amp;".jpg"</f>
        <v>./images/thumbnail/1864_a.jpg</v>
      </c>
      <c r="D525" s="38" t="s">
        <v>1455</v>
      </c>
      <c r="E525" s="38" t="str">
        <f>"./images/thumbnail/"&amp;データ!B525&amp;".jpg"</f>
        <v>./images/thumbnail/1864_a.jpg</v>
      </c>
      <c r="F525" s="38" t="s">
        <v>1116</v>
      </c>
      <c r="G525" s="38" t="s">
        <v>1319</v>
      </c>
      <c r="H525" s="38" t="str">
        <f>データ!C525</f>
        <v>ラエド</v>
      </c>
      <c r="I525" s="38" t="s">
        <v>1024</v>
      </c>
      <c r="J525" s="38" t="s">
        <v>1320</v>
      </c>
      <c r="K525" s="38" t="str">
        <f>データ!D525</f>
        <v>UR</v>
      </c>
      <c r="L525" s="38" t="s">
        <v>1024</v>
      </c>
      <c r="M525" s="38" t="s">
        <v>1321</v>
      </c>
      <c r="N525" s="38">
        <f>データ!E525</f>
        <v>14</v>
      </c>
      <c r="O525" s="38" t="s">
        <v>1024</v>
      </c>
      <c r="P525" s="38" t="s">
        <v>1319</v>
      </c>
      <c r="Q525" s="38" t="str">
        <f>データ!F525</f>
        <v>遠</v>
      </c>
      <c r="R525" s="38" t="s">
        <v>1024</v>
      </c>
      <c r="S525" s="38" t="s">
        <v>1319</v>
      </c>
      <c r="T525" s="39">
        <f>データ!G525</f>
        <v>24784</v>
      </c>
      <c r="U525" s="40" t="s">
        <v>1024</v>
      </c>
      <c r="V525" s="40" t="s">
        <v>1319</v>
      </c>
      <c r="W525" s="39">
        <f>データ!H525</f>
        <v>9078</v>
      </c>
      <c r="X525" s="40" t="s">
        <v>1024</v>
      </c>
      <c r="Y525" s="40" t="s">
        <v>1319</v>
      </c>
      <c r="Z525" s="39">
        <f>データ!I525</f>
        <v>7824</v>
      </c>
      <c r="AA525" s="40" t="s">
        <v>1024</v>
      </c>
      <c r="AB525" s="40" t="s">
        <v>1322</v>
      </c>
      <c r="AC525" s="39" t="str">
        <f>データ!J525</f>
        <v>SS4</v>
      </c>
      <c r="AD525" s="38" t="s">
        <v>1024</v>
      </c>
      <c r="AE525" s="40" t="s">
        <v>1323</v>
      </c>
      <c r="AF525" s="39">
        <f>データ!K525</f>
        <v>41686</v>
      </c>
      <c r="AG525" s="40" t="s">
        <v>1024</v>
      </c>
      <c r="AH525" s="40" t="s">
        <v>1324</v>
      </c>
      <c r="AI525" s="39" t="str">
        <f>データ!L525</f>
        <v>天魔幻の閃光／煌＋</v>
      </c>
      <c r="AJ525" s="10" t="s">
        <v>1113</v>
      </c>
      <c r="AK525" s="39" t="str">
        <f>データ!M525</f>
        <v>縦一列攻撃[極大]自分の攻撃力UP[極大]</v>
      </c>
      <c r="AL525" s="10" t="s">
        <v>1024</v>
      </c>
      <c r="AM525" s="40" t="s">
        <v>1325</v>
      </c>
      <c r="AN525" s="39" t="str">
        <f>データ!N525</f>
        <v>-</v>
      </c>
      <c r="AO525" s="10" t="s">
        <v>1113</v>
      </c>
      <c r="AP525" s="39" t="str">
        <f>データ!O525</f>
        <v>　</v>
      </c>
      <c r="AQ525" s="41" t="s">
        <v>1024</v>
      </c>
      <c r="AR525" s="40" t="s">
        <v>1324</v>
      </c>
      <c r="AS525" s="39" t="str">
        <f>データ!P525</f>
        <v>ブリッツ</v>
      </c>
      <c r="AT525" s="10" t="s">
        <v>1113</v>
      </c>
      <c r="AU525" s="39" t="str">
        <f>データ!Q525</f>
        <v>強襲CBの発生確率・強襲時獲得ポイントUP(3分間)</v>
      </c>
      <c r="AV525" s="10" t="s">
        <v>1024</v>
      </c>
      <c r="AW525" s="40" t="s">
        <v>1324</v>
      </c>
      <c r="AX525" s="39" t="str">
        <f>データ!R525</f>
        <v>-</v>
      </c>
      <c r="AY525" s="10" t="s">
        <v>1113</v>
      </c>
      <c r="AZ525" s="39" t="str">
        <f>データ!S525</f>
        <v>　</v>
      </c>
      <c r="BA525" s="41" t="s">
        <v>1024</v>
      </c>
      <c r="BB525" s="40" t="s">
        <v>1319</v>
      </c>
      <c r="BC525" s="39" t="str">
        <f>データ!T525</f>
        <v>-</v>
      </c>
      <c r="BD525" s="41" t="s">
        <v>1024</v>
      </c>
      <c r="BE525" s="40" t="s">
        <v>1320</v>
      </c>
      <c r="BF525" s="39" t="str">
        <f>データ!U525</f>
        <v>-</v>
      </c>
      <c r="BG525" s="41" t="s">
        <v>1024</v>
      </c>
      <c r="BH525" s="40" t="s">
        <v>1319</v>
      </c>
      <c r="BI525" s="39" t="str">
        <f>データ!V525</f>
        <v>精鋭化ユニット</v>
      </c>
      <c r="BJ525" s="41" t="s">
        <v>1024</v>
      </c>
      <c r="BK525" s="10" t="s">
        <v>1019</v>
      </c>
    </row>
    <row r="526" spans="1:63" x14ac:dyDescent="0.15">
      <c r="A526" s="10" t="s">
        <v>1016</v>
      </c>
      <c r="B526" s="10" t="s">
        <v>1454</v>
      </c>
      <c r="C526" s="38" t="str">
        <f>"./images/thumbnail/"&amp;データ!B526&amp;".jpg"</f>
        <v>./images/thumbnail/1864_b.jpg</v>
      </c>
      <c r="D526" s="38" t="s">
        <v>1455</v>
      </c>
      <c r="E526" s="38" t="str">
        <f>"./images/thumbnail/"&amp;データ!B526&amp;".jpg"</f>
        <v>./images/thumbnail/1864_b.jpg</v>
      </c>
      <c r="F526" s="38" t="s">
        <v>1116</v>
      </c>
      <c r="G526" s="38" t="s">
        <v>1319</v>
      </c>
      <c r="H526" s="38" t="str">
        <f>データ!C526</f>
        <v>ラエド</v>
      </c>
      <c r="I526" s="38" t="s">
        <v>1024</v>
      </c>
      <c r="J526" s="38" t="s">
        <v>1320</v>
      </c>
      <c r="K526" s="38" t="str">
        <f>データ!D526</f>
        <v>UR</v>
      </c>
      <c r="L526" s="38" t="s">
        <v>1024</v>
      </c>
      <c r="M526" s="38" t="s">
        <v>1321</v>
      </c>
      <c r="N526" s="38">
        <f>データ!E526</f>
        <v>14</v>
      </c>
      <c r="O526" s="38" t="s">
        <v>1024</v>
      </c>
      <c r="P526" s="38" t="s">
        <v>1319</v>
      </c>
      <c r="Q526" s="38" t="str">
        <f>データ!F526</f>
        <v>遠</v>
      </c>
      <c r="R526" s="38" t="s">
        <v>1024</v>
      </c>
      <c r="S526" s="38" t="s">
        <v>1319</v>
      </c>
      <c r="T526" s="39">
        <f>データ!G526</f>
        <v>23839</v>
      </c>
      <c r="U526" s="40" t="s">
        <v>1024</v>
      </c>
      <c r="V526" s="40" t="s">
        <v>1319</v>
      </c>
      <c r="W526" s="39">
        <f>データ!H526</f>
        <v>8742</v>
      </c>
      <c r="X526" s="40" t="s">
        <v>1024</v>
      </c>
      <c r="Y526" s="40" t="s">
        <v>1319</v>
      </c>
      <c r="Z526" s="39">
        <f>データ!I526</f>
        <v>7551</v>
      </c>
      <c r="AA526" s="40" t="s">
        <v>1024</v>
      </c>
      <c r="AB526" s="40" t="s">
        <v>1322</v>
      </c>
      <c r="AC526" s="39" t="str">
        <f>データ!J526</f>
        <v>SS4</v>
      </c>
      <c r="AD526" s="38" t="s">
        <v>1024</v>
      </c>
      <c r="AE526" s="40" t="s">
        <v>1323</v>
      </c>
      <c r="AF526" s="39">
        <f>データ!K526</f>
        <v>40132</v>
      </c>
      <c r="AG526" s="40" t="s">
        <v>1024</v>
      </c>
      <c r="AH526" s="40" t="s">
        <v>1324</v>
      </c>
      <c r="AI526" s="39" t="str">
        <f>データ!L526</f>
        <v>天魔幻の閃光／煌</v>
      </c>
      <c r="AJ526" s="10" t="s">
        <v>1113</v>
      </c>
      <c r="AK526" s="39" t="str">
        <f>データ!M526</f>
        <v>縦一列攻撃[特大]自分の攻撃力UP[特大]</v>
      </c>
      <c r="AL526" s="10" t="s">
        <v>1024</v>
      </c>
      <c r="AM526" s="40" t="s">
        <v>1325</v>
      </c>
      <c r="AN526" s="39" t="str">
        <f>データ!N526</f>
        <v>-</v>
      </c>
      <c r="AO526" s="10" t="s">
        <v>1113</v>
      </c>
      <c r="AP526" s="39" t="str">
        <f>データ!O526</f>
        <v>　</v>
      </c>
      <c r="AQ526" s="41" t="s">
        <v>1024</v>
      </c>
      <c r="AR526" s="40" t="s">
        <v>1324</v>
      </c>
      <c r="AS526" s="39" t="str">
        <f>データ!P526</f>
        <v>魔導将軍</v>
      </c>
      <c r="AT526" s="10" t="s">
        <v>1113</v>
      </c>
      <c r="AU526" s="39" t="str">
        <f>データ!Q526</f>
        <v>強襲CBの発生確率・強襲時獲得Pt特大UP(3分間)</v>
      </c>
      <c r="AV526" s="10" t="s">
        <v>1024</v>
      </c>
      <c r="AW526" s="40" t="s">
        <v>1324</v>
      </c>
      <c r="AX526" s="39" t="str">
        <f>データ!R526</f>
        <v>-</v>
      </c>
      <c r="AY526" s="10" t="s">
        <v>1113</v>
      </c>
      <c r="AZ526" s="39" t="str">
        <f>データ!S526</f>
        <v>　</v>
      </c>
      <c r="BA526" s="41" t="s">
        <v>1024</v>
      </c>
      <c r="BB526" s="40" t="s">
        <v>1319</v>
      </c>
      <c r="BC526" s="39" t="str">
        <f>データ!T526</f>
        <v>-</v>
      </c>
      <c r="BD526" s="41" t="s">
        <v>1024</v>
      </c>
      <c r="BE526" s="40" t="s">
        <v>1320</v>
      </c>
      <c r="BF526" s="39" t="str">
        <f>データ!U526</f>
        <v>-</v>
      </c>
      <c r="BG526" s="41" t="s">
        <v>1024</v>
      </c>
      <c r="BH526" s="40" t="s">
        <v>1319</v>
      </c>
      <c r="BI526" s="39" t="str">
        <f>データ!V526</f>
        <v>精鋭化ユニット</v>
      </c>
      <c r="BJ526" s="41" t="s">
        <v>1024</v>
      </c>
      <c r="BK526" s="10" t="s">
        <v>1019</v>
      </c>
    </row>
    <row r="527" spans="1:63" x14ac:dyDescent="0.15">
      <c r="A527" s="10" t="s">
        <v>1016</v>
      </c>
      <c r="B527" s="10" t="s">
        <v>1454</v>
      </c>
      <c r="C527" s="38" t="str">
        <f>"./images/thumbnail/"&amp;データ!B527&amp;".jpg"</f>
        <v>./images/thumbnail/1866.jpg</v>
      </c>
      <c r="D527" s="38" t="s">
        <v>1455</v>
      </c>
      <c r="E527" s="38" t="str">
        <f>"./images/thumbnail/"&amp;データ!B527&amp;".jpg"</f>
        <v>./images/thumbnail/1866.jpg</v>
      </c>
      <c r="F527" s="38" t="s">
        <v>1116</v>
      </c>
      <c r="G527" s="38" t="s">
        <v>1319</v>
      </c>
      <c r="H527" s="38" t="str">
        <f>データ!C527</f>
        <v>アルマース</v>
      </c>
      <c r="I527" s="38" t="s">
        <v>1024</v>
      </c>
      <c r="J527" s="38" t="s">
        <v>1320</v>
      </c>
      <c r="K527" s="38" t="str">
        <f>データ!D527</f>
        <v>UR</v>
      </c>
      <c r="L527" s="38" t="s">
        <v>1024</v>
      </c>
      <c r="M527" s="38" t="s">
        <v>1321</v>
      </c>
      <c r="N527" s="38">
        <f>データ!E527</f>
        <v>15</v>
      </c>
      <c r="O527" s="38" t="s">
        <v>1024</v>
      </c>
      <c r="P527" s="38" t="s">
        <v>1319</v>
      </c>
      <c r="Q527" s="38" t="str">
        <f>データ!F527</f>
        <v>遠</v>
      </c>
      <c r="R527" s="38" t="s">
        <v>1024</v>
      </c>
      <c r="S527" s="38" t="s">
        <v>1319</v>
      </c>
      <c r="T527" s="39">
        <f>データ!G527</f>
        <v>23003</v>
      </c>
      <c r="U527" s="40" t="s">
        <v>1024</v>
      </c>
      <c r="V527" s="40" t="s">
        <v>1319</v>
      </c>
      <c r="W527" s="39">
        <f>データ!H527</f>
        <v>7178</v>
      </c>
      <c r="X527" s="40" t="s">
        <v>1024</v>
      </c>
      <c r="Y527" s="40" t="s">
        <v>1319</v>
      </c>
      <c r="Z527" s="39">
        <f>データ!I527</f>
        <v>7211</v>
      </c>
      <c r="AA527" s="40" t="s">
        <v>1024</v>
      </c>
      <c r="AB527" s="40" t="s">
        <v>1322</v>
      </c>
      <c r="AC527" s="39" t="str">
        <f>データ!J527</f>
        <v>SS</v>
      </c>
      <c r="AD527" s="38" t="s">
        <v>1024</v>
      </c>
      <c r="AE527" s="40" t="s">
        <v>1323</v>
      </c>
      <c r="AF527" s="39">
        <f>データ!K527</f>
        <v>37392</v>
      </c>
      <c r="AG527" s="40" t="s">
        <v>1024</v>
      </c>
      <c r="AH527" s="40" t="s">
        <v>1324</v>
      </c>
      <c r="AI527" s="39" t="str">
        <f>データ!L527</f>
        <v xml:space="preserve">光芒の神護 </v>
      </c>
      <c r="AJ527" s="10" t="s">
        <v>1113</v>
      </c>
      <c r="AK527" s="39" t="str">
        <f>データ!M527</f>
        <v>味方全体の防御力をUP[特大]</v>
      </c>
      <c r="AL527" s="10" t="s">
        <v>1024</v>
      </c>
      <c r="AM527" s="40" t="s">
        <v>1325</v>
      </c>
      <c r="AN527" s="39" t="str">
        <f>データ!N527</f>
        <v>-</v>
      </c>
      <c r="AO527" s="10" t="s">
        <v>1113</v>
      </c>
      <c r="AP527" s="39" t="str">
        <f>データ!O527</f>
        <v>　</v>
      </c>
      <c r="AQ527" s="41" t="s">
        <v>1024</v>
      </c>
      <c r="AR527" s="40" t="s">
        <v>1324</v>
      </c>
      <c r="AS527" s="39" t="str">
        <f>データ!P527</f>
        <v>エース／煌</v>
      </c>
      <c r="AT527" s="10" t="s">
        <v>1113</v>
      </c>
      <c r="AU527" s="39" t="str">
        <f>データ!Q527</f>
        <v>パーティ全体の攻・防が特大UP(3分間)</v>
      </c>
      <c r="AV527" s="10" t="s">
        <v>1024</v>
      </c>
      <c r="AW527" s="40" t="s">
        <v>1324</v>
      </c>
      <c r="AX527" s="39" t="str">
        <f>データ!R527</f>
        <v>ジャガーノート／絶</v>
      </c>
      <c r="AY527" s="10" t="s">
        <v>1113</v>
      </c>
      <c r="AZ527" s="39" t="str">
        <f>データ!S527</f>
        <v>バトルで敵を全滅するとBPが大回復(バトル3回)</v>
      </c>
      <c r="BA527" s="41" t="s">
        <v>1024</v>
      </c>
      <c r="BB527" s="40" t="s">
        <v>1319</v>
      </c>
      <c r="BC527" s="39" t="str">
        <f>データ!T527</f>
        <v>-</v>
      </c>
      <c r="BD527" s="41" t="s">
        <v>1024</v>
      </c>
      <c r="BE527" s="40" t="s">
        <v>1320</v>
      </c>
      <c r="BF527" s="39" t="str">
        <f>データ!U527</f>
        <v>-</v>
      </c>
      <c r="BG527" s="41" t="s">
        <v>1024</v>
      </c>
      <c r="BH527" s="40" t="s">
        <v>1319</v>
      </c>
      <c r="BI527" s="39" t="str">
        <f>データ!V527</f>
        <v>常設</v>
      </c>
      <c r="BJ527" s="41" t="s">
        <v>1024</v>
      </c>
      <c r="BK527" s="10" t="s">
        <v>1019</v>
      </c>
    </row>
    <row r="528" spans="1:63" x14ac:dyDescent="0.15">
      <c r="A528" s="10" t="s">
        <v>1016</v>
      </c>
      <c r="B528" s="10" t="s">
        <v>1454</v>
      </c>
      <c r="C528" s="38" t="str">
        <f>"./images/thumbnail/"&amp;データ!B528&amp;".jpg"</f>
        <v>./images/thumbnail/1867.jpg</v>
      </c>
      <c r="D528" s="38" t="s">
        <v>1455</v>
      </c>
      <c r="E528" s="38" t="str">
        <f>"./images/thumbnail/"&amp;データ!B528&amp;".jpg"</f>
        <v>./images/thumbnail/1867.jpg</v>
      </c>
      <c r="F528" s="38" t="s">
        <v>1116</v>
      </c>
      <c r="G528" s="38" t="s">
        <v>1319</v>
      </c>
      <c r="H528" s="38" t="str">
        <f>データ!C528</f>
        <v>バカラック</v>
      </c>
      <c r="I528" s="38" t="s">
        <v>1024</v>
      </c>
      <c r="J528" s="38" t="s">
        <v>1320</v>
      </c>
      <c r="K528" s="38" t="str">
        <f>データ!D528</f>
        <v>UR</v>
      </c>
      <c r="L528" s="38" t="s">
        <v>1024</v>
      </c>
      <c r="M528" s="38" t="s">
        <v>1321</v>
      </c>
      <c r="N528" s="38">
        <f>データ!E528</f>
        <v>14</v>
      </c>
      <c r="O528" s="38" t="s">
        <v>1024</v>
      </c>
      <c r="P528" s="38" t="s">
        <v>1319</v>
      </c>
      <c r="Q528" s="38" t="str">
        <f>データ!F528</f>
        <v>遠</v>
      </c>
      <c r="R528" s="38" t="s">
        <v>1024</v>
      </c>
      <c r="S528" s="38" t="s">
        <v>1319</v>
      </c>
      <c r="T528" s="39">
        <f>データ!G528</f>
        <v>19832</v>
      </c>
      <c r="U528" s="40" t="s">
        <v>1024</v>
      </c>
      <c r="V528" s="40" t="s">
        <v>1319</v>
      </c>
      <c r="W528" s="39">
        <f>データ!H528</f>
        <v>6921</v>
      </c>
      <c r="X528" s="40" t="s">
        <v>1024</v>
      </c>
      <c r="Y528" s="40" t="s">
        <v>1319</v>
      </c>
      <c r="Z528" s="39">
        <f>データ!I528</f>
        <v>5594</v>
      </c>
      <c r="AA528" s="40" t="s">
        <v>1024</v>
      </c>
      <c r="AB528" s="40" t="s">
        <v>1322</v>
      </c>
      <c r="AC528" s="39" t="str">
        <f>データ!J528</f>
        <v>S+</v>
      </c>
      <c r="AD528" s="38" t="s">
        <v>1024</v>
      </c>
      <c r="AE528" s="40" t="s">
        <v>1323</v>
      </c>
      <c r="AF528" s="39">
        <f>データ!K528</f>
        <v>32347</v>
      </c>
      <c r="AG528" s="40" t="s">
        <v>1024</v>
      </c>
      <c r="AH528" s="40" t="s">
        <v>1324</v>
      </c>
      <c r="AI528" s="39" t="str">
        <f>データ!L528</f>
        <v>天幻射の五連撃／真</v>
      </c>
      <c r="AJ528" s="10" t="s">
        <v>1113</v>
      </c>
      <c r="AK528" s="39" t="str">
        <f>データ!M528</f>
        <v>ランダム5連続攻撃[中]自分の攻撃力UP[中]</v>
      </c>
      <c r="AL528" s="10" t="s">
        <v>1024</v>
      </c>
      <c r="AM528" s="40" t="s">
        <v>1325</v>
      </c>
      <c r="AN528" s="39" t="str">
        <f>データ!N528</f>
        <v>-</v>
      </c>
      <c r="AO528" s="10" t="s">
        <v>1113</v>
      </c>
      <c r="AP528" s="39" t="str">
        <f>データ!O528</f>
        <v>　</v>
      </c>
      <c r="AQ528" s="41" t="s">
        <v>1024</v>
      </c>
      <c r="AR528" s="40" t="s">
        <v>1324</v>
      </c>
      <c r="AS528" s="39" t="str">
        <f>データ!P528</f>
        <v>クラウストルム／真</v>
      </c>
      <c r="AT528" s="10" t="s">
        <v>1113</v>
      </c>
      <c r="AU528" s="39" t="str">
        <f>データ!Q528</f>
        <v>ヘイトUP＆迎撃時にパーティ全体の攻・防が中UP(3分間)</v>
      </c>
      <c r="AV528" s="10" t="s">
        <v>1024</v>
      </c>
      <c r="AW528" s="40" t="s">
        <v>1324</v>
      </c>
      <c r="AX528" s="39" t="str">
        <f>データ!R528</f>
        <v>-</v>
      </c>
      <c r="AY528" s="10" t="s">
        <v>1113</v>
      </c>
      <c r="AZ528" s="39" t="str">
        <f>データ!S528</f>
        <v>　</v>
      </c>
      <c r="BA528" s="41" t="s">
        <v>1024</v>
      </c>
      <c r="BB528" s="40" t="s">
        <v>1319</v>
      </c>
      <c r="BC528" s="39" t="str">
        <f>データ!T528</f>
        <v>-</v>
      </c>
      <c r="BD528" s="41" t="s">
        <v>1024</v>
      </c>
      <c r="BE528" s="40" t="s">
        <v>1320</v>
      </c>
      <c r="BF528" s="39" t="str">
        <f>データ!U528</f>
        <v>-</v>
      </c>
      <c r="BG528" s="41" t="s">
        <v>1024</v>
      </c>
      <c r="BH528" s="40" t="s">
        <v>1319</v>
      </c>
      <c r="BI528" s="39" t="str">
        <f>データ!V528</f>
        <v>ポーカー</v>
      </c>
      <c r="BJ528" s="41" t="s">
        <v>1024</v>
      </c>
      <c r="BK528" s="10" t="s">
        <v>1019</v>
      </c>
    </row>
    <row r="529" spans="1:63" x14ac:dyDescent="0.15">
      <c r="A529" s="10" t="s">
        <v>1016</v>
      </c>
      <c r="B529" s="10" t="s">
        <v>1454</v>
      </c>
      <c r="C529" s="38" t="str">
        <f>"./images/thumbnail/"&amp;データ!B529&amp;".jpg"</f>
        <v>./images/thumbnail/1869.jpg</v>
      </c>
      <c r="D529" s="38" t="s">
        <v>1455</v>
      </c>
      <c r="E529" s="38" t="str">
        <f>"./images/thumbnail/"&amp;データ!B529&amp;".jpg"</f>
        <v>./images/thumbnail/1869.jpg</v>
      </c>
      <c r="F529" s="38" t="s">
        <v>1116</v>
      </c>
      <c r="G529" s="38" t="s">
        <v>1319</v>
      </c>
      <c r="H529" s="38" t="str">
        <f>データ!C529</f>
        <v>ケルヴィン</v>
      </c>
      <c r="I529" s="38" t="s">
        <v>1024</v>
      </c>
      <c r="J529" s="38" t="s">
        <v>1320</v>
      </c>
      <c r="K529" s="38" t="str">
        <f>データ!D529</f>
        <v>UR</v>
      </c>
      <c r="L529" s="38" t="s">
        <v>1024</v>
      </c>
      <c r="M529" s="38" t="s">
        <v>1321</v>
      </c>
      <c r="N529" s="38">
        <f>データ!E529</f>
        <v>14</v>
      </c>
      <c r="O529" s="38" t="s">
        <v>1024</v>
      </c>
      <c r="P529" s="38" t="s">
        <v>1319</v>
      </c>
      <c r="Q529" s="38" t="str">
        <f>データ!F529</f>
        <v>斬</v>
      </c>
      <c r="R529" s="38" t="s">
        <v>1024</v>
      </c>
      <c r="S529" s="38" t="s">
        <v>1319</v>
      </c>
      <c r="T529" s="39">
        <f>データ!G529</f>
        <v>18387</v>
      </c>
      <c r="U529" s="40" t="s">
        <v>1024</v>
      </c>
      <c r="V529" s="40" t="s">
        <v>1319</v>
      </c>
      <c r="W529" s="39">
        <f>データ!H529</f>
        <v>8449</v>
      </c>
      <c r="X529" s="40" t="s">
        <v>1024</v>
      </c>
      <c r="Y529" s="40" t="s">
        <v>1319</v>
      </c>
      <c r="Z529" s="39">
        <f>データ!I529</f>
        <v>5950</v>
      </c>
      <c r="AA529" s="40" t="s">
        <v>1024</v>
      </c>
      <c r="AB529" s="40" t="s">
        <v>1322</v>
      </c>
      <c r="AC529" s="39" t="str">
        <f>データ!J529</f>
        <v>S</v>
      </c>
      <c r="AD529" s="38" t="s">
        <v>1024</v>
      </c>
      <c r="AE529" s="40" t="s">
        <v>1323</v>
      </c>
      <c r="AF529" s="39">
        <f>データ!K529</f>
        <v>32786</v>
      </c>
      <c r="AG529" s="40" t="s">
        <v>1024</v>
      </c>
      <c r="AH529" s="40" t="s">
        <v>1324</v>
      </c>
      <c r="AI529" s="39" t="str">
        <f>データ!L529</f>
        <v>天魔幻の閃光／煌</v>
      </c>
      <c r="AJ529" s="10" t="s">
        <v>1113</v>
      </c>
      <c r="AK529" s="39" t="str">
        <f>データ!M529</f>
        <v>縦一列攻撃[特大]自分の攻撃力UP[特大]</v>
      </c>
      <c r="AL529" s="10" t="s">
        <v>1024</v>
      </c>
      <c r="AM529" s="40" t="s">
        <v>1325</v>
      </c>
      <c r="AN529" s="39" t="str">
        <f>データ!N529</f>
        <v>-</v>
      </c>
      <c r="AO529" s="10" t="s">
        <v>1113</v>
      </c>
      <c r="AP529" s="39" t="str">
        <f>データ!O529</f>
        <v>　</v>
      </c>
      <c r="AQ529" s="41" t="s">
        <v>1024</v>
      </c>
      <c r="AR529" s="40" t="s">
        <v>1324</v>
      </c>
      <c r="AS529" s="39" t="str">
        <f>データ!P529</f>
        <v>アサルトオーダー／真</v>
      </c>
      <c r="AT529" s="10" t="s">
        <v>1113</v>
      </c>
      <c r="AU529" s="39" t="str">
        <f>データ!Q529</f>
        <v>騎士団全体の攻撃力が中UP(3分間)</v>
      </c>
      <c r="AV529" s="10" t="s">
        <v>1024</v>
      </c>
      <c r="AW529" s="40" t="s">
        <v>1324</v>
      </c>
      <c r="AX529" s="39" t="str">
        <f>データ!R529</f>
        <v>-</v>
      </c>
      <c r="AY529" s="10" t="s">
        <v>1113</v>
      </c>
      <c r="AZ529" s="39" t="str">
        <f>データ!S529</f>
        <v>　</v>
      </c>
      <c r="BA529" s="41" t="s">
        <v>1024</v>
      </c>
      <c r="BB529" s="40" t="s">
        <v>1319</v>
      </c>
      <c r="BC529" s="39" t="str">
        <f>データ!T529</f>
        <v>-</v>
      </c>
      <c r="BD529" s="41" t="s">
        <v>1024</v>
      </c>
      <c r="BE529" s="40" t="s">
        <v>1320</v>
      </c>
      <c r="BF529" s="39" t="str">
        <f>データ!U529</f>
        <v>-</v>
      </c>
      <c r="BG529" s="41" t="s">
        <v>1024</v>
      </c>
      <c r="BH529" s="40" t="s">
        <v>1319</v>
      </c>
      <c r="BI529" s="39" t="str">
        <f>データ!V529</f>
        <v>ガチャイベ</v>
      </c>
      <c r="BJ529" s="41" t="s">
        <v>1024</v>
      </c>
      <c r="BK529" s="10" t="s">
        <v>1019</v>
      </c>
    </row>
    <row r="530" spans="1:63" x14ac:dyDescent="0.15">
      <c r="A530" s="10" t="s">
        <v>1016</v>
      </c>
      <c r="B530" s="10" t="s">
        <v>1454</v>
      </c>
      <c r="C530" s="38" t="str">
        <f>"./images/thumbnail/"&amp;データ!B530&amp;".jpg"</f>
        <v>./images/thumbnail/1871.jpg</v>
      </c>
      <c r="D530" s="38" t="s">
        <v>1455</v>
      </c>
      <c r="E530" s="38" t="str">
        <f>"./images/thumbnail/"&amp;データ!B530&amp;".jpg"</f>
        <v>./images/thumbnail/1871.jpg</v>
      </c>
      <c r="F530" s="38" t="s">
        <v>1116</v>
      </c>
      <c r="G530" s="38" t="s">
        <v>1319</v>
      </c>
      <c r="H530" s="38" t="str">
        <f>データ!C530</f>
        <v>ベルナデッタ</v>
      </c>
      <c r="I530" s="38" t="s">
        <v>1024</v>
      </c>
      <c r="J530" s="38" t="s">
        <v>1320</v>
      </c>
      <c r="K530" s="38" t="str">
        <f>データ!D530</f>
        <v>UR</v>
      </c>
      <c r="L530" s="38" t="s">
        <v>1024</v>
      </c>
      <c r="M530" s="38" t="s">
        <v>1321</v>
      </c>
      <c r="N530" s="38">
        <f>データ!E530</f>
        <v>15</v>
      </c>
      <c r="O530" s="38" t="s">
        <v>1024</v>
      </c>
      <c r="P530" s="38" t="s">
        <v>1319</v>
      </c>
      <c r="Q530" s="38" t="str">
        <f>データ!F530</f>
        <v>突</v>
      </c>
      <c r="R530" s="38" t="s">
        <v>1024</v>
      </c>
      <c r="S530" s="38" t="s">
        <v>1319</v>
      </c>
      <c r="T530" s="39">
        <f>データ!G530</f>
        <v>23474</v>
      </c>
      <c r="U530" s="40" t="s">
        <v>1024</v>
      </c>
      <c r="V530" s="40" t="s">
        <v>1319</v>
      </c>
      <c r="W530" s="39">
        <f>データ!H530</f>
        <v>6450</v>
      </c>
      <c r="X530" s="40" t="s">
        <v>1024</v>
      </c>
      <c r="Y530" s="40" t="s">
        <v>1319</v>
      </c>
      <c r="Z530" s="39">
        <f>データ!I530</f>
        <v>8735</v>
      </c>
      <c r="AA530" s="40" t="s">
        <v>1024</v>
      </c>
      <c r="AB530" s="40" t="s">
        <v>1322</v>
      </c>
      <c r="AC530" s="39" t="str">
        <f>データ!J530</f>
        <v>SS2</v>
      </c>
      <c r="AD530" s="38" t="s">
        <v>1024</v>
      </c>
      <c r="AE530" s="40" t="s">
        <v>1323</v>
      </c>
      <c r="AF530" s="39">
        <f>データ!K530</f>
        <v>38659</v>
      </c>
      <c r="AG530" s="40" t="s">
        <v>1024</v>
      </c>
      <c r="AH530" s="40" t="s">
        <v>1324</v>
      </c>
      <c r="AI530" s="39" t="str">
        <f>データ!L530</f>
        <v>対翠の突風／煌</v>
      </c>
      <c r="AJ530" s="10" t="s">
        <v>1113</v>
      </c>
      <c r="AK530" s="39" t="str">
        <f>データ!M530</f>
        <v>遠に強く打に弱い縦一列攻撃[特大]</v>
      </c>
      <c r="AL530" s="10" t="s">
        <v>1024</v>
      </c>
      <c r="AM530" s="40" t="s">
        <v>1325</v>
      </c>
      <c r="AN530" s="39" t="str">
        <f>データ!N530</f>
        <v>-</v>
      </c>
      <c r="AO530" s="10" t="s">
        <v>1113</v>
      </c>
      <c r="AP530" s="39" t="str">
        <f>データ!O530</f>
        <v>　</v>
      </c>
      <c r="AQ530" s="41" t="s">
        <v>1024</v>
      </c>
      <c r="AR530" s="40" t="s">
        <v>1324</v>
      </c>
      <c r="AS530" s="39" t="str">
        <f>データ!P530</f>
        <v>アサルト／煌</v>
      </c>
      <c r="AT530" s="10" t="s">
        <v>1113</v>
      </c>
      <c r="AU530" s="39" t="str">
        <f>データ!Q530</f>
        <v>パーティ全体の攻撃力が特大UP(3分間)</v>
      </c>
      <c r="AV530" s="10" t="s">
        <v>1024</v>
      </c>
      <c r="AW530" s="40" t="s">
        <v>1324</v>
      </c>
      <c r="AX530" s="39" t="str">
        <f>データ!R530</f>
        <v>オラクル／絶</v>
      </c>
      <c r="AY530" s="10" t="s">
        <v>1113</v>
      </c>
      <c r="AZ530" s="39" t="str">
        <f>データ!S530</f>
        <v>パーティ全体のスキル発動率が大UP(3分間)</v>
      </c>
      <c r="BA530" s="41" t="s">
        <v>1024</v>
      </c>
      <c r="BB530" s="40" t="s">
        <v>1319</v>
      </c>
      <c r="BC530" s="39" t="str">
        <f>データ!T530</f>
        <v>-</v>
      </c>
      <c r="BD530" s="41" t="s">
        <v>1024</v>
      </c>
      <c r="BE530" s="40" t="s">
        <v>1320</v>
      </c>
      <c r="BF530" s="39" t="str">
        <f>データ!U530</f>
        <v>-</v>
      </c>
      <c r="BG530" s="41" t="s">
        <v>1024</v>
      </c>
      <c r="BH530" s="40" t="s">
        <v>1319</v>
      </c>
      <c r="BI530" s="39" t="str">
        <f>データ!V530</f>
        <v>ガチャイベ</v>
      </c>
      <c r="BJ530" s="41" t="s">
        <v>1024</v>
      </c>
      <c r="BK530" s="10" t="s">
        <v>1019</v>
      </c>
    </row>
    <row r="531" spans="1:63" x14ac:dyDescent="0.15">
      <c r="A531" s="10" t="s">
        <v>1016</v>
      </c>
      <c r="B531" s="10" t="s">
        <v>1454</v>
      </c>
      <c r="C531" s="38" t="str">
        <f>"./images/thumbnail/"&amp;データ!B531&amp;".jpg"</f>
        <v>./images/thumbnail/1873.jpg</v>
      </c>
      <c r="D531" s="38" t="s">
        <v>1455</v>
      </c>
      <c r="E531" s="38" t="str">
        <f>"./images/thumbnail/"&amp;データ!B531&amp;".jpg"</f>
        <v>./images/thumbnail/1873.jpg</v>
      </c>
      <c r="F531" s="38" t="s">
        <v>1116</v>
      </c>
      <c r="G531" s="38" t="s">
        <v>1319</v>
      </c>
      <c r="H531" s="38" t="str">
        <f>データ!C531</f>
        <v>オドレイ</v>
      </c>
      <c r="I531" s="38" t="s">
        <v>1024</v>
      </c>
      <c r="J531" s="38" t="s">
        <v>1320</v>
      </c>
      <c r="K531" s="38" t="str">
        <f>データ!D531</f>
        <v>UR</v>
      </c>
      <c r="L531" s="38" t="s">
        <v>1024</v>
      </c>
      <c r="M531" s="38" t="s">
        <v>1321</v>
      </c>
      <c r="N531" s="38">
        <f>データ!E531</f>
        <v>15</v>
      </c>
      <c r="O531" s="38" t="s">
        <v>1024</v>
      </c>
      <c r="P531" s="38" t="s">
        <v>1319</v>
      </c>
      <c r="Q531" s="38" t="str">
        <f>データ!F531</f>
        <v>打</v>
      </c>
      <c r="R531" s="38" t="s">
        <v>1024</v>
      </c>
      <c r="S531" s="38" t="s">
        <v>1319</v>
      </c>
      <c r="T531" s="39">
        <f>データ!G531</f>
        <v>28285</v>
      </c>
      <c r="U531" s="40" t="s">
        <v>1024</v>
      </c>
      <c r="V531" s="40" t="s">
        <v>1319</v>
      </c>
      <c r="W531" s="39">
        <f>データ!H531</f>
        <v>7178</v>
      </c>
      <c r="X531" s="40" t="s">
        <v>1024</v>
      </c>
      <c r="Y531" s="40" t="s">
        <v>1319</v>
      </c>
      <c r="Z531" s="39">
        <f>データ!I531</f>
        <v>10899</v>
      </c>
      <c r="AA531" s="40" t="s">
        <v>1024</v>
      </c>
      <c r="AB531" s="40" t="s">
        <v>1322</v>
      </c>
      <c r="AC531" s="39" t="str">
        <f>データ!J531</f>
        <v>S</v>
      </c>
      <c r="AD531" s="38" t="s">
        <v>1024</v>
      </c>
      <c r="AE531" s="40" t="s">
        <v>1323</v>
      </c>
      <c r="AF531" s="39">
        <f>データ!K531</f>
        <v>46362</v>
      </c>
      <c r="AG531" s="40" t="s">
        <v>1024</v>
      </c>
      <c r="AH531" s="40" t="s">
        <v>1324</v>
      </c>
      <c r="AI531" s="39" t="str">
        <f>データ!L531</f>
        <v>地焔幻の一閃／煌</v>
      </c>
      <c r="AJ531" s="10" t="s">
        <v>1113</v>
      </c>
      <c r="AK531" s="39" t="str">
        <f>データ!M531</f>
        <v>横一列攻撃[特大]自分の防御力UP[特大]</v>
      </c>
      <c r="AL531" s="38" t="s">
        <v>1024</v>
      </c>
      <c r="AM531" s="40" t="s">
        <v>1325</v>
      </c>
      <c r="AN531" s="39" t="str">
        <f>データ!N531</f>
        <v>-</v>
      </c>
      <c r="AO531" s="10" t="s">
        <v>1113</v>
      </c>
      <c r="AP531" s="39" t="str">
        <f>データ!O531</f>
        <v>　</v>
      </c>
      <c r="AQ531" s="41" t="s">
        <v>1024</v>
      </c>
      <c r="AR531" s="40" t="s">
        <v>1324</v>
      </c>
      <c r="AS531" s="39" t="str">
        <f>データ!P531</f>
        <v>エース／煌</v>
      </c>
      <c r="AT531" s="10" t="s">
        <v>1113</v>
      </c>
      <c r="AU531" s="39" t="str">
        <f>データ!Q531</f>
        <v>パーティ全体の攻・防が特大UP(3分間)</v>
      </c>
      <c r="AV531" s="10" t="s">
        <v>1024</v>
      </c>
      <c r="AW531" s="40" t="s">
        <v>1324</v>
      </c>
      <c r="AX531" s="39" t="str">
        <f>データ!R531</f>
        <v>ポイントライズ／絶</v>
      </c>
      <c r="AY531" s="10" t="s">
        <v>1113</v>
      </c>
      <c r="AZ531" s="39" t="str">
        <f>データ!S531</f>
        <v>獲得する騎士団戦スコアが大アップ(バトル3回)</v>
      </c>
      <c r="BA531" s="41" t="s">
        <v>1024</v>
      </c>
      <c r="BB531" s="40" t="s">
        <v>1319</v>
      </c>
      <c r="BC531" s="39" t="str">
        <f>データ!T531</f>
        <v>-</v>
      </c>
      <c r="BD531" s="41" t="s">
        <v>1024</v>
      </c>
      <c r="BE531" s="40" t="s">
        <v>1320</v>
      </c>
      <c r="BF531" s="39" t="str">
        <f>データ!U531</f>
        <v>-</v>
      </c>
      <c r="BG531" s="41" t="s">
        <v>1024</v>
      </c>
      <c r="BH531" s="40" t="s">
        <v>1319</v>
      </c>
      <c r="BI531" s="39" t="str">
        <f>データ!V531</f>
        <v>ガチャイベ</v>
      </c>
      <c r="BJ531" s="41" t="s">
        <v>1024</v>
      </c>
      <c r="BK531" s="10" t="s">
        <v>1019</v>
      </c>
    </row>
    <row r="532" spans="1:63" x14ac:dyDescent="0.15">
      <c r="A532" s="10" t="s">
        <v>1016</v>
      </c>
      <c r="B532" s="10" t="s">
        <v>1454</v>
      </c>
      <c r="C532" s="38" t="str">
        <f>"./images/thumbnail/"&amp;データ!B532&amp;".jpg"</f>
        <v>./images/thumbnail/1875.jpg</v>
      </c>
      <c r="D532" s="38" t="s">
        <v>1455</v>
      </c>
      <c r="E532" s="38" t="str">
        <f>"./images/thumbnail/"&amp;データ!B532&amp;".jpg"</f>
        <v>./images/thumbnail/1875.jpg</v>
      </c>
      <c r="F532" s="38" t="s">
        <v>1116</v>
      </c>
      <c r="G532" s="38" t="s">
        <v>1319</v>
      </c>
      <c r="H532" s="38" t="str">
        <f>データ!C532</f>
        <v>アリーナ</v>
      </c>
      <c r="I532" s="38" t="s">
        <v>1024</v>
      </c>
      <c r="J532" s="38" t="s">
        <v>1320</v>
      </c>
      <c r="K532" s="38" t="str">
        <f>データ!D532</f>
        <v>UR</v>
      </c>
      <c r="L532" s="38" t="s">
        <v>1024</v>
      </c>
      <c r="M532" s="38" t="s">
        <v>1321</v>
      </c>
      <c r="N532" s="38">
        <f>データ!E532</f>
        <v>14</v>
      </c>
      <c r="O532" s="38" t="s">
        <v>1024</v>
      </c>
      <c r="P532" s="38" t="s">
        <v>1319</v>
      </c>
      <c r="Q532" s="38" t="str">
        <f>データ!F532</f>
        <v>遠</v>
      </c>
      <c r="R532" s="38" t="s">
        <v>1024</v>
      </c>
      <c r="S532" s="38" t="s">
        <v>1319</v>
      </c>
      <c r="T532" s="39">
        <f>データ!G532</f>
        <v>19175</v>
      </c>
      <c r="U532" s="40" t="s">
        <v>1024</v>
      </c>
      <c r="V532" s="40" t="s">
        <v>1319</v>
      </c>
      <c r="W532" s="39">
        <f>データ!H532</f>
        <v>6684</v>
      </c>
      <c r="X532" s="40" t="s">
        <v>1024</v>
      </c>
      <c r="Y532" s="40" t="s">
        <v>1319</v>
      </c>
      <c r="Z532" s="39">
        <f>データ!I532</f>
        <v>6096</v>
      </c>
      <c r="AA532" s="40" t="s">
        <v>1024</v>
      </c>
      <c r="AB532" s="40" t="s">
        <v>1322</v>
      </c>
      <c r="AC532" s="39" t="str">
        <f>データ!J532</f>
        <v>S+</v>
      </c>
      <c r="AD532" s="38" t="s">
        <v>1024</v>
      </c>
      <c r="AE532" s="40" t="s">
        <v>1323</v>
      </c>
      <c r="AF532" s="39">
        <f>データ!K532</f>
        <v>31955</v>
      </c>
      <c r="AG532" s="40" t="s">
        <v>1024</v>
      </c>
      <c r="AH532" s="40" t="s">
        <v>1324</v>
      </c>
      <c r="AI532" s="39" t="str">
        <f>データ!L532</f>
        <v>光芒の聖天</v>
      </c>
      <c r="AJ532" s="10" t="s">
        <v>1113</v>
      </c>
      <c r="AK532" s="39" t="str">
        <f>データ!M532</f>
        <v>味方全体の攻撃力と防御力をUP[大]</v>
      </c>
      <c r="AL532" s="10" t="s">
        <v>1024</v>
      </c>
      <c r="AM532" s="40" t="s">
        <v>1325</v>
      </c>
      <c r="AN532" s="39" t="str">
        <f>データ!N532</f>
        <v>-</v>
      </c>
      <c r="AO532" s="10" t="s">
        <v>1113</v>
      </c>
      <c r="AP532" s="39" t="str">
        <f>データ!O532</f>
        <v>　</v>
      </c>
      <c r="AQ532" s="41" t="s">
        <v>1024</v>
      </c>
      <c r="AR532" s="40" t="s">
        <v>1324</v>
      </c>
      <c r="AS532" s="39" t="str">
        <f>データ!P532</f>
        <v>スラッシャー／絶</v>
      </c>
      <c r="AT532" s="10" t="s">
        <v>1113</v>
      </c>
      <c r="AU532" s="39" t="str">
        <f>データ!Q532</f>
        <v>キリ番キャッスルブレイク時の獲得ポイントUP(3回)</v>
      </c>
      <c r="AV532" s="10" t="s">
        <v>1024</v>
      </c>
      <c r="AW532" s="40" t="s">
        <v>1324</v>
      </c>
      <c r="AX532" s="39" t="str">
        <f>データ!R532</f>
        <v>-</v>
      </c>
      <c r="AY532" s="10" t="s">
        <v>1113</v>
      </c>
      <c r="AZ532" s="39" t="str">
        <f>データ!S532</f>
        <v>　</v>
      </c>
      <c r="BA532" s="41" t="s">
        <v>1024</v>
      </c>
      <c r="BB532" s="40" t="s">
        <v>1319</v>
      </c>
      <c r="BC532" s="39" t="str">
        <f>データ!T532</f>
        <v>-</v>
      </c>
      <c r="BD532" s="41" t="s">
        <v>1024</v>
      </c>
      <c r="BE532" s="40" t="s">
        <v>1320</v>
      </c>
      <c r="BF532" s="39" t="str">
        <f>データ!U532</f>
        <v>-</v>
      </c>
      <c r="BG532" s="41" t="s">
        <v>1024</v>
      </c>
      <c r="BH532" s="40" t="s">
        <v>1319</v>
      </c>
      <c r="BI532" s="39" t="str">
        <f>データ!V532</f>
        <v>ガチャイベ</v>
      </c>
      <c r="BJ532" s="41" t="s">
        <v>1024</v>
      </c>
      <c r="BK532" s="10" t="s">
        <v>1019</v>
      </c>
    </row>
    <row r="533" spans="1:63" x14ac:dyDescent="0.15">
      <c r="A533" s="10" t="s">
        <v>1016</v>
      </c>
      <c r="B533" s="10" t="s">
        <v>1454</v>
      </c>
      <c r="C533" s="38" t="str">
        <f>"./images/thumbnail/"&amp;データ!B533&amp;".jpg"</f>
        <v>./images/thumbnail/1875_a.jpg</v>
      </c>
      <c r="D533" s="38" t="s">
        <v>1455</v>
      </c>
      <c r="E533" s="38" t="str">
        <f>"./images/thumbnail/"&amp;データ!B533&amp;".jpg"</f>
        <v>./images/thumbnail/1875_a.jpg</v>
      </c>
      <c r="F533" s="38" t="s">
        <v>1116</v>
      </c>
      <c r="G533" s="38" t="s">
        <v>1319</v>
      </c>
      <c r="H533" s="38" t="str">
        <f>データ!C533</f>
        <v>アリーナ</v>
      </c>
      <c r="I533" s="38" t="s">
        <v>1024</v>
      </c>
      <c r="J533" s="38" t="s">
        <v>1320</v>
      </c>
      <c r="K533" s="38" t="str">
        <f>データ!D533</f>
        <v>UR</v>
      </c>
      <c r="L533" s="38" t="s">
        <v>1024</v>
      </c>
      <c r="M533" s="38" t="s">
        <v>1321</v>
      </c>
      <c r="N533" s="38">
        <f>データ!E533</f>
        <v>14</v>
      </c>
      <c r="O533" s="38" t="s">
        <v>1024</v>
      </c>
      <c r="P533" s="38" t="s">
        <v>1319</v>
      </c>
      <c r="Q533" s="38" t="str">
        <f>データ!F533</f>
        <v>遠</v>
      </c>
      <c r="R533" s="38" t="s">
        <v>1024</v>
      </c>
      <c r="S533" s="38" t="s">
        <v>1319</v>
      </c>
      <c r="T533" s="39">
        <f>データ!G533</f>
        <v>26840</v>
      </c>
      <c r="U533" s="40" t="s">
        <v>1024</v>
      </c>
      <c r="V533" s="40" t="s">
        <v>1319</v>
      </c>
      <c r="W533" s="39">
        <f>データ!H533</f>
        <v>8889</v>
      </c>
      <c r="X533" s="40" t="s">
        <v>1024</v>
      </c>
      <c r="Y533" s="40" t="s">
        <v>1319</v>
      </c>
      <c r="Z533" s="39">
        <f>データ!I533</f>
        <v>8910</v>
      </c>
      <c r="AA533" s="40" t="s">
        <v>1024</v>
      </c>
      <c r="AB533" s="40" t="s">
        <v>1322</v>
      </c>
      <c r="AC533" s="39" t="str">
        <f>データ!J533</f>
        <v>SS1</v>
      </c>
      <c r="AD533" s="38" t="s">
        <v>1024</v>
      </c>
      <c r="AE533" s="40" t="s">
        <v>1323</v>
      </c>
      <c r="AF533" s="39">
        <f>データ!K533</f>
        <v>44639</v>
      </c>
      <c r="AG533" s="40" t="s">
        <v>1024</v>
      </c>
      <c r="AH533" s="40" t="s">
        <v>1324</v>
      </c>
      <c r="AI533" s="39" t="str">
        <f>データ!L533</f>
        <v>光芒の聖天＋</v>
      </c>
      <c r="AJ533" s="10" t="s">
        <v>1113</v>
      </c>
      <c r="AK533" s="39" t="str">
        <f>データ!M533</f>
        <v>味方全体の攻撃力と防御力をUP[特大]</v>
      </c>
      <c r="AL533" s="10" t="s">
        <v>1024</v>
      </c>
      <c r="AM533" s="40" t="s">
        <v>1325</v>
      </c>
      <c r="AN533" s="39" t="str">
        <f>データ!N533</f>
        <v>-</v>
      </c>
      <c r="AO533" s="10" t="s">
        <v>1113</v>
      </c>
      <c r="AP533" s="39" t="str">
        <f>データ!O533</f>
        <v>　</v>
      </c>
      <c r="AQ533" s="41" t="s">
        <v>1024</v>
      </c>
      <c r="AR533" s="40" t="s">
        <v>1324</v>
      </c>
      <c r="AS533" s="39" t="str">
        <f>データ!P533</f>
        <v>スラッシャー／絶</v>
      </c>
      <c r="AT533" s="10" t="s">
        <v>1113</v>
      </c>
      <c r="AU533" s="39" t="str">
        <f>データ!Q533</f>
        <v>キリ番キャッスルブレイク時の獲得ポイントUP(3回)</v>
      </c>
      <c r="AV533" s="10" t="s">
        <v>1024</v>
      </c>
      <c r="AW533" s="40" t="s">
        <v>1324</v>
      </c>
      <c r="AX533" s="39" t="str">
        <f>データ!R533</f>
        <v>-</v>
      </c>
      <c r="AY533" s="10" t="s">
        <v>1113</v>
      </c>
      <c r="AZ533" s="39" t="str">
        <f>データ!S533</f>
        <v>　</v>
      </c>
      <c r="BA533" s="41" t="s">
        <v>1024</v>
      </c>
      <c r="BB533" s="40" t="s">
        <v>1319</v>
      </c>
      <c r="BC533" s="39" t="str">
        <f>データ!T533</f>
        <v>-</v>
      </c>
      <c r="BD533" s="41" t="s">
        <v>1024</v>
      </c>
      <c r="BE533" s="40" t="s">
        <v>1320</v>
      </c>
      <c r="BF533" s="39" t="str">
        <f>データ!U533</f>
        <v>-</v>
      </c>
      <c r="BG533" s="41" t="s">
        <v>1024</v>
      </c>
      <c r="BH533" s="40" t="s">
        <v>1319</v>
      </c>
      <c r="BI533" s="39" t="str">
        <f>データ!V533</f>
        <v>精鋭化ユニット</v>
      </c>
      <c r="BJ533" s="41" t="s">
        <v>1024</v>
      </c>
      <c r="BK533" s="10" t="s">
        <v>1019</v>
      </c>
    </row>
    <row r="534" spans="1:63" x14ac:dyDescent="0.15">
      <c r="A534" s="10" t="s">
        <v>1016</v>
      </c>
      <c r="B534" s="10" t="s">
        <v>1454</v>
      </c>
      <c r="C534" s="38" t="str">
        <f>"./images/thumbnail/"&amp;データ!B534&amp;".jpg"</f>
        <v>./images/thumbnail/1875_b.jpg</v>
      </c>
      <c r="D534" s="38" t="s">
        <v>1455</v>
      </c>
      <c r="E534" s="38" t="str">
        <f>"./images/thumbnail/"&amp;データ!B534&amp;".jpg"</f>
        <v>./images/thumbnail/1875_b.jpg</v>
      </c>
      <c r="F534" s="38" t="s">
        <v>1116</v>
      </c>
      <c r="G534" s="38" t="s">
        <v>1319</v>
      </c>
      <c r="H534" s="38" t="str">
        <f>データ!C534</f>
        <v>アリーナ</v>
      </c>
      <c r="I534" s="38" t="s">
        <v>1024</v>
      </c>
      <c r="J534" s="38" t="s">
        <v>1320</v>
      </c>
      <c r="K534" s="38" t="str">
        <f>データ!D534</f>
        <v>UR</v>
      </c>
      <c r="L534" s="38" t="s">
        <v>1024</v>
      </c>
      <c r="M534" s="38" t="s">
        <v>1321</v>
      </c>
      <c r="N534" s="38">
        <f>データ!E534</f>
        <v>14</v>
      </c>
      <c r="O534" s="38" t="s">
        <v>1024</v>
      </c>
      <c r="P534" s="38" t="s">
        <v>1319</v>
      </c>
      <c r="Q534" s="38" t="str">
        <f>データ!F534</f>
        <v>遠</v>
      </c>
      <c r="R534" s="38" t="s">
        <v>1024</v>
      </c>
      <c r="S534" s="38" t="s">
        <v>1319</v>
      </c>
      <c r="T534" s="39">
        <f>データ!G534</f>
        <v>25895</v>
      </c>
      <c r="U534" s="40" t="s">
        <v>1024</v>
      </c>
      <c r="V534" s="40" t="s">
        <v>1319</v>
      </c>
      <c r="W534" s="39">
        <f>データ!H534</f>
        <v>8553</v>
      </c>
      <c r="X534" s="40" t="s">
        <v>1024</v>
      </c>
      <c r="Y534" s="40" t="s">
        <v>1319</v>
      </c>
      <c r="Z534" s="39">
        <f>データ!I534</f>
        <v>8595</v>
      </c>
      <c r="AA534" s="40" t="s">
        <v>1024</v>
      </c>
      <c r="AB534" s="40" t="s">
        <v>1322</v>
      </c>
      <c r="AC534" s="39" t="str">
        <f>データ!J534</f>
        <v>SS1</v>
      </c>
      <c r="AD534" s="38" t="s">
        <v>1024</v>
      </c>
      <c r="AE534" s="40" t="s">
        <v>1323</v>
      </c>
      <c r="AF534" s="39">
        <f>データ!K534</f>
        <v>43043</v>
      </c>
      <c r="AG534" s="40" t="s">
        <v>1024</v>
      </c>
      <c r="AH534" s="40" t="s">
        <v>1324</v>
      </c>
      <c r="AI534" s="39" t="str">
        <f>データ!L534</f>
        <v>光芒の聖天</v>
      </c>
      <c r="AJ534" s="10" t="s">
        <v>1113</v>
      </c>
      <c r="AK534" s="39" t="str">
        <f>データ!M534</f>
        <v>味方全体の攻撃力と防御力をUP[大]</v>
      </c>
      <c r="AL534" s="10" t="s">
        <v>1024</v>
      </c>
      <c r="AM534" s="40" t="s">
        <v>1325</v>
      </c>
      <c r="AN534" s="39" t="str">
        <f>データ!N534</f>
        <v>-</v>
      </c>
      <c r="AO534" s="10" t="s">
        <v>1113</v>
      </c>
      <c r="AP534" s="39" t="str">
        <f>データ!O534</f>
        <v>　</v>
      </c>
      <c r="AQ534" s="41" t="s">
        <v>1024</v>
      </c>
      <c r="AR534" s="40" t="s">
        <v>1324</v>
      </c>
      <c r="AS534" s="39" t="str">
        <f>データ!P534</f>
        <v>夏色の応援歌</v>
      </c>
      <c r="AT534" s="10" t="s">
        <v>1113</v>
      </c>
      <c r="AU534" s="39" t="str">
        <f>データ!Q534</f>
        <v>キリ番CB時の獲得ポイント特大UP(8回)</v>
      </c>
      <c r="AV534" s="10" t="s">
        <v>1024</v>
      </c>
      <c r="AW534" s="40" t="s">
        <v>1324</v>
      </c>
      <c r="AX534" s="39" t="str">
        <f>データ!R534</f>
        <v>-</v>
      </c>
      <c r="AY534" s="10" t="s">
        <v>1113</v>
      </c>
      <c r="AZ534" s="39" t="str">
        <f>データ!S534</f>
        <v>　</v>
      </c>
      <c r="BA534" s="41" t="s">
        <v>1024</v>
      </c>
      <c r="BB534" s="40" t="s">
        <v>1319</v>
      </c>
      <c r="BC534" s="39" t="str">
        <f>データ!T534</f>
        <v>-</v>
      </c>
      <c r="BD534" s="41" t="s">
        <v>1024</v>
      </c>
      <c r="BE534" s="40" t="s">
        <v>1320</v>
      </c>
      <c r="BF534" s="39" t="str">
        <f>データ!U534</f>
        <v>-</v>
      </c>
      <c r="BG534" s="41" t="s">
        <v>1024</v>
      </c>
      <c r="BH534" s="40" t="s">
        <v>1319</v>
      </c>
      <c r="BI534" s="39" t="str">
        <f>データ!V534</f>
        <v>精鋭化ユニット</v>
      </c>
      <c r="BJ534" s="41" t="s">
        <v>1024</v>
      </c>
      <c r="BK534" s="10" t="s">
        <v>1019</v>
      </c>
    </row>
    <row r="535" spans="1:63" x14ac:dyDescent="0.15">
      <c r="A535" s="10" t="s">
        <v>1016</v>
      </c>
      <c r="B535" s="10" t="s">
        <v>1454</v>
      </c>
      <c r="C535" s="38" t="str">
        <f>"./images/thumbnail/"&amp;データ!B535&amp;".jpg"</f>
        <v>./images/thumbnail/1876.jpg</v>
      </c>
      <c r="D535" s="38" t="s">
        <v>1455</v>
      </c>
      <c r="E535" s="38" t="str">
        <f>"./images/thumbnail/"&amp;データ!B535&amp;".jpg"</f>
        <v>./images/thumbnail/1876.jpg</v>
      </c>
      <c r="F535" s="38" t="s">
        <v>1116</v>
      </c>
      <c r="G535" s="38" t="s">
        <v>1319</v>
      </c>
      <c r="H535" s="38" t="str">
        <f>データ!C535</f>
        <v>ルギス</v>
      </c>
      <c r="I535" s="38" t="s">
        <v>1024</v>
      </c>
      <c r="J535" s="38" t="s">
        <v>1320</v>
      </c>
      <c r="K535" s="38" t="str">
        <f>データ!D535</f>
        <v>SSR</v>
      </c>
      <c r="L535" s="38" t="s">
        <v>1024</v>
      </c>
      <c r="M535" s="38" t="s">
        <v>1321</v>
      </c>
      <c r="N535" s="38">
        <f>データ!E535</f>
        <v>12</v>
      </c>
      <c r="O535" s="38" t="s">
        <v>1024</v>
      </c>
      <c r="P535" s="38" t="s">
        <v>1319</v>
      </c>
      <c r="Q535" s="38" t="str">
        <f>データ!F535</f>
        <v>斬</v>
      </c>
      <c r="R535" s="38" t="s">
        <v>1024</v>
      </c>
      <c r="S535" s="38" t="s">
        <v>1319</v>
      </c>
      <c r="T535" s="39">
        <f>データ!G535</f>
        <v>15258</v>
      </c>
      <c r="U535" s="40" t="s">
        <v>1024</v>
      </c>
      <c r="V535" s="40" t="s">
        <v>1319</v>
      </c>
      <c r="W535" s="39">
        <f>データ!H535</f>
        <v>7016</v>
      </c>
      <c r="X535" s="40" t="s">
        <v>1024</v>
      </c>
      <c r="Y535" s="40" t="s">
        <v>1319</v>
      </c>
      <c r="Z535" s="39">
        <f>データ!I535</f>
        <v>4771</v>
      </c>
      <c r="AA535" s="40" t="s">
        <v>1024</v>
      </c>
      <c r="AB535" s="40" t="s">
        <v>1322</v>
      </c>
      <c r="AC535" s="39" t="str">
        <f>データ!J535</f>
        <v>A+</v>
      </c>
      <c r="AD535" s="38" t="s">
        <v>1024</v>
      </c>
      <c r="AE535" s="40" t="s">
        <v>1323</v>
      </c>
      <c r="AF535" s="39">
        <f>データ!K535</f>
        <v>27045</v>
      </c>
      <c r="AG535" s="40" t="s">
        <v>1024</v>
      </c>
      <c r="AH535" s="40" t="s">
        <v>1324</v>
      </c>
      <c r="AI535" s="39" t="str">
        <f>データ!L535</f>
        <v>天幻光の交叉線／真</v>
      </c>
      <c r="AJ535" s="10" t="s">
        <v>1113</v>
      </c>
      <c r="AK535" s="39" t="str">
        <f>データ!M535</f>
        <v>X字型攻撃[中]自分の攻撃力UP[中]</v>
      </c>
      <c r="AL535" s="10" t="s">
        <v>1024</v>
      </c>
      <c r="AM535" s="40" t="s">
        <v>1325</v>
      </c>
      <c r="AN535" s="39" t="str">
        <f>データ!N535</f>
        <v>-</v>
      </c>
      <c r="AO535" s="10" t="s">
        <v>1113</v>
      </c>
      <c r="AP535" s="39" t="str">
        <f>データ!O535</f>
        <v>　</v>
      </c>
      <c r="AQ535" s="41" t="s">
        <v>1024</v>
      </c>
      <c r="AR535" s="40" t="s">
        <v>1324</v>
      </c>
      <c r="AS535" s="39" t="str">
        <f>データ!P535</f>
        <v>アサルト／真</v>
      </c>
      <c r="AT535" s="10" t="s">
        <v>1113</v>
      </c>
      <c r="AU535" s="39" t="str">
        <f>データ!Q535</f>
        <v>パーティ全体の攻撃力が中UP(3分間)</v>
      </c>
      <c r="AV535" s="10" t="s">
        <v>1024</v>
      </c>
      <c r="AW535" s="40" t="s">
        <v>1324</v>
      </c>
      <c r="AX535" s="39" t="str">
        <f>データ!R535</f>
        <v>-</v>
      </c>
      <c r="AY535" s="10" t="s">
        <v>1113</v>
      </c>
      <c r="AZ535" s="39" t="str">
        <f>データ!S535</f>
        <v>　</v>
      </c>
      <c r="BA535" s="41" t="s">
        <v>1024</v>
      </c>
      <c r="BB535" s="40" t="s">
        <v>1319</v>
      </c>
      <c r="BC535" s="39" t="str">
        <f>データ!T535</f>
        <v>-</v>
      </c>
      <c r="BD535" s="41" t="s">
        <v>1024</v>
      </c>
      <c r="BE535" s="40" t="s">
        <v>1320</v>
      </c>
      <c r="BF535" s="39" t="str">
        <f>データ!U535</f>
        <v>-</v>
      </c>
      <c r="BG535" s="41" t="s">
        <v>1024</v>
      </c>
      <c r="BH535" s="40" t="s">
        <v>1319</v>
      </c>
      <c r="BI535" s="39" t="str">
        <f>データ!V535</f>
        <v>第12回統一報酬</v>
      </c>
      <c r="BJ535" s="41" t="s">
        <v>1024</v>
      </c>
      <c r="BK535" s="10" t="s">
        <v>1019</v>
      </c>
    </row>
    <row r="536" spans="1:63" x14ac:dyDescent="0.15">
      <c r="A536" s="10" t="s">
        <v>1016</v>
      </c>
      <c r="B536" s="10" t="s">
        <v>1454</v>
      </c>
      <c r="C536" s="38" t="str">
        <f>"./images/thumbnail/"&amp;データ!B536&amp;".jpg"</f>
        <v>./images/thumbnail/1877.jpg</v>
      </c>
      <c r="D536" s="38" t="s">
        <v>1455</v>
      </c>
      <c r="E536" s="38" t="str">
        <f>"./images/thumbnail/"&amp;データ!B536&amp;".jpg"</f>
        <v>./images/thumbnail/1877.jpg</v>
      </c>
      <c r="F536" s="38" t="s">
        <v>1116</v>
      </c>
      <c r="G536" s="38" t="s">
        <v>1319</v>
      </c>
      <c r="H536" s="38" t="str">
        <f>データ!C536</f>
        <v>ルギス</v>
      </c>
      <c r="I536" s="38" t="s">
        <v>1024</v>
      </c>
      <c r="J536" s="38" t="s">
        <v>1320</v>
      </c>
      <c r="K536" s="38" t="str">
        <f>データ!D536</f>
        <v>SSR</v>
      </c>
      <c r="L536" s="38" t="s">
        <v>1024</v>
      </c>
      <c r="M536" s="38" t="s">
        <v>1321</v>
      </c>
      <c r="N536" s="38">
        <f>データ!E536</f>
        <v>13</v>
      </c>
      <c r="O536" s="38" t="s">
        <v>1024</v>
      </c>
      <c r="P536" s="38" t="s">
        <v>1319</v>
      </c>
      <c r="Q536" s="38" t="str">
        <f>データ!F536</f>
        <v>斬</v>
      </c>
      <c r="R536" s="38" t="s">
        <v>1024</v>
      </c>
      <c r="S536" s="38" t="s">
        <v>1319</v>
      </c>
      <c r="T536" s="39">
        <f>データ!G536</f>
        <v>16381</v>
      </c>
      <c r="U536" s="40" t="s">
        <v>1024</v>
      </c>
      <c r="V536" s="40" t="s">
        <v>1319</v>
      </c>
      <c r="W536" s="39">
        <f>データ!H536</f>
        <v>7412</v>
      </c>
      <c r="X536" s="40" t="s">
        <v>1024</v>
      </c>
      <c r="Y536" s="40" t="s">
        <v>1319</v>
      </c>
      <c r="Z536" s="39">
        <f>データ!I536</f>
        <v>5433</v>
      </c>
      <c r="AA536" s="40" t="s">
        <v>1024</v>
      </c>
      <c r="AB536" s="40" t="s">
        <v>1322</v>
      </c>
      <c r="AC536" s="39" t="str">
        <f>データ!J536</f>
        <v>A+</v>
      </c>
      <c r="AD536" s="38" t="s">
        <v>1024</v>
      </c>
      <c r="AE536" s="40" t="s">
        <v>1323</v>
      </c>
      <c r="AF536" s="39">
        <f>データ!K536</f>
        <v>29226</v>
      </c>
      <c r="AG536" s="40" t="s">
        <v>1024</v>
      </c>
      <c r="AH536" s="40" t="s">
        <v>1324</v>
      </c>
      <c r="AI536" s="39" t="str">
        <f>データ!L536</f>
        <v>天幻光の交叉線／真</v>
      </c>
      <c r="AJ536" s="10" t="s">
        <v>1113</v>
      </c>
      <c r="AK536" s="39" t="str">
        <f>データ!M536</f>
        <v>X字型攻撃[中]自分の攻撃力UP[中]</v>
      </c>
      <c r="AL536" s="10" t="s">
        <v>1024</v>
      </c>
      <c r="AM536" s="40" t="s">
        <v>1325</v>
      </c>
      <c r="AN536" s="39" t="str">
        <f>データ!N536</f>
        <v>-</v>
      </c>
      <c r="AO536" s="10" t="s">
        <v>1113</v>
      </c>
      <c r="AP536" s="39" t="str">
        <f>データ!O536</f>
        <v>　</v>
      </c>
      <c r="AQ536" s="41" t="s">
        <v>1024</v>
      </c>
      <c r="AR536" s="40" t="s">
        <v>1324</v>
      </c>
      <c r="AS536" s="39" t="str">
        <f>データ!P536</f>
        <v>アサルト／真</v>
      </c>
      <c r="AT536" s="10" t="s">
        <v>1113</v>
      </c>
      <c r="AU536" s="39" t="str">
        <f>データ!Q536</f>
        <v>パーティ全体の攻撃力が中UP(3分間)</v>
      </c>
      <c r="AV536" s="10" t="s">
        <v>1024</v>
      </c>
      <c r="AW536" s="40" t="s">
        <v>1324</v>
      </c>
      <c r="AX536" s="39" t="str">
        <f>データ!R536</f>
        <v>-</v>
      </c>
      <c r="AY536" s="10" t="s">
        <v>1113</v>
      </c>
      <c r="AZ536" s="39" t="str">
        <f>データ!S536</f>
        <v>　</v>
      </c>
      <c r="BA536" s="41" t="s">
        <v>1024</v>
      </c>
      <c r="BB536" s="40" t="s">
        <v>1319</v>
      </c>
      <c r="BC536" s="39" t="str">
        <f>データ!T536</f>
        <v>-</v>
      </c>
      <c r="BD536" s="41" t="s">
        <v>1024</v>
      </c>
      <c r="BE536" s="40" t="s">
        <v>1320</v>
      </c>
      <c r="BF536" s="39" t="str">
        <f>データ!U536</f>
        <v>-</v>
      </c>
      <c r="BG536" s="41" t="s">
        <v>1024</v>
      </c>
      <c r="BH536" s="40" t="s">
        <v>1319</v>
      </c>
      <c r="BI536" s="39" t="str">
        <f>データ!V536</f>
        <v>第12回統一報酬</v>
      </c>
      <c r="BJ536" s="41" t="s">
        <v>1024</v>
      </c>
      <c r="BK536" s="10" t="s">
        <v>1019</v>
      </c>
    </row>
    <row r="537" spans="1:63" x14ac:dyDescent="0.15">
      <c r="A537" s="10" t="s">
        <v>1016</v>
      </c>
      <c r="B537" s="10" t="s">
        <v>1454</v>
      </c>
      <c r="C537" s="38" t="str">
        <f>"./images/thumbnail/"&amp;データ!B537&amp;".jpg"</f>
        <v>./images/thumbnail/1878.jpg</v>
      </c>
      <c r="D537" s="38" t="s">
        <v>1455</v>
      </c>
      <c r="E537" s="38" t="str">
        <f>"./images/thumbnail/"&amp;データ!B537&amp;".jpg"</f>
        <v>./images/thumbnail/1878.jpg</v>
      </c>
      <c r="F537" s="38" t="s">
        <v>1116</v>
      </c>
      <c r="G537" s="38" t="s">
        <v>1319</v>
      </c>
      <c r="H537" s="38" t="str">
        <f>データ!C537</f>
        <v>ルギス</v>
      </c>
      <c r="I537" s="38" t="s">
        <v>1024</v>
      </c>
      <c r="J537" s="38" t="s">
        <v>1320</v>
      </c>
      <c r="K537" s="38" t="str">
        <f>データ!D537</f>
        <v>UR</v>
      </c>
      <c r="L537" s="38" t="s">
        <v>1024</v>
      </c>
      <c r="M537" s="38" t="s">
        <v>1321</v>
      </c>
      <c r="N537" s="38">
        <f>データ!E537</f>
        <v>14</v>
      </c>
      <c r="O537" s="38" t="s">
        <v>1024</v>
      </c>
      <c r="P537" s="38" t="s">
        <v>1319</v>
      </c>
      <c r="Q537" s="38" t="str">
        <f>データ!F537</f>
        <v>斬</v>
      </c>
      <c r="R537" s="38" t="s">
        <v>1024</v>
      </c>
      <c r="S537" s="38" t="s">
        <v>1319</v>
      </c>
      <c r="T537" s="39">
        <f>データ!G537</f>
        <v>18143</v>
      </c>
      <c r="U537" s="40" t="s">
        <v>1024</v>
      </c>
      <c r="V537" s="40" t="s">
        <v>1319</v>
      </c>
      <c r="W537" s="39">
        <f>データ!H537</f>
        <v>8278</v>
      </c>
      <c r="X537" s="40" t="s">
        <v>1024</v>
      </c>
      <c r="Y537" s="40" t="s">
        <v>1319</v>
      </c>
      <c r="Z537" s="39">
        <f>データ!I537</f>
        <v>6078</v>
      </c>
      <c r="AA537" s="40" t="s">
        <v>1024</v>
      </c>
      <c r="AB537" s="40" t="s">
        <v>1322</v>
      </c>
      <c r="AC537" s="39" t="str">
        <f>データ!J537</f>
        <v>S</v>
      </c>
      <c r="AD537" s="38" t="s">
        <v>1024</v>
      </c>
      <c r="AE537" s="40" t="s">
        <v>1323</v>
      </c>
      <c r="AF537" s="39">
        <f>データ!K537</f>
        <v>32499</v>
      </c>
      <c r="AG537" s="40" t="s">
        <v>1024</v>
      </c>
      <c r="AH537" s="40" t="s">
        <v>1324</v>
      </c>
      <c r="AI537" s="39" t="str">
        <f>データ!L537</f>
        <v>孤狼絶吼</v>
      </c>
      <c r="AJ537" s="10" t="s">
        <v>1113</v>
      </c>
      <c r="AK537" s="39" t="str">
        <f>データ!M537</f>
        <v>X字型攻撃[特大]自分の攻撃力UP[特大]</v>
      </c>
      <c r="AL537" s="38" t="s">
        <v>1024</v>
      </c>
      <c r="AM537" s="40" t="s">
        <v>1325</v>
      </c>
      <c r="AN537" s="39" t="str">
        <f>データ!N537</f>
        <v>-</v>
      </c>
      <c r="AO537" s="10" t="s">
        <v>1113</v>
      </c>
      <c r="AP537" s="39" t="str">
        <f>データ!O537</f>
        <v>　</v>
      </c>
      <c r="AQ537" s="41" t="s">
        <v>1024</v>
      </c>
      <c r="AR537" s="40" t="s">
        <v>1324</v>
      </c>
      <c r="AS537" s="39" t="str">
        <f>データ!P537</f>
        <v>アサルト／絶</v>
      </c>
      <c r="AT537" s="10" t="s">
        <v>1113</v>
      </c>
      <c r="AU537" s="39" t="str">
        <f>データ!Q537</f>
        <v>パーティ全体の攻撃力が大UP(3分間)</v>
      </c>
      <c r="AV537" s="10" t="s">
        <v>1024</v>
      </c>
      <c r="AW537" s="40" t="s">
        <v>1324</v>
      </c>
      <c r="AX537" s="39" t="str">
        <f>データ!R537</f>
        <v>-</v>
      </c>
      <c r="AY537" s="10" t="s">
        <v>1113</v>
      </c>
      <c r="AZ537" s="39" t="str">
        <f>データ!S537</f>
        <v>　</v>
      </c>
      <c r="BA537" s="41" t="s">
        <v>1024</v>
      </c>
      <c r="BB537" s="40" t="s">
        <v>1319</v>
      </c>
      <c r="BC537" s="39" t="str">
        <f>データ!T537</f>
        <v>-</v>
      </c>
      <c r="BD537" s="41" t="s">
        <v>1024</v>
      </c>
      <c r="BE537" s="40" t="s">
        <v>1320</v>
      </c>
      <c r="BF537" s="39" t="str">
        <f>データ!U537</f>
        <v>-</v>
      </c>
      <c r="BG537" s="41" t="s">
        <v>1024</v>
      </c>
      <c r="BH537" s="40" t="s">
        <v>1319</v>
      </c>
      <c r="BI537" s="39" t="str">
        <f>データ!V537</f>
        <v>第12回統一報酬</v>
      </c>
      <c r="BJ537" s="41" t="s">
        <v>1024</v>
      </c>
      <c r="BK537" s="10" t="s">
        <v>1019</v>
      </c>
    </row>
    <row r="538" spans="1:63" x14ac:dyDescent="0.15">
      <c r="A538" s="10" t="s">
        <v>1016</v>
      </c>
      <c r="B538" s="10" t="s">
        <v>1454</v>
      </c>
      <c r="C538" s="38" t="str">
        <f>"./images/thumbnail/"&amp;データ!B538&amp;".jpg"</f>
        <v>./images/thumbnail/1879.jpg</v>
      </c>
      <c r="D538" s="38" t="s">
        <v>1455</v>
      </c>
      <c r="E538" s="38" t="str">
        <f>"./images/thumbnail/"&amp;データ!B538&amp;".jpg"</f>
        <v>./images/thumbnail/1879.jpg</v>
      </c>
      <c r="F538" s="38" t="s">
        <v>1116</v>
      </c>
      <c r="G538" s="38" t="s">
        <v>1319</v>
      </c>
      <c r="H538" s="38" t="str">
        <f>データ!C538</f>
        <v>ルギス</v>
      </c>
      <c r="I538" s="38" t="s">
        <v>1024</v>
      </c>
      <c r="J538" s="38" t="s">
        <v>1320</v>
      </c>
      <c r="K538" s="38" t="str">
        <f>データ!D538</f>
        <v>UR</v>
      </c>
      <c r="L538" s="38" t="s">
        <v>1024</v>
      </c>
      <c r="M538" s="38" t="s">
        <v>1321</v>
      </c>
      <c r="N538" s="38">
        <f>データ!E538</f>
        <v>15</v>
      </c>
      <c r="O538" s="38" t="s">
        <v>1024</v>
      </c>
      <c r="P538" s="38" t="s">
        <v>1319</v>
      </c>
      <c r="Q538" s="38" t="str">
        <f>データ!F538</f>
        <v>斬</v>
      </c>
      <c r="R538" s="38" t="s">
        <v>1024</v>
      </c>
      <c r="S538" s="38" t="s">
        <v>1319</v>
      </c>
      <c r="T538" s="39">
        <f>データ!G538</f>
        <v>20715</v>
      </c>
      <c r="U538" s="40" t="s">
        <v>1024</v>
      </c>
      <c r="V538" s="40" t="s">
        <v>1319</v>
      </c>
      <c r="W538" s="39">
        <f>データ!H538</f>
        <v>9371</v>
      </c>
      <c r="X538" s="40" t="s">
        <v>1024</v>
      </c>
      <c r="Y538" s="40" t="s">
        <v>1319</v>
      </c>
      <c r="Z538" s="39">
        <f>データ!I538</f>
        <v>6812</v>
      </c>
      <c r="AA538" s="40" t="s">
        <v>1024</v>
      </c>
      <c r="AB538" s="40" t="s">
        <v>1322</v>
      </c>
      <c r="AC538" s="39" t="str">
        <f>データ!J538</f>
        <v>SS-</v>
      </c>
      <c r="AD538" s="38" t="s">
        <v>1024</v>
      </c>
      <c r="AE538" s="40" t="s">
        <v>1323</v>
      </c>
      <c r="AF538" s="39">
        <f>データ!K538</f>
        <v>36898</v>
      </c>
      <c r="AG538" s="40" t="s">
        <v>1024</v>
      </c>
      <c r="AH538" s="40" t="s">
        <v>1324</v>
      </c>
      <c r="AI538" s="39" t="str">
        <f>データ!L538</f>
        <v>孤狼絶吼</v>
      </c>
      <c r="AJ538" s="10" t="s">
        <v>1113</v>
      </c>
      <c r="AK538" s="39" t="str">
        <f>データ!M538</f>
        <v>X字型攻撃[特大]自分の攻撃力UP[特大]</v>
      </c>
      <c r="AL538" s="38" t="s">
        <v>1024</v>
      </c>
      <c r="AM538" s="40" t="s">
        <v>1325</v>
      </c>
      <c r="AN538" s="39" t="str">
        <f>データ!N538</f>
        <v>-</v>
      </c>
      <c r="AO538" s="10" t="s">
        <v>1113</v>
      </c>
      <c r="AP538" s="39" t="str">
        <f>データ!O538</f>
        <v>　</v>
      </c>
      <c r="AQ538" s="41" t="s">
        <v>1024</v>
      </c>
      <c r="AR538" s="40" t="s">
        <v>1324</v>
      </c>
      <c r="AS538" s="39" t="str">
        <f>データ!P538</f>
        <v>アサルト／煌</v>
      </c>
      <c r="AT538" s="10" t="s">
        <v>1113</v>
      </c>
      <c r="AU538" s="39" t="str">
        <f>データ!Q538</f>
        <v>パーティ全体の攻撃力が特大UP(3分間)</v>
      </c>
      <c r="AV538" s="10" t="s">
        <v>1024</v>
      </c>
      <c r="AW538" s="40" t="s">
        <v>1324</v>
      </c>
      <c r="AX538" s="39" t="str">
        <f>データ!R538</f>
        <v>エース／絶</v>
      </c>
      <c r="AY538" s="10" t="s">
        <v>1113</v>
      </c>
      <c r="AZ538" s="39" t="str">
        <f>データ!S538</f>
        <v>パーティ全体の攻・防が大UP(3分間)</v>
      </c>
      <c r="BA538" s="41" t="s">
        <v>1024</v>
      </c>
      <c r="BB538" s="40" t="s">
        <v>1319</v>
      </c>
      <c r="BC538" s="39" t="str">
        <f>データ!T538</f>
        <v>-</v>
      </c>
      <c r="BD538" s="41" t="s">
        <v>1024</v>
      </c>
      <c r="BE538" s="40" t="s">
        <v>1320</v>
      </c>
      <c r="BF538" s="39" t="str">
        <f>データ!U538</f>
        <v>-</v>
      </c>
      <c r="BG538" s="41" t="s">
        <v>1024</v>
      </c>
      <c r="BH538" s="40" t="s">
        <v>1319</v>
      </c>
      <c r="BI538" s="39" t="str">
        <f>データ!V538</f>
        <v>第12回統一報酬</v>
      </c>
      <c r="BJ538" s="41" t="s">
        <v>1024</v>
      </c>
      <c r="BK538" s="10" t="s">
        <v>1019</v>
      </c>
    </row>
    <row r="539" spans="1:63" x14ac:dyDescent="0.15">
      <c r="A539" s="10" t="s">
        <v>1016</v>
      </c>
      <c r="B539" s="10" t="s">
        <v>1454</v>
      </c>
      <c r="C539" s="38" t="str">
        <f>"./images/thumbnail/"&amp;データ!B539&amp;".jpg"</f>
        <v>./images/thumbnail/1881.jpg</v>
      </c>
      <c r="D539" s="38" t="s">
        <v>1455</v>
      </c>
      <c r="E539" s="38" t="str">
        <f>"./images/thumbnail/"&amp;データ!B539&amp;".jpg"</f>
        <v>./images/thumbnail/1881.jpg</v>
      </c>
      <c r="F539" s="38" t="s">
        <v>1116</v>
      </c>
      <c r="G539" s="38" t="s">
        <v>1319</v>
      </c>
      <c r="H539" s="38" t="str">
        <f>データ!C539</f>
        <v>ヴェロニク</v>
      </c>
      <c r="I539" s="38" t="s">
        <v>1024</v>
      </c>
      <c r="J539" s="38" t="s">
        <v>1320</v>
      </c>
      <c r="K539" s="38" t="str">
        <f>データ!D539</f>
        <v>UR</v>
      </c>
      <c r="L539" s="38" t="s">
        <v>1024</v>
      </c>
      <c r="M539" s="38" t="s">
        <v>1321</v>
      </c>
      <c r="N539" s="38">
        <f>データ!E539</f>
        <v>14</v>
      </c>
      <c r="O539" s="38" t="s">
        <v>1024</v>
      </c>
      <c r="P539" s="38" t="s">
        <v>1319</v>
      </c>
      <c r="Q539" s="38" t="str">
        <f>データ!F539</f>
        <v>突</v>
      </c>
      <c r="R539" s="38" t="s">
        <v>1024</v>
      </c>
      <c r="S539" s="38" t="s">
        <v>1319</v>
      </c>
      <c r="T539" s="39">
        <f>データ!G539</f>
        <v>19469</v>
      </c>
      <c r="U539" s="40" t="s">
        <v>1024</v>
      </c>
      <c r="V539" s="40" t="s">
        <v>1319</v>
      </c>
      <c r="W539" s="39">
        <f>データ!H539</f>
        <v>5898</v>
      </c>
      <c r="X539" s="40" t="s">
        <v>1024</v>
      </c>
      <c r="Y539" s="40" t="s">
        <v>1319</v>
      </c>
      <c r="Z539" s="39">
        <f>データ!I539</f>
        <v>6672</v>
      </c>
      <c r="AA539" s="40" t="s">
        <v>1024</v>
      </c>
      <c r="AB539" s="40" t="s">
        <v>1322</v>
      </c>
      <c r="AC539" s="39" t="str">
        <f>データ!J539</f>
        <v>SS3</v>
      </c>
      <c r="AD539" s="38" t="s">
        <v>1024</v>
      </c>
      <c r="AE539" s="40" t="s">
        <v>1323</v>
      </c>
      <c r="AF539" s="39">
        <f>データ!K539</f>
        <v>32039</v>
      </c>
      <c r="AG539" s="40" t="s">
        <v>1024</v>
      </c>
      <c r="AH539" s="40" t="s">
        <v>1324</v>
      </c>
      <c r="AI539" s="39" t="str">
        <f>データ!L539</f>
        <v>幻神の六連撃／真</v>
      </c>
      <c r="AJ539" s="10" t="s">
        <v>1113</v>
      </c>
      <c r="AK539" s="39" t="str">
        <f>データ!M539</f>
        <v>ランダムで6連続攻撃[中]</v>
      </c>
      <c r="AL539" s="10" t="s">
        <v>1024</v>
      </c>
      <c r="AM539" s="40" t="s">
        <v>1325</v>
      </c>
      <c r="AN539" s="39" t="str">
        <f>データ!N539</f>
        <v>-</v>
      </c>
      <c r="AO539" s="10" t="s">
        <v>1113</v>
      </c>
      <c r="AP539" s="39" t="str">
        <f>データ!O539</f>
        <v>　</v>
      </c>
      <c r="AQ539" s="41" t="s">
        <v>1024</v>
      </c>
      <c r="AR539" s="40" t="s">
        <v>1324</v>
      </c>
      <c r="AS539" s="39" t="str">
        <f>データ!P539</f>
        <v>メナス／真</v>
      </c>
      <c r="AT539" s="10" t="s">
        <v>1113</v>
      </c>
      <c r="AU539" s="39" t="str">
        <f>データ!Q539</f>
        <v>対戦騎士団全体の防御力が中DOWN(3分間)</v>
      </c>
      <c r="AV539" s="10" t="s">
        <v>1024</v>
      </c>
      <c r="AW539" s="40" t="s">
        <v>1324</v>
      </c>
      <c r="AX539" s="39" t="str">
        <f>データ!R539</f>
        <v>-</v>
      </c>
      <c r="AY539" s="10" t="s">
        <v>1113</v>
      </c>
      <c r="AZ539" s="39" t="str">
        <f>データ!S539</f>
        <v>　</v>
      </c>
      <c r="BA539" s="41" t="s">
        <v>1024</v>
      </c>
      <c r="BB539" s="40" t="s">
        <v>1319</v>
      </c>
      <c r="BC539" s="39" t="str">
        <f>データ!T539</f>
        <v>-</v>
      </c>
      <c r="BD539" s="41" t="s">
        <v>1024</v>
      </c>
      <c r="BE539" s="40" t="s">
        <v>1320</v>
      </c>
      <c r="BF539" s="39" t="str">
        <f>データ!U539</f>
        <v>-</v>
      </c>
      <c r="BG539" s="41" t="s">
        <v>1024</v>
      </c>
      <c r="BH539" s="40" t="s">
        <v>1319</v>
      </c>
      <c r="BI539" s="39" t="str">
        <f>データ!V539</f>
        <v>覇者の塔</v>
      </c>
      <c r="BJ539" s="41" t="s">
        <v>1024</v>
      </c>
      <c r="BK539" s="10" t="s">
        <v>1019</v>
      </c>
    </row>
    <row r="540" spans="1:63" x14ac:dyDescent="0.15">
      <c r="A540" s="10" t="s">
        <v>1016</v>
      </c>
      <c r="B540" s="10" t="s">
        <v>1454</v>
      </c>
      <c r="C540" s="38" t="str">
        <f>"./images/thumbnail/"&amp;データ!B540&amp;".jpg"</f>
        <v>./images/thumbnail/1882.jpg</v>
      </c>
      <c r="D540" s="38" t="s">
        <v>1455</v>
      </c>
      <c r="E540" s="38" t="str">
        <f>"./images/thumbnail/"&amp;データ!B540&amp;".jpg"</f>
        <v>./images/thumbnail/1882.jpg</v>
      </c>
      <c r="F540" s="38" t="s">
        <v>1116</v>
      </c>
      <c r="G540" s="38" t="s">
        <v>1319</v>
      </c>
      <c r="H540" s="38" t="str">
        <f>データ!C540</f>
        <v>マリユス</v>
      </c>
      <c r="I540" s="38" t="s">
        <v>1024</v>
      </c>
      <c r="J540" s="38" t="s">
        <v>1320</v>
      </c>
      <c r="K540" s="38" t="str">
        <f>データ!D540</f>
        <v>UR</v>
      </c>
      <c r="L540" s="38" t="s">
        <v>1024</v>
      </c>
      <c r="M540" s="38" t="s">
        <v>1321</v>
      </c>
      <c r="N540" s="38">
        <f>データ!E540</f>
        <v>15</v>
      </c>
      <c r="O540" s="38" t="s">
        <v>1024</v>
      </c>
      <c r="P540" s="38" t="s">
        <v>1319</v>
      </c>
      <c r="Q540" s="38" t="str">
        <f>データ!F540</f>
        <v>斬</v>
      </c>
      <c r="R540" s="38" t="s">
        <v>1024</v>
      </c>
      <c r="S540" s="38" t="s">
        <v>1319</v>
      </c>
      <c r="T540" s="39">
        <f>データ!G540</f>
        <v>20675</v>
      </c>
      <c r="U540" s="40" t="s">
        <v>1024</v>
      </c>
      <c r="V540" s="40" t="s">
        <v>1319</v>
      </c>
      <c r="W540" s="39">
        <f>データ!H540</f>
        <v>9157</v>
      </c>
      <c r="X540" s="40" t="s">
        <v>1024</v>
      </c>
      <c r="Y540" s="40" t="s">
        <v>1319</v>
      </c>
      <c r="Z540" s="39">
        <f>データ!I540</f>
        <v>7329</v>
      </c>
      <c r="AA540" s="40" t="s">
        <v>1024</v>
      </c>
      <c r="AB540" s="40" t="s">
        <v>1322</v>
      </c>
      <c r="AC540" s="39" t="str">
        <f>データ!J540</f>
        <v>SS-</v>
      </c>
      <c r="AD540" s="38" t="s">
        <v>1024</v>
      </c>
      <c r="AE540" s="40" t="s">
        <v>1323</v>
      </c>
      <c r="AF540" s="39">
        <f>データ!K540</f>
        <v>37161</v>
      </c>
      <c r="AG540" s="40" t="s">
        <v>1024</v>
      </c>
      <c r="AH540" s="40" t="s">
        <v>1324</v>
      </c>
      <c r="AI540" s="39" t="str">
        <f>データ!L540</f>
        <v>天幻氷の縦十字／煌</v>
      </c>
      <c r="AJ540" s="10" t="s">
        <v>1113</v>
      </c>
      <c r="AK540" s="39" t="str">
        <f>データ!M540</f>
        <v>十字型攻撃[特大]自分の攻撃力UP[特大]</v>
      </c>
      <c r="AL540" s="10" t="s">
        <v>1024</v>
      </c>
      <c r="AM540" s="40" t="s">
        <v>1325</v>
      </c>
      <c r="AN540" s="39" t="str">
        <f>データ!N540</f>
        <v>-</v>
      </c>
      <c r="AO540" s="10" t="s">
        <v>1113</v>
      </c>
      <c r="AP540" s="39" t="str">
        <f>データ!O540</f>
        <v>　</v>
      </c>
      <c r="AQ540" s="41" t="s">
        <v>1024</v>
      </c>
      <c r="AR540" s="40" t="s">
        <v>1324</v>
      </c>
      <c r="AS540" s="39" t="str">
        <f>データ!P540</f>
        <v>フォースオブウィッシュ／絶</v>
      </c>
      <c r="AT540" s="10" t="s">
        <v>1113</v>
      </c>
      <c r="AU540" s="39" t="str">
        <f>データ!Q540</f>
        <v>騎士団全員のBPを大回復</v>
      </c>
      <c r="AV540" s="10" t="s">
        <v>1024</v>
      </c>
      <c r="AW540" s="40" t="s">
        <v>1324</v>
      </c>
      <c r="AX540" s="39" t="str">
        <f>データ!R540</f>
        <v>アサルト／絶</v>
      </c>
      <c r="AY540" s="10" t="s">
        <v>1113</v>
      </c>
      <c r="AZ540" s="39" t="str">
        <f>データ!S540</f>
        <v>パーティ全体の攻撃力が大UP(3分間)</v>
      </c>
      <c r="BA540" s="41" t="s">
        <v>1024</v>
      </c>
      <c r="BB540" s="40" t="s">
        <v>1319</v>
      </c>
      <c r="BC540" s="39" t="str">
        <f>データ!T540</f>
        <v>-</v>
      </c>
      <c r="BD540" s="41" t="s">
        <v>1024</v>
      </c>
      <c r="BE540" s="40" t="s">
        <v>1320</v>
      </c>
      <c r="BF540" s="39" t="str">
        <f>データ!U540</f>
        <v>-</v>
      </c>
      <c r="BG540" s="41" t="s">
        <v>1024</v>
      </c>
      <c r="BH540" s="40" t="s">
        <v>1319</v>
      </c>
      <c r="BI540" s="39" t="str">
        <f>データ!V540</f>
        <v>ガチャイベ</v>
      </c>
      <c r="BJ540" s="41" t="s">
        <v>1024</v>
      </c>
      <c r="BK540" s="10" t="s">
        <v>1019</v>
      </c>
    </row>
    <row r="541" spans="1:63" x14ac:dyDescent="0.15">
      <c r="A541" s="10" t="s">
        <v>1016</v>
      </c>
      <c r="B541" s="10" t="s">
        <v>1454</v>
      </c>
      <c r="C541" s="38" t="str">
        <f>"./images/thumbnail/"&amp;データ!B541&amp;".jpg"</f>
        <v>./images/thumbnail/1883.jpg</v>
      </c>
      <c r="D541" s="38" t="s">
        <v>1455</v>
      </c>
      <c r="E541" s="38" t="str">
        <f>"./images/thumbnail/"&amp;データ!B541&amp;".jpg"</f>
        <v>./images/thumbnail/1883.jpg</v>
      </c>
      <c r="F541" s="38" t="s">
        <v>1116</v>
      </c>
      <c r="G541" s="38" t="s">
        <v>1319</v>
      </c>
      <c r="H541" s="38" t="str">
        <f>データ!C541</f>
        <v>エルザ</v>
      </c>
      <c r="I541" s="38" t="s">
        <v>1024</v>
      </c>
      <c r="J541" s="38" t="s">
        <v>1320</v>
      </c>
      <c r="K541" s="38" t="str">
        <f>データ!D541</f>
        <v>UR</v>
      </c>
      <c r="L541" s="38" t="s">
        <v>1024</v>
      </c>
      <c r="M541" s="38" t="s">
        <v>1321</v>
      </c>
      <c r="N541" s="38">
        <f>データ!E541</f>
        <v>14</v>
      </c>
      <c r="O541" s="38" t="s">
        <v>1024</v>
      </c>
      <c r="P541" s="38" t="s">
        <v>1319</v>
      </c>
      <c r="Q541" s="38" t="str">
        <f>データ!F541</f>
        <v>斬</v>
      </c>
      <c r="R541" s="38" t="s">
        <v>1024</v>
      </c>
      <c r="S541" s="38" t="s">
        <v>1319</v>
      </c>
      <c r="T541" s="39">
        <f>データ!G541</f>
        <v>18506</v>
      </c>
      <c r="U541" s="40" t="s">
        <v>1024</v>
      </c>
      <c r="V541" s="40" t="s">
        <v>1319</v>
      </c>
      <c r="W541" s="39">
        <f>データ!H541</f>
        <v>9005</v>
      </c>
      <c r="X541" s="40" t="s">
        <v>1024</v>
      </c>
      <c r="Y541" s="40" t="s">
        <v>1319</v>
      </c>
      <c r="Z541" s="39">
        <f>データ!I541</f>
        <v>6328</v>
      </c>
      <c r="AA541" s="40" t="s">
        <v>1024</v>
      </c>
      <c r="AB541" s="40" t="s">
        <v>1322</v>
      </c>
      <c r="AC541" s="39" t="str">
        <f>データ!J541</f>
        <v>S</v>
      </c>
      <c r="AD541" s="38" t="s">
        <v>1024</v>
      </c>
      <c r="AE541" s="40" t="s">
        <v>1323</v>
      </c>
      <c r="AF541" s="39">
        <f>データ!K541</f>
        <v>33839</v>
      </c>
      <c r="AG541" s="40" t="s">
        <v>1024</v>
      </c>
      <c r="AH541" s="40" t="s">
        <v>1324</v>
      </c>
      <c r="AI541" s="39" t="str">
        <f>データ!L541</f>
        <v>暗闇の言霊／煌</v>
      </c>
      <c r="AJ541" s="10" t="s">
        <v>1113</v>
      </c>
      <c r="AK541" s="39" t="str">
        <f>データ!M541</f>
        <v>一定確率で敵を暗闇状態にする[超高確率]</v>
      </c>
      <c r="AL541" s="38" t="s">
        <v>1024</v>
      </c>
      <c r="AM541" s="40" t="s">
        <v>1325</v>
      </c>
      <c r="AN541" s="39" t="str">
        <f>データ!N541</f>
        <v>-</v>
      </c>
      <c r="AO541" s="10" t="s">
        <v>1113</v>
      </c>
      <c r="AP541" s="39" t="str">
        <f>データ!O541</f>
        <v>　</v>
      </c>
      <c r="AQ541" s="41" t="s">
        <v>1024</v>
      </c>
      <c r="AR541" s="40" t="s">
        <v>1324</v>
      </c>
      <c r="AS541" s="39" t="str">
        <f>データ!P541</f>
        <v>アクセラレーター／絶</v>
      </c>
      <c r="AT541" s="10" t="s">
        <v>1113</v>
      </c>
      <c r="AU541" s="39" t="str">
        <f>データ!Q541</f>
        <v>パーティ全体の速度が大UP(3分間)</v>
      </c>
      <c r="AV541" s="10" t="s">
        <v>1024</v>
      </c>
      <c r="AW541" s="40" t="s">
        <v>1324</v>
      </c>
      <c r="AX541" s="39" t="str">
        <f>データ!R541</f>
        <v>-</v>
      </c>
      <c r="AY541" s="10" t="s">
        <v>1113</v>
      </c>
      <c r="AZ541" s="39" t="str">
        <f>データ!S541</f>
        <v>　</v>
      </c>
      <c r="BA541" s="41" t="s">
        <v>1024</v>
      </c>
      <c r="BB541" s="40" t="s">
        <v>1319</v>
      </c>
      <c r="BC541" s="39" t="str">
        <f>データ!T541</f>
        <v>-</v>
      </c>
      <c r="BD541" s="41" t="s">
        <v>1024</v>
      </c>
      <c r="BE541" s="40" t="s">
        <v>1320</v>
      </c>
      <c r="BF541" s="39" t="str">
        <f>データ!U541</f>
        <v>-</v>
      </c>
      <c r="BG541" s="41" t="s">
        <v>1024</v>
      </c>
      <c r="BH541" s="40" t="s">
        <v>1319</v>
      </c>
      <c r="BI541" s="39" t="str">
        <f>データ!V541</f>
        <v>ガチャイベ</v>
      </c>
      <c r="BJ541" s="41" t="s">
        <v>1024</v>
      </c>
      <c r="BK541" s="10" t="s">
        <v>1019</v>
      </c>
    </row>
    <row r="542" spans="1:63" x14ac:dyDescent="0.15">
      <c r="A542" s="10" t="s">
        <v>1016</v>
      </c>
      <c r="B542" s="10" t="s">
        <v>1454</v>
      </c>
      <c r="C542" s="38" t="str">
        <f>"./images/thumbnail/"&amp;データ!B542&amp;".jpg"</f>
        <v>./images/thumbnail/1884.jpg</v>
      </c>
      <c r="D542" s="38" t="s">
        <v>1455</v>
      </c>
      <c r="E542" s="38" t="str">
        <f>"./images/thumbnail/"&amp;データ!B542&amp;".jpg"</f>
        <v>./images/thumbnail/1884.jpg</v>
      </c>
      <c r="F542" s="38" t="s">
        <v>1116</v>
      </c>
      <c r="G542" s="38" t="s">
        <v>1319</v>
      </c>
      <c r="H542" s="38" t="str">
        <f>データ!C542</f>
        <v>シンシア</v>
      </c>
      <c r="I542" s="38" t="s">
        <v>1024</v>
      </c>
      <c r="J542" s="38" t="s">
        <v>1320</v>
      </c>
      <c r="K542" s="38" t="str">
        <f>データ!D542</f>
        <v>UR</v>
      </c>
      <c r="L542" s="38" t="s">
        <v>1024</v>
      </c>
      <c r="M542" s="38" t="s">
        <v>1321</v>
      </c>
      <c r="N542" s="38">
        <f>データ!E542</f>
        <v>15</v>
      </c>
      <c r="O542" s="38" t="s">
        <v>1024</v>
      </c>
      <c r="P542" s="38" t="s">
        <v>1319</v>
      </c>
      <c r="Q542" s="38" t="str">
        <f>データ!F542</f>
        <v>突</v>
      </c>
      <c r="R542" s="38" t="s">
        <v>1024</v>
      </c>
      <c r="S542" s="38" t="s">
        <v>1319</v>
      </c>
      <c r="T542" s="39">
        <f>データ!G542</f>
        <v>23095</v>
      </c>
      <c r="U542" s="40" t="s">
        <v>1024</v>
      </c>
      <c r="V542" s="40" t="s">
        <v>1319</v>
      </c>
      <c r="W542" s="39">
        <f>データ!H542</f>
        <v>6378</v>
      </c>
      <c r="X542" s="40" t="s">
        <v>1024</v>
      </c>
      <c r="Y542" s="40" t="s">
        <v>1319</v>
      </c>
      <c r="Z542" s="39">
        <f>データ!I542</f>
        <v>8357</v>
      </c>
      <c r="AA542" s="40" t="s">
        <v>1024</v>
      </c>
      <c r="AB542" s="40" t="s">
        <v>1322</v>
      </c>
      <c r="AC542" s="39" t="str">
        <f>データ!J542</f>
        <v>SS2</v>
      </c>
      <c r="AD542" s="38" t="s">
        <v>1024</v>
      </c>
      <c r="AE542" s="40" t="s">
        <v>1323</v>
      </c>
      <c r="AF542" s="39">
        <f>データ!K542</f>
        <v>37830</v>
      </c>
      <c r="AG542" s="40" t="s">
        <v>1024</v>
      </c>
      <c r="AH542" s="40" t="s">
        <v>1324</v>
      </c>
      <c r="AI542" s="39" t="str">
        <f>データ!L542</f>
        <v>対翠の突風／煌</v>
      </c>
      <c r="AJ542" s="10" t="s">
        <v>1113</v>
      </c>
      <c r="AK542" s="39" t="str">
        <f>データ!M542</f>
        <v>遠に強く打に弱い縦一列攻撃[特大]</v>
      </c>
      <c r="AL542" s="10" t="s">
        <v>1024</v>
      </c>
      <c r="AM542" s="40" t="s">
        <v>1325</v>
      </c>
      <c r="AN542" s="39" t="str">
        <f>データ!N542</f>
        <v>-</v>
      </c>
      <c r="AO542" s="10" t="s">
        <v>1113</v>
      </c>
      <c r="AP542" s="39" t="str">
        <f>データ!O542</f>
        <v>　</v>
      </c>
      <c r="AQ542" s="41" t="s">
        <v>1024</v>
      </c>
      <c r="AR542" s="40" t="s">
        <v>1324</v>
      </c>
      <c r="AS542" s="39" t="str">
        <f>データ!P542</f>
        <v>ストリーム／絶</v>
      </c>
      <c r="AT542" s="10" t="s">
        <v>1113</v>
      </c>
      <c r="AU542" s="39" t="str">
        <f>データ!Q542</f>
        <v>パーティ全体の攻撃力・速度が大UP(3分間)</v>
      </c>
      <c r="AV542" s="10" t="s">
        <v>1024</v>
      </c>
      <c r="AW542" s="40" t="s">
        <v>1324</v>
      </c>
      <c r="AX542" s="39" t="str">
        <f>データ!R542</f>
        <v>バーサク／真</v>
      </c>
      <c r="AY542" s="10" t="s">
        <v>1113</v>
      </c>
      <c r="AZ542" s="39" t="str">
        <f>データ!S542</f>
        <v>強襲が発生無効、バトル時に攻・防中UP(3分間)</v>
      </c>
      <c r="BA542" s="41" t="s">
        <v>1024</v>
      </c>
      <c r="BB542" s="40" t="s">
        <v>1319</v>
      </c>
      <c r="BC542" s="39" t="str">
        <f>データ!T542</f>
        <v>-</v>
      </c>
      <c r="BD542" s="41" t="s">
        <v>1024</v>
      </c>
      <c r="BE542" s="40" t="s">
        <v>1320</v>
      </c>
      <c r="BF542" s="39" t="str">
        <f>データ!U542</f>
        <v>-</v>
      </c>
      <c r="BG542" s="41" t="s">
        <v>1024</v>
      </c>
      <c r="BH542" s="40" t="s">
        <v>1319</v>
      </c>
      <c r="BI542" s="39" t="str">
        <f>データ!V542</f>
        <v>ガチャイベ</v>
      </c>
      <c r="BJ542" s="41" t="s">
        <v>1024</v>
      </c>
      <c r="BK542" s="10" t="s">
        <v>1019</v>
      </c>
    </row>
    <row r="543" spans="1:63" x14ac:dyDescent="0.15">
      <c r="A543" s="10" t="s">
        <v>1016</v>
      </c>
      <c r="B543" s="10" t="s">
        <v>1454</v>
      </c>
      <c r="C543" s="38" t="str">
        <f>"./images/thumbnail/"&amp;データ!B543&amp;".jpg"</f>
        <v>./images/thumbnail/1885.jpg</v>
      </c>
      <c r="D543" s="38" t="s">
        <v>1455</v>
      </c>
      <c r="E543" s="38" t="str">
        <f>"./images/thumbnail/"&amp;データ!B543&amp;".jpg"</f>
        <v>./images/thumbnail/1885.jpg</v>
      </c>
      <c r="F543" s="38" t="s">
        <v>1116</v>
      </c>
      <c r="G543" s="38" t="s">
        <v>1319</v>
      </c>
      <c r="H543" s="38" t="str">
        <f>データ!C543</f>
        <v>モーリス</v>
      </c>
      <c r="I543" s="38" t="s">
        <v>1024</v>
      </c>
      <c r="J543" s="38" t="s">
        <v>1320</v>
      </c>
      <c r="K543" s="38" t="str">
        <f>データ!D543</f>
        <v>UR</v>
      </c>
      <c r="L543" s="38" t="s">
        <v>1024</v>
      </c>
      <c r="M543" s="38" t="s">
        <v>1321</v>
      </c>
      <c r="N543" s="38">
        <f>データ!E543</f>
        <v>15</v>
      </c>
      <c r="O543" s="38" t="s">
        <v>1024</v>
      </c>
      <c r="P543" s="38" t="s">
        <v>1319</v>
      </c>
      <c r="Q543" s="38" t="str">
        <f>データ!F543</f>
        <v>打</v>
      </c>
      <c r="R543" s="38" t="s">
        <v>1024</v>
      </c>
      <c r="S543" s="38" t="s">
        <v>1319</v>
      </c>
      <c r="T543" s="39">
        <f>データ!G543</f>
        <v>29421</v>
      </c>
      <c r="U543" s="40" t="s">
        <v>1024</v>
      </c>
      <c r="V543" s="40" t="s">
        <v>1319</v>
      </c>
      <c r="W543" s="39">
        <f>データ!H543</f>
        <v>7543</v>
      </c>
      <c r="X543" s="40" t="s">
        <v>1024</v>
      </c>
      <c r="Y543" s="40" t="s">
        <v>1319</v>
      </c>
      <c r="Z543" s="39">
        <f>データ!I543</f>
        <v>11027</v>
      </c>
      <c r="AA543" s="40" t="s">
        <v>1024</v>
      </c>
      <c r="AB543" s="40" t="s">
        <v>1322</v>
      </c>
      <c r="AC543" s="39" t="str">
        <f>データ!J543</f>
        <v>S</v>
      </c>
      <c r="AD543" s="38" t="s">
        <v>1024</v>
      </c>
      <c r="AE543" s="40" t="s">
        <v>1323</v>
      </c>
      <c r="AF543" s="39">
        <f>データ!K543</f>
        <v>47991</v>
      </c>
      <c r="AG543" s="40" t="s">
        <v>1024</v>
      </c>
      <c r="AH543" s="40" t="s">
        <v>1324</v>
      </c>
      <c r="AI543" s="39" t="str">
        <f>データ!L543</f>
        <v>強奪者の雷／煌</v>
      </c>
      <c r="AJ543" s="10" t="s">
        <v>1113</v>
      </c>
      <c r="AK543" s="39" t="str">
        <f>データ!M543</f>
        <v>単体攻撃（宝箱優先／追加ダメージ）[特大]</v>
      </c>
      <c r="AL543" s="10" t="s">
        <v>1024</v>
      </c>
      <c r="AM543" s="40" t="s">
        <v>1325</v>
      </c>
      <c r="AN543" s="39" t="str">
        <f>データ!N543</f>
        <v>-</v>
      </c>
      <c r="AO543" s="10" t="s">
        <v>1113</v>
      </c>
      <c r="AP543" s="39" t="str">
        <f>データ!O543</f>
        <v>　</v>
      </c>
      <c r="AQ543" s="41" t="s">
        <v>1024</v>
      </c>
      <c r="AR543" s="40" t="s">
        <v>1324</v>
      </c>
      <c r="AS543" s="39" t="str">
        <f>データ!P543</f>
        <v>シャドウ／真</v>
      </c>
      <c r="AT543" s="10" t="s">
        <v>1113</v>
      </c>
      <c r="AU543" s="39" t="str">
        <f>データ!Q543</f>
        <v>バトル時の強襲CB率が中UP(3分間)</v>
      </c>
      <c r="AV543" s="10" t="s">
        <v>1024</v>
      </c>
      <c r="AW543" s="40" t="s">
        <v>1324</v>
      </c>
      <c r="AX543" s="39" t="str">
        <f>データ!R543</f>
        <v>リヴァイブ／絶</v>
      </c>
      <c r="AY543" s="10" t="s">
        <v>1113</v>
      </c>
      <c r="AZ543" s="39" t="str">
        <f>データ!S543</f>
        <v>高確率で戦闘不能ユニットを復帰</v>
      </c>
      <c r="BA543" s="41" t="s">
        <v>1024</v>
      </c>
      <c r="BB543" s="40" t="s">
        <v>1319</v>
      </c>
      <c r="BC543" s="39" t="str">
        <f>データ!T543</f>
        <v>-</v>
      </c>
      <c r="BD543" s="41" t="s">
        <v>1024</v>
      </c>
      <c r="BE543" s="40" t="s">
        <v>1320</v>
      </c>
      <c r="BF543" s="39" t="str">
        <f>データ!U543</f>
        <v>-</v>
      </c>
      <c r="BG543" s="41" t="s">
        <v>1024</v>
      </c>
      <c r="BH543" s="40" t="s">
        <v>1319</v>
      </c>
      <c r="BI543" s="39" t="str">
        <f>データ!V543</f>
        <v>ガチャイベ</v>
      </c>
      <c r="BJ543" s="41" t="s">
        <v>1024</v>
      </c>
      <c r="BK543" s="10" t="s">
        <v>1019</v>
      </c>
    </row>
    <row r="544" spans="1:63" x14ac:dyDescent="0.15">
      <c r="A544" s="10" t="s">
        <v>1016</v>
      </c>
      <c r="B544" s="10" t="s">
        <v>1454</v>
      </c>
      <c r="C544" s="38" t="str">
        <f>"./images/thumbnail/"&amp;データ!B544&amp;".jpg"</f>
        <v>./images/thumbnail/1886.jpg</v>
      </c>
      <c r="D544" s="38" t="s">
        <v>1455</v>
      </c>
      <c r="E544" s="38" t="str">
        <f>"./images/thumbnail/"&amp;データ!B544&amp;".jpg"</f>
        <v>./images/thumbnail/1886.jpg</v>
      </c>
      <c r="F544" s="38" t="s">
        <v>1116</v>
      </c>
      <c r="G544" s="38" t="s">
        <v>1319</v>
      </c>
      <c r="H544" s="38" t="str">
        <f>データ!C544</f>
        <v>ナタン</v>
      </c>
      <c r="I544" s="38" t="s">
        <v>1024</v>
      </c>
      <c r="J544" s="38" t="s">
        <v>1320</v>
      </c>
      <c r="K544" s="38" t="str">
        <f>データ!D544</f>
        <v>UR</v>
      </c>
      <c r="L544" s="38" t="s">
        <v>1024</v>
      </c>
      <c r="M544" s="38" t="s">
        <v>1321</v>
      </c>
      <c r="N544" s="38">
        <f>データ!E544</f>
        <v>14</v>
      </c>
      <c r="O544" s="38" t="s">
        <v>1024</v>
      </c>
      <c r="P544" s="38" t="s">
        <v>1319</v>
      </c>
      <c r="Q544" s="38" t="str">
        <f>データ!F544</f>
        <v>遠</v>
      </c>
      <c r="R544" s="38" t="s">
        <v>1024</v>
      </c>
      <c r="S544" s="38" t="s">
        <v>1319</v>
      </c>
      <c r="T544" s="39">
        <f>データ!G544</f>
        <v>20458</v>
      </c>
      <c r="U544" s="40" t="s">
        <v>1024</v>
      </c>
      <c r="V544" s="40" t="s">
        <v>1319</v>
      </c>
      <c r="W544" s="39">
        <f>データ!H544</f>
        <v>7010</v>
      </c>
      <c r="X544" s="40" t="s">
        <v>1024</v>
      </c>
      <c r="Y544" s="40" t="s">
        <v>1319</v>
      </c>
      <c r="Z544" s="39">
        <f>データ!I544</f>
        <v>5880</v>
      </c>
      <c r="AA544" s="40" t="s">
        <v>1024</v>
      </c>
      <c r="AB544" s="40" t="s">
        <v>1322</v>
      </c>
      <c r="AC544" s="39" t="str">
        <f>データ!J544</f>
        <v>S+</v>
      </c>
      <c r="AD544" s="38" t="s">
        <v>1024</v>
      </c>
      <c r="AE544" s="40" t="s">
        <v>1323</v>
      </c>
      <c r="AF544" s="39">
        <f>データ!K544</f>
        <v>33348</v>
      </c>
      <c r="AG544" s="40" t="s">
        <v>1024</v>
      </c>
      <c r="AH544" s="40" t="s">
        <v>1324</v>
      </c>
      <c r="AI544" s="39" t="str">
        <f>データ!L544</f>
        <v>対紫の突風／煌</v>
      </c>
      <c r="AJ544" s="10" t="s">
        <v>1113</v>
      </c>
      <c r="AK544" s="39" t="str">
        <f>データ!M544</f>
        <v>打に強く遠に弱い縦一列攻撃[特大]</v>
      </c>
      <c r="AL544" s="10" t="s">
        <v>1024</v>
      </c>
      <c r="AM544" s="40" t="s">
        <v>1325</v>
      </c>
      <c r="AN544" s="39" t="str">
        <f>データ!N544</f>
        <v>-</v>
      </c>
      <c r="AO544" s="10" t="s">
        <v>1113</v>
      </c>
      <c r="AP544" s="39" t="str">
        <f>データ!O544</f>
        <v>　</v>
      </c>
      <c r="AQ544" s="41" t="s">
        <v>1024</v>
      </c>
      <c r="AR544" s="40" t="s">
        <v>1324</v>
      </c>
      <c r="AS544" s="39" t="str">
        <f>データ!P544</f>
        <v>アサルトオーダー／真</v>
      </c>
      <c r="AT544" s="10" t="s">
        <v>1113</v>
      </c>
      <c r="AU544" s="39" t="str">
        <f>データ!Q544</f>
        <v>騎士団全体の攻撃力が中UP(3分間)</v>
      </c>
      <c r="AV544" s="10" t="s">
        <v>1024</v>
      </c>
      <c r="AW544" s="40" t="s">
        <v>1324</v>
      </c>
      <c r="AX544" s="39" t="str">
        <f>データ!R544</f>
        <v>-</v>
      </c>
      <c r="AY544" s="10" t="s">
        <v>1113</v>
      </c>
      <c r="AZ544" s="39" t="str">
        <f>データ!S544</f>
        <v>　</v>
      </c>
      <c r="BA544" s="41" t="s">
        <v>1024</v>
      </c>
      <c r="BB544" s="40" t="s">
        <v>1319</v>
      </c>
      <c r="BC544" s="39" t="str">
        <f>データ!T544</f>
        <v>-</v>
      </c>
      <c r="BD544" s="41" t="s">
        <v>1024</v>
      </c>
      <c r="BE544" s="40" t="s">
        <v>1320</v>
      </c>
      <c r="BF544" s="39" t="str">
        <f>データ!U544</f>
        <v>-</v>
      </c>
      <c r="BG544" s="41" t="s">
        <v>1024</v>
      </c>
      <c r="BH544" s="40" t="s">
        <v>1319</v>
      </c>
      <c r="BI544" s="39" t="str">
        <f>データ!V544</f>
        <v>ガチャイベ</v>
      </c>
      <c r="BJ544" s="41" t="s">
        <v>1024</v>
      </c>
      <c r="BK544" s="10" t="s">
        <v>1019</v>
      </c>
    </row>
    <row r="545" spans="1:63" x14ac:dyDescent="0.15">
      <c r="A545" s="10" t="s">
        <v>1016</v>
      </c>
      <c r="B545" s="10" t="s">
        <v>1454</v>
      </c>
      <c r="C545" s="38" t="str">
        <f>"./images/thumbnail/"&amp;データ!B545&amp;".jpg"</f>
        <v>./images/thumbnail/1888.jpg</v>
      </c>
      <c r="D545" s="38" t="s">
        <v>1455</v>
      </c>
      <c r="E545" s="38" t="str">
        <f>"./images/thumbnail/"&amp;データ!B545&amp;".jpg"</f>
        <v>./images/thumbnail/1888.jpg</v>
      </c>
      <c r="F545" s="38" t="s">
        <v>1116</v>
      </c>
      <c r="G545" s="38" t="s">
        <v>1319</v>
      </c>
      <c r="H545" s="38" t="str">
        <f>データ!C545</f>
        <v>プレンシェル</v>
      </c>
      <c r="I545" s="38" t="s">
        <v>1024</v>
      </c>
      <c r="J545" s="38" t="s">
        <v>1320</v>
      </c>
      <c r="K545" s="38" t="str">
        <f>データ!D545</f>
        <v>UR</v>
      </c>
      <c r="L545" s="38" t="s">
        <v>1024</v>
      </c>
      <c r="M545" s="38" t="s">
        <v>1321</v>
      </c>
      <c r="N545" s="38">
        <f>データ!E545</f>
        <v>14</v>
      </c>
      <c r="O545" s="38" t="s">
        <v>1024</v>
      </c>
      <c r="P545" s="38" t="s">
        <v>1319</v>
      </c>
      <c r="Q545" s="38" t="str">
        <f>データ!F545</f>
        <v>打</v>
      </c>
      <c r="R545" s="38" t="s">
        <v>1024</v>
      </c>
      <c r="S545" s="38" t="s">
        <v>1319</v>
      </c>
      <c r="T545" s="39">
        <f>データ!G545</f>
        <v>22786</v>
      </c>
      <c r="U545" s="40" t="s">
        <v>1024</v>
      </c>
      <c r="V545" s="40" t="s">
        <v>1319</v>
      </c>
      <c r="W545" s="39">
        <f>データ!H545</f>
        <v>6789</v>
      </c>
      <c r="X545" s="40" t="s">
        <v>1024</v>
      </c>
      <c r="Y545" s="40" t="s">
        <v>1319</v>
      </c>
      <c r="Z545" s="39">
        <f>データ!I545</f>
        <v>9549</v>
      </c>
      <c r="AA545" s="40" t="s">
        <v>1024</v>
      </c>
      <c r="AB545" s="40" t="s">
        <v>1322</v>
      </c>
      <c r="AC545" s="39" t="str">
        <f>データ!J545</f>
        <v>A+</v>
      </c>
      <c r="AD545" s="38" t="s">
        <v>1024</v>
      </c>
      <c r="AE545" s="40" t="s">
        <v>1323</v>
      </c>
      <c r="AF545" s="39">
        <f>データ!K545</f>
        <v>39124</v>
      </c>
      <c r="AG545" s="40" t="s">
        <v>1024</v>
      </c>
      <c r="AH545" s="40" t="s">
        <v>1324</v>
      </c>
      <c r="AI545" s="39" t="str">
        <f>データ!L545</f>
        <v>天幻光の交叉線／煌</v>
      </c>
      <c r="AJ545" s="10" t="s">
        <v>1113</v>
      </c>
      <c r="AK545" s="39" t="str">
        <f>データ!M545</f>
        <v>X字型攻撃[特大]自分の攻撃力UP[特大]</v>
      </c>
      <c r="AL545" s="10" t="s">
        <v>1024</v>
      </c>
      <c r="AM545" s="40" t="s">
        <v>1325</v>
      </c>
      <c r="AN545" s="39" t="str">
        <f>データ!N545</f>
        <v>-</v>
      </c>
      <c r="AO545" s="10" t="s">
        <v>1113</v>
      </c>
      <c r="AP545" s="39" t="str">
        <f>データ!O545</f>
        <v>　</v>
      </c>
      <c r="AQ545" s="41" t="s">
        <v>1024</v>
      </c>
      <c r="AR545" s="40" t="s">
        <v>1324</v>
      </c>
      <c r="AS545" s="39" t="str">
        <f>データ!P545</f>
        <v>キャッスルヴェール／真</v>
      </c>
      <c r="AT545" s="10" t="s">
        <v>1113</v>
      </c>
      <c r="AU545" s="39" t="str">
        <f>データ!Q545</f>
        <v>城の強度Lvが中UP(3分間)</v>
      </c>
      <c r="AV545" s="10" t="s">
        <v>1024</v>
      </c>
      <c r="AW545" s="40" t="s">
        <v>1324</v>
      </c>
      <c r="AX545" s="39" t="str">
        <f>データ!R545</f>
        <v>-</v>
      </c>
      <c r="AY545" s="10" t="s">
        <v>1113</v>
      </c>
      <c r="AZ545" s="39" t="str">
        <f>データ!S545</f>
        <v>　</v>
      </c>
      <c r="BA545" s="41" t="s">
        <v>1024</v>
      </c>
      <c r="BB545" s="40" t="s">
        <v>1319</v>
      </c>
      <c r="BC545" s="39" t="str">
        <f>データ!T545</f>
        <v>-</v>
      </c>
      <c r="BD545" s="41" t="s">
        <v>1024</v>
      </c>
      <c r="BE545" s="40" t="s">
        <v>1320</v>
      </c>
      <c r="BF545" s="39" t="str">
        <f>データ!U545</f>
        <v>-</v>
      </c>
      <c r="BG545" s="41" t="s">
        <v>1024</v>
      </c>
      <c r="BH545" s="40" t="s">
        <v>1319</v>
      </c>
      <c r="BI545" s="39" t="str">
        <f>データ!V545</f>
        <v>常設</v>
      </c>
      <c r="BJ545" s="41" t="s">
        <v>1024</v>
      </c>
      <c r="BK545" s="10" t="s">
        <v>1019</v>
      </c>
    </row>
    <row r="546" spans="1:63" x14ac:dyDescent="0.15">
      <c r="A546" s="10" t="s">
        <v>1016</v>
      </c>
      <c r="B546" s="10" t="s">
        <v>1454</v>
      </c>
      <c r="C546" s="38" t="str">
        <f>"./images/thumbnail/"&amp;データ!B546&amp;".jpg"</f>
        <v>./images/thumbnail/1888_a.jpg</v>
      </c>
      <c r="D546" s="38" t="s">
        <v>1455</v>
      </c>
      <c r="E546" s="38" t="str">
        <f>"./images/thumbnail/"&amp;データ!B546&amp;".jpg"</f>
        <v>./images/thumbnail/1888_a.jpg</v>
      </c>
      <c r="F546" s="38" t="s">
        <v>1116</v>
      </c>
      <c r="G546" s="38" t="s">
        <v>1319</v>
      </c>
      <c r="H546" s="38" t="str">
        <f>データ!C546</f>
        <v>プレンシェル</v>
      </c>
      <c r="I546" s="38" t="s">
        <v>1024</v>
      </c>
      <c r="J546" s="38" t="s">
        <v>1320</v>
      </c>
      <c r="K546" s="38" t="str">
        <f>データ!D546</f>
        <v>UR</v>
      </c>
      <c r="L546" s="38" t="s">
        <v>1024</v>
      </c>
      <c r="M546" s="38" t="s">
        <v>1321</v>
      </c>
      <c r="N546" s="38">
        <f>データ!E546</f>
        <v>14</v>
      </c>
      <c r="O546" s="38" t="s">
        <v>1024</v>
      </c>
      <c r="P546" s="38" t="s">
        <v>1319</v>
      </c>
      <c r="Q546" s="38" t="str">
        <f>データ!F546</f>
        <v>打</v>
      </c>
      <c r="R546" s="38" t="s">
        <v>1024</v>
      </c>
      <c r="S546" s="38" t="s">
        <v>1319</v>
      </c>
      <c r="T546" s="39">
        <f>データ!G546</f>
        <v>30766</v>
      </c>
      <c r="U546" s="40" t="s">
        <v>1024</v>
      </c>
      <c r="V546" s="40" t="s">
        <v>1319</v>
      </c>
      <c r="W546" s="39">
        <f>データ!H546</f>
        <v>8826</v>
      </c>
      <c r="X546" s="40" t="s">
        <v>1024</v>
      </c>
      <c r="Y546" s="40" t="s">
        <v>1319</v>
      </c>
      <c r="Z546" s="39">
        <f>データ!I546</f>
        <v>12888</v>
      </c>
      <c r="AA546" s="40" t="s">
        <v>1024</v>
      </c>
      <c r="AB546" s="40" t="s">
        <v>1322</v>
      </c>
      <c r="AC546" s="39" t="str">
        <f>データ!J546</f>
        <v>SS-</v>
      </c>
      <c r="AD546" s="38" t="s">
        <v>1024</v>
      </c>
      <c r="AE546" s="40" t="s">
        <v>1323</v>
      </c>
      <c r="AF546" s="39">
        <f>データ!K546</f>
        <v>52480</v>
      </c>
      <c r="AG546" s="40" t="s">
        <v>1024</v>
      </c>
      <c r="AH546" s="40" t="s">
        <v>1324</v>
      </c>
      <c r="AI546" s="39" t="str">
        <f>データ!L546</f>
        <v>天幻光の交叉線／煌＋</v>
      </c>
      <c r="AJ546" s="10" t="s">
        <v>1113</v>
      </c>
      <c r="AK546" s="39" t="str">
        <f>データ!M546</f>
        <v>X字型攻撃[極大]自分の攻撃力UP[極大]</v>
      </c>
      <c r="AL546" s="10" t="s">
        <v>1024</v>
      </c>
      <c r="AM546" s="40" t="s">
        <v>1325</v>
      </c>
      <c r="AN546" s="39" t="str">
        <f>データ!N546</f>
        <v>-</v>
      </c>
      <c r="AO546" s="10" t="s">
        <v>1113</v>
      </c>
      <c r="AP546" s="39" t="str">
        <f>データ!O546</f>
        <v>　</v>
      </c>
      <c r="AQ546" s="41" t="s">
        <v>1024</v>
      </c>
      <c r="AR546" s="40" t="s">
        <v>1324</v>
      </c>
      <c r="AS546" s="39" t="str">
        <f>データ!P546</f>
        <v>キャッスルヴェール／真</v>
      </c>
      <c r="AT546" s="10" t="s">
        <v>1113</v>
      </c>
      <c r="AU546" s="39" t="str">
        <f>データ!Q546</f>
        <v>城の強度Lvが中UP(3分間)</v>
      </c>
      <c r="AV546" s="10" t="s">
        <v>1024</v>
      </c>
      <c r="AW546" s="40" t="s">
        <v>1324</v>
      </c>
      <c r="AX546" s="39" t="str">
        <f>データ!R546</f>
        <v>-</v>
      </c>
      <c r="AY546" s="10" t="s">
        <v>1113</v>
      </c>
      <c r="AZ546" s="39" t="str">
        <f>データ!S546</f>
        <v>　</v>
      </c>
      <c r="BA546" s="41" t="s">
        <v>1024</v>
      </c>
      <c r="BB546" s="40" t="s">
        <v>1319</v>
      </c>
      <c r="BC546" s="39" t="str">
        <f>データ!T546</f>
        <v>-</v>
      </c>
      <c r="BD546" s="41" t="s">
        <v>1024</v>
      </c>
      <c r="BE546" s="40" t="s">
        <v>1320</v>
      </c>
      <c r="BF546" s="39" t="str">
        <f>データ!U546</f>
        <v>-</v>
      </c>
      <c r="BG546" s="41" t="s">
        <v>1024</v>
      </c>
      <c r="BH546" s="40" t="s">
        <v>1319</v>
      </c>
      <c r="BI546" s="39" t="str">
        <f>データ!V546</f>
        <v>精鋭化ユニット</v>
      </c>
      <c r="BJ546" s="41" t="s">
        <v>1024</v>
      </c>
      <c r="BK546" s="10" t="s">
        <v>1019</v>
      </c>
    </row>
    <row r="547" spans="1:63" x14ac:dyDescent="0.15">
      <c r="A547" s="10" t="s">
        <v>1016</v>
      </c>
      <c r="B547" s="10" t="s">
        <v>1454</v>
      </c>
      <c r="C547" s="38" t="str">
        <f>"./images/thumbnail/"&amp;データ!B547&amp;".jpg"</f>
        <v>./images/thumbnail/1888_b.jpg</v>
      </c>
      <c r="D547" s="38" t="s">
        <v>1455</v>
      </c>
      <c r="E547" s="38" t="str">
        <f>"./images/thumbnail/"&amp;データ!B547&amp;".jpg"</f>
        <v>./images/thumbnail/1888_b.jpg</v>
      </c>
      <c r="F547" s="38" t="s">
        <v>1116</v>
      </c>
      <c r="G547" s="38" t="s">
        <v>1319</v>
      </c>
      <c r="H547" s="38" t="str">
        <f>データ!C547</f>
        <v>プレンシェル</v>
      </c>
      <c r="I547" s="38" t="s">
        <v>1024</v>
      </c>
      <c r="J547" s="38" t="s">
        <v>1320</v>
      </c>
      <c r="K547" s="38" t="str">
        <f>データ!D547</f>
        <v>UR</v>
      </c>
      <c r="L547" s="38" t="s">
        <v>1024</v>
      </c>
      <c r="M547" s="38" t="s">
        <v>1321</v>
      </c>
      <c r="N547" s="38">
        <f>データ!E547</f>
        <v>14</v>
      </c>
      <c r="O547" s="38" t="s">
        <v>1024</v>
      </c>
      <c r="P547" s="38" t="s">
        <v>1319</v>
      </c>
      <c r="Q547" s="38" t="str">
        <f>データ!F547</f>
        <v>打</v>
      </c>
      <c r="R547" s="38" t="s">
        <v>1024</v>
      </c>
      <c r="S547" s="38" t="s">
        <v>1319</v>
      </c>
      <c r="T547" s="39">
        <f>データ!G547</f>
        <v>28477</v>
      </c>
      <c r="U547" s="40" t="s">
        <v>1024</v>
      </c>
      <c r="V547" s="40" t="s">
        <v>1319</v>
      </c>
      <c r="W547" s="39">
        <f>データ!H547</f>
        <v>8490</v>
      </c>
      <c r="X547" s="40" t="s">
        <v>1024</v>
      </c>
      <c r="Y547" s="40" t="s">
        <v>1319</v>
      </c>
      <c r="Z547" s="39">
        <f>データ!I547</f>
        <v>11943</v>
      </c>
      <c r="AA547" s="40" t="s">
        <v>1024</v>
      </c>
      <c r="AB547" s="40" t="s">
        <v>1322</v>
      </c>
      <c r="AC547" s="39" t="str">
        <f>データ!J547</f>
        <v>SS-</v>
      </c>
      <c r="AD547" s="38" t="s">
        <v>1024</v>
      </c>
      <c r="AE547" s="40" t="s">
        <v>1323</v>
      </c>
      <c r="AF547" s="39">
        <f>データ!K547</f>
        <v>48910</v>
      </c>
      <c r="AG547" s="40" t="s">
        <v>1024</v>
      </c>
      <c r="AH547" s="40" t="s">
        <v>1324</v>
      </c>
      <c r="AI547" s="39" t="str">
        <f>データ!L547</f>
        <v>天幻光の交叉線／煌</v>
      </c>
      <c r="AJ547" s="10" t="s">
        <v>1113</v>
      </c>
      <c r="AK547" s="39" t="str">
        <f>データ!M547</f>
        <v>X字型攻撃[特大]自分の攻撃力UP[特大]</v>
      </c>
      <c r="AL547" s="10" t="s">
        <v>1024</v>
      </c>
      <c r="AM547" s="40" t="s">
        <v>1325</v>
      </c>
      <c r="AN547" s="39" t="str">
        <f>データ!N547</f>
        <v>-</v>
      </c>
      <c r="AO547" s="10" t="s">
        <v>1113</v>
      </c>
      <c r="AP547" s="39" t="str">
        <f>データ!O547</f>
        <v>　</v>
      </c>
      <c r="AQ547" s="41" t="s">
        <v>1024</v>
      </c>
      <c r="AR547" s="40" t="s">
        <v>1324</v>
      </c>
      <c r="AS547" s="39" t="str">
        <f>データ!P547</f>
        <v>再起への一撃</v>
      </c>
      <c r="AT547" s="10" t="s">
        <v>1113</v>
      </c>
      <c r="AU547" s="39" t="str">
        <f>データ!Q547</f>
        <v>城の強度Lvが特大UP(3分間)</v>
      </c>
      <c r="AV547" s="10" t="s">
        <v>1024</v>
      </c>
      <c r="AW547" s="40" t="s">
        <v>1324</v>
      </c>
      <c r="AX547" s="39" t="str">
        <f>データ!R547</f>
        <v>-</v>
      </c>
      <c r="AY547" s="10" t="s">
        <v>1113</v>
      </c>
      <c r="AZ547" s="39" t="str">
        <f>データ!S547</f>
        <v>　</v>
      </c>
      <c r="BA547" s="41" t="s">
        <v>1024</v>
      </c>
      <c r="BB547" s="40" t="s">
        <v>1319</v>
      </c>
      <c r="BC547" s="39" t="str">
        <f>データ!T547</f>
        <v>-</v>
      </c>
      <c r="BD547" s="41" t="s">
        <v>1024</v>
      </c>
      <c r="BE547" s="40" t="s">
        <v>1320</v>
      </c>
      <c r="BF547" s="39" t="str">
        <f>データ!U547</f>
        <v>-</v>
      </c>
      <c r="BG547" s="41" t="s">
        <v>1024</v>
      </c>
      <c r="BH547" s="40" t="s">
        <v>1319</v>
      </c>
      <c r="BI547" s="39" t="str">
        <f>データ!V547</f>
        <v>精鋭化ユニット</v>
      </c>
      <c r="BJ547" s="41" t="s">
        <v>1024</v>
      </c>
      <c r="BK547" s="10" t="s">
        <v>1019</v>
      </c>
    </row>
    <row r="548" spans="1:63" x14ac:dyDescent="0.15">
      <c r="A548" s="10" t="s">
        <v>1016</v>
      </c>
      <c r="B548" s="10" t="s">
        <v>1454</v>
      </c>
      <c r="C548" s="38" t="str">
        <f>"./images/thumbnail/"&amp;データ!B548&amp;".jpg"</f>
        <v>./images/thumbnail/1890.jpg</v>
      </c>
      <c r="D548" s="38" t="s">
        <v>1455</v>
      </c>
      <c r="E548" s="38" t="str">
        <f>"./images/thumbnail/"&amp;データ!B548&amp;".jpg"</f>
        <v>./images/thumbnail/1890.jpg</v>
      </c>
      <c r="F548" s="38" t="s">
        <v>1116</v>
      </c>
      <c r="G548" s="38" t="s">
        <v>1319</v>
      </c>
      <c r="H548" s="38" t="str">
        <f>データ!C548</f>
        <v>ミチル</v>
      </c>
      <c r="I548" s="38" t="s">
        <v>1024</v>
      </c>
      <c r="J548" s="38" t="s">
        <v>1320</v>
      </c>
      <c r="K548" s="38" t="str">
        <f>データ!D548</f>
        <v>UR</v>
      </c>
      <c r="L548" s="38" t="s">
        <v>1024</v>
      </c>
      <c r="M548" s="38" t="s">
        <v>1321</v>
      </c>
      <c r="N548" s="38">
        <f>データ!E548</f>
        <v>15</v>
      </c>
      <c r="O548" s="38" t="s">
        <v>1024</v>
      </c>
      <c r="P548" s="38" t="s">
        <v>1319</v>
      </c>
      <c r="Q548" s="38" t="str">
        <f>データ!F548</f>
        <v>遠</v>
      </c>
      <c r="R548" s="38" t="s">
        <v>1024</v>
      </c>
      <c r="S548" s="38" t="s">
        <v>1319</v>
      </c>
      <c r="T548" s="39">
        <f>データ!G548</f>
        <v>21983</v>
      </c>
      <c r="U548" s="40" t="s">
        <v>1024</v>
      </c>
      <c r="V548" s="40" t="s">
        <v>1319</v>
      </c>
      <c r="W548" s="39">
        <f>データ!H548</f>
        <v>7051</v>
      </c>
      <c r="X548" s="40" t="s">
        <v>1024</v>
      </c>
      <c r="Y548" s="40" t="s">
        <v>1319</v>
      </c>
      <c r="Z548" s="39">
        <f>データ!I548</f>
        <v>7358</v>
      </c>
      <c r="AA548" s="40" t="s">
        <v>1024</v>
      </c>
      <c r="AB548" s="40" t="s">
        <v>1322</v>
      </c>
      <c r="AC548" s="39" t="str">
        <f>データ!J548</f>
        <v>SS</v>
      </c>
      <c r="AD548" s="38" t="s">
        <v>1024</v>
      </c>
      <c r="AE548" s="40" t="s">
        <v>1323</v>
      </c>
      <c r="AF548" s="39">
        <f>データ!K548</f>
        <v>36392</v>
      </c>
      <c r="AG548" s="40" t="s">
        <v>1024</v>
      </c>
      <c r="AH548" s="40" t="s">
        <v>1324</v>
      </c>
      <c r="AI548" s="39" t="str">
        <f>データ!L548</f>
        <v>遠翠の神威</v>
      </c>
      <c r="AJ548" s="10" t="s">
        <v>1113</v>
      </c>
      <c r="AK548" s="39" t="str">
        <f>データ!M548</f>
        <v>味方遠属性の攻撃力をUP[特大]</v>
      </c>
      <c r="AL548" s="10" t="s">
        <v>1024</v>
      </c>
      <c r="AM548" s="40" t="s">
        <v>1325</v>
      </c>
      <c r="AN548" s="39" t="str">
        <f>データ!N548</f>
        <v>-</v>
      </c>
      <c r="AO548" s="10" t="s">
        <v>1113</v>
      </c>
      <c r="AP548" s="39" t="str">
        <f>データ!O548</f>
        <v>　</v>
      </c>
      <c r="AQ548" s="41" t="s">
        <v>1024</v>
      </c>
      <c r="AR548" s="40" t="s">
        <v>1324</v>
      </c>
      <c r="AS548" s="39" t="str">
        <f>データ!P548</f>
        <v>ジャガーノート／絶</v>
      </c>
      <c r="AT548" s="10" t="s">
        <v>1113</v>
      </c>
      <c r="AU548" s="39" t="str">
        <f>データ!Q548</f>
        <v>バトルで敵を全滅するとBPが大回復(バトル3回)</v>
      </c>
      <c r="AV548" s="10" t="s">
        <v>1024</v>
      </c>
      <c r="AW548" s="40" t="s">
        <v>1324</v>
      </c>
      <c r="AX548" s="39" t="str">
        <f>データ!R548</f>
        <v>エッジノート／絶</v>
      </c>
      <c r="AY548" s="10" t="s">
        <v>1113</v>
      </c>
      <c r="AZ548" s="39" t="str">
        <f>データ!S548</f>
        <v>CB時に獲得ポイント大UP＆BPが大回復(3回)</v>
      </c>
      <c r="BA548" s="41" t="s">
        <v>1024</v>
      </c>
      <c r="BB548" s="40" t="s">
        <v>1319</v>
      </c>
      <c r="BC548" s="39" t="str">
        <f>データ!T548</f>
        <v>-</v>
      </c>
      <c r="BD548" s="41" t="s">
        <v>1024</v>
      </c>
      <c r="BE548" s="40" t="s">
        <v>1320</v>
      </c>
      <c r="BF548" s="39" t="str">
        <f>データ!U548</f>
        <v>-</v>
      </c>
      <c r="BG548" s="41" t="s">
        <v>1024</v>
      </c>
      <c r="BH548" s="40" t="s">
        <v>1319</v>
      </c>
      <c r="BI548" s="39" t="str">
        <f>データ!V548</f>
        <v>ガチャイベ</v>
      </c>
      <c r="BJ548" s="41" t="s">
        <v>1024</v>
      </c>
      <c r="BK548" s="10" t="s">
        <v>1019</v>
      </c>
    </row>
    <row r="549" spans="1:63" x14ac:dyDescent="0.15">
      <c r="A549" s="10" t="s">
        <v>1016</v>
      </c>
      <c r="B549" s="10" t="s">
        <v>1454</v>
      </c>
      <c r="C549" s="38" t="str">
        <f>"./images/thumbnail/"&amp;データ!B549&amp;".jpg"</f>
        <v>./images/thumbnail/1892.jpg</v>
      </c>
      <c r="D549" s="38" t="s">
        <v>1455</v>
      </c>
      <c r="E549" s="38" t="str">
        <f>"./images/thumbnail/"&amp;データ!B549&amp;".jpg"</f>
        <v>./images/thumbnail/1892.jpg</v>
      </c>
      <c r="F549" s="38" t="s">
        <v>1116</v>
      </c>
      <c r="G549" s="38" t="s">
        <v>1319</v>
      </c>
      <c r="H549" s="38" t="str">
        <f>データ!C549</f>
        <v>ロラン</v>
      </c>
      <c r="I549" s="38" t="s">
        <v>1024</v>
      </c>
      <c r="J549" s="38" t="s">
        <v>1320</v>
      </c>
      <c r="K549" s="38" t="str">
        <f>データ!D549</f>
        <v>SSR</v>
      </c>
      <c r="L549" s="38" t="s">
        <v>1024</v>
      </c>
      <c r="M549" s="38" t="s">
        <v>1321</v>
      </c>
      <c r="N549" s="38">
        <f>データ!E549</f>
        <v>13</v>
      </c>
      <c r="O549" s="38" t="s">
        <v>1024</v>
      </c>
      <c r="P549" s="38" t="s">
        <v>1319</v>
      </c>
      <c r="Q549" s="38" t="str">
        <f>データ!F549</f>
        <v>斬</v>
      </c>
      <c r="R549" s="38" t="s">
        <v>1024</v>
      </c>
      <c r="S549" s="38" t="s">
        <v>1319</v>
      </c>
      <c r="T549" s="39">
        <f>データ!G549</f>
        <v>15174</v>
      </c>
      <c r="U549" s="40" t="s">
        <v>1024</v>
      </c>
      <c r="V549" s="40" t="s">
        <v>1319</v>
      </c>
      <c r="W549" s="39">
        <f>データ!H549</f>
        <v>8111</v>
      </c>
      <c r="X549" s="40" t="s">
        <v>1024</v>
      </c>
      <c r="Y549" s="40" t="s">
        <v>1319</v>
      </c>
      <c r="Z549" s="39">
        <f>データ!I549</f>
        <v>4716</v>
      </c>
      <c r="AA549" s="40" t="s">
        <v>1024</v>
      </c>
      <c r="AB549" s="40" t="s">
        <v>1322</v>
      </c>
      <c r="AC549" s="39" t="str">
        <f>データ!J549</f>
        <v>A+</v>
      </c>
      <c r="AD549" s="38" t="s">
        <v>1024</v>
      </c>
      <c r="AE549" s="40" t="s">
        <v>1323</v>
      </c>
      <c r="AF549" s="39">
        <f>データ!K549</f>
        <v>28001</v>
      </c>
      <c r="AG549" s="40" t="s">
        <v>1024</v>
      </c>
      <c r="AH549" s="40" t="s">
        <v>1324</v>
      </c>
      <c r="AI549" s="39" t="str">
        <f>データ!L549</f>
        <v>斬紅の覇道</v>
      </c>
      <c r="AJ549" s="10" t="s">
        <v>1113</v>
      </c>
      <c r="AK549" s="39" t="str">
        <f>データ!M549</f>
        <v>味方斬属性の攻撃力をUP[大]</v>
      </c>
      <c r="AL549" s="10" t="s">
        <v>1024</v>
      </c>
      <c r="AM549" s="40" t="s">
        <v>1325</v>
      </c>
      <c r="AN549" s="39" t="str">
        <f>データ!N549</f>
        <v>-</v>
      </c>
      <c r="AO549" s="10" t="s">
        <v>1113</v>
      </c>
      <c r="AP549" s="39" t="str">
        <f>データ!O549</f>
        <v>　</v>
      </c>
      <c r="AQ549" s="41" t="s">
        <v>1024</v>
      </c>
      <c r="AR549" s="40" t="s">
        <v>1324</v>
      </c>
      <c r="AS549" s="39" t="str">
        <f>データ!P549</f>
        <v>バーサク</v>
      </c>
      <c r="AT549" s="10" t="s">
        <v>1113</v>
      </c>
      <c r="AU549" s="39" t="str">
        <f>データ!Q549</f>
        <v>強襲が発生無効、バトル時に攻・防小UP(3分間)</v>
      </c>
      <c r="AV549" s="10" t="s">
        <v>1024</v>
      </c>
      <c r="AW549" s="40" t="s">
        <v>1324</v>
      </c>
      <c r="AX549" s="39" t="str">
        <f>データ!R549</f>
        <v>-</v>
      </c>
      <c r="AY549" s="10" t="s">
        <v>1113</v>
      </c>
      <c r="AZ549" s="39" t="str">
        <f>データ!S549</f>
        <v>　</v>
      </c>
      <c r="BA549" s="41" t="s">
        <v>1024</v>
      </c>
      <c r="BB549" s="40" t="s">
        <v>1319</v>
      </c>
      <c r="BC549" s="39" t="str">
        <f>データ!T549</f>
        <v>-</v>
      </c>
      <c r="BD549" s="41" t="s">
        <v>1024</v>
      </c>
      <c r="BE549" s="40" t="s">
        <v>1320</v>
      </c>
      <c r="BF549" s="39" t="str">
        <f>データ!U549</f>
        <v>-</v>
      </c>
      <c r="BG549" s="41" t="s">
        <v>1024</v>
      </c>
      <c r="BH549" s="40" t="s">
        <v>1319</v>
      </c>
      <c r="BI549" s="39" t="str">
        <f>データ!V549</f>
        <v>メダル</v>
      </c>
      <c r="BJ549" s="41" t="s">
        <v>1024</v>
      </c>
      <c r="BK549" s="10" t="s">
        <v>1019</v>
      </c>
    </row>
    <row r="550" spans="1:63" x14ac:dyDescent="0.15">
      <c r="A550" s="10" t="s">
        <v>1016</v>
      </c>
      <c r="B550" s="10" t="s">
        <v>1454</v>
      </c>
      <c r="C550" s="38" t="str">
        <f>"./images/thumbnail/"&amp;データ!B550&amp;".jpg"</f>
        <v>./images/thumbnail/1893.jpg</v>
      </c>
      <c r="D550" s="38" t="s">
        <v>1455</v>
      </c>
      <c r="E550" s="38" t="str">
        <f>"./images/thumbnail/"&amp;データ!B550&amp;".jpg"</f>
        <v>./images/thumbnail/1893.jpg</v>
      </c>
      <c r="F550" s="38" t="s">
        <v>1116</v>
      </c>
      <c r="G550" s="38" t="s">
        <v>1319</v>
      </c>
      <c r="H550" s="38" t="str">
        <f>データ!C550</f>
        <v>フィネガン</v>
      </c>
      <c r="I550" s="38" t="s">
        <v>1024</v>
      </c>
      <c r="J550" s="38" t="s">
        <v>1320</v>
      </c>
      <c r="K550" s="38" t="str">
        <f>データ!D550</f>
        <v>UR</v>
      </c>
      <c r="L550" s="38" t="s">
        <v>1024</v>
      </c>
      <c r="M550" s="38" t="s">
        <v>1321</v>
      </c>
      <c r="N550" s="38">
        <f>データ!E550</f>
        <v>14</v>
      </c>
      <c r="O550" s="38" t="s">
        <v>1024</v>
      </c>
      <c r="P550" s="38" t="s">
        <v>1319</v>
      </c>
      <c r="Q550" s="38" t="str">
        <f>データ!F550</f>
        <v>遠</v>
      </c>
      <c r="R550" s="38" t="s">
        <v>1024</v>
      </c>
      <c r="S550" s="38" t="s">
        <v>1319</v>
      </c>
      <c r="T550" s="39">
        <f>データ!G550</f>
        <v>17175</v>
      </c>
      <c r="U550" s="40" t="s">
        <v>1024</v>
      </c>
      <c r="V550" s="40" t="s">
        <v>1319</v>
      </c>
      <c r="W550" s="39">
        <f>データ!H550</f>
        <v>6684</v>
      </c>
      <c r="X550" s="40" t="s">
        <v>1024</v>
      </c>
      <c r="Y550" s="40" t="s">
        <v>1319</v>
      </c>
      <c r="Z550" s="39">
        <f>データ!I550</f>
        <v>5798</v>
      </c>
      <c r="AA550" s="40" t="s">
        <v>1024</v>
      </c>
      <c r="AB550" s="40" t="s">
        <v>1322</v>
      </c>
      <c r="AC550" s="39" t="str">
        <f>データ!J550</f>
        <v>S+</v>
      </c>
      <c r="AD550" s="38" t="s">
        <v>1024</v>
      </c>
      <c r="AE550" s="40" t="s">
        <v>1323</v>
      </c>
      <c r="AF550" s="39">
        <f>データ!K550</f>
        <v>29657</v>
      </c>
      <c r="AG550" s="40" t="s">
        <v>1024</v>
      </c>
      <c r="AH550" s="40" t="s">
        <v>1324</v>
      </c>
      <c r="AI550" s="39" t="str">
        <f>データ!L550</f>
        <v>対翠の交叉線／煌</v>
      </c>
      <c r="AJ550" s="10" t="s">
        <v>1113</v>
      </c>
      <c r="AK550" s="39" t="str">
        <f>データ!M550</f>
        <v>遠に強く打に弱いX字型攻撃[特大]</v>
      </c>
      <c r="AL550" s="10" t="s">
        <v>1024</v>
      </c>
      <c r="AM550" s="40" t="s">
        <v>1325</v>
      </c>
      <c r="AN550" s="39" t="str">
        <f>データ!N550</f>
        <v>-</v>
      </c>
      <c r="AO550" s="10" t="s">
        <v>1113</v>
      </c>
      <c r="AP550" s="39" t="str">
        <f>データ!O550</f>
        <v>　</v>
      </c>
      <c r="AQ550" s="41" t="s">
        <v>1024</v>
      </c>
      <c r="AR550" s="40" t="s">
        <v>1324</v>
      </c>
      <c r="AS550" s="39" t="str">
        <f>データ!P550</f>
        <v>アサルト／絶</v>
      </c>
      <c r="AT550" s="10" t="s">
        <v>1113</v>
      </c>
      <c r="AU550" s="39" t="str">
        <f>データ!Q550</f>
        <v>パーティ全体の攻撃力が大UP(3分間)</v>
      </c>
      <c r="AV550" s="10" t="s">
        <v>1024</v>
      </c>
      <c r="AW550" s="40" t="s">
        <v>1324</v>
      </c>
      <c r="AX550" s="39" t="str">
        <f>データ!R550</f>
        <v>-</v>
      </c>
      <c r="AY550" s="10" t="s">
        <v>1113</v>
      </c>
      <c r="AZ550" s="39" t="str">
        <f>データ!S550</f>
        <v>　</v>
      </c>
      <c r="BA550" s="41" t="s">
        <v>1024</v>
      </c>
      <c r="BB550" s="40" t="s">
        <v>1319</v>
      </c>
      <c r="BC550" s="39" t="str">
        <f>データ!T550</f>
        <v>-</v>
      </c>
      <c r="BD550" s="41" t="s">
        <v>1024</v>
      </c>
      <c r="BE550" s="40" t="s">
        <v>1320</v>
      </c>
      <c r="BF550" s="39" t="str">
        <f>データ!U550</f>
        <v>-</v>
      </c>
      <c r="BG550" s="41" t="s">
        <v>1024</v>
      </c>
      <c r="BH550" s="40" t="s">
        <v>1319</v>
      </c>
      <c r="BI550" s="39" t="str">
        <f>データ!V550</f>
        <v>グラン</v>
      </c>
      <c r="BJ550" s="41" t="s">
        <v>1024</v>
      </c>
      <c r="BK550" s="10" t="s">
        <v>1019</v>
      </c>
    </row>
    <row r="551" spans="1:63" x14ac:dyDescent="0.15">
      <c r="A551" s="10" t="s">
        <v>1016</v>
      </c>
      <c r="B551" s="10" t="s">
        <v>1454</v>
      </c>
      <c r="C551" s="38" t="str">
        <f>"./images/thumbnail/"&amp;データ!B551&amp;".jpg"</f>
        <v>./images/thumbnail/1895.jpg</v>
      </c>
      <c r="D551" s="38" t="s">
        <v>1455</v>
      </c>
      <c r="E551" s="38" t="str">
        <f>"./images/thumbnail/"&amp;データ!B551&amp;".jpg"</f>
        <v>./images/thumbnail/1895.jpg</v>
      </c>
      <c r="F551" s="38" t="s">
        <v>1116</v>
      </c>
      <c r="G551" s="38" t="s">
        <v>1319</v>
      </c>
      <c r="H551" s="38" t="str">
        <f>データ!C551</f>
        <v>ウルビ</v>
      </c>
      <c r="I551" s="38" t="s">
        <v>1024</v>
      </c>
      <c r="J551" s="38" t="s">
        <v>1320</v>
      </c>
      <c r="K551" s="38" t="str">
        <f>データ!D551</f>
        <v>UR</v>
      </c>
      <c r="L551" s="38" t="s">
        <v>1024</v>
      </c>
      <c r="M551" s="38" t="s">
        <v>1321</v>
      </c>
      <c r="N551" s="38">
        <f>データ!E551</f>
        <v>14</v>
      </c>
      <c r="O551" s="38" t="s">
        <v>1024</v>
      </c>
      <c r="P551" s="38" t="s">
        <v>1319</v>
      </c>
      <c r="Q551" s="38" t="str">
        <f>データ!F551</f>
        <v>斬</v>
      </c>
      <c r="R551" s="38" t="s">
        <v>1024</v>
      </c>
      <c r="S551" s="38" t="s">
        <v>1319</v>
      </c>
      <c r="T551" s="39">
        <f>データ!G551</f>
        <v>18074</v>
      </c>
      <c r="U551" s="40" t="s">
        <v>1024</v>
      </c>
      <c r="V551" s="40" t="s">
        <v>1319</v>
      </c>
      <c r="W551" s="39">
        <f>データ!H551</f>
        <v>8311</v>
      </c>
      <c r="X551" s="40" t="s">
        <v>1024</v>
      </c>
      <c r="Y551" s="40" t="s">
        <v>1319</v>
      </c>
      <c r="Z551" s="39">
        <f>データ!I551</f>
        <v>5799</v>
      </c>
      <c r="AA551" s="40" t="s">
        <v>1024</v>
      </c>
      <c r="AB551" s="40" t="s">
        <v>1322</v>
      </c>
      <c r="AC551" s="39" t="str">
        <f>データ!J551</f>
        <v>S</v>
      </c>
      <c r="AD551" s="38" t="s">
        <v>1024</v>
      </c>
      <c r="AE551" s="40" t="s">
        <v>1323</v>
      </c>
      <c r="AF551" s="39">
        <f>データ!K551</f>
        <v>32184</v>
      </c>
      <c r="AG551" s="40" t="s">
        <v>1024</v>
      </c>
      <c r="AH551" s="40" t="s">
        <v>1324</v>
      </c>
      <c r="AI551" s="39" t="str">
        <f>データ!L551</f>
        <v>斬紅の神威</v>
      </c>
      <c r="AJ551" s="10" t="s">
        <v>1113</v>
      </c>
      <c r="AK551" s="39" t="str">
        <f>データ!M551</f>
        <v>味方斬属性の攻撃力をUP[特大]</v>
      </c>
      <c r="AL551" s="10" t="s">
        <v>1024</v>
      </c>
      <c r="AM551" s="40" t="s">
        <v>1325</v>
      </c>
      <c r="AN551" s="39" t="str">
        <f>データ!N551</f>
        <v>-</v>
      </c>
      <c r="AO551" s="10" t="s">
        <v>1113</v>
      </c>
      <c r="AP551" s="39" t="str">
        <f>データ!O551</f>
        <v>　</v>
      </c>
      <c r="AQ551" s="41" t="s">
        <v>1024</v>
      </c>
      <c r="AR551" s="40" t="s">
        <v>1324</v>
      </c>
      <c r="AS551" s="39" t="str">
        <f>データ!P551</f>
        <v>ストリーム／真</v>
      </c>
      <c r="AT551" s="10" t="s">
        <v>1113</v>
      </c>
      <c r="AU551" s="39" t="str">
        <f>データ!Q551</f>
        <v>パーティ全体の攻撃力・速度が中UP(3分間)</v>
      </c>
      <c r="AV551" s="10" t="s">
        <v>1024</v>
      </c>
      <c r="AW551" s="40" t="s">
        <v>1324</v>
      </c>
      <c r="AX551" s="39" t="str">
        <f>データ!R551</f>
        <v>-</v>
      </c>
      <c r="AY551" s="10" t="s">
        <v>1113</v>
      </c>
      <c r="AZ551" s="39" t="str">
        <f>データ!S551</f>
        <v>　</v>
      </c>
      <c r="BA551" s="41" t="s">
        <v>1024</v>
      </c>
      <c r="BB551" s="40" t="s">
        <v>1319</v>
      </c>
      <c r="BC551" s="39" t="str">
        <f>データ!T551</f>
        <v>-</v>
      </c>
      <c r="BD551" s="41" t="s">
        <v>1024</v>
      </c>
      <c r="BE551" s="40" t="s">
        <v>1320</v>
      </c>
      <c r="BF551" s="39" t="str">
        <f>データ!U551</f>
        <v>-</v>
      </c>
      <c r="BG551" s="41" t="s">
        <v>1024</v>
      </c>
      <c r="BH551" s="40" t="s">
        <v>1319</v>
      </c>
      <c r="BI551" s="39" t="str">
        <f>データ!V551</f>
        <v>常設</v>
      </c>
      <c r="BJ551" s="41" t="s">
        <v>1024</v>
      </c>
      <c r="BK551" s="10" t="s">
        <v>1019</v>
      </c>
    </row>
    <row r="552" spans="1:63" x14ac:dyDescent="0.15">
      <c r="A552" s="10" t="s">
        <v>1016</v>
      </c>
      <c r="B552" s="10" t="s">
        <v>1454</v>
      </c>
      <c r="C552" s="38" t="str">
        <f>"./images/thumbnail/"&amp;データ!B552&amp;".jpg"</f>
        <v>./images/thumbnail/1897.jpg</v>
      </c>
      <c r="D552" s="38" t="s">
        <v>1455</v>
      </c>
      <c r="E552" s="38" t="str">
        <f>"./images/thumbnail/"&amp;データ!B552&amp;".jpg"</f>
        <v>./images/thumbnail/1897.jpg</v>
      </c>
      <c r="F552" s="38" t="s">
        <v>1116</v>
      </c>
      <c r="G552" s="38" t="s">
        <v>1319</v>
      </c>
      <c r="H552" s="38" t="str">
        <f>データ!C552</f>
        <v>マフムード</v>
      </c>
      <c r="I552" s="38" t="s">
        <v>1024</v>
      </c>
      <c r="J552" s="38" t="s">
        <v>1320</v>
      </c>
      <c r="K552" s="38" t="str">
        <f>データ!D552</f>
        <v>UR</v>
      </c>
      <c r="L552" s="38" t="s">
        <v>1024</v>
      </c>
      <c r="M552" s="38" t="s">
        <v>1321</v>
      </c>
      <c r="N552" s="38">
        <f>データ!E552</f>
        <v>15</v>
      </c>
      <c r="O552" s="38" t="s">
        <v>1024</v>
      </c>
      <c r="P552" s="38" t="s">
        <v>1319</v>
      </c>
      <c r="Q552" s="38" t="str">
        <f>データ!F552</f>
        <v>斬</v>
      </c>
      <c r="R552" s="38" t="s">
        <v>1024</v>
      </c>
      <c r="S552" s="38" t="s">
        <v>1319</v>
      </c>
      <c r="T552" s="39">
        <f>データ!G552</f>
        <v>18104</v>
      </c>
      <c r="U552" s="40" t="s">
        <v>1024</v>
      </c>
      <c r="V552" s="40" t="s">
        <v>1319</v>
      </c>
      <c r="W552" s="39">
        <f>データ!H552</f>
        <v>9271</v>
      </c>
      <c r="X552" s="40" t="s">
        <v>1024</v>
      </c>
      <c r="Y552" s="40" t="s">
        <v>1319</v>
      </c>
      <c r="Z552" s="39">
        <f>データ!I552</f>
        <v>6105</v>
      </c>
      <c r="AA552" s="40" t="s">
        <v>1024</v>
      </c>
      <c r="AB552" s="40" t="s">
        <v>1322</v>
      </c>
      <c r="AC552" s="39" t="str">
        <f>データ!J552</f>
        <v>SS-</v>
      </c>
      <c r="AD552" s="38" t="s">
        <v>1024</v>
      </c>
      <c r="AE552" s="40" t="s">
        <v>1323</v>
      </c>
      <c r="AF552" s="39">
        <f>データ!K552</f>
        <v>33480</v>
      </c>
      <c r="AG552" s="40" t="s">
        <v>1024</v>
      </c>
      <c r="AH552" s="40" t="s">
        <v>1324</v>
      </c>
      <c r="AI552" s="39" t="str">
        <f>データ!L552</f>
        <v>天焔幻の一閃／煌</v>
      </c>
      <c r="AJ552" s="10" t="s">
        <v>1113</v>
      </c>
      <c r="AK552" s="39" t="str">
        <f>データ!M552</f>
        <v>横一列攻撃[特大]自分の攻撃力UP[特大]</v>
      </c>
      <c r="AL552" s="38" t="s">
        <v>1024</v>
      </c>
      <c r="AM552" s="40" t="s">
        <v>1325</v>
      </c>
      <c r="AN552" s="39" t="str">
        <f>データ!N552</f>
        <v>-</v>
      </c>
      <c r="AO552" s="10" t="s">
        <v>1113</v>
      </c>
      <c r="AP552" s="39" t="str">
        <f>データ!O552</f>
        <v>　</v>
      </c>
      <c r="AQ552" s="41" t="s">
        <v>1024</v>
      </c>
      <c r="AR552" s="40" t="s">
        <v>1324</v>
      </c>
      <c r="AS552" s="39" t="str">
        <f>データ!P552</f>
        <v>アサルト／煌</v>
      </c>
      <c r="AT552" s="10" t="s">
        <v>1113</v>
      </c>
      <c r="AU552" s="39" t="str">
        <f>データ!Q552</f>
        <v>パーティ全体の攻撃力が特大UP(3分間)</v>
      </c>
      <c r="AV552" s="10" t="s">
        <v>1024</v>
      </c>
      <c r="AW552" s="40" t="s">
        <v>1324</v>
      </c>
      <c r="AX552" s="39" t="str">
        <f>データ!R552</f>
        <v>ポイントライズ／絶</v>
      </c>
      <c r="AY552" s="10" t="s">
        <v>1113</v>
      </c>
      <c r="AZ552" s="39" t="str">
        <f>データ!S552</f>
        <v>獲得する騎士団戦スコアが大アップ(バトル3回)</v>
      </c>
      <c r="BA552" s="41" t="s">
        <v>1024</v>
      </c>
      <c r="BB552" s="40" t="s">
        <v>1319</v>
      </c>
      <c r="BC552" s="39" t="str">
        <f>データ!T552</f>
        <v>-</v>
      </c>
      <c r="BD552" s="41" t="s">
        <v>1024</v>
      </c>
      <c r="BE552" s="40" t="s">
        <v>1320</v>
      </c>
      <c r="BF552" s="39" t="str">
        <f>データ!U552</f>
        <v>-</v>
      </c>
      <c r="BG552" s="41" t="s">
        <v>1024</v>
      </c>
      <c r="BH552" s="40" t="s">
        <v>1319</v>
      </c>
      <c r="BI552" s="39" t="str">
        <f>データ!V552</f>
        <v>常設</v>
      </c>
      <c r="BJ552" s="41" t="s">
        <v>1024</v>
      </c>
      <c r="BK552" s="10" t="s">
        <v>1019</v>
      </c>
    </row>
    <row r="553" spans="1:63" x14ac:dyDescent="0.15">
      <c r="A553" s="10" t="s">
        <v>1016</v>
      </c>
      <c r="B553" s="10" t="s">
        <v>1454</v>
      </c>
      <c r="C553" s="38" t="str">
        <f>"./images/thumbnail/"&amp;データ!B553&amp;".jpg"</f>
        <v>./images/thumbnail/1898.jpg</v>
      </c>
      <c r="D553" s="38" t="s">
        <v>1455</v>
      </c>
      <c r="E553" s="38" t="str">
        <f>"./images/thumbnail/"&amp;データ!B553&amp;".jpg"</f>
        <v>./images/thumbnail/1898.jpg</v>
      </c>
      <c r="F553" s="38" t="s">
        <v>1116</v>
      </c>
      <c r="G553" s="38" t="s">
        <v>1319</v>
      </c>
      <c r="H553" s="38" t="str">
        <f>データ!C553</f>
        <v>ブール</v>
      </c>
      <c r="I553" s="38" t="s">
        <v>1024</v>
      </c>
      <c r="J553" s="38" t="s">
        <v>1320</v>
      </c>
      <c r="K553" s="38" t="str">
        <f>データ!D553</f>
        <v>UR</v>
      </c>
      <c r="L553" s="38" t="s">
        <v>1024</v>
      </c>
      <c r="M553" s="38" t="s">
        <v>1321</v>
      </c>
      <c r="N553" s="38">
        <f>データ!E553</f>
        <v>14</v>
      </c>
      <c r="O553" s="38" t="s">
        <v>1024</v>
      </c>
      <c r="P553" s="38" t="s">
        <v>1319</v>
      </c>
      <c r="Q553" s="38" t="str">
        <f>データ!F553</f>
        <v>打</v>
      </c>
      <c r="R553" s="38" t="s">
        <v>1024</v>
      </c>
      <c r="S553" s="38" t="s">
        <v>1319</v>
      </c>
      <c r="T553" s="39">
        <f>データ!G553</f>
        <v>23568</v>
      </c>
      <c r="U553" s="40" t="s">
        <v>1024</v>
      </c>
      <c r="V553" s="40" t="s">
        <v>1319</v>
      </c>
      <c r="W553" s="39">
        <f>データ!H553</f>
        <v>6858</v>
      </c>
      <c r="X553" s="40" t="s">
        <v>1024</v>
      </c>
      <c r="Y553" s="40" t="s">
        <v>1319</v>
      </c>
      <c r="Z553" s="39">
        <f>データ!I553</f>
        <v>8878</v>
      </c>
      <c r="AA553" s="40" t="s">
        <v>1024</v>
      </c>
      <c r="AB553" s="40" t="s">
        <v>1322</v>
      </c>
      <c r="AC553" s="39" t="str">
        <f>データ!J553</f>
        <v>A+</v>
      </c>
      <c r="AD553" s="38" t="s">
        <v>1024</v>
      </c>
      <c r="AE553" s="40" t="s">
        <v>1323</v>
      </c>
      <c r="AF553" s="39">
        <f>データ!K553</f>
        <v>39304</v>
      </c>
      <c r="AG553" s="40" t="s">
        <v>1024</v>
      </c>
      <c r="AH553" s="40" t="s">
        <v>1324</v>
      </c>
      <c r="AI553" s="39" t="str">
        <f>データ!L553</f>
        <v>幻光の交叉線／煌</v>
      </c>
      <c r="AJ553" s="10" t="s">
        <v>1113</v>
      </c>
      <c r="AK553" s="39" t="str">
        <f>データ!M553</f>
        <v>X字型に攻撃[特大]</v>
      </c>
      <c r="AL553" s="10" t="s">
        <v>1024</v>
      </c>
      <c r="AM553" s="40" t="s">
        <v>1325</v>
      </c>
      <c r="AN553" s="39" t="str">
        <f>データ!N553</f>
        <v>-</v>
      </c>
      <c r="AO553" s="10" t="s">
        <v>1113</v>
      </c>
      <c r="AP553" s="39" t="str">
        <f>データ!O553</f>
        <v>　</v>
      </c>
      <c r="AQ553" s="41" t="s">
        <v>1024</v>
      </c>
      <c r="AR553" s="40" t="s">
        <v>1324</v>
      </c>
      <c r="AS553" s="39" t="str">
        <f>データ!P553</f>
        <v>メナス／真</v>
      </c>
      <c r="AT553" s="10" t="s">
        <v>1113</v>
      </c>
      <c r="AU553" s="39" t="str">
        <f>データ!Q553</f>
        <v>対戦騎士団全体の防御力が中DOWN(3分間)</v>
      </c>
      <c r="AV553" s="10" t="s">
        <v>1024</v>
      </c>
      <c r="AW553" s="40" t="s">
        <v>1324</v>
      </c>
      <c r="AX553" s="39" t="str">
        <f>データ!R553</f>
        <v>-</v>
      </c>
      <c r="AY553" s="10" t="s">
        <v>1113</v>
      </c>
      <c r="AZ553" s="39" t="str">
        <f>データ!S553</f>
        <v>　</v>
      </c>
      <c r="BA553" s="41" t="s">
        <v>1024</v>
      </c>
      <c r="BB553" s="40" t="s">
        <v>1319</v>
      </c>
      <c r="BC553" s="39" t="str">
        <f>データ!T553</f>
        <v>-</v>
      </c>
      <c r="BD553" s="41" t="s">
        <v>1024</v>
      </c>
      <c r="BE553" s="40" t="s">
        <v>1320</v>
      </c>
      <c r="BF553" s="39" t="str">
        <f>データ!U553</f>
        <v>-</v>
      </c>
      <c r="BG553" s="41" t="s">
        <v>1024</v>
      </c>
      <c r="BH553" s="40" t="s">
        <v>1319</v>
      </c>
      <c r="BI553" s="39" t="str">
        <f>データ!V553</f>
        <v>ポーカー</v>
      </c>
      <c r="BJ553" s="41" t="s">
        <v>1024</v>
      </c>
      <c r="BK553" s="10" t="s">
        <v>1019</v>
      </c>
    </row>
    <row r="554" spans="1:63" x14ac:dyDescent="0.15">
      <c r="A554" s="10" t="s">
        <v>1016</v>
      </c>
      <c r="B554" s="10" t="s">
        <v>1454</v>
      </c>
      <c r="C554" s="38" t="str">
        <f>"./images/thumbnail/"&amp;データ!B554&amp;".jpg"</f>
        <v>./images/thumbnail/1909.jpg</v>
      </c>
      <c r="D554" s="38" t="s">
        <v>1455</v>
      </c>
      <c r="E554" s="38" t="str">
        <f>"./images/thumbnail/"&amp;データ!B554&amp;".jpg"</f>
        <v>./images/thumbnail/1909.jpg</v>
      </c>
      <c r="F554" s="38" t="s">
        <v>1116</v>
      </c>
      <c r="G554" s="38" t="s">
        <v>1319</v>
      </c>
      <c r="H554" s="38" t="str">
        <f>データ!C554</f>
        <v>チヨ</v>
      </c>
      <c r="I554" s="38" t="s">
        <v>1024</v>
      </c>
      <c r="J554" s="38" t="s">
        <v>1320</v>
      </c>
      <c r="K554" s="38" t="str">
        <f>データ!D554</f>
        <v>UR</v>
      </c>
      <c r="L554" s="38" t="s">
        <v>1024</v>
      </c>
      <c r="M554" s="38" t="s">
        <v>1321</v>
      </c>
      <c r="N554" s="38">
        <f>データ!E554</f>
        <v>14</v>
      </c>
      <c r="O554" s="38" t="s">
        <v>1024</v>
      </c>
      <c r="P554" s="38" t="s">
        <v>1319</v>
      </c>
      <c r="Q554" s="38" t="str">
        <f>データ!F554</f>
        <v>斬</v>
      </c>
      <c r="R554" s="38" t="s">
        <v>1024</v>
      </c>
      <c r="S554" s="38" t="s">
        <v>1319</v>
      </c>
      <c r="T554" s="39">
        <f>データ!G554</f>
        <v>18524</v>
      </c>
      <c r="U554" s="40" t="s">
        <v>1024</v>
      </c>
      <c r="V554" s="40" t="s">
        <v>1319</v>
      </c>
      <c r="W554" s="39">
        <f>データ!H554</f>
        <v>8512</v>
      </c>
      <c r="X554" s="40" t="s">
        <v>1024</v>
      </c>
      <c r="Y554" s="40" t="s">
        <v>1319</v>
      </c>
      <c r="Z554" s="39">
        <f>データ!I554</f>
        <v>6428</v>
      </c>
      <c r="AA554" s="40" t="s">
        <v>1024</v>
      </c>
      <c r="AB554" s="40" t="s">
        <v>1322</v>
      </c>
      <c r="AC554" s="39" t="str">
        <f>データ!J554</f>
        <v>S</v>
      </c>
      <c r="AD554" s="38" t="s">
        <v>1024</v>
      </c>
      <c r="AE554" s="40" t="s">
        <v>1323</v>
      </c>
      <c r="AF554" s="39">
        <f>データ!K554</f>
        <v>33464</v>
      </c>
      <c r="AG554" s="40" t="s">
        <v>1024</v>
      </c>
      <c r="AH554" s="40" t="s">
        <v>1324</v>
      </c>
      <c r="AI554" s="39" t="str">
        <f>データ!L554</f>
        <v>猛毒の言霊／煌</v>
      </c>
      <c r="AJ554" s="10" t="s">
        <v>1113</v>
      </c>
      <c r="AK554" s="39" t="str">
        <f>データ!M554</f>
        <v>一定確率で敵を毒状態にする[超高確率]</v>
      </c>
      <c r="AL554" s="10" t="s">
        <v>1024</v>
      </c>
      <c r="AM554" s="40" t="s">
        <v>1325</v>
      </c>
      <c r="AN554" s="39" t="str">
        <f>データ!N554</f>
        <v>-</v>
      </c>
      <c r="AO554" s="10" t="s">
        <v>1113</v>
      </c>
      <c r="AP554" s="39" t="str">
        <f>データ!O554</f>
        <v>　</v>
      </c>
      <c r="AQ554" s="41" t="s">
        <v>1024</v>
      </c>
      <c r="AR554" s="40" t="s">
        <v>1324</v>
      </c>
      <c r="AS554" s="39" t="str">
        <f>データ!P554</f>
        <v>エースオーダー／真</v>
      </c>
      <c r="AT554" s="10" t="s">
        <v>1113</v>
      </c>
      <c r="AU554" s="39" t="str">
        <f>データ!Q554</f>
        <v>騎士団全体の攻・防が中UP(3分間)</v>
      </c>
      <c r="AV554" s="10" t="s">
        <v>1024</v>
      </c>
      <c r="AW554" s="40" t="s">
        <v>1324</v>
      </c>
      <c r="AX554" s="39" t="str">
        <f>データ!R554</f>
        <v>-</v>
      </c>
      <c r="AY554" s="10" t="s">
        <v>1113</v>
      </c>
      <c r="AZ554" s="39" t="str">
        <f>データ!S554</f>
        <v>　</v>
      </c>
      <c r="BA554" s="41" t="s">
        <v>1024</v>
      </c>
      <c r="BB554" s="40" t="s">
        <v>1319</v>
      </c>
      <c r="BC554" s="39" t="str">
        <f>データ!T554</f>
        <v>-</v>
      </c>
      <c r="BD554" s="41" t="s">
        <v>1024</v>
      </c>
      <c r="BE554" s="40" t="s">
        <v>1320</v>
      </c>
      <c r="BF554" s="39" t="str">
        <f>データ!U554</f>
        <v>-</v>
      </c>
      <c r="BG554" s="41" t="s">
        <v>1024</v>
      </c>
      <c r="BH554" s="40" t="s">
        <v>1319</v>
      </c>
      <c r="BI554" s="39" t="str">
        <f>データ!V554</f>
        <v>ガチャイベ</v>
      </c>
      <c r="BJ554" s="41" t="s">
        <v>1024</v>
      </c>
      <c r="BK554" s="10" t="s">
        <v>1019</v>
      </c>
    </row>
    <row r="555" spans="1:63" x14ac:dyDescent="0.15">
      <c r="A555" s="10" t="s">
        <v>1016</v>
      </c>
      <c r="B555" s="10" t="s">
        <v>1454</v>
      </c>
      <c r="C555" s="38" t="str">
        <f>"./images/thumbnail/"&amp;データ!B555&amp;".jpg"</f>
        <v>./images/thumbnail/1911.jpg</v>
      </c>
      <c r="D555" s="38" t="s">
        <v>1455</v>
      </c>
      <c r="E555" s="38" t="str">
        <f>"./images/thumbnail/"&amp;データ!B555&amp;".jpg"</f>
        <v>./images/thumbnail/1911.jpg</v>
      </c>
      <c r="F555" s="38" t="s">
        <v>1116</v>
      </c>
      <c r="G555" s="38" t="s">
        <v>1319</v>
      </c>
      <c r="H555" s="38" t="str">
        <f>データ!C555</f>
        <v>ルーカン</v>
      </c>
      <c r="I555" s="38" t="s">
        <v>1024</v>
      </c>
      <c r="J555" s="38" t="s">
        <v>1320</v>
      </c>
      <c r="K555" s="38" t="str">
        <f>データ!D555</f>
        <v>UR</v>
      </c>
      <c r="L555" s="38" t="s">
        <v>1024</v>
      </c>
      <c r="M555" s="38" t="s">
        <v>1321</v>
      </c>
      <c r="N555" s="38">
        <f>データ!E555</f>
        <v>15</v>
      </c>
      <c r="O555" s="38" t="s">
        <v>1024</v>
      </c>
      <c r="P555" s="38" t="s">
        <v>1319</v>
      </c>
      <c r="Q555" s="38" t="str">
        <f>データ!F555</f>
        <v>突</v>
      </c>
      <c r="R555" s="38" t="s">
        <v>1024</v>
      </c>
      <c r="S555" s="38" t="s">
        <v>1319</v>
      </c>
      <c r="T555" s="39">
        <f>データ!G555</f>
        <v>24608</v>
      </c>
      <c r="U555" s="40" t="s">
        <v>1024</v>
      </c>
      <c r="V555" s="40" t="s">
        <v>1319</v>
      </c>
      <c r="W555" s="39">
        <f>データ!H555</f>
        <v>6628</v>
      </c>
      <c r="X555" s="40" t="s">
        <v>1024</v>
      </c>
      <c r="Y555" s="40" t="s">
        <v>1319</v>
      </c>
      <c r="Z555" s="39">
        <f>データ!I555</f>
        <v>8623</v>
      </c>
      <c r="AA555" s="40" t="s">
        <v>1024</v>
      </c>
      <c r="AB555" s="40" t="s">
        <v>1322</v>
      </c>
      <c r="AC555" s="39" t="str">
        <f>データ!J555</f>
        <v>SS2</v>
      </c>
      <c r="AD555" s="38" t="s">
        <v>1024</v>
      </c>
      <c r="AE555" s="40" t="s">
        <v>1323</v>
      </c>
      <c r="AF555" s="39">
        <f>データ!K555</f>
        <v>39859</v>
      </c>
      <c r="AG555" s="40" t="s">
        <v>1024</v>
      </c>
      <c r="AH555" s="40" t="s">
        <v>1324</v>
      </c>
      <c r="AI555" s="39" t="str">
        <f>データ!L555</f>
        <v>天幻神の六連撃／真</v>
      </c>
      <c r="AJ555" s="10" t="s">
        <v>1113</v>
      </c>
      <c r="AK555" s="39" t="str">
        <f>データ!M555</f>
        <v>ランダム6連続攻撃[中]自分の攻撃力UP[中]</v>
      </c>
      <c r="AL555" s="10" t="s">
        <v>1024</v>
      </c>
      <c r="AM555" s="40" t="s">
        <v>1325</v>
      </c>
      <c r="AN555" s="39" t="str">
        <f>データ!N555</f>
        <v>-</v>
      </c>
      <c r="AO555" s="10" t="s">
        <v>1113</v>
      </c>
      <c r="AP555" s="39" t="str">
        <f>データ!O555</f>
        <v>　</v>
      </c>
      <c r="AQ555" s="41" t="s">
        <v>1024</v>
      </c>
      <c r="AR555" s="40" t="s">
        <v>1324</v>
      </c>
      <c r="AS555" s="39" t="str">
        <f>データ!P555</f>
        <v>エース／煌</v>
      </c>
      <c r="AT555" s="10" t="s">
        <v>1113</v>
      </c>
      <c r="AU555" s="39" t="str">
        <f>データ!Q555</f>
        <v>パーティ全体の攻・防が特大UP(3分間)</v>
      </c>
      <c r="AV555" s="10" t="s">
        <v>1024</v>
      </c>
      <c r="AW555" s="40" t="s">
        <v>1324</v>
      </c>
      <c r="AX555" s="39" t="str">
        <f>データ!R555</f>
        <v>キャッスルヴェール／真</v>
      </c>
      <c r="AY555" s="10" t="s">
        <v>1113</v>
      </c>
      <c r="AZ555" s="39" t="str">
        <f>データ!S555</f>
        <v>城の強度Lvが中UP(3分間)</v>
      </c>
      <c r="BA555" s="41" t="s">
        <v>1024</v>
      </c>
      <c r="BB555" s="40" t="s">
        <v>1319</v>
      </c>
      <c r="BC555" s="39" t="str">
        <f>データ!T555</f>
        <v>-</v>
      </c>
      <c r="BD555" s="41" t="s">
        <v>1024</v>
      </c>
      <c r="BE555" s="40" t="s">
        <v>1320</v>
      </c>
      <c r="BF555" s="39" t="str">
        <f>データ!U555</f>
        <v>-</v>
      </c>
      <c r="BG555" s="41" t="s">
        <v>1024</v>
      </c>
      <c r="BH555" s="40" t="s">
        <v>1319</v>
      </c>
      <c r="BI555" s="39" t="str">
        <f>データ!V555</f>
        <v>ガチャイベ</v>
      </c>
      <c r="BJ555" s="41" t="s">
        <v>1024</v>
      </c>
      <c r="BK555" s="10" t="s">
        <v>1019</v>
      </c>
    </row>
    <row r="556" spans="1:63" x14ac:dyDescent="0.15">
      <c r="A556" s="10" t="s">
        <v>1016</v>
      </c>
      <c r="B556" s="10" t="s">
        <v>1454</v>
      </c>
      <c r="C556" s="38" t="str">
        <f>"./images/thumbnail/"&amp;データ!B556&amp;".jpg"</f>
        <v>./images/thumbnail/1913.jpg</v>
      </c>
      <c r="D556" s="38" t="s">
        <v>1455</v>
      </c>
      <c r="E556" s="38" t="str">
        <f>"./images/thumbnail/"&amp;データ!B556&amp;".jpg"</f>
        <v>./images/thumbnail/1913.jpg</v>
      </c>
      <c r="F556" s="38" t="s">
        <v>1116</v>
      </c>
      <c r="G556" s="38" t="s">
        <v>1319</v>
      </c>
      <c r="H556" s="38" t="str">
        <f>データ!C556</f>
        <v>マリー</v>
      </c>
      <c r="I556" s="38" t="s">
        <v>1024</v>
      </c>
      <c r="J556" s="38" t="s">
        <v>1320</v>
      </c>
      <c r="K556" s="38" t="str">
        <f>データ!D556</f>
        <v>UR</v>
      </c>
      <c r="L556" s="38" t="s">
        <v>1024</v>
      </c>
      <c r="M556" s="38" t="s">
        <v>1321</v>
      </c>
      <c r="N556" s="38">
        <f>データ!E556</f>
        <v>14</v>
      </c>
      <c r="O556" s="38" t="s">
        <v>1024</v>
      </c>
      <c r="P556" s="38" t="s">
        <v>1319</v>
      </c>
      <c r="Q556" s="38" t="str">
        <f>データ!F556</f>
        <v>打</v>
      </c>
      <c r="R556" s="38" t="s">
        <v>1024</v>
      </c>
      <c r="S556" s="38" t="s">
        <v>1319</v>
      </c>
      <c r="T556" s="39">
        <f>データ!G556</f>
        <v>23843</v>
      </c>
      <c r="U556" s="40" t="s">
        <v>1024</v>
      </c>
      <c r="V556" s="40" t="s">
        <v>1319</v>
      </c>
      <c r="W556" s="39">
        <f>データ!H556</f>
        <v>6868</v>
      </c>
      <c r="X556" s="40" t="s">
        <v>1024</v>
      </c>
      <c r="Y556" s="40" t="s">
        <v>1319</v>
      </c>
      <c r="Z556" s="39">
        <f>データ!I556</f>
        <v>8347</v>
      </c>
      <c r="AA556" s="40" t="s">
        <v>1024</v>
      </c>
      <c r="AB556" s="40" t="s">
        <v>1322</v>
      </c>
      <c r="AC556" s="39" t="str">
        <f>データ!J556</f>
        <v>A+</v>
      </c>
      <c r="AD556" s="38" t="s">
        <v>1024</v>
      </c>
      <c r="AE556" s="40" t="s">
        <v>1323</v>
      </c>
      <c r="AF556" s="39">
        <f>データ!K556</f>
        <v>39058</v>
      </c>
      <c r="AG556" s="40" t="s">
        <v>1024</v>
      </c>
      <c r="AH556" s="40" t="s">
        <v>1324</v>
      </c>
      <c r="AI556" s="39" t="str">
        <f>データ!L556</f>
        <v>地魔幻の閃光／煌</v>
      </c>
      <c r="AJ556" s="10" t="s">
        <v>1113</v>
      </c>
      <c r="AK556" s="39" t="str">
        <f>データ!M556</f>
        <v>縦一列攻撃[特大]自分の防御力UP[特大]</v>
      </c>
      <c r="AL556" s="10" t="s">
        <v>1024</v>
      </c>
      <c r="AM556" s="40" t="s">
        <v>1325</v>
      </c>
      <c r="AN556" s="39" t="str">
        <f>データ!N556</f>
        <v>-</v>
      </c>
      <c r="AO556" s="10" t="s">
        <v>1113</v>
      </c>
      <c r="AP556" s="39" t="str">
        <f>データ!O556</f>
        <v>　</v>
      </c>
      <c r="AQ556" s="41" t="s">
        <v>1024</v>
      </c>
      <c r="AR556" s="40" t="s">
        <v>1324</v>
      </c>
      <c r="AS556" s="39" t="str">
        <f>データ!P556</f>
        <v>エクスドライブ／絶</v>
      </c>
      <c r="AT556" s="10" t="s">
        <v>1113</v>
      </c>
      <c r="AU556" s="39" t="str">
        <f>データ!Q556</f>
        <v>キリ番CB時の獲得ポイント大UP(3分間)</v>
      </c>
      <c r="AV556" s="10" t="s">
        <v>1024</v>
      </c>
      <c r="AW556" s="40" t="s">
        <v>1324</v>
      </c>
      <c r="AX556" s="39" t="str">
        <f>データ!R556</f>
        <v>-</v>
      </c>
      <c r="AY556" s="10" t="s">
        <v>1113</v>
      </c>
      <c r="AZ556" s="39" t="str">
        <f>データ!S556</f>
        <v>　</v>
      </c>
      <c r="BA556" s="41" t="s">
        <v>1024</v>
      </c>
      <c r="BB556" s="40" t="s">
        <v>1319</v>
      </c>
      <c r="BC556" s="39" t="str">
        <f>データ!T556</f>
        <v>-</v>
      </c>
      <c r="BD556" s="41" t="s">
        <v>1024</v>
      </c>
      <c r="BE556" s="40" t="s">
        <v>1320</v>
      </c>
      <c r="BF556" s="39" t="str">
        <f>データ!U556</f>
        <v>-</v>
      </c>
      <c r="BG556" s="41" t="s">
        <v>1024</v>
      </c>
      <c r="BH556" s="40" t="s">
        <v>1319</v>
      </c>
      <c r="BI556" s="39" t="str">
        <f>データ!V556</f>
        <v>ガチャイベ</v>
      </c>
      <c r="BJ556" s="41" t="s">
        <v>1024</v>
      </c>
      <c r="BK556" s="10" t="s">
        <v>1019</v>
      </c>
    </row>
    <row r="557" spans="1:63" x14ac:dyDescent="0.15">
      <c r="A557" s="10" t="s">
        <v>1016</v>
      </c>
      <c r="B557" s="10" t="s">
        <v>1454</v>
      </c>
      <c r="C557" s="38" t="str">
        <f>"./images/thumbnail/"&amp;データ!B557&amp;".jpg"</f>
        <v>./images/thumbnail/1913_a.jpg</v>
      </c>
      <c r="D557" s="38" t="s">
        <v>1455</v>
      </c>
      <c r="E557" s="38" t="str">
        <f>"./images/thumbnail/"&amp;データ!B557&amp;".jpg"</f>
        <v>./images/thumbnail/1913_a.jpg</v>
      </c>
      <c r="F557" s="38" t="s">
        <v>1116</v>
      </c>
      <c r="G557" s="38" t="s">
        <v>1319</v>
      </c>
      <c r="H557" s="38" t="str">
        <f>データ!C557</f>
        <v>マリー</v>
      </c>
      <c r="I557" s="38" t="s">
        <v>1024</v>
      </c>
      <c r="J557" s="38" t="s">
        <v>1320</v>
      </c>
      <c r="K557" s="38" t="str">
        <f>データ!D557</f>
        <v>UR</v>
      </c>
      <c r="L557" s="38" t="s">
        <v>1024</v>
      </c>
      <c r="M557" s="38" t="s">
        <v>1321</v>
      </c>
      <c r="N557" s="38">
        <f>データ!E557</f>
        <v>14</v>
      </c>
      <c r="O557" s="38" t="s">
        <v>1024</v>
      </c>
      <c r="P557" s="38" t="s">
        <v>1319</v>
      </c>
      <c r="Q557" s="38" t="str">
        <f>データ!F557</f>
        <v>打</v>
      </c>
      <c r="R557" s="38" t="s">
        <v>1024</v>
      </c>
      <c r="S557" s="38" t="s">
        <v>1319</v>
      </c>
      <c r="T557" s="39">
        <f>データ!G557</f>
        <v>31004</v>
      </c>
      <c r="U557" s="40" t="s">
        <v>1024</v>
      </c>
      <c r="V557" s="40" t="s">
        <v>1319</v>
      </c>
      <c r="W557" s="39">
        <f>データ!H557</f>
        <v>8590</v>
      </c>
      <c r="X557" s="40" t="s">
        <v>1024</v>
      </c>
      <c r="Y557" s="40" t="s">
        <v>1319</v>
      </c>
      <c r="Z557" s="39">
        <f>データ!I557</f>
        <v>11266</v>
      </c>
      <c r="AA557" s="40" t="s">
        <v>1024</v>
      </c>
      <c r="AB557" s="40" t="s">
        <v>1322</v>
      </c>
      <c r="AC557" s="39" t="str">
        <f>データ!J557</f>
        <v>SS-</v>
      </c>
      <c r="AD557" s="38" t="s">
        <v>1024</v>
      </c>
      <c r="AE557" s="40" t="s">
        <v>1323</v>
      </c>
      <c r="AF557" s="39">
        <f>データ!K557</f>
        <v>50860</v>
      </c>
      <c r="AG557" s="40" t="s">
        <v>1024</v>
      </c>
      <c r="AH557" s="40" t="s">
        <v>1324</v>
      </c>
      <c r="AI557" s="39" t="str">
        <f>データ!L557</f>
        <v>地魔幻の閃光／煌＋</v>
      </c>
      <c r="AJ557" s="10" t="s">
        <v>1113</v>
      </c>
      <c r="AK557" s="39" t="str">
        <f>データ!M557</f>
        <v>縦一列攻撃[極大]自分の防御力UP[特大]</v>
      </c>
      <c r="AL557" s="10" t="s">
        <v>1024</v>
      </c>
      <c r="AM557" s="40" t="s">
        <v>1325</v>
      </c>
      <c r="AN557" s="39" t="str">
        <f>データ!N557</f>
        <v>-</v>
      </c>
      <c r="AO557" s="10" t="s">
        <v>1113</v>
      </c>
      <c r="AP557" s="39" t="str">
        <f>データ!O557</f>
        <v>　</v>
      </c>
      <c r="AQ557" s="41" t="s">
        <v>1024</v>
      </c>
      <c r="AR557" s="40" t="s">
        <v>1324</v>
      </c>
      <c r="AS557" s="39" t="str">
        <f>データ!P557</f>
        <v>エクスドライブ／絶</v>
      </c>
      <c r="AT557" s="10" t="s">
        <v>1113</v>
      </c>
      <c r="AU557" s="39" t="str">
        <f>データ!Q557</f>
        <v>キリ番CB時の獲得ポイント大UP(3分間)</v>
      </c>
      <c r="AV557" s="10" t="s">
        <v>1024</v>
      </c>
      <c r="AW557" s="40" t="s">
        <v>1324</v>
      </c>
      <c r="AX557" s="39" t="str">
        <f>データ!R557</f>
        <v>-</v>
      </c>
      <c r="AY557" s="10" t="s">
        <v>1113</v>
      </c>
      <c r="AZ557" s="39" t="str">
        <f>データ!S557</f>
        <v>　</v>
      </c>
      <c r="BA557" s="41" t="s">
        <v>1024</v>
      </c>
      <c r="BB557" s="40" t="s">
        <v>1319</v>
      </c>
      <c r="BC557" s="39" t="str">
        <f>データ!T557</f>
        <v>-</v>
      </c>
      <c r="BD557" s="41" t="s">
        <v>1024</v>
      </c>
      <c r="BE557" s="40" t="s">
        <v>1320</v>
      </c>
      <c r="BF557" s="39" t="str">
        <f>データ!U557</f>
        <v>-</v>
      </c>
      <c r="BG557" s="41" t="s">
        <v>1024</v>
      </c>
      <c r="BH557" s="40" t="s">
        <v>1319</v>
      </c>
      <c r="BI557" s="39" t="str">
        <f>データ!V557</f>
        <v>精鋭化ユニット</v>
      </c>
      <c r="BJ557" s="41" t="s">
        <v>1024</v>
      </c>
      <c r="BK557" s="10" t="s">
        <v>1019</v>
      </c>
    </row>
    <row r="558" spans="1:63" x14ac:dyDescent="0.15">
      <c r="A558" s="10" t="s">
        <v>1016</v>
      </c>
      <c r="B558" s="10" t="s">
        <v>1454</v>
      </c>
      <c r="C558" s="38" t="str">
        <f>"./images/thumbnail/"&amp;データ!B558&amp;".jpg"</f>
        <v>./images/thumbnail/1913_b.jpg</v>
      </c>
      <c r="D558" s="38" t="s">
        <v>1455</v>
      </c>
      <c r="E558" s="38" t="str">
        <f>"./images/thumbnail/"&amp;データ!B558&amp;".jpg"</f>
        <v>./images/thumbnail/1913_b.jpg</v>
      </c>
      <c r="F558" s="38" t="s">
        <v>1116</v>
      </c>
      <c r="G558" s="38" t="s">
        <v>1319</v>
      </c>
      <c r="H558" s="38" t="str">
        <f>データ!C558</f>
        <v>マリー</v>
      </c>
      <c r="I558" s="38" t="s">
        <v>1024</v>
      </c>
      <c r="J558" s="38" t="s">
        <v>1320</v>
      </c>
      <c r="K558" s="38" t="str">
        <f>データ!D558</f>
        <v>UR</v>
      </c>
      <c r="L558" s="38" t="s">
        <v>1024</v>
      </c>
      <c r="M558" s="38" t="s">
        <v>1321</v>
      </c>
      <c r="N558" s="38">
        <f>データ!E558</f>
        <v>14</v>
      </c>
      <c r="O558" s="38" t="s">
        <v>1024</v>
      </c>
      <c r="P558" s="38" t="s">
        <v>1319</v>
      </c>
      <c r="Q558" s="38" t="str">
        <f>データ!F558</f>
        <v>打</v>
      </c>
      <c r="R558" s="38" t="s">
        <v>1024</v>
      </c>
      <c r="S558" s="38" t="s">
        <v>1319</v>
      </c>
      <c r="T558" s="39">
        <f>データ!G558</f>
        <v>28610</v>
      </c>
      <c r="U558" s="40" t="s">
        <v>1024</v>
      </c>
      <c r="V558" s="40" t="s">
        <v>1319</v>
      </c>
      <c r="W558" s="39">
        <f>データ!H558</f>
        <v>8233</v>
      </c>
      <c r="X558" s="40" t="s">
        <v>1024</v>
      </c>
      <c r="Y558" s="40" t="s">
        <v>1319</v>
      </c>
      <c r="Z558" s="39">
        <f>データ!I558</f>
        <v>10006</v>
      </c>
      <c r="AA558" s="40" t="s">
        <v>1024</v>
      </c>
      <c r="AB558" s="40" t="s">
        <v>1322</v>
      </c>
      <c r="AC558" s="39" t="str">
        <f>データ!J558</f>
        <v>SS-</v>
      </c>
      <c r="AD558" s="38" t="s">
        <v>1024</v>
      </c>
      <c r="AE558" s="40" t="s">
        <v>1323</v>
      </c>
      <c r="AF558" s="39">
        <f>データ!K558</f>
        <v>46849</v>
      </c>
      <c r="AG558" s="40" t="s">
        <v>1024</v>
      </c>
      <c r="AH558" s="40" t="s">
        <v>1324</v>
      </c>
      <c r="AI558" s="39" t="str">
        <f>データ!L558</f>
        <v>地魔幻の閃光／煌</v>
      </c>
      <c r="AJ558" s="10" t="s">
        <v>1113</v>
      </c>
      <c r="AK558" s="39" t="str">
        <f>データ!M558</f>
        <v>縦一列攻撃[特大]自分の防御力UP[特大]</v>
      </c>
      <c r="AL558" s="10" t="s">
        <v>1024</v>
      </c>
      <c r="AM558" s="40" t="s">
        <v>1325</v>
      </c>
      <c r="AN558" s="39" t="str">
        <f>データ!N558</f>
        <v>-</v>
      </c>
      <c r="AO558" s="10" t="s">
        <v>1113</v>
      </c>
      <c r="AP558" s="39" t="str">
        <f>データ!O558</f>
        <v>　</v>
      </c>
      <c r="AQ558" s="41" t="s">
        <v>1024</v>
      </c>
      <c r="AR558" s="40" t="s">
        <v>1324</v>
      </c>
      <c r="AS558" s="39" t="str">
        <f>データ!P558</f>
        <v>奇跡の魔女</v>
      </c>
      <c r="AT558" s="10" t="s">
        <v>1113</v>
      </c>
      <c r="AU558" s="39" t="str">
        <f>データ!Q558</f>
        <v>キリ番CB時の獲得ポイント特大UP(3分間)</v>
      </c>
      <c r="AV558" s="10" t="s">
        <v>1024</v>
      </c>
      <c r="AW558" s="40" t="s">
        <v>1324</v>
      </c>
      <c r="AX558" s="39" t="str">
        <f>データ!R558</f>
        <v>-</v>
      </c>
      <c r="AY558" s="10" t="s">
        <v>1113</v>
      </c>
      <c r="AZ558" s="39" t="str">
        <f>データ!S558</f>
        <v>　</v>
      </c>
      <c r="BA558" s="41" t="s">
        <v>1024</v>
      </c>
      <c r="BB558" s="40" t="s">
        <v>1319</v>
      </c>
      <c r="BC558" s="39" t="str">
        <f>データ!T558</f>
        <v>-</v>
      </c>
      <c r="BD558" s="41" t="s">
        <v>1024</v>
      </c>
      <c r="BE558" s="40" t="s">
        <v>1320</v>
      </c>
      <c r="BF558" s="39" t="str">
        <f>データ!U558</f>
        <v>-</v>
      </c>
      <c r="BG558" s="41" t="s">
        <v>1024</v>
      </c>
      <c r="BH558" s="40" t="s">
        <v>1319</v>
      </c>
      <c r="BI558" s="39" t="str">
        <f>データ!V558</f>
        <v>精鋭化ユニット</v>
      </c>
      <c r="BJ558" s="41" t="s">
        <v>1024</v>
      </c>
      <c r="BK558" s="10" t="s">
        <v>1019</v>
      </c>
    </row>
    <row r="559" spans="1:63" x14ac:dyDescent="0.15">
      <c r="A559" s="10" t="s">
        <v>1016</v>
      </c>
      <c r="B559" s="10" t="s">
        <v>1454</v>
      </c>
      <c r="C559" s="38" t="str">
        <f>"./images/thumbnail/"&amp;データ!B559&amp;".jpg"</f>
        <v>./images/thumbnail/1915.jpg</v>
      </c>
      <c r="D559" s="38" t="s">
        <v>1455</v>
      </c>
      <c r="E559" s="38" t="str">
        <f>"./images/thumbnail/"&amp;データ!B559&amp;".jpg"</f>
        <v>./images/thumbnail/1915.jpg</v>
      </c>
      <c r="F559" s="38" t="s">
        <v>1116</v>
      </c>
      <c r="G559" s="38" t="s">
        <v>1319</v>
      </c>
      <c r="H559" s="38" t="str">
        <f>データ!C559</f>
        <v>カオル</v>
      </c>
      <c r="I559" s="38" t="s">
        <v>1024</v>
      </c>
      <c r="J559" s="38" t="s">
        <v>1320</v>
      </c>
      <c r="K559" s="38" t="str">
        <f>データ!D559</f>
        <v>UR</v>
      </c>
      <c r="L559" s="38" t="s">
        <v>1024</v>
      </c>
      <c r="M559" s="38" t="s">
        <v>1321</v>
      </c>
      <c r="N559" s="38">
        <f>データ!E559</f>
        <v>15</v>
      </c>
      <c r="O559" s="38" t="s">
        <v>1024</v>
      </c>
      <c r="P559" s="38" t="s">
        <v>1319</v>
      </c>
      <c r="Q559" s="38" t="str">
        <f>データ!F559</f>
        <v>遠</v>
      </c>
      <c r="R559" s="38" t="s">
        <v>1024</v>
      </c>
      <c r="S559" s="38" t="s">
        <v>1319</v>
      </c>
      <c r="T559" s="39">
        <f>データ!G559</f>
        <v>22940</v>
      </c>
      <c r="U559" s="40" t="s">
        <v>1024</v>
      </c>
      <c r="V559" s="40" t="s">
        <v>1319</v>
      </c>
      <c r="W559" s="39">
        <f>データ!H559</f>
        <v>7395</v>
      </c>
      <c r="X559" s="40" t="s">
        <v>1024</v>
      </c>
      <c r="Y559" s="40" t="s">
        <v>1319</v>
      </c>
      <c r="Z559" s="39">
        <f>データ!I559</f>
        <v>7487</v>
      </c>
      <c r="AA559" s="40" t="s">
        <v>1024</v>
      </c>
      <c r="AB559" s="40" t="s">
        <v>1322</v>
      </c>
      <c r="AC559" s="39" t="str">
        <f>データ!J559</f>
        <v>SS</v>
      </c>
      <c r="AD559" s="38" t="s">
        <v>1024</v>
      </c>
      <c r="AE559" s="40" t="s">
        <v>1323</v>
      </c>
      <c r="AF559" s="39">
        <f>データ!K559</f>
        <v>37822</v>
      </c>
      <c r="AG559" s="40" t="s">
        <v>1024</v>
      </c>
      <c r="AH559" s="40" t="s">
        <v>1324</v>
      </c>
      <c r="AI559" s="39" t="str">
        <f>データ!L559</f>
        <v>幻射の六連撃／真</v>
      </c>
      <c r="AJ559" s="10" t="s">
        <v>1113</v>
      </c>
      <c r="AK559" s="39" t="str">
        <f>データ!M559</f>
        <v>ランダムで6連続攻撃[中]</v>
      </c>
      <c r="AL559" s="10" t="s">
        <v>1024</v>
      </c>
      <c r="AM559" s="40" t="s">
        <v>1325</v>
      </c>
      <c r="AN559" s="39" t="str">
        <f>データ!N559</f>
        <v>-</v>
      </c>
      <c r="AO559" s="10" t="s">
        <v>1113</v>
      </c>
      <c r="AP559" s="39" t="str">
        <f>データ!O559</f>
        <v>　</v>
      </c>
      <c r="AQ559" s="41" t="s">
        <v>1024</v>
      </c>
      <c r="AR559" s="40" t="s">
        <v>1324</v>
      </c>
      <c r="AS559" s="39" t="str">
        <f>データ!P559</f>
        <v>フォートレス／煌</v>
      </c>
      <c r="AT559" s="10" t="s">
        <v>1113</v>
      </c>
      <c r="AU559" s="39" t="str">
        <f>データ!Q559</f>
        <v>パーティ全体の防御力が特大UP(3分間)</v>
      </c>
      <c r="AV559" s="10" t="s">
        <v>1024</v>
      </c>
      <c r="AW559" s="40" t="s">
        <v>1324</v>
      </c>
      <c r="AX559" s="39" t="str">
        <f>データ!R559</f>
        <v>エース／絶</v>
      </c>
      <c r="AY559" s="10" t="s">
        <v>1113</v>
      </c>
      <c r="AZ559" s="39" t="str">
        <f>データ!S559</f>
        <v>パーティ全体の攻・防が大UP(3分間)</v>
      </c>
      <c r="BA559" s="41" t="s">
        <v>1024</v>
      </c>
      <c r="BB559" s="40" t="s">
        <v>1319</v>
      </c>
      <c r="BC559" s="39" t="str">
        <f>データ!T559</f>
        <v>-</v>
      </c>
      <c r="BD559" s="41" t="s">
        <v>1024</v>
      </c>
      <c r="BE559" s="40" t="s">
        <v>1320</v>
      </c>
      <c r="BF559" s="39" t="str">
        <f>データ!U559</f>
        <v>-</v>
      </c>
      <c r="BG559" s="41" t="s">
        <v>1024</v>
      </c>
      <c r="BH559" s="40" t="s">
        <v>1319</v>
      </c>
      <c r="BI559" s="39" t="str">
        <f>データ!V559</f>
        <v>ガチャイベ</v>
      </c>
      <c r="BJ559" s="41" t="s">
        <v>1024</v>
      </c>
      <c r="BK559" s="10" t="s">
        <v>1019</v>
      </c>
    </row>
    <row r="560" spans="1:63" x14ac:dyDescent="0.15">
      <c r="A560" s="10" t="s">
        <v>1016</v>
      </c>
      <c r="B560" s="10" t="s">
        <v>1454</v>
      </c>
      <c r="C560" s="38" t="str">
        <f>"./images/thumbnail/"&amp;データ!B560&amp;".jpg"</f>
        <v>./images/thumbnail/1919.jpg</v>
      </c>
      <c r="D560" s="38" t="s">
        <v>1455</v>
      </c>
      <c r="E560" s="38" t="str">
        <f>"./images/thumbnail/"&amp;データ!B560&amp;".jpg"</f>
        <v>./images/thumbnail/1919.jpg</v>
      </c>
      <c r="F560" s="38" t="s">
        <v>1116</v>
      </c>
      <c r="G560" s="38" t="s">
        <v>1319</v>
      </c>
      <c r="H560" s="38" t="str">
        <f>データ!C560</f>
        <v>グレゴール</v>
      </c>
      <c r="I560" s="38" t="s">
        <v>1024</v>
      </c>
      <c r="J560" s="38" t="s">
        <v>1320</v>
      </c>
      <c r="K560" s="38" t="str">
        <f>データ!D560</f>
        <v>SSR</v>
      </c>
      <c r="L560" s="38" t="s">
        <v>1024</v>
      </c>
      <c r="M560" s="38" t="s">
        <v>1321</v>
      </c>
      <c r="N560" s="38">
        <f>データ!E560</f>
        <v>13</v>
      </c>
      <c r="O560" s="38" t="s">
        <v>1024</v>
      </c>
      <c r="P560" s="38" t="s">
        <v>1319</v>
      </c>
      <c r="Q560" s="38" t="str">
        <f>データ!F560</f>
        <v>突</v>
      </c>
      <c r="R560" s="38" t="s">
        <v>1024</v>
      </c>
      <c r="S560" s="38" t="s">
        <v>1319</v>
      </c>
      <c r="T560" s="39">
        <f>データ!G560</f>
        <v>19775</v>
      </c>
      <c r="U560" s="40" t="s">
        <v>1024</v>
      </c>
      <c r="V560" s="40" t="s">
        <v>1319</v>
      </c>
      <c r="W560" s="39">
        <f>データ!H560</f>
        <v>5286</v>
      </c>
      <c r="X560" s="40" t="s">
        <v>1024</v>
      </c>
      <c r="Y560" s="40" t="s">
        <v>1319</v>
      </c>
      <c r="Z560" s="39">
        <f>データ!I560</f>
        <v>5375</v>
      </c>
      <c r="AA560" s="40" t="s">
        <v>1024</v>
      </c>
      <c r="AB560" s="40" t="s">
        <v>1322</v>
      </c>
      <c r="AC560" s="39" t="str">
        <f>データ!J560</f>
        <v>SS-</v>
      </c>
      <c r="AD560" s="38" t="s">
        <v>1024</v>
      </c>
      <c r="AE560" s="40" t="s">
        <v>1323</v>
      </c>
      <c r="AF560" s="39">
        <f>データ!K560</f>
        <v>30436</v>
      </c>
      <c r="AG560" s="40" t="s">
        <v>1024</v>
      </c>
      <c r="AH560" s="40" t="s">
        <v>1324</v>
      </c>
      <c r="AI560" s="39" t="str">
        <f>データ!L560</f>
        <v>地幻神の四連撃／真</v>
      </c>
      <c r="AJ560" s="10" t="s">
        <v>1113</v>
      </c>
      <c r="AK560" s="39" t="str">
        <f>データ!M560</f>
        <v>ランダム4連続攻撃[中]自分の防御力UP[中]</v>
      </c>
      <c r="AL560" s="10" t="s">
        <v>1024</v>
      </c>
      <c r="AM560" s="40" t="s">
        <v>1325</v>
      </c>
      <c r="AN560" s="39" t="str">
        <f>データ!N560</f>
        <v>-</v>
      </c>
      <c r="AO560" s="10" t="s">
        <v>1113</v>
      </c>
      <c r="AP560" s="39" t="str">
        <f>データ!O560</f>
        <v>　</v>
      </c>
      <c r="AQ560" s="41" t="s">
        <v>1024</v>
      </c>
      <c r="AR560" s="40" t="s">
        <v>1324</v>
      </c>
      <c r="AS560" s="39" t="str">
        <f>データ!P560</f>
        <v>ランページ／真</v>
      </c>
      <c r="AT560" s="10" t="s">
        <v>1113</v>
      </c>
      <c r="AU560" s="39" t="str">
        <f>データ!Q560</f>
        <v>バトルで獲得する騎士団戦スコアが中アップ(3分間)</v>
      </c>
      <c r="AV560" s="10" t="s">
        <v>1024</v>
      </c>
      <c r="AW560" s="40" t="s">
        <v>1324</v>
      </c>
      <c r="AX560" s="39" t="str">
        <f>データ!R560</f>
        <v>-</v>
      </c>
      <c r="AY560" s="10" t="s">
        <v>1113</v>
      </c>
      <c r="AZ560" s="39" t="str">
        <f>データ!S560</f>
        <v>　</v>
      </c>
      <c r="BA560" s="41" t="s">
        <v>1024</v>
      </c>
      <c r="BB560" s="40" t="s">
        <v>1319</v>
      </c>
      <c r="BC560" s="39" t="str">
        <f>データ!T560</f>
        <v>-</v>
      </c>
      <c r="BD560" s="41" t="s">
        <v>1024</v>
      </c>
      <c r="BE560" s="40" t="s">
        <v>1320</v>
      </c>
      <c r="BF560" s="39" t="str">
        <f>データ!U560</f>
        <v>-</v>
      </c>
      <c r="BG560" s="41" t="s">
        <v>1024</v>
      </c>
      <c r="BH560" s="40" t="s">
        <v>1319</v>
      </c>
      <c r="BI560" s="39" t="str">
        <f>データ!V560</f>
        <v>魔女の追憶イベ</v>
      </c>
      <c r="BJ560" s="41" t="s">
        <v>1024</v>
      </c>
      <c r="BK560" s="10" t="s">
        <v>1019</v>
      </c>
    </row>
    <row r="561" spans="1:63" x14ac:dyDescent="0.15">
      <c r="A561" s="10" t="s">
        <v>1016</v>
      </c>
      <c r="B561" s="10" t="s">
        <v>1454</v>
      </c>
      <c r="C561" s="38" t="str">
        <f>"./images/thumbnail/"&amp;データ!B561&amp;".jpg"</f>
        <v>./images/thumbnail/1920.jpg</v>
      </c>
      <c r="D561" s="38" t="s">
        <v>1455</v>
      </c>
      <c r="E561" s="38" t="str">
        <f>"./images/thumbnail/"&amp;データ!B561&amp;".jpg"</f>
        <v>./images/thumbnail/1920.jpg</v>
      </c>
      <c r="F561" s="38" t="s">
        <v>1116</v>
      </c>
      <c r="G561" s="38" t="s">
        <v>1319</v>
      </c>
      <c r="H561" s="38" t="str">
        <f>データ!C561</f>
        <v>ナターシャ</v>
      </c>
      <c r="I561" s="38" t="s">
        <v>1024</v>
      </c>
      <c r="J561" s="38" t="s">
        <v>1320</v>
      </c>
      <c r="K561" s="38" t="str">
        <f>データ!D561</f>
        <v>UR</v>
      </c>
      <c r="L561" s="38" t="s">
        <v>1024</v>
      </c>
      <c r="M561" s="38" t="s">
        <v>1321</v>
      </c>
      <c r="N561" s="38">
        <f>データ!E561</f>
        <v>14</v>
      </c>
      <c r="O561" s="38" t="s">
        <v>1024</v>
      </c>
      <c r="P561" s="38" t="s">
        <v>1319</v>
      </c>
      <c r="Q561" s="38" t="str">
        <f>データ!F561</f>
        <v>斬</v>
      </c>
      <c r="R561" s="38" t="s">
        <v>1024</v>
      </c>
      <c r="S561" s="38" t="s">
        <v>1319</v>
      </c>
      <c r="T561" s="39">
        <f>データ!G561</f>
        <v>18148</v>
      </c>
      <c r="U561" s="40" t="s">
        <v>1024</v>
      </c>
      <c r="V561" s="40" t="s">
        <v>1319</v>
      </c>
      <c r="W561" s="39">
        <f>データ!H561</f>
        <v>8068</v>
      </c>
      <c r="X561" s="40" t="s">
        <v>1024</v>
      </c>
      <c r="Y561" s="40" t="s">
        <v>1319</v>
      </c>
      <c r="Z561" s="39">
        <f>データ!I561</f>
        <v>6217</v>
      </c>
      <c r="AA561" s="40" t="s">
        <v>1024</v>
      </c>
      <c r="AB561" s="40" t="s">
        <v>1322</v>
      </c>
      <c r="AC561" s="39" t="str">
        <f>データ!J561</f>
        <v>S</v>
      </c>
      <c r="AD561" s="38" t="s">
        <v>1024</v>
      </c>
      <c r="AE561" s="40" t="s">
        <v>1323</v>
      </c>
      <c r="AF561" s="39">
        <f>データ!K561</f>
        <v>32433</v>
      </c>
      <c r="AG561" s="40" t="s">
        <v>1024</v>
      </c>
      <c r="AH561" s="40" t="s">
        <v>1324</v>
      </c>
      <c r="AI561" s="39" t="str">
        <f>データ!L561</f>
        <v>破岩の縦十字／煌</v>
      </c>
      <c r="AJ561" s="10" t="s">
        <v>1113</v>
      </c>
      <c r="AK561" s="39" t="str">
        <f>データ!M561</f>
        <v>十字型に固定ダメージ[特大]</v>
      </c>
      <c r="AL561" s="10" t="s">
        <v>1024</v>
      </c>
      <c r="AM561" s="40" t="s">
        <v>1325</v>
      </c>
      <c r="AN561" s="39" t="str">
        <f>データ!N561</f>
        <v>-</v>
      </c>
      <c r="AO561" s="10" t="s">
        <v>1113</v>
      </c>
      <c r="AP561" s="39" t="str">
        <f>データ!O561</f>
        <v>　</v>
      </c>
      <c r="AQ561" s="41" t="s">
        <v>1024</v>
      </c>
      <c r="AR561" s="40" t="s">
        <v>1324</v>
      </c>
      <c r="AS561" s="39" t="str">
        <f>データ!P561</f>
        <v>エッジノート／絶</v>
      </c>
      <c r="AT561" s="10" t="s">
        <v>1113</v>
      </c>
      <c r="AU561" s="39" t="str">
        <f>データ!Q561</f>
        <v>CB時に獲得ポイント大UP＆BPが大回復(3回)</v>
      </c>
      <c r="AV561" s="10" t="s">
        <v>1024</v>
      </c>
      <c r="AW561" s="40" t="s">
        <v>1324</v>
      </c>
      <c r="AX561" s="39" t="str">
        <f>データ!R561</f>
        <v>-</v>
      </c>
      <c r="AY561" s="10" t="s">
        <v>1113</v>
      </c>
      <c r="AZ561" s="39" t="str">
        <f>データ!S561</f>
        <v>　</v>
      </c>
      <c r="BA561" s="41" t="s">
        <v>1024</v>
      </c>
      <c r="BB561" s="40" t="s">
        <v>1319</v>
      </c>
      <c r="BC561" s="39" t="str">
        <f>データ!T561</f>
        <v>-</v>
      </c>
      <c r="BD561" s="41" t="s">
        <v>1024</v>
      </c>
      <c r="BE561" s="40" t="s">
        <v>1320</v>
      </c>
      <c r="BF561" s="39" t="str">
        <f>データ!U561</f>
        <v>-</v>
      </c>
      <c r="BG561" s="41" t="s">
        <v>1024</v>
      </c>
      <c r="BH561" s="40" t="s">
        <v>1319</v>
      </c>
      <c r="BI561" s="39" t="str">
        <f>データ!V561</f>
        <v>魔女の追憶イベ</v>
      </c>
      <c r="BJ561" s="41" t="s">
        <v>1024</v>
      </c>
      <c r="BK561" s="10" t="s">
        <v>1019</v>
      </c>
    </row>
    <row r="562" spans="1:63" x14ac:dyDescent="0.15">
      <c r="A562" s="10" t="s">
        <v>1016</v>
      </c>
      <c r="B562" s="10" t="s">
        <v>1454</v>
      </c>
      <c r="C562" s="38" t="str">
        <f>"./images/thumbnail/"&amp;データ!B562&amp;".jpg"</f>
        <v>./images/thumbnail/1921.jpg</v>
      </c>
      <c r="D562" s="38" t="s">
        <v>1455</v>
      </c>
      <c r="E562" s="38" t="str">
        <f>"./images/thumbnail/"&amp;データ!B562&amp;".jpg"</f>
        <v>./images/thumbnail/1921.jpg</v>
      </c>
      <c r="F562" s="38" t="s">
        <v>1116</v>
      </c>
      <c r="G562" s="38" t="s">
        <v>1319</v>
      </c>
      <c r="H562" s="38" t="str">
        <f>データ!C562</f>
        <v>クー・モリモル</v>
      </c>
      <c r="I562" s="38" t="s">
        <v>1024</v>
      </c>
      <c r="J562" s="38" t="s">
        <v>1320</v>
      </c>
      <c r="K562" s="38" t="str">
        <f>データ!D562</f>
        <v>UR</v>
      </c>
      <c r="L562" s="38" t="s">
        <v>1024</v>
      </c>
      <c r="M562" s="38" t="s">
        <v>1321</v>
      </c>
      <c r="N562" s="38">
        <f>データ!E562</f>
        <v>15</v>
      </c>
      <c r="O562" s="38" t="s">
        <v>1024</v>
      </c>
      <c r="P562" s="38" t="s">
        <v>1319</v>
      </c>
      <c r="Q562" s="38" t="str">
        <f>データ!F562</f>
        <v>斬</v>
      </c>
      <c r="R562" s="38" t="s">
        <v>1024</v>
      </c>
      <c r="S562" s="38" t="s">
        <v>1319</v>
      </c>
      <c r="T562" s="39">
        <f>データ!G562</f>
        <v>18373</v>
      </c>
      <c r="U562" s="40" t="s">
        <v>1024</v>
      </c>
      <c r="V562" s="40" t="s">
        <v>1319</v>
      </c>
      <c r="W562" s="39">
        <f>データ!H562</f>
        <v>8653</v>
      </c>
      <c r="X562" s="40" t="s">
        <v>1024</v>
      </c>
      <c r="Y562" s="40" t="s">
        <v>1319</v>
      </c>
      <c r="Z562" s="39">
        <f>データ!I562</f>
        <v>6022</v>
      </c>
      <c r="AA562" s="40" t="s">
        <v>1024</v>
      </c>
      <c r="AB562" s="40" t="s">
        <v>1322</v>
      </c>
      <c r="AC562" s="39" t="str">
        <f>データ!J562</f>
        <v>SS-</v>
      </c>
      <c r="AD562" s="38" t="s">
        <v>1024</v>
      </c>
      <c r="AE562" s="40" t="s">
        <v>1323</v>
      </c>
      <c r="AF562" s="39">
        <f>データ!K562</f>
        <v>33048</v>
      </c>
      <c r="AG562" s="40" t="s">
        <v>1024</v>
      </c>
      <c r="AH562" s="40" t="s">
        <v>1324</v>
      </c>
      <c r="AI562" s="39" t="str">
        <f>データ!L562</f>
        <v>癒やしの光／煌</v>
      </c>
      <c r="AJ562" s="10" t="s">
        <v>1113</v>
      </c>
      <c r="AK562" s="39" t="str">
        <f>データ!M562</f>
        <v>最もダメージが多い味方1人のHP回復[特大]</v>
      </c>
      <c r="AL562" s="10" t="s">
        <v>1024</v>
      </c>
      <c r="AM562" s="40" t="s">
        <v>1325</v>
      </c>
      <c r="AN562" s="39" t="str">
        <f>データ!N562</f>
        <v>-</v>
      </c>
      <c r="AO562" s="10" t="s">
        <v>1113</v>
      </c>
      <c r="AP562" s="39" t="str">
        <f>データ!O562</f>
        <v>　</v>
      </c>
      <c r="AQ562" s="41" t="s">
        <v>1024</v>
      </c>
      <c r="AR562" s="40" t="s">
        <v>1324</v>
      </c>
      <c r="AS562" s="39" t="str">
        <f>データ!P562</f>
        <v>アサルト／煌</v>
      </c>
      <c r="AT562" s="10" t="s">
        <v>1113</v>
      </c>
      <c r="AU562" s="39" t="str">
        <f>データ!Q562</f>
        <v>パーティ全体の攻撃力が特大UP(3分間)</v>
      </c>
      <c r="AV562" s="10" t="s">
        <v>1024</v>
      </c>
      <c r="AW562" s="40" t="s">
        <v>1324</v>
      </c>
      <c r="AX562" s="39" t="str">
        <f>データ!R562</f>
        <v>キャッスルヴェール／真</v>
      </c>
      <c r="AY562" s="10" t="s">
        <v>1113</v>
      </c>
      <c r="AZ562" s="39" t="str">
        <f>データ!S562</f>
        <v>城の強度Lvが中UP(3分間)</v>
      </c>
      <c r="BA562" s="41" t="s">
        <v>1024</v>
      </c>
      <c r="BB562" s="40" t="s">
        <v>1319</v>
      </c>
      <c r="BC562" s="39" t="str">
        <f>データ!T562</f>
        <v>-</v>
      </c>
      <c r="BD562" s="41" t="s">
        <v>1024</v>
      </c>
      <c r="BE562" s="40" t="s">
        <v>1320</v>
      </c>
      <c r="BF562" s="39" t="str">
        <f>データ!U562</f>
        <v>-</v>
      </c>
      <c r="BG562" s="41" t="s">
        <v>1024</v>
      </c>
      <c r="BH562" s="40" t="s">
        <v>1319</v>
      </c>
      <c r="BI562" s="39" t="str">
        <f>データ!V562</f>
        <v>URユニット10キャラプレゼントキャンペーン</v>
      </c>
      <c r="BJ562" s="41" t="s">
        <v>1024</v>
      </c>
      <c r="BK562" s="10" t="s">
        <v>1019</v>
      </c>
    </row>
    <row r="563" spans="1:63" x14ac:dyDescent="0.15">
      <c r="A563" s="10" t="s">
        <v>1016</v>
      </c>
      <c r="B563" s="10" t="s">
        <v>1454</v>
      </c>
      <c r="C563" s="38" t="str">
        <f>"./images/thumbnail/"&amp;データ!B563&amp;".jpg"</f>
        <v>./images/thumbnail/1923.jpg</v>
      </c>
      <c r="D563" s="38" t="s">
        <v>1455</v>
      </c>
      <c r="E563" s="38" t="str">
        <f>"./images/thumbnail/"&amp;データ!B563&amp;".jpg"</f>
        <v>./images/thumbnail/1923.jpg</v>
      </c>
      <c r="F563" s="38" t="s">
        <v>1116</v>
      </c>
      <c r="G563" s="38" t="s">
        <v>1319</v>
      </c>
      <c r="H563" s="38" t="str">
        <f>データ!C563</f>
        <v>ジェニー</v>
      </c>
      <c r="I563" s="38" t="s">
        <v>1024</v>
      </c>
      <c r="J563" s="38" t="s">
        <v>1320</v>
      </c>
      <c r="K563" s="38" t="str">
        <f>データ!D563</f>
        <v>UR</v>
      </c>
      <c r="L563" s="38" t="s">
        <v>1024</v>
      </c>
      <c r="M563" s="38" t="s">
        <v>1321</v>
      </c>
      <c r="N563" s="38">
        <f>データ!E563</f>
        <v>15</v>
      </c>
      <c r="O563" s="38" t="s">
        <v>1024</v>
      </c>
      <c r="P563" s="38" t="s">
        <v>1319</v>
      </c>
      <c r="Q563" s="38" t="str">
        <f>データ!F563</f>
        <v>斬</v>
      </c>
      <c r="R563" s="38" t="s">
        <v>1024</v>
      </c>
      <c r="S563" s="38" t="s">
        <v>1319</v>
      </c>
      <c r="T563" s="39">
        <f>データ!G563</f>
        <v>19249</v>
      </c>
      <c r="U563" s="40" t="s">
        <v>1024</v>
      </c>
      <c r="V563" s="40" t="s">
        <v>1319</v>
      </c>
      <c r="W563" s="39">
        <f>データ!H563</f>
        <v>9088</v>
      </c>
      <c r="X563" s="40" t="s">
        <v>1024</v>
      </c>
      <c r="Y563" s="40" t="s">
        <v>1319</v>
      </c>
      <c r="Z563" s="39">
        <f>データ!I563</f>
        <v>6246</v>
      </c>
      <c r="AA563" s="40" t="s">
        <v>1024</v>
      </c>
      <c r="AB563" s="40" t="s">
        <v>1322</v>
      </c>
      <c r="AC563" s="39" t="str">
        <f>データ!J563</f>
        <v>SS-</v>
      </c>
      <c r="AD563" s="38" t="s">
        <v>1024</v>
      </c>
      <c r="AE563" s="40" t="s">
        <v>1323</v>
      </c>
      <c r="AF563" s="39">
        <f>データ!K563</f>
        <v>34583</v>
      </c>
      <c r="AG563" s="40" t="s">
        <v>1024</v>
      </c>
      <c r="AH563" s="40" t="s">
        <v>1324</v>
      </c>
      <c r="AI563" s="39" t="str">
        <f>データ!L563</f>
        <v>斬紅の業火／絶</v>
      </c>
      <c r="AJ563" s="10" t="s">
        <v>1113</v>
      </c>
      <c r="AK563" s="39" t="str">
        <f>データ!M563</f>
        <v>次の攻撃でダメージが上昇する[大]</v>
      </c>
      <c r="AL563" s="38" t="s">
        <v>1024</v>
      </c>
      <c r="AM563" s="40" t="s">
        <v>1325</v>
      </c>
      <c r="AN563" s="39" t="str">
        <f>データ!N563</f>
        <v>-</v>
      </c>
      <c r="AO563" s="10" t="s">
        <v>1113</v>
      </c>
      <c r="AP563" s="39" t="str">
        <f>データ!O563</f>
        <v>　</v>
      </c>
      <c r="AQ563" s="41" t="s">
        <v>1024</v>
      </c>
      <c r="AR563" s="40" t="s">
        <v>1324</v>
      </c>
      <c r="AS563" s="39" t="str">
        <f>データ!P563</f>
        <v>ポイントライズ／煌</v>
      </c>
      <c r="AT563" s="10" t="s">
        <v>1113</v>
      </c>
      <c r="AU563" s="39" t="str">
        <f>データ!Q563</f>
        <v>獲得する騎士団戦スコアが特大アップ(バトル3回)</v>
      </c>
      <c r="AV563" s="10" t="s">
        <v>1024</v>
      </c>
      <c r="AW563" s="40" t="s">
        <v>1324</v>
      </c>
      <c r="AX563" s="39" t="str">
        <f>データ!R563</f>
        <v>アサルト／絶</v>
      </c>
      <c r="AY563" s="10" t="s">
        <v>1113</v>
      </c>
      <c r="AZ563" s="39" t="str">
        <f>データ!S563</f>
        <v>パーティ全体の攻撃力が大UP(3分間)</v>
      </c>
      <c r="BA563" s="41" t="s">
        <v>1024</v>
      </c>
      <c r="BB563" s="40" t="s">
        <v>1319</v>
      </c>
      <c r="BC563" s="39" t="str">
        <f>データ!T563</f>
        <v>-</v>
      </c>
      <c r="BD563" s="41" t="s">
        <v>1024</v>
      </c>
      <c r="BE563" s="40" t="s">
        <v>1320</v>
      </c>
      <c r="BF563" s="39" t="str">
        <f>データ!U563</f>
        <v>-</v>
      </c>
      <c r="BG563" s="41" t="s">
        <v>1024</v>
      </c>
      <c r="BH563" s="40" t="s">
        <v>1319</v>
      </c>
      <c r="BI563" s="39" t="str">
        <f>データ!V563</f>
        <v>常設</v>
      </c>
      <c r="BJ563" s="41" t="s">
        <v>1024</v>
      </c>
      <c r="BK563" s="10" t="s">
        <v>1019</v>
      </c>
    </row>
    <row r="564" spans="1:63" x14ac:dyDescent="0.15">
      <c r="A564" s="10" t="s">
        <v>1016</v>
      </c>
      <c r="B564" s="10" t="s">
        <v>1454</v>
      </c>
      <c r="C564" s="38" t="str">
        <f>"./images/thumbnail/"&amp;データ!B564&amp;".jpg"</f>
        <v>./images/thumbnail/1925.jpg</v>
      </c>
      <c r="D564" s="38" t="s">
        <v>1455</v>
      </c>
      <c r="E564" s="38" t="str">
        <f>"./images/thumbnail/"&amp;データ!B564&amp;".jpg"</f>
        <v>./images/thumbnail/1925.jpg</v>
      </c>
      <c r="F564" s="38" t="s">
        <v>1116</v>
      </c>
      <c r="G564" s="38" t="s">
        <v>1319</v>
      </c>
      <c r="H564" s="38" t="str">
        <f>データ!C564</f>
        <v>エリシール</v>
      </c>
      <c r="I564" s="38" t="s">
        <v>1024</v>
      </c>
      <c r="J564" s="38" t="s">
        <v>1320</v>
      </c>
      <c r="K564" s="38" t="str">
        <f>データ!D564</f>
        <v>UR</v>
      </c>
      <c r="L564" s="38" t="s">
        <v>1024</v>
      </c>
      <c r="M564" s="38" t="s">
        <v>1321</v>
      </c>
      <c r="N564" s="38">
        <f>データ!E564</f>
        <v>14</v>
      </c>
      <c r="O564" s="38" t="s">
        <v>1024</v>
      </c>
      <c r="P564" s="38" t="s">
        <v>1319</v>
      </c>
      <c r="Q564" s="38" t="str">
        <f>データ!F564</f>
        <v>遠</v>
      </c>
      <c r="R564" s="38" t="s">
        <v>1024</v>
      </c>
      <c r="S564" s="38" t="s">
        <v>1319</v>
      </c>
      <c r="T564" s="39">
        <f>データ!G564</f>
        <v>19430</v>
      </c>
      <c r="U564" s="40" t="s">
        <v>1024</v>
      </c>
      <c r="V564" s="40" t="s">
        <v>1319</v>
      </c>
      <c r="W564" s="39">
        <f>データ!H564</f>
        <v>6556</v>
      </c>
      <c r="X564" s="40" t="s">
        <v>1024</v>
      </c>
      <c r="Y564" s="40" t="s">
        <v>1319</v>
      </c>
      <c r="Z564" s="39">
        <f>データ!I564</f>
        <v>6224</v>
      </c>
      <c r="AA564" s="40" t="s">
        <v>1024</v>
      </c>
      <c r="AB564" s="40" t="s">
        <v>1322</v>
      </c>
      <c r="AC564" s="39" t="str">
        <f>データ!J564</f>
        <v>S+</v>
      </c>
      <c r="AD564" s="38" t="s">
        <v>1024</v>
      </c>
      <c r="AE564" s="40" t="s">
        <v>1323</v>
      </c>
      <c r="AF564" s="39">
        <f>データ!K564</f>
        <v>32210</v>
      </c>
      <c r="AG564" s="40" t="s">
        <v>1024</v>
      </c>
      <c r="AH564" s="40" t="s">
        <v>1324</v>
      </c>
      <c r="AI564" s="39" t="str">
        <f>データ!L564</f>
        <v>天使の微笑／絶</v>
      </c>
      <c r="AJ564" s="10" t="s">
        <v>1113</v>
      </c>
      <c r="AK564" s="39" t="str">
        <f>データ!M564</f>
        <v>味方全員のHPを回復[大]</v>
      </c>
      <c r="AL564" s="10" t="s">
        <v>1024</v>
      </c>
      <c r="AM564" s="40" t="s">
        <v>1325</v>
      </c>
      <c r="AN564" s="39" t="str">
        <f>データ!N564</f>
        <v>-</v>
      </c>
      <c r="AO564" s="10" t="s">
        <v>1113</v>
      </c>
      <c r="AP564" s="39" t="str">
        <f>データ!O564</f>
        <v>　</v>
      </c>
      <c r="AQ564" s="41" t="s">
        <v>1024</v>
      </c>
      <c r="AR564" s="40" t="s">
        <v>1324</v>
      </c>
      <c r="AS564" s="39" t="str">
        <f>データ!P564</f>
        <v>フォートレスオーダー／真</v>
      </c>
      <c r="AT564" s="10" t="s">
        <v>1113</v>
      </c>
      <c r="AU564" s="39" t="str">
        <f>データ!Q564</f>
        <v>騎士団全体の防御力が中UP(3分間)</v>
      </c>
      <c r="AV564" s="10" t="s">
        <v>1024</v>
      </c>
      <c r="AW564" s="40" t="s">
        <v>1324</v>
      </c>
      <c r="AX564" s="39" t="str">
        <f>データ!R564</f>
        <v>-</v>
      </c>
      <c r="AY564" s="10" t="s">
        <v>1113</v>
      </c>
      <c r="AZ564" s="39" t="str">
        <f>データ!S564</f>
        <v>　</v>
      </c>
      <c r="BA564" s="41" t="s">
        <v>1024</v>
      </c>
      <c r="BB564" s="40" t="s">
        <v>1319</v>
      </c>
      <c r="BC564" s="39" t="str">
        <f>データ!T564</f>
        <v>-</v>
      </c>
      <c r="BD564" s="41" t="s">
        <v>1024</v>
      </c>
      <c r="BE564" s="40" t="s">
        <v>1320</v>
      </c>
      <c r="BF564" s="39" t="str">
        <f>データ!U564</f>
        <v>-</v>
      </c>
      <c r="BG564" s="41" t="s">
        <v>1024</v>
      </c>
      <c r="BH564" s="40" t="s">
        <v>1319</v>
      </c>
      <c r="BI564" s="39" t="str">
        <f>データ!V564</f>
        <v>常設</v>
      </c>
      <c r="BJ564" s="41" t="s">
        <v>1024</v>
      </c>
      <c r="BK564" s="10" t="s">
        <v>1019</v>
      </c>
    </row>
    <row r="565" spans="1:63" x14ac:dyDescent="0.15">
      <c r="A565" s="10" t="s">
        <v>1016</v>
      </c>
      <c r="B565" s="10" t="s">
        <v>1454</v>
      </c>
      <c r="C565" s="38" t="str">
        <f>"./images/thumbnail/"&amp;データ!B565&amp;".jpg"</f>
        <v>./images/thumbnail/1926.jpg</v>
      </c>
      <c r="D565" s="38" t="s">
        <v>1455</v>
      </c>
      <c r="E565" s="38" t="str">
        <f>"./images/thumbnail/"&amp;データ!B565&amp;".jpg"</f>
        <v>./images/thumbnail/1926.jpg</v>
      </c>
      <c r="F565" s="38" t="s">
        <v>1116</v>
      </c>
      <c r="G565" s="38" t="s">
        <v>1319</v>
      </c>
      <c r="H565" s="38" t="str">
        <f>データ!C565</f>
        <v>エメーリエ</v>
      </c>
      <c r="I565" s="38" t="s">
        <v>1024</v>
      </c>
      <c r="J565" s="38" t="s">
        <v>1320</v>
      </c>
      <c r="K565" s="38" t="str">
        <f>データ!D565</f>
        <v>UR</v>
      </c>
      <c r="L565" s="38" t="s">
        <v>1024</v>
      </c>
      <c r="M565" s="38" t="s">
        <v>1321</v>
      </c>
      <c r="N565" s="38">
        <f>データ!E565</f>
        <v>15</v>
      </c>
      <c r="O565" s="38" t="s">
        <v>1024</v>
      </c>
      <c r="P565" s="38" t="s">
        <v>1319</v>
      </c>
      <c r="Q565" s="38" t="str">
        <f>データ!F565</f>
        <v>斬</v>
      </c>
      <c r="R565" s="38" t="s">
        <v>1024</v>
      </c>
      <c r="S565" s="38" t="s">
        <v>1319</v>
      </c>
      <c r="T565" s="39">
        <f>データ!G565</f>
        <v>20120</v>
      </c>
      <c r="U565" s="40" t="s">
        <v>1024</v>
      </c>
      <c r="V565" s="40" t="s">
        <v>1319</v>
      </c>
      <c r="W565" s="39">
        <f>データ!H565</f>
        <v>9147</v>
      </c>
      <c r="X565" s="40" t="s">
        <v>1024</v>
      </c>
      <c r="Y565" s="40" t="s">
        <v>1319</v>
      </c>
      <c r="Z565" s="39">
        <f>データ!I565</f>
        <v>6339</v>
      </c>
      <c r="AA565" s="40" t="s">
        <v>1024</v>
      </c>
      <c r="AB565" s="40" t="s">
        <v>1322</v>
      </c>
      <c r="AC565" s="39" t="str">
        <f>データ!J565</f>
        <v>SS1</v>
      </c>
      <c r="AD565" s="38" t="s">
        <v>1024</v>
      </c>
      <c r="AE565" s="40" t="s">
        <v>1323</v>
      </c>
      <c r="AF565" s="39">
        <f>データ!K565</f>
        <v>35606</v>
      </c>
      <c r="AG565" s="40" t="s">
        <v>1024</v>
      </c>
      <c r="AH565" s="40" t="s">
        <v>1324</v>
      </c>
      <c r="AI565" s="39" t="str">
        <f>データ!L565</f>
        <v>対蒼の突風／煌</v>
      </c>
      <c r="AJ565" s="10" t="s">
        <v>1113</v>
      </c>
      <c r="AK565" s="39" t="str">
        <f>データ!M565</f>
        <v>突に強く斬に弱い縦一列攻撃[特大]</v>
      </c>
      <c r="AL565" s="10" t="s">
        <v>1024</v>
      </c>
      <c r="AM565" s="40" t="s">
        <v>1325</v>
      </c>
      <c r="AN565" s="39" t="str">
        <f>データ!N565</f>
        <v>-</v>
      </c>
      <c r="AO565" s="10" t="s">
        <v>1113</v>
      </c>
      <c r="AP565" s="39" t="str">
        <f>データ!O565</f>
        <v>　</v>
      </c>
      <c r="AQ565" s="41" t="s">
        <v>1024</v>
      </c>
      <c r="AR565" s="40" t="s">
        <v>1324</v>
      </c>
      <c r="AS565" s="39" t="str">
        <f>データ!P565</f>
        <v>エース／煌</v>
      </c>
      <c r="AT565" s="10" t="s">
        <v>1113</v>
      </c>
      <c r="AU565" s="39" t="str">
        <f>データ!Q565</f>
        <v>パーティ全体の攻・防が特大UP(3分間)</v>
      </c>
      <c r="AV565" s="10" t="s">
        <v>1024</v>
      </c>
      <c r="AW565" s="40" t="s">
        <v>1324</v>
      </c>
      <c r="AX565" s="39" t="str">
        <f>データ!R565</f>
        <v>ランページ／絶</v>
      </c>
      <c r="AY565" s="10" t="s">
        <v>1113</v>
      </c>
      <c r="AZ565" s="39" t="str">
        <f>データ!S565</f>
        <v>バトルで獲得する騎士団戦スコアが大アップ(3分間)</v>
      </c>
      <c r="BA565" s="41" t="s">
        <v>1024</v>
      </c>
      <c r="BB565" s="40" t="s">
        <v>1319</v>
      </c>
      <c r="BC565" s="39" t="str">
        <f>データ!T565</f>
        <v>-</v>
      </c>
      <c r="BD565" s="41" t="s">
        <v>1024</v>
      </c>
      <c r="BE565" s="40" t="s">
        <v>1320</v>
      </c>
      <c r="BF565" s="39" t="str">
        <f>データ!U565</f>
        <v>-</v>
      </c>
      <c r="BG565" s="41" t="s">
        <v>1024</v>
      </c>
      <c r="BH565" s="40" t="s">
        <v>1319</v>
      </c>
      <c r="BI565" s="39" t="str">
        <f>データ!V565</f>
        <v>ガチャイベ</v>
      </c>
      <c r="BJ565" s="41" t="s">
        <v>1024</v>
      </c>
      <c r="BK565" s="10" t="s">
        <v>1019</v>
      </c>
    </row>
    <row r="566" spans="1:63" x14ac:dyDescent="0.15">
      <c r="A566" s="10" t="s">
        <v>1016</v>
      </c>
      <c r="B566" s="10" t="s">
        <v>1454</v>
      </c>
      <c r="C566" s="38" t="str">
        <f>"./images/thumbnail/"&amp;データ!B566&amp;".jpg"</f>
        <v>./images/thumbnail/1927.jpg</v>
      </c>
      <c r="D566" s="38" t="s">
        <v>1455</v>
      </c>
      <c r="E566" s="38" t="str">
        <f>"./images/thumbnail/"&amp;データ!B566&amp;".jpg"</f>
        <v>./images/thumbnail/1927.jpg</v>
      </c>
      <c r="F566" s="38" t="s">
        <v>1116</v>
      </c>
      <c r="G566" s="38" t="s">
        <v>1319</v>
      </c>
      <c r="H566" s="38" t="str">
        <f>データ!C566</f>
        <v>ローズ</v>
      </c>
      <c r="I566" s="38" t="s">
        <v>1024</v>
      </c>
      <c r="J566" s="38" t="s">
        <v>1320</v>
      </c>
      <c r="K566" s="38" t="str">
        <f>データ!D566</f>
        <v>UR</v>
      </c>
      <c r="L566" s="38" t="s">
        <v>1024</v>
      </c>
      <c r="M566" s="38" t="s">
        <v>1321</v>
      </c>
      <c r="N566" s="38">
        <f>データ!E566</f>
        <v>14</v>
      </c>
      <c r="O566" s="38" t="s">
        <v>1024</v>
      </c>
      <c r="P566" s="38" t="s">
        <v>1319</v>
      </c>
      <c r="Q566" s="38" t="str">
        <f>データ!F566</f>
        <v>遠</v>
      </c>
      <c r="R566" s="38" t="s">
        <v>1024</v>
      </c>
      <c r="S566" s="38" t="s">
        <v>1319</v>
      </c>
      <c r="T566" s="39">
        <f>データ!G566</f>
        <v>19434</v>
      </c>
      <c r="U566" s="40" t="s">
        <v>1024</v>
      </c>
      <c r="V566" s="40" t="s">
        <v>1319</v>
      </c>
      <c r="W566" s="39">
        <f>データ!H566</f>
        <v>6822</v>
      </c>
      <c r="X566" s="40" t="s">
        <v>1024</v>
      </c>
      <c r="Y566" s="40" t="s">
        <v>1319</v>
      </c>
      <c r="Z566" s="39">
        <f>データ!I566</f>
        <v>5436</v>
      </c>
      <c r="AA566" s="40" t="s">
        <v>1024</v>
      </c>
      <c r="AB566" s="40" t="s">
        <v>1322</v>
      </c>
      <c r="AC566" s="39" t="str">
        <f>データ!J566</f>
        <v>S+</v>
      </c>
      <c r="AD566" s="38" t="s">
        <v>1024</v>
      </c>
      <c r="AE566" s="40" t="s">
        <v>1323</v>
      </c>
      <c r="AF566" s="39">
        <f>データ!K566</f>
        <v>31692</v>
      </c>
      <c r="AG566" s="40" t="s">
        <v>1024</v>
      </c>
      <c r="AH566" s="40" t="s">
        <v>1324</v>
      </c>
      <c r="AI566" s="39" t="str">
        <f>データ!L566</f>
        <v>遠翠の聖天</v>
      </c>
      <c r="AJ566" s="10" t="s">
        <v>1113</v>
      </c>
      <c r="AK566" s="39" t="str">
        <f>データ!M566</f>
        <v>味方遠属性の攻撃力と防御力をUP[大]</v>
      </c>
      <c r="AL566" s="38" t="s">
        <v>1024</v>
      </c>
      <c r="AM566" s="40" t="s">
        <v>1325</v>
      </c>
      <c r="AN566" s="39" t="str">
        <f>データ!N566</f>
        <v>-</v>
      </c>
      <c r="AO566" s="10" t="s">
        <v>1113</v>
      </c>
      <c r="AP566" s="39" t="str">
        <f>データ!O566</f>
        <v>　</v>
      </c>
      <c r="AQ566" s="41" t="s">
        <v>1024</v>
      </c>
      <c r="AR566" s="40" t="s">
        <v>1324</v>
      </c>
      <c r="AS566" s="39" t="str">
        <f>データ!P566</f>
        <v>オラクル／絶</v>
      </c>
      <c r="AT566" s="10" t="s">
        <v>1113</v>
      </c>
      <c r="AU566" s="39" t="str">
        <f>データ!Q566</f>
        <v>パーティ全体のスキル発動率が大UP(3分間)</v>
      </c>
      <c r="AV566" s="10" t="s">
        <v>1024</v>
      </c>
      <c r="AW566" s="40" t="s">
        <v>1324</v>
      </c>
      <c r="AX566" s="39" t="str">
        <f>データ!R566</f>
        <v>-</v>
      </c>
      <c r="AY566" s="10" t="s">
        <v>1113</v>
      </c>
      <c r="AZ566" s="39" t="str">
        <f>データ!S566</f>
        <v>　</v>
      </c>
      <c r="BA566" s="41" t="s">
        <v>1024</v>
      </c>
      <c r="BB566" s="40" t="s">
        <v>1319</v>
      </c>
      <c r="BC566" s="39" t="str">
        <f>データ!T566</f>
        <v>-</v>
      </c>
      <c r="BD566" s="41" t="s">
        <v>1024</v>
      </c>
      <c r="BE566" s="40" t="s">
        <v>1320</v>
      </c>
      <c r="BF566" s="39" t="str">
        <f>データ!U566</f>
        <v>-</v>
      </c>
      <c r="BG566" s="41" t="s">
        <v>1024</v>
      </c>
      <c r="BH566" s="40" t="s">
        <v>1319</v>
      </c>
      <c r="BI566" s="39" t="str">
        <f>データ!V566</f>
        <v>誓いイベ</v>
      </c>
      <c r="BJ566" s="41" t="s">
        <v>1024</v>
      </c>
      <c r="BK566" s="10" t="s">
        <v>1019</v>
      </c>
    </row>
    <row r="567" spans="1:63" x14ac:dyDescent="0.15">
      <c r="A567" s="10" t="s">
        <v>1016</v>
      </c>
      <c r="B567" s="10" t="s">
        <v>1454</v>
      </c>
      <c r="C567" s="38" t="str">
        <f>"./images/thumbnail/"&amp;データ!B567&amp;".jpg"</f>
        <v>./images/thumbnail/1928.jpg</v>
      </c>
      <c r="D567" s="38" t="s">
        <v>1455</v>
      </c>
      <c r="E567" s="38" t="str">
        <f>"./images/thumbnail/"&amp;データ!B567&amp;".jpg"</f>
        <v>./images/thumbnail/1928.jpg</v>
      </c>
      <c r="F567" s="38" t="s">
        <v>1116</v>
      </c>
      <c r="G567" s="38" t="s">
        <v>1319</v>
      </c>
      <c r="H567" s="38" t="str">
        <f>データ!C567</f>
        <v>ローズ</v>
      </c>
      <c r="I567" s="38" t="s">
        <v>1024</v>
      </c>
      <c r="J567" s="38" t="s">
        <v>1320</v>
      </c>
      <c r="K567" s="38" t="str">
        <f>データ!D567</f>
        <v>SSR</v>
      </c>
      <c r="L567" s="38" t="s">
        <v>1024</v>
      </c>
      <c r="M567" s="38" t="s">
        <v>1321</v>
      </c>
      <c r="N567" s="38">
        <f>データ!E567</f>
        <v>13</v>
      </c>
      <c r="O567" s="38" t="s">
        <v>1024</v>
      </c>
      <c r="P567" s="38" t="s">
        <v>1319</v>
      </c>
      <c r="Q567" s="38" t="str">
        <f>データ!F567</f>
        <v>遠</v>
      </c>
      <c r="R567" s="38" t="s">
        <v>1024</v>
      </c>
      <c r="S567" s="38" t="s">
        <v>1319</v>
      </c>
      <c r="T567" s="39">
        <f>データ!G567</f>
        <v>15993</v>
      </c>
      <c r="U567" s="40" t="s">
        <v>1024</v>
      </c>
      <c r="V567" s="40" t="s">
        <v>1319</v>
      </c>
      <c r="W567" s="39">
        <f>データ!H567</f>
        <v>6111</v>
      </c>
      <c r="X567" s="40" t="s">
        <v>1024</v>
      </c>
      <c r="Y567" s="40" t="s">
        <v>1319</v>
      </c>
      <c r="Z567" s="39">
        <f>データ!I567</f>
        <v>5014</v>
      </c>
      <c r="AA567" s="40" t="s">
        <v>1024</v>
      </c>
      <c r="AB567" s="40" t="s">
        <v>1322</v>
      </c>
      <c r="AC567" s="39" t="str">
        <f>データ!J567</f>
        <v>S-</v>
      </c>
      <c r="AD567" s="38" t="s">
        <v>1024</v>
      </c>
      <c r="AE567" s="40" t="s">
        <v>1323</v>
      </c>
      <c r="AF567" s="39">
        <f>データ!K567</f>
        <v>27118</v>
      </c>
      <c r="AG567" s="40" t="s">
        <v>1024</v>
      </c>
      <c r="AH567" s="40" t="s">
        <v>1324</v>
      </c>
      <c r="AI567" s="39" t="str">
        <f>データ!L567</f>
        <v>暗闇の言霊／絶</v>
      </c>
      <c r="AJ567" s="10" t="s">
        <v>1113</v>
      </c>
      <c r="AK567" s="39" t="str">
        <f>データ!M567</f>
        <v>一定確率で敵を暗闇状態にする[高確率]</v>
      </c>
      <c r="AL567" s="10" t="s">
        <v>1024</v>
      </c>
      <c r="AM567" s="40" t="s">
        <v>1325</v>
      </c>
      <c r="AN567" s="39" t="str">
        <f>データ!N567</f>
        <v>-</v>
      </c>
      <c r="AO567" s="10" t="s">
        <v>1113</v>
      </c>
      <c r="AP567" s="39" t="str">
        <f>データ!O567</f>
        <v>　</v>
      </c>
      <c r="AQ567" s="41" t="s">
        <v>1024</v>
      </c>
      <c r="AR567" s="40" t="s">
        <v>1324</v>
      </c>
      <c r="AS567" s="39" t="str">
        <f>データ!P567</f>
        <v>バーサク／真</v>
      </c>
      <c r="AT567" s="10" t="s">
        <v>1113</v>
      </c>
      <c r="AU567" s="39" t="str">
        <f>データ!Q567</f>
        <v>強襲が発生無効、バトル時に攻・防中UP(3分間)</v>
      </c>
      <c r="AV567" s="10" t="s">
        <v>1024</v>
      </c>
      <c r="AW567" s="40" t="s">
        <v>1324</v>
      </c>
      <c r="AX567" s="39" t="str">
        <f>データ!R567</f>
        <v>-</v>
      </c>
      <c r="AY567" s="10" t="s">
        <v>1113</v>
      </c>
      <c r="AZ567" s="39" t="str">
        <f>データ!S567</f>
        <v>　</v>
      </c>
      <c r="BA567" s="41" t="s">
        <v>1024</v>
      </c>
      <c r="BB567" s="40" t="s">
        <v>1319</v>
      </c>
      <c r="BC567" s="39" t="str">
        <f>データ!T567</f>
        <v>-</v>
      </c>
      <c r="BD567" s="41" t="s">
        <v>1024</v>
      </c>
      <c r="BE567" s="40" t="s">
        <v>1320</v>
      </c>
      <c r="BF567" s="39" t="str">
        <f>データ!U567</f>
        <v>-</v>
      </c>
      <c r="BG567" s="41" t="s">
        <v>1024</v>
      </c>
      <c r="BH567" s="40" t="s">
        <v>1319</v>
      </c>
      <c r="BI567" s="39" t="str">
        <f>データ!V567</f>
        <v>誓いイベ</v>
      </c>
      <c r="BJ567" s="41" t="s">
        <v>1024</v>
      </c>
      <c r="BK567" s="10" t="s">
        <v>1019</v>
      </c>
    </row>
    <row r="568" spans="1:63" x14ac:dyDescent="0.15">
      <c r="A568" s="10" t="s">
        <v>1016</v>
      </c>
      <c r="B568" s="10" t="s">
        <v>1454</v>
      </c>
      <c r="C568" s="38" t="str">
        <f>"./images/thumbnail/"&amp;データ!B568&amp;".jpg"</f>
        <v>./images/thumbnail/1930.jpg</v>
      </c>
      <c r="D568" s="38" t="s">
        <v>1455</v>
      </c>
      <c r="E568" s="38" t="str">
        <f>"./images/thumbnail/"&amp;データ!B568&amp;".jpg"</f>
        <v>./images/thumbnail/1930.jpg</v>
      </c>
      <c r="F568" s="38" t="s">
        <v>1116</v>
      </c>
      <c r="G568" s="38" t="s">
        <v>1319</v>
      </c>
      <c r="H568" s="38" t="str">
        <f>データ!C568</f>
        <v>マクシミリアン</v>
      </c>
      <c r="I568" s="38" t="s">
        <v>1024</v>
      </c>
      <c r="J568" s="38" t="s">
        <v>1320</v>
      </c>
      <c r="K568" s="38" t="str">
        <f>データ!D568</f>
        <v>SSR</v>
      </c>
      <c r="L568" s="38" t="s">
        <v>1024</v>
      </c>
      <c r="M568" s="38" t="s">
        <v>1321</v>
      </c>
      <c r="N568" s="38">
        <f>データ!E568</f>
        <v>13</v>
      </c>
      <c r="O568" s="38" t="s">
        <v>1024</v>
      </c>
      <c r="P568" s="38" t="s">
        <v>1319</v>
      </c>
      <c r="Q568" s="38" t="str">
        <f>データ!F568</f>
        <v>遠</v>
      </c>
      <c r="R568" s="38" t="s">
        <v>1024</v>
      </c>
      <c r="S568" s="38" t="s">
        <v>1319</v>
      </c>
      <c r="T568" s="39">
        <f>データ!G568</f>
        <v>17905</v>
      </c>
      <c r="U568" s="40" t="s">
        <v>1024</v>
      </c>
      <c r="V568" s="40" t="s">
        <v>1319</v>
      </c>
      <c r="W568" s="39">
        <f>データ!H568</f>
        <v>6015</v>
      </c>
      <c r="X568" s="40" t="s">
        <v>1024</v>
      </c>
      <c r="Y568" s="40" t="s">
        <v>1319</v>
      </c>
      <c r="Z568" s="39">
        <f>データ!I568</f>
        <v>5516</v>
      </c>
      <c r="AA568" s="40" t="s">
        <v>1024</v>
      </c>
      <c r="AB568" s="40" t="s">
        <v>1322</v>
      </c>
      <c r="AC568" s="39" t="str">
        <f>データ!J568</f>
        <v>S-</v>
      </c>
      <c r="AD568" s="38" t="s">
        <v>1024</v>
      </c>
      <c r="AE568" s="40" t="s">
        <v>1323</v>
      </c>
      <c r="AF568" s="39">
        <f>データ!K568</f>
        <v>29436</v>
      </c>
      <c r="AG568" s="40" t="s">
        <v>1024</v>
      </c>
      <c r="AH568" s="40" t="s">
        <v>1324</v>
      </c>
      <c r="AI568" s="39" t="str">
        <f>データ!L568</f>
        <v>遠翠の略奪／絶</v>
      </c>
      <c r="AJ568" s="10" t="s">
        <v>1113</v>
      </c>
      <c r="AK568" s="39" t="str">
        <f>データ!M568</f>
        <v>敵単体に攻撃しつつHP回復[大]</v>
      </c>
      <c r="AL568" s="10" t="s">
        <v>1024</v>
      </c>
      <c r="AM568" s="40" t="s">
        <v>1325</v>
      </c>
      <c r="AN568" s="39" t="str">
        <f>データ!N568</f>
        <v>-</v>
      </c>
      <c r="AO568" s="10" t="s">
        <v>1113</v>
      </c>
      <c r="AP568" s="39" t="str">
        <f>データ!O568</f>
        <v>　</v>
      </c>
      <c r="AQ568" s="41" t="s">
        <v>1024</v>
      </c>
      <c r="AR568" s="40" t="s">
        <v>1324</v>
      </c>
      <c r="AS568" s="39" t="str">
        <f>データ!P568</f>
        <v>フォースオブウィッシュ／真</v>
      </c>
      <c r="AT568" s="10" t="s">
        <v>1113</v>
      </c>
      <c r="AU568" s="39" t="str">
        <f>データ!Q568</f>
        <v>騎士団全員のBPを中回復</v>
      </c>
      <c r="AV568" s="10" t="s">
        <v>1024</v>
      </c>
      <c r="AW568" s="40" t="s">
        <v>1324</v>
      </c>
      <c r="AX568" s="39" t="str">
        <f>データ!R568</f>
        <v>-</v>
      </c>
      <c r="AY568" s="10" t="s">
        <v>1113</v>
      </c>
      <c r="AZ568" s="39" t="str">
        <f>データ!S568</f>
        <v>　</v>
      </c>
      <c r="BA568" s="41" t="s">
        <v>1024</v>
      </c>
      <c r="BB568" s="40" t="s">
        <v>1319</v>
      </c>
      <c r="BC568" s="39" t="str">
        <f>データ!T568</f>
        <v>-</v>
      </c>
      <c r="BD568" s="41" t="s">
        <v>1024</v>
      </c>
      <c r="BE568" s="40" t="s">
        <v>1320</v>
      </c>
      <c r="BF568" s="39" t="str">
        <f>データ!U568</f>
        <v>-</v>
      </c>
      <c r="BG568" s="41" t="s">
        <v>1024</v>
      </c>
      <c r="BH568" s="40" t="s">
        <v>1319</v>
      </c>
      <c r="BI568" s="39" t="str">
        <f>データ!V568</f>
        <v>常設</v>
      </c>
      <c r="BJ568" s="41" t="s">
        <v>1024</v>
      </c>
      <c r="BK568" s="10" t="s">
        <v>1019</v>
      </c>
    </row>
    <row r="569" spans="1:63" x14ac:dyDescent="0.15">
      <c r="A569" s="10" t="s">
        <v>1016</v>
      </c>
      <c r="B569" s="10" t="s">
        <v>1454</v>
      </c>
      <c r="C569" s="38" t="str">
        <f>"./images/thumbnail/"&amp;データ!B569&amp;".jpg"</f>
        <v>./images/thumbnail/1931.jpg</v>
      </c>
      <c r="D569" s="38" t="s">
        <v>1455</v>
      </c>
      <c r="E569" s="38" t="str">
        <f>"./images/thumbnail/"&amp;データ!B569&amp;".jpg"</f>
        <v>./images/thumbnail/1931.jpg</v>
      </c>
      <c r="F569" s="38" t="s">
        <v>1116</v>
      </c>
      <c r="G569" s="38" t="s">
        <v>1319</v>
      </c>
      <c r="H569" s="38" t="str">
        <f>データ!C569</f>
        <v>マクシミリアン</v>
      </c>
      <c r="I569" s="38" t="s">
        <v>1024</v>
      </c>
      <c r="J569" s="38" t="s">
        <v>1320</v>
      </c>
      <c r="K569" s="38" t="str">
        <f>データ!D569</f>
        <v>UR</v>
      </c>
      <c r="L569" s="38" t="s">
        <v>1024</v>
      </c>
      <c r="M569" s="38" t="s">
        <v>1321</v>
      </c>
      <c r="N569" s="38">
        <f>データ!E569</f>
        <v>15</v>
      </c>
      <c r="O569" s="38" t="s">
        <v>1024</v>
      </c>
      <c r="P569" s="38" t="s">
        <v>1319</v>
      </c>
      <c r="Q569" s="38" t="str">
        <f>データ!F569</f>
        <v>遠</v>
      </c>
      <c r="R569" s="38" t="s">
        <v>1024</v>
      </c>
      <c r="S569" s="38" t="s">
        <v>1319</v>
      </c>
      <c r="T569" s="39">
        <f>データ!G569</f>
        <v>22569</v>
      </c>
      <c r="U569" s="40" t="s">
        <v>1024</v>
      </c>
      <c r="V569" s="40" t="s">
        <v>1319</v>
      </c>
      <c r="W569" s="39">
        <f>データ!H569</f>
        <v>6958</v>
      </c>
      <c r="X569" s="40" t="s">
        <v>1024</v>
      </c>
      <c r="Y569" s="40" t="s">
        <v>1319</v>
      </c>
      <c r="Z569" s="39">
        <f>データ!I569</f>
        <v>7648</v>
      </c>
      <c r="AA569" s="40" t="s">
        <v>1024</v>
      </c>
      <c r="AB569" s="40" t="s">
        <v>1322</v>
      </c>
      <c r="AC569" s="39" t="str">
        <f>データ!J569</f>
        <v>SS</v>
      </c>
      <c r="AD569" s="38" t="s">
        <v>1024</v>
      </c>
      <c r="AE569" s="40" t="s">
        <v>1323</v>
      </c>
      <c r="AF569" s="39">
        <f>データ!K569</f>
        <v>37175</v>
      </c>
      <c r="AG569" s="40" t="s">
        <v>1024</v>
      </c>
      <c r="AH569" s="40" t="s">
        <v>1324</v>
      </c>
      <c r="AI569" s="39" t="str">
        <f>データ!L569</f>
        <v>マクシ・ミリアン</v>
      </c>
      <c r="AJ569" s="10" t="s">
        <v>1113</v>
      </c>
      <c r="AK569" s="39" t="str">
        <f>データ!M569</f>
        <v>ランダムで6連続攻撃[中]</v>
      </c>
      <c r="AL569" s="10" t="s">
        <v>1024</v>
      </c>
      <c r="AM569" s="40" t="s">
        <v>1325</v>
      </c>
      <c r="AN569" s="39" t="str">
        <f>データ!N569</f>
        <v>-</v>
      </c>
      <c r="AO569" s="10" t="s">
        <v>1113</v>
      </c>
      <c r="AP569" s="39" t="str">
        <f>データ!O569</f>
        <v>　</v>
      </c>
      <c r="AQ569" s="41" t="s">
        <v>1024</v>
      </c>
      <c r="AR569" s="40" t="s">
        <v>1324</v>
      </c>
      <c r="AS569" s="39" t="str">
        <f>データ!P569</f>
        <v>フォートレス／煌</v>
      </c>
      <c r="AT569" s="10" t="s">
        <v>1113</v>
      </c>
      <c r="AU569" s="39" t="str">
        <f>データ!Q569</f>
        <v>パーティ全体の防御力が特大UP(3分間)</v>
      </c>
      <c r="AV569" s="10" t="s">
        <v>1024</v>
      </c>
      <c r="AW569" s="40" t="s">
        <v>1324</v>
      </c>
      <c r="AX569" s="39" t="str">
        <f>データ!R569</f>
        <v>キャッスルヴェール／真</v>
      </c>
      <c r="AY569" s="10" t="s">
        <v>1113</v>
      </c>
      <c r="AZ569" s="39" t="str">
        <f>データ!S569</f>
        <v>城の強度Lvが中UP(3分間)</v>
      </c>
      <c r="BA569" s="41" t="s">
        <v>1024</v>
      </c>
      <c r="BB569" s="40" t="s">
        <v>1319</v>
      </c>
      <c r="BC569" s="39" t="str">
        <f>データ!T569</f>
        <v>-</v>
      </c>
      <c r="BD569" s="41" t="s">
        <v>1024</v>
      </c>
      <c r="BE569" s="40" t="s">
        <v>1320</v>
      </c>
      <c r="BF569" s="39" t="str">
        <f>データ!U569</f>
        <v>-</v>
      </c>
      <c r="BG569" s="41" t="s">
        <v>1024</v>
      </c>
      <c r="BH569" s="40" t="s">
        <v>1319</v>
      </c>
      <c r="BI569" s="39" t="str">
        <f>データ!V569</f>
        <v>覇者の塔</v>
      </c>
      <c r="BJ569" s="41" t="s">
        <v>1024</v>
      </c>
      <c r="BK569" s="10" t="s">
        <v>1019</v>
      </c>
    </row>
    <row r="570" spans="1:63" x14ac:dyDescent="0.15">
      <c r="A570" s="10" t="s">
        <v>1016</v>
      </c>
      <c r="B570" s="10" t="s">
        <v>1454</v>
      </c>
      <c r="C570" s="38" t="str">
        <f>"./images/thumbnail/"&amp;データ!B570&amp;".jpg"</f>
        <v>./images/thumbnail/1932.jpg</v>
      </c>
      <c r="D570" s="38" t="s">
        <v>1455</v>
      </c>
      <c r="E570" s="38" t="str">
        <f>"./images/thumbnail/"&amp;データ!B570&amp;".jpg"</f>
        <v>./images/thumbnail/1932.jpg</v>
      </c>
      <c r="F570" s="38" t="s">
        <v>1116</v>
      </c>
      <c r="G570" s="38" t="s">
        <v>1319</v>
      </c>
      <c r="H570" s="38" t="str">
        <f>データ!C570</f>
        <v>ベルトラン</v>
      </c>
      <c r="I570" s="38" t="s">
        <v>1024</v>
      </c>
      <c r="J570" s="38" t="s">
        <v>1320</v>
      </c>
      <c r="K570" s="38" t="str">
        <f>データ!D570</f>
        <v>SSR</v>
      </c>
      <c r="L570" s="38" t="s">
        <v>1024</v>
      </c>
      <c r="M570" s="38" t="s">
        <v>1321</v>
      </c>
      <c r="N570" s="38">
        <f>データ!E570</f>
        <v>12</v>
      </c>
      <c r="O570" s="38" t="s">
        <v>1024</v>
      </c>
      <c r="P570" s="38" t="s">
        <v>1319</v>
      </c>
      <c r="Q570" s="38" t="str">
        <f>データ!F570</f>
        <v>打</v>
      </c>
      <c r="R570" s="38" t="s">
        <v>1024</v>
      </c>
      <c r="S570" s="38" t="s">
        <v>1319</v>
      </c>
      <c r="T570" s="39">
        <f>データ!G570</f>
        <v>19974</v>
      </c>
      <c r="U570" s="40" t="s">
        <v>1024</v>
      </c>
      <c r="V570" s="40" t="s">
        <v>1319</v>
      </c>
      <c r="W570" s="39">
        <f>データ!H570</f>
        <v>5267</v>
      </c>
      <c r="X570" s="40" t="s">
        <v>1024</v>
      </c>
      <c r="Y570" s="40" t="s">
        <v>1319</v>
      </c>
      <c r="Z570" s="39">
        <f>データ!I570</f>
        <v>6268</v>
      </c>
      <c r="AA570" s="40" t="s">
        <v>1024</v>
      </c>
      <c r="AB570" s="40" t="s">
        <v>1322</v>
      </c>
      <c r="AC570" s="39" t="str">
        <f>データ!J570</f>
        <v>A-</v>
      </c>
      <c r="AD570" s="38" t="s">
        <v>1024</v>
      </c>
      <c r="AE570" s="40" t="s">
        <v>1323</v>
      </c>
      <c r="AF570" s="39">
        <f>データ!K570</f>
        <v>31509</v>
      </c>
      <c r="AG570" s="40" t="s">
        <v>1024</v>
      </c>
      <c r="AH570" s="40" t="s">
        <v>1324</v>
      </c>
      <c r="AI570" s="39" t="str">
        <f>データ!L570</f>
        <v>地幻光の交叉線／絶</v>
      </c>
      <c r="AJ570" s="10" t="s">
        <v>1113</v>
      </c>
      <c r="AK570" s="39" t="str">
        <f>データ!M570</f>
        <v>X字型攻撃[大]自分の防御力UP[大]</v>
      </c>
      <c r="AL570" s="10" t="s">
        <v>1024</v>
      </c>
      <c r="AM570" s="40" t="s">
        <v>1325</v>
      </c>
      <c r="AN570" s="39" t="str">
        <f>データ!N570</f>
        <v>-</v>
      </c>
      <c r="AO570" s="10" t="s">
        <v>1113</v>
      </c>
      <c r="AP570" s="39" t="str">
        <f>データ!O570</f>
        <v>　</v>
      </c>
      <c r="AQ570" s="41" t="s">
        <v>1024</v>
      </c>
      <c r="AR570" s="40" t="s">
        <v>1324</v>
      </c>
      <c r="AS570" s="39" t="str">
        <f>データ!P570</f>
        <v>アサルト／真</v>
      </c>
      <c r="AT570" s="10" t="s">
        <v>1113</v>
      </c>
      <c r="AU570" s="39" t="str">
        <f>データ!Q570</f>
        <v>パーティ全体の攻撃力が中UP(3分間)</v>
      </c>
      <c r="AV570" s="10" t="s">
        <v>1024</v>
      </c>
      <c r="AW570" s="40" t="s">
        <v>1324</v>
      </c>
      <c r="AX570" s="39" t="str">
        <f>データ!R570</f>
        <v>-</v>
      </c>
      <c r="AY570" s="10" t="s">
        <v>1113</v>
      </c>
      <c r="AZ570" s="39" t="str">
        <f>データ!S570</f>
        <v>　</v>
      </c>
      <c r="BA570" s="41" t="s">
        <v>1024</v>
      </c>
      <c r="BB570" s="40" t="s">
        <v>1319</v>
      </c>
      <c r="BC570" s="39" t="str">
        <f>データ!T570</f>
        <v>-</v>
      </c>
      <c r="BD570" s="41" t="s">
        <v>1024</v>
      </c>
      <c r="BE570" s="40" t="s">
        <v>1320</v>
      </c>
      <c r="BF570" s="39" t="str">
        <f>データ!U570</f>
        <v>-</v>
      </c>
      <c r="BG570" s="41" t="s">
        <v>1024</v>
      </c>
      <c r="BH570" s="40" t="s">
        <v>1319</v>
      </c>
      <c r="BI570" s="39" t="str">
        <f>データ!V570</f>
        <v>第13回統一報酬</v>
      </c>
      <c r="BJ570" s="41" t="s">
        <v>1024</v>
      </c>
      <c r="BK570" s="10" t="s">
        <v>1019</v>
      </c>
    </row>
    <row r="571" spans="1:63" x14ac:dyDescent="0.15">
      <c r="A571" s="10" t="s">
        <v>1016</v>
      </c>
      <c r="B571" s="10" t="s">
        <v>1454</v>
      </c>
      <c r="C571" s="38" t="str">
        <f>"./images/thumbnail/"&amp;データ!B571&amp;".jpg"</f>
        <v>./images/thumbnail/1933.jpg</v>
      </c>
      <c r="D571" s="38" t="s">
        <v>1455</v>
      </c>
      <c r="E571" s="38" t="str">
        <f>"./images/thumbnail/"&amp;データ!B571&amp;".jpg"</f>
        <v>./images/thumbnail/1933.jpg</v>
      </c>
      <c r="F571" s="38" t="s">
        <v>1116</v>
      </c>
      <c r="G571" s="38" t="s">
        <v>1319</v>
      </c>
      <c r="H571" s="38" t="str">
        <f>データ!C571</f>
        <v>ベルトラン</v>
      </c>
      <c r="I571" s="38" t="s">
        <v>1024</v>
      </c>
      <c r="J571" s="38" t="s">
        <v>1320</v>
      </c>
      <c r="K571" s="38" t="str">
        <f>データ!D571</f>
        <v>SSR</v>
      </c>
      <c r="L571" s="38" t="s">
        <v>1024</v>
      </c>
      <c r="M571" s="38" t="s">
        <v>1321</v>
      </c>
      <c r="N571" s="38">
        <f>データ!E571</f>
        <v>13</v>
      </c>
      <c r="O571" s="38" t="s">
        <v>1024</v>
      </c>
      <c r="P571" s="38" t="s">
        <v>1319</v>
      </c>
      <c r="Q571" s="38" t="str">
        <f>データ!F571</f>
        <v>打</v>
      </c>
      <c r="R571" s="38" t="s">
        <v>1024</v>
      </c>
      <c r="S571" s="38" t="s">
        <v>1319</v>
      </c>
      <c r="T571" s="39">
        <f>データ!G571</f>
        <v>18665</v>
      </c>
      <c r="U571" s="40" t="s">
        <v>1024</v>
      </c>
      <c r="V571" s="40" t="s">
        <v>1319</v>
      </c>
      <c r="W571" s="39">
        <f>データ!H571</f>
        <v>6273</v>
      </c>
      <c r="X571" s="40" t="s">
        <v>1024</v>
      </c>
      <c r="Y571" s="40" t="s">
        <v>1319</v>
      </c>
      <c r="Z571" s="39">
        <f>データ!I571</f>
        <v>6889</v>
      </c>
      <c r="AA571" s="40" t="s">
        <v>1024</v>
      </c>
      <c r="AB571" s="40" t="s">
        <v>1322</v>
      </c>
      <c r="AC571" s="39" t="str">
        <f>データ!J571</f>
        <v>A-</v>
      </c>
      <c r="AD571" s="38" t="s">
        <v>1024</v>
      </c>
      <c r="AE571" s="40" t="s">
        <v>1323</v>
      </c>
      <c r="AF571" s="39">
        <f>データ!K571</f>
        <v>31827</v>
      </c>
      <c r="AG571" s="40" t="s">
        <v>1024</v>
      </c>
      <c r="AH571" s="40" t="s">
        <v>1324</v>
      </c>
      <c r="AI571" s="39" t="str">
        <f>データ!L571</f>
        <v>地幻光の交叉線／絶</v>
      </c>
      <c r="AJ571" s="10" t="s">
        <v>1113</v>
      </c>
      <c r="AK571" s="39" t="str">
        <f>データ!M571</f>
        <v>X字型攻撃[大]自分の防御力UP[大]</v>
      </c>
      <c r="AL571" s="10" t="s">
        <v>1024</v>
      </c>
      <c r="AM571" s="40" t="s">
        <v>1325</v>
      </c>
      <c r="AN571" s="39" t="str">
        <f>データ!N571</f>
        <v>-</v>
      </c>
      <c r="AO571" s="10" t="s">
        <v>1113</v>
      </c>
      <c r="AP571" s="39" t="str">
        <f>データ!O571</f>
        <v>　</v>
      </c>
      <c r="AQ571" s="41" t="s">
        <v>1024</v>
      </c>
      <c r="AR571" s="40" t="s">
        <v>1324</v>
      </c>
      <c r="AS571" s="39" t="str">
        <f>データ!P571</f>
        <v>アサルト／真</v>
      </c>
      <c r="AT571" s="10" t="s">
        <v>1113</v>
      </c>
      <c r="AU571" s="39" t="str">
        <f>データ!Q571</f>
        <v>パーティ全体の攻撃力が中UP(3分間)</v>
      </c>
      <c r="AV571" s="10" t="s">
        <v>1024</v>
      </c>
      <c r="AW571" s="40" t="s">
        <v>1324</v>
      </c>
      <c r="AX571" s="39" t="str">
        <f>データ!R571</f>
        <v>-</v>
      </c>
      <c r="AY571" s="10" t="s">
        <v>1113</v>
      </c>
      <c r="AZ571" s="39" t="str">
        <f>データ!S571</f>
        <v>　</v>
      </c>
      <c r="BA571" s="41" t="s">
        <v>1024</v>
      </c>
      <c r="BB571" s="40" t="s">
        <v>1319</v>
      </c>
      <c r="BC571" s="39" t="str">
        <f>データ!T571</f>
        <v>-</v>
      </c>
      <c r="BD571" s="41" t="s">
        <v>1024</v>
      </c>
      <c r="BE571" s="40" t="s">
        <v>1320</v>
      </c>
      <c r="BF571" s="39" t="str">
        <f>データ!U571</f>
        <v>-</v>
      </c>
      <c r="BG571" s="41" t="s">
        <v>1024</v>
      </c>
      <c r="BH571" s="40" t="s">
        <v>1319</v>
      </c>
      <c r="BI571" s="39" t="str">
        <f>データ!V571</f>
        <v>第13回統一報酬</v>
      </c>
      <c r="BJ571" s="41" t="s">
        <v>1024</v>
      </c>
      <c r="BK571" s="10" t="s">
        <v>1019</v>
      </c>
    </row>
    <row r="572" spans="1:63" x14ac:dyDescent="0.15">
      <c r="A572" s="10" t="s">
        <v>1016</v>
      </c>
      <c r="B572" s="10" t="s">
        <v>1454</v>
      </c>
      <c r="C572" s="38" t="str">
        <f>"./images/thumbnail/"&amp;データ!B572&amp;".jpg"</f>
        <v>./images/thumbnail/1934.jpg</v>
      </c>
      <c r="D572" s="38" t="s">
        <v>1455</v>
      </c>
      <c r="E572" s="38" t="str">
        <f>"./images/thumbnail/"&amp;データ!B572&amp;".jpg"</f>
        <v>./images/thumbnail/1934.jpg</v>
      </c>
      <c r="F572" s="38" t="s">
        <v>1116</v>
      </c>
      <c r="G572" s="38" t="s">
        <v>1319</v>
      </c>
      <c r="H572" s="38" t="str">
        <f>データ!C572</f>
        <v>ベルトラン</v>
      </c>
      <c r="I572" s="38" t="s">
        <v>1024</v>
      </c>
      <c r="J572" s="38" t="s">
        <v>1320</v>
      </c>
      <c r="K572" s="38" t="str">
        <f>データ!D572</f>
        <v>UR</v>
      </c>
      <c r="L572" s="38" t="s">
        <v>1024</v>
      </c>
      <c r="M572" s="38" t="s">
        <v>1321</v>
      </c>
      <c r="N572" s="38">
        <f>データ!E572</f>
        <v>14</v>
      </c>
      <c r="O572" s="38" t="s">
        <v>1024</v>
      </c>
      <c r="P572" s="38" t="s">
        <v>1319</v>
      </c>
      <c r="Q572" s="38" t="str">
        <f>データ!F572</f>
        <v>打</v>
      </c>
      <c r="R572" s="38" t="s">
        <v>1024</v>
      </c>
      <c r="S572" s="38" t="s">
        <v>1319</v>
      </c>
      <c r="T572" s="39">
        <f>データ!G572</f>
        <v>23815</v>
      </c>
      <c r="U572" s="40" t="s">
        <v>1024</v>
      </c>
      <c r="V572" s="40" t="s">
        <v>1319</v>
      </c>
      <c r="W572" s="39">
        <f>データ!H572</f>
        <v>6955</v>
      </c>
      <c r="X572" s="40" t="s">
        <v>1024</v>
      </c>
      <c r="Y572" s="40" t="s">
        <v>1319</v>
      </c>
      <c r="Z572" s="39">
        <f>データ!I572</f>
        <v>9502</v>
      </c>
      <c r="AA572" s="40" t="s">
        <v>1024</v>
      </c>
      <c r="AB572" s="40" t="s">
        <v>1322</v>
      </c>
      <c r="AC572" s="39" t="str">
        <f>データ!J572</f>
        <v>A+</v>
      </c>
      <c r="AD572" s="38" t="s">
        <v>1024</v>
      </c>
      <c r="AE572" s="40" t="s">
        <v>1323</v>
      </c>
      <c r="AF572" s="39">
        <f>データ!K572</f>
        <v>40272</v>
      </c>
      <c r="AG572" s="40" t="s">
        <v>1024</v>
      </c>
      <c r="AH572" s="40" t="s">
        <v>1324</v>
      </c>
      <c r="AI572" s="39" t="str">
        <f>データ!L572</f>
        <v>地幻光の交叉線／煌</v>
      </c>
      <c r="AJ572" s="10" t="s">
        <v>1113</v>
      </c>
      <c r="AK572" s="39" t="str">
        <f>データ!M572</f>
        <v>X字型攻撃[特大]自分の防御力UP[特大]</v>
      </c>
      <c r="AL572" s="10" t="s">
        <v>1024</v>
      </c>
      <c r="AM572" s="40" t="s">
        <v>1325</v>
      </c>
      <c r="AN572" s="39" t="str">
        <f>データ!N572</f>
        <v>-</v>
      </c>
      <c r="AO572" s="10" t="s">
        <v>1113</v>
      </c>
      <c r="AP572" s="39" t="str">
        <f>データ!O572</f>
        <v>　</v>
      </c>
      <c r="AQ572" s="41" t="s">
        <v>1024</v>
      </c>
      <c r="AR572" s="40" t="s">
        <v>1324</v>
      </c>
      <c r="AS572" s="39" t="str">
        <f>データ!P572</f>
        <v>アサルト／絶</v>
      </c>
      <c r="AT572" s="10" t="s">
        <v>1113</v>
      </c>
      <c r="AU572" s="39" t="str">
        <f>データ!Q572</f>
        <v>パーティ全体の攻撃力が大UP(3分間)</v>
      </c>
      <c r="AV572" s="10" t="s">
        <v>1024</v>
      </c>
      <c r="AW572" s="40" t="s">
        <v>1324</v>
      </c>
      <c r="AX572" s="39" t="str">
        <f>データ!R572</f>
        <v>-</v>
      </c>
      <c r="AY572" s="10" t="s">
        <v>1113</v>
      </c>
      <c r="AZ572" s="39" t="str">
        <f>データ!S572</f>
        <v>　</v>
      </c>
      <c r="BA572" s="41" t="s">
        <v>1024</v>
      </c>
      <c r="BB572" s="40" t="s">
        <v>1319</v>
      </c>
      <c r="BC572" s="39" t="str">
        <f>データ!T572</f>
        <v>-</v>
      </c>
      <c r="BD572" s="41" t="s">
        <v>1024</v>
      </c>
      <c r="BE572" s="40" t="s">
        <v>1320</v>
      </c>
      <c r="BF572" s="39" t="str">
        <f>データ!U572</f>
        <v>-</v>
      </c>
      <c r="BG572" s="41" t="s">
        <v>1024</v>
      </c>
      <c r="BH572" s="40" t="s">
        <v>1319</v>
      </c>
      <c r="BI572" s="39" t="str">
        <f>データ!V572</f>
        <v>第13回統一報酬</v>
      </c>
      <c r="BJ572" s="41" t="s">
        <v>1024</v>
      </c>
      <c r="BK572" s="10" t="s">
        <v>1019</v>
      </c>
    </row>
    <row r="573" spans="1:63" x14ac:dyDescent="0.15">
      <c r="A573" s="10" t="s">
        <v>1016</v>
      </c>
      <c r="B573" s="10" t="s">
        <v>1454</v>
      </c>
      <c r="C573" s="38" t="str">
        <f>"./images/thumbnail/"&amp;データ!B573&amp;".jpg"</f>
        <v>./images/thumbnail/1935.jpg</v>
      </c>
      <c r="D573" s="38" t="s">
        <v>1455</v>
      </c>
      <c r="E573" s="38" t="str">
        <f>"./images/thumbnail/"&amp;データ!B573&amp;".jpg"</f>
        <v>./images/thumbnail/1935.jpg</v>
      </c>
      <c r="F573" s="38" t="s">
        <v>1116</v>
      </c>
      <c r="G573" s="38" t="s">
        <v>1319</v>
      </c>
      <c r="H573" s="38" t="str">
        <f>データ!C573</f>
        <v>ベルトラン</v>
      </c>
      <c r="I573" s="38" t="s">
        <v>1024</v>
      </c>
      <c r="J573" s="38" t="s">
        <v>1320</v>
      </c>
      <c r="K573" s="38" t="str">
        <f>データ!D573</f>
        <v>UR</v>
      </c>
      <c r="L573" s="38" t="s">
        <v>1024</v>
      </c>
      <c r="M573" s="38" t="s">
        <v>1321</v>
      </c>
      <c r="N573" s="38">
        <f>データ!E573</f>
        <v>15</v>
      </c>
      <c r="O573" s="38" t="s">
        <v>1024</v>
      </c>
      <c r="P573" s="38" t="s">
        <v>1319</v>
      </c>
      <c r="Q573" s="38" t="str">
        <f>データ!F573</f>
        <v>打</v>
      </c>
      <c r="R573" s="38" t="s">
        <v>1024</v>
      </c>
      <c r="S573" s="38" t="s">
        <v>1319</v>
      </c>
      <c r="T573" s="39">
        <f>データ!G573</f>
        <v>26881</v>
      </c>
      <c r="U573" s="40" t="s">
        <v>1024</v>
      </c>
      <c r="V573" s="40" t="s">
        <v>1319</v>
      </c>
      <c r="W573" s="39">
        <f>データ!H573</f>
        <v>7479</v>
      </c>
      <c r="X573" s="40" t="s">
        <v>1024</v>
      </c>
      <c r="Y573" s="40" t="s">
        <v>1319</v>
      </c>
      <c r="Z573" s="39">
        <f>データ!I573</f>
        <v>10126</v>
      </c>
      <c r="AA573" s="40" t="s">
        <v>1024</v>
      </c>
      <c r="AB573" s="40" t="s">
        <v>1322</v>
      </c>
      <c r="AC573" s="39" t="str">
        <f>データ!J573</f>
        <v>S</v>
      </c>
      <c r="AD573" s="38" t="s">
        <v>1024</v>
      </c>
      <c r="AE573" s="40" t="s">
        <v>1323</v>
      </c>
      <c r="AF573" s="39">
        <f>データ!K573</f>
        <v>44486</v>
      </c>
      <c r="AG573" s="40" t="s">
        <v>1024</v>
      </c>
      <c r="AH573" s="40" t="s">
        <v>1324</v>
      </c>
      <c r="AI573" s="39" t="str">
        <f>データ!L573</f>
        <v>地幻光の交叉線／煌</v>
      </c>
      <c r="AJ573" s="10" t="s">
        <v>1113</v>
      </c>
      <c r="AK573" s="39" t="str">
        <f>データ!M573</f>
        <v>X字型攻撃[特大]自分の防御力UP[特大]</v>
      </c>
      <c r="AL573" s="10" t="s">
        <v>1024</v>
      </c>
      <c r="AM573" s="40" t="s">
        <v>1325</v>
      </c>
      <c r="AN573" s="39" t="str">
        <f>データ!N573</f>
        <v>-</v>
      </c>
      <c r="AO573" s="10" t="s">
        <v>1113</v>
      </c>
      <c r="AP573" s="39" t="str">
        <f>データ!O573</f>
        <v>　</v>
      </c>
      <c r="AQ573" s="41" t="s">
        <v>1024</v>
      </c>
      <c r="AR573" s="40" t="s">
        <v>1324</v>
      </c>
      <c r="AS573" s="39" t="str">
        <f>データ!P573</f>
        <v>アサルト／煌</v>
      </c>
      <c r="AT573" s="10" t="s">
        <v>1113</v>
      </c>
      <c r="AU573" s="39" t="str">
        <f>データ!Q573</f>
        <v>パーティ全体の攻撃力が特大UP(3分間)</v>
      </c>
      <c r="AV573" s="10" t="s">
        <v>1024</v>
      </c>
      <c r="AW573" s="40" t="s">
        <v>1324</v>
      </c>
      <c r="AX573" s="39" t="str">
        <f>データ!R573</f>
        <v>ランページ／絶</v>
      </c>
      <c r="AY573" s="10" t="s">
        <v>1113</v>
      </c>
      <c r="AZ573" s="39" t="str">
        <f>データ!S573</f>
        <v>バトルで獲得する騎士団戦スコアが大アップ(3分間)</v>
      </c>
      <c r="BA573" s="41" t="s">
        <v>1024</v>
      </c>
      <c r="BB573" s="40" t="s">
        <v>1319</v>
      </c>
      <c r="BC573" s="39" t="str">
        <f>データ!T573</f>
        <v>-</v>
      </c>
      <c r="BD573" s="41" t="s">
        <v>1024</v>
      </c>
      <c r="BE573" s="40" t="s">
        <v>1320</v>
      </c>
      <c r="BF573" s="39" t="str">
        <f>データ!U573</f>
        <v>-</v>
      </c>
      <c r="BG573" s="41" t="s">
        <v>1024</v>
      </c>
      <c r="BH573" s="40" t="s">
        <v>1319</v>
      </c>
      <c r="BI573" s="39" t="str">
        <f>データ!V573</f>
        <v>第13回統一報酬</v>
      </c>
      <c r="BJ573" s="41" t="s">
        <v>1024</v>
      </c>
      <c r="BK573" s="10" t="s">
        <v>1019</v>
      </c>
    </row>
    <row r="574" spans="1:63" x14ac:dyDescent="0.15">
      <c r="A574" s="10" t="s">
        <v>1016</v>
      </c>
      <c r="B574" s="10" t="s">
        <v>1454</v>
      </c>
      <c r="C574" s="38" t="str">
        <f>"./images/thumbnail/"&amp;データ!B574&amp;".jpg"</f>
        <v>./images/thumbnail/1937.jpg</v>
      </c>
      <c r="D574" s="38" t="s">
        <v>1455</v>
      </c>
      <c r="E574" s="38" t="str">
        <f>"./images/thumbnail/"&amp;データ!B574&amp;".jpg"</f>
        <v>./images/thumbnail/1937.jpg</v>
      </c>
      <c r="F574" s="38" t="s">
        <v>1116</v>
      </c>
      <c r="G574" s="38" t="s">
        <v>1319</v>
      </c>
      <c r="H574" s="38" t="str">
        <f>データ!C574</f>
        <v>アナ</v>
      </c>
      <c r="I574" s="38" t="s">
        <v>1024</v>
      </c>
      <c r="J574" s="38" t="s">
        <v>1320</v>
      </c>
      <c r="K574" s="38" t="str">
        <f>データ!D574</f>
        <v>SSR</v>
      </c>
      <c r="L574" s="38" t="s">
        <v>1024</v>
      </c>
      <c r="M574" s="38" t="s">
        <v>1321</v>
      </c>
      <c r="N574" s="38">
        <f>データ!E574</f>
        <v>13</v>
      </c>
      <c r="O574" s="38" t="s">
        <v>1024</v>
      </c>
      <c r="P574" s="38" t="s">
        <v>1319</v>
      </c>
      <c r="Q574" s="38" t="str">
        <f>データ!F574</f>
        <v>打</v>
      </c>
      <c r="R574" s="38" t="s">
        <v>1024</v>
      </c>
      <c r="S574" s="38" t="s">
        <v>1319</v>
      </c>
      <c r="T574" s="39">
        <f>データ!G574</f>
        <v>18571</v>
      </c>
      <c r="U574" s="40" t="s">
        <v>1024</v>
      </c>
      <c r="V574" s="40" t="s">
        <v>1319</v>
      </c>
      <c r="W574" s="39">
        <f>データ!H574</f>
        <v>6378</v>
      </c>
      <c r="X574" s="40" t="s">
        <v>1024</v>
      </c>
      <c r="Y574" s="40" t="s">
        <v>1319</v>
      </c>
      <c r="Z574" s="39">
        <f>データ!I574</f>
        <v>6784</v>
      </c>
      <c r="AA574" s="40" t="s">
        <v>1024</v>
      </c>
      <c r="AB574" s="40" t="s">
        <v>1322</v>
      </c>
      <c r="AC574" s="39" t="str">
        <f>データ!J574</f>
        <v>A-</v>
      </c>
      <c r="AD574" s="38" t="s">
        <v>1024</v>
      </c>
      <c r="AE574" s="40" t="s">
        <v>1323</v>
      </c>
      <c r="AF574" s="39">
        <f>データ!K574</f>
        <v>31733</v>
      </c>
      <c r="AG574" s="40" t="s">
        <v>1024</v>
      </c>
      <c r="AH574" s="40" t="s">
        <v>1324</v>
      </c>
      <c r="AI574" s="39" t="str">
        <f>データ!L574</f>
        <v>天幻光の交叉線／絶</v>
      </c>
      <c r="AJ574" s="10" t="s">
        <v>1113</v>
      </c>
      <c r="AK574" s="39" t="str">
        <f>データ!M574</f>
        <v>X字型攻撃[大]自分の攻撃力UP[大]</v>
      </c>
      <c r="AL574" s="10" t="s">
        <v>1024</v>
      </c>
      <c r="AM574" s="40" t="s">
        <v>1325</v>
      </c>
      <c r="AN574" s="39" t="str">
        <f>データ!N574</f>
        <v>-</v>
      </c>
      <c r="AO574" s="10" t="s">
        <v>1113</v>
      </c>
      <c r="AP574" s="39" t="str">
        <f>データ!O574</f>
        <v>　</v>
      </c>
      <c r="AQ574" s="41" t="s">
        <v>1024</v>
      </c>
      <c r="AR574" s="40" t="s">
        <v>1324</v>
      </c>
      <c r="AS574" s="39" t="str">
        <f>データ!P574</f>
        <v>リザレクション／真</v>
      </c>
      <c r="AT574" s="10" t="s">
        <v>1113</v>
      </c>
      <c r="AU574" s="39" t="str">
        <f>データ!Q574</f>
        <v>中確率でパーティ全員を復帰(全滅時のみ使用可)</v>
      </c>
      <c r="AV574" s="10" t="s">
        <v>1024</v>
      </c>
      <c r="AW574" s="40" t="s">
        <v>1324</v>
      </c>
      <c r="AX574" s="39" t="str">
        <f>データ!R574</f>
        <v>-</v>
      </c>
      <c r="AY574" s="10" t="s">
        <v>1113</v>
      </c>
      <c r="AZ574" s="39" t="str">
        <f>データ!S574</f>
        <v>　</v>
      </c>
      <c r="BA574" s="41" t="s">
        <v>1024</v>
      </c>
      <c r="BB574" s="40" t="s">
        <v>1319</v>
      </c>
      <c r="BC574" s="39" t="str">
        <f>データ!T574</f>
        <v>-</v>
      </c>
      <c r="BD574" s="41" t="s">
        <v>1024</v>
      </c>
      <c r="BE574" s="40" t="s">
        <v>1320</v>
      </c>
      <c r="BF574" s="39" t="str">
        <f>データ!U574</f>
        <v>-</v>
      </c>
      <c r="BG574" s="41" t="s">
        <v>1024</v>
      </c>
      <c r="BH574" s="40" t="s">
        <v>1319</v>
      </c>
      <c r="BI574" s="39" t="str">
        <f>データ!V574</f>
        <v>メダル</v>
      </c>
      <c r="BJ574" s="41" t="s">
        <v>1024</v>
      </c>
      <c r="BK574" s="10" t="s">
        <v>1019</v>
      </c>
    </row>
    <row r="575" spans="1:63" x14ac:dyDescent="0.15">
      <c r="A575" s="10" t="s">
        <v>1016</v>
      </c>
      <c r="B575" s="10" t="s">
        <v>1454</v>
      </c>
      <c r="C575" s="38" t="str">
        <f>"./images/thumbnail/"&amp;データ!B575&amp;".jpg"</f>
        <v>./images/thumbnail/1938.jpg</v>
      </c>
      <c r="D575" s="38" t="s">
        <v>1455</v>
      </c>
      <c r="E575" s="38" t="str">
        <f>"./images/thumbnail/"&amp;データ!B575&amp;".jpg"</f>
        <v>./images/thumbnail/1938.jpg</v>
      </c>
      <c r="F575" s="38" t="s">
        <v>1116</v>
      </c>
      <c r="G575" s="38" t="s">
        <v>1319</v>
      </c>
      <c r="H575" s="38" t="str">
        <f>データ!C575</f>
        <v>クリシーヌ</v>
      </c>
      <c r="I575" s="38" t="s">
        <v>1024</v>
      </c>
      <c r="J575" s="38" t="s">
        <v>1320</v>
      </c>
      <c r="K575" s="38" t="str">
        <f>データ!D575</f>
        <v>UR</v>
      </c>
      <c r="L575" s="38" t="s">
        <v>1024</v>
      </c>
      <c r="M575" s="38" t="s">
        <v>1321</v>
      </c>
      <c r="N575" s="38">
        <f>データ!E575</f>
        <v>15</v>
      </c>
      <c r="O575" s="38" t="s">
        <v>1024</v>
      </c>
      <c r="P575" s="38" t="s">
        <v>1319</v>
      </c>
      <c r="Q575" s="38" t="str">
        <f>データ!F575</f>
        <v>遠</v>
      </c>
      <c r="R575" s="38" t="s">
        <v>1024</v>
      </c>
      <c r="S575" s="38" t="s">
        <v>1319</v>
      </c>
      <c r="T575" s="39">
        <f>データ!G575</f>
        <v>20978</v>
      </c>
      <c r="U575" s="40" t="s">
        <v>1024</v>
      </c>
      <c r="V575" s="40" t="s">
        <v>1319</v>
      </c>
      <c r="W575" s="39">
        <f>データ!H575</f>
        <v>7214</v>
      </c>
      <c r="X575" s="40" t="s">
        <v>1024</v>
      </c>
      <c r="Y575" s="40" t="s">
        <v>1319</v>
      </c>
      <c r="Z575" s="39">
        <f>データ!I575</f>
        <v>6239</v>
      </c>
      <c r="AA575" s="40" t="s">
        <v>1024</v>
      </c>
      <c r="AB575" s="40" t="s">
        <v>1322</v>
      </c>
      <c r="AC575" s="39" t="str">
        <f>データ!J575</f>
        <v>SS</v>
      </c>
      <c r="AD575" s="38" t="s">
        <v>1024</v>
      </c>
      <c r="AE575" s="40" t="s">
        <v>1323</v>
      </c>
      <c r="AF575" s="39">
        <f>データ!K575</f>
        <v>34431</v>
      </c>
      <c r="AG575" s="40" t="s">
        <v>1024</v>
      </c>
      <c r="AH575" s="40" t="s">
        <v>1324</v>
      </c>
      <c r="AI575" s="39" t="str">
        <f>データ!L575</f>
        <v>睨磔呪縛</v>
      </c>
      <c r="AJ575" s="10" t="s">
        <v>1113</v>
      </c>
      <c r="AK575" s="39" t="str">
        <f>データ!M575</f>
        <v>一定確率で敵を範囲不可にする[超高確率]</v>
      </c>
      <c r="AL575" s="10" t="s">
        <v>1024</v>
      </c>
      <c r="AM575" s="40" t="s">
        <v>1325</v>
      </c>
      <c r="AN575" s="39" t="str">
        <f>データ!N575</f>
        <v>-</v>
      </c>
      <c r="AO575" s="10" t="s">
        <v>1113</v>
      </c>
      <c r="AP575" s="39" t="str">
        <f>データ!O575</f>
        <v>　</v>
      </c>
      <c r="AQ575" s="41" t="s">
        <v>1024</v>
      </c>
      <c r="AR575" s="40" t="s">
        <v>1324</v>
      </c>
      <c r="AS575" s="39" t="str">
        <f>データ!P575</f>
        <v>バーサク／絶</v>
      </c>
      <c r="AT575" s="10" t="s">
        <v>1113</v>
      </c>
      <c r="AU575" s="39" t="str">
        <f>データ!Q575</f>
        <v>強襲が発生無効、バトル時に攻・防大UP(3分間)</v>
      </c>
      <c r="AV575" s="10" t="s">
        <v>1024</v>
      </c>
      <c r="AW575" s="40" t="s">
        <v>1324</v>
      </c>
      <c r="AX575" s="39" t="str">
        <f>データ!R575</f>
        <v>アサルト／絶</v>
      </c>
      <c r="AY575" s="10" t="s">
        <v>1113</v>
      </c>
      <c r="AZ575" s="39" t="str">
        <f>データ!S575</f>
        <v>パーティ全体の攻撃力が大UP(3分間)</v>
      </c>
      <c r="BA575" s="41" t="s">
        <v>1024</v>
      </c>
      <c r="BB575" s="40" t="s">
        <v>1319</v>
      </c>
      <c r="BC575" s="39" t="str">
        <f>データ!T575</f>
        <v>-</v>
      </c>
      <c r="BD575" s="41" t="s">
        <v>1024</v>
      </c>
      <c r="BE575" s="40" t="s">
        <v>1320</v>
      </c>
      <c r="BF575" s="39" t="str">
        <f>データ!U575</f>
        <v>-</v>
      </c>
      <c r="BG575" s="41" t="s">
        <v>1024</v>
      </c>
      <c r="BH575" s="40" t="s">
        <v>1319</v>
      </c>
      <c r="BI575" s="39" t="str">
        <f>データ!V575</f>
        <v>カムバックキャンペーン</v>
      </c>
      <c r="BJ575" s="41" t="s">
        <v>1024</v>
      </c>
      <c r="BK575" s="10" t="s">
        <v>1019</v>
      </c>
    </row>
    <row r="576" spans="1:63" x14ac:dyDescent="0.15">
      <c r="A576" s="10" t="s">
        <v>1016</v>
      </c>
      <c r="B576" s="10" t="s">
        <v>1454</v>
      </c>
      <c r="C576" s="38" t="str">
        <f>"./images/thumbnail/"&amp;データ!B576&amp;".jpg"</f>
        <v>./images/thumbnail/1940.jpg</v>
      </c>
      <c r="D576" s="38" t="s">
        <v>1455</v>
      </c>
      <c r="E576" s="38" t="str">
        <f>"./images/thumbnail/"&amp;データ!B576&amp;".jpg"</f>
        <v>./images/thumbnail/1940.jpg</v>
      </c>
      <c r="F576" s="38" t="s">
        <v>1116</v>
      </c>
      <c r="G576" s="38" t="s">
        <v>1319</v>
      </c>
      <c r="H576" s="38" t="str">
        <f>データ!C576</f>
        <v>セシル</v>
      </c>
      <c r="I576" s="38" t="s">
        <v>1024</v>
      </c>
      <c r="J576" s="38" t="s">
        <v>1320</v>
      </c>
      <c r="K576" s="38" t="str">
        <f>データ!D576</f>
        <v>UR</v>
      </c>
      <c r="L576" s="38" t="s">
        <v>1024</v>
      </c>
      <c r="M576" s="38" t="s">
        <v>1321</v>
      </c>
      <c r="N576" s="38">
        <f>データ!E576</f>
        <v>15</v>
      </c>
      <c r="O576" s="38" t="s">
        <v>1024</v>
      </c>
      <c r="P576" s="38" t="s">
        <v>1319</v>
      </c>
      <c r="Q576" s="38" t="str">
        <f>データ!F576</f>
        <v>遠</v>
      </c>
      <c r="R576" s="38" t="s">
        <v>1024</v>
      </c>
      <c r="S576" s="38" t="s">
        <v>1319</v>
      </c>
      <c r="T576" s="39">
        <f>データ!G576</f>
        <v>21772</v>
      </c>
      <c r="U576" s="40" t="s">
        <v>1024</v>
      </c>
      <c r="V576" s="40" t="s">
        <v>1319</v>
      </c>
      <c r="W576" s="39">
        <f>データ!H576</f>
        <v>7313</v>
      </c>
      <c r="X576" s="40" t="s">
        <v>1024</v>
      </c>
      <c r="Y576" s="40" t="s">
        <v>1319</v>
      </c>
      <c r="Z576" s="39">
        <f>データ!I576</f>
        <v>7016</v>
      </c>
      <c r="AA576" s="40" t="s">
        <v>1024</v>
      </c>
      <c r="AB576" s="40" t="s">
        <v>1322</v>
      </c>
      <c r="AC576" s="39" t="str">
        <f>データ!J576</f>
        <v>SS</v>
      </c>
      <c r="AD576" s="38" t="s">
        <v>1024</v>
      </c>
      <c r="AE576" s="40" t="s">
        <v>1323</v>
      </c>
      <c r="AF576" s="39">
        <f>データ!K576</f>
        <v>36101</v>
      </c>
      <c r="AG576" s="40" t="s">
        <v>1024</v>
      </c>
      <c r="AH576" s="40" t="s">
        <v>1324</v>
      </c>
      <c r="AI576" s="39" t="str">
        <f>データ!L576</f>
        <v>遠翠の神護</v>
      </c>
      <c r="AJ576" s="10" t="s">
        <v>1113</v>
      </c>
      <c r="AK576" s="39" t="str">
        <f>データ!M576</f>
        <v>味方遠属性の防御力をUP[特大]</v>
      </c>
      <c r="AL576" s="10" t="s">
        <v>1024</v>
      </c>
      <c r="AM576" s="40" t="s">
        <v>1325</v>
      </c>
      <c r="AN576" s="39" t="str">
        <f>データ!N576</f>
        <v>-</v>
      </c>
      <c r="AO576" s="10" t="s">
        <v>1113</v>
      </c>
      <c r="AP576" s="39" t="str">
        <f>データ!O576</f>
        <v>　</v>
      </c>
      <c r="AQ576" s="41" t="s">
        <v>1024</v>
      </c>
      <c r="AR576" s="40" t="s">
        <v>1324</v>
      </c>
      <c r="AS576" s="39" t="str">
        <f>データ!P576</f>
        <v>エース／煌</v>
      </c>
      <c r="AT576" s="10" t="s">
        <v>1113</v>
      </c>
      <c r="AU576" s="39" t="str">
        <f>データ!Q576</f>
        <v>パーティ全体の攻・防が特大UP(3分間)</v>
      </c>
      <c r="AV576" s="10" t="s">
        <v>1024</v>
      </c>
      <c r="AW576" s="40" t="s">
        <v>1324</v>
      </c>
      <c r="AX576" s="39" t="str">
        <f>データ!R576</f>
        <v>オラクル／絶</v>
      </c>
      <c r="AY576" s="10" t="s">
        <v>1113</v>
      </c>
      <c r="AZ576" s="39" t="str">
        <f>データ!S576</f>
        <v>パーティ全体のスキル発動率が大UP(3分間)</v>
      </c>
      <c r="BA576" s="41" t="s">
        <v>1024</v>
      </c>
      <c r="BB576" s="40" t="s">
        <v>1319</v>
      </c>
      <c r="BC576" s="39" t="str">
        <f>データ!T576</f>
        <v>-</v>
      </c>
      <c r="BD576" s="41" t="s">
        <v>1024</v>
      </c>
      <c r="BE576" s="40" t="s">
        <v>1320</v>
      </c>
      <c r="BF576" s="39" t="str">
        <f>データ!U576</f>
        <v>-</v>
      </c>
      <c r="BG576" s="41" t="s">
        <v>1024</v>
      </c>
      <c r="BH576" s="40" t="s">
        <v>1319</v>
      </c>
      <c r="BI576" s="39" t="str">
        <f>データ!V576</f>
        <v>常設</v>
      </c>
      <c r="BJ576" s="41" t="s">
        <v>1024</v>
      </c>
      <c r="BK576" s="10" t="s">
        <v>1019</v>
      </c>
    </row>
    <row r="577" spans="1:63" x14ac:dyDescent="0.15">
      <c r="A577" s="10" t="s">
        <v>1016</v>
      </c>
      <c r="B577" s="10" t="s">
        <v>1454</v>
      </c>
      <c r="C577" s="38" t="str">
        <f>"./images/thumbnail/"&amp;データ!B577&amp;".jpg"</f>
        <v>./images/thumbnail/1942.jpg</v>
      </c>
      <c r="D577" s="38" t="s">
        <v>1455</v>
      </c>
      <c r="E577" s="38" t="str">
        <f>"./images/thumbnail/"&amp;データ!B577&amp;".jpg"</f>
        <v>./images/thumbnail/1942.jpg</v>
      </c>
      <c r="F577" s="38" t="s">
        <v>1116</v>
      </c>
      <c r="G577" s="38" t="s">
        <v>1319</v>
      </c>
      <c r="H577" s="38" t="str">
        <f>データ!C577</f>
        <v>ラクロワ</v>
      </c>
      <c r="I577" s="38" t="s">
        <v>1024</v>
      </c>
      <c r="J577" s="38" t="s">
        <v>1320</v>
      </c>
      <c r="K577" s="38" t="str">
        <f>データ!D577</f>
        <v>UR</v>
      </c>
      <c r="L577" s="38" t="s">
        <v>1024</v>
      </c>
      <c r="M577" s="38" t="s">
        <v>1321</v>
      </c>
      <c r="N577" s="38">
        <f>データ!E577</f>
        <v>15</v>
      </c>
      <c r="O577" s="38" t="s">
        <v>1024</v>
      </c>
      <c r="P577" s="38" t="s">
        <v>1319</v>
      </c>
      <c r="Q577" s="38" t="str">
        <f>データ!F577</f>
        <v>遠</v>
      </c>
      <c r="R577" s="38" t="s">
        <v>1024</v>
      </c>
      <c r="S577" s="38" t="s">
        <v>1319</v>
      </c>
      <c r="T577" s="39">
        <f>データ!G577</f>
        <v>23317</v>
      </c>
      <c r="U577" s="40" t="s">
        <v>1024</v>
      </c>
      <c r="V577" s="40" t="s">
        <v>1319</v>
      </c>
      <c r="W577" s="39">
        <f>データ!H577</f>
        <v>7188</v>
      </c>
      <c r="X577" s="40" t="s">
        <v>1024</v>
      </c>
      <c r="Y577" s="40" t="s">
        <v>1319</v>
      </c>
      <c r="Z577" s="39">
        <f>データ!I577</f>
        <v>6896</v>
      </c>
      <c r="AA577" s="40" t="s">
        <v>1024</v>
      </c>
      <c r="AB577" s="40" t="s">
        <v>1322</v>
      </c>
      <c r="AC577" s="39" t="str">
        <f>データ!J577</f>
        <v>SS</v>
      </c>
      <c r="AD577" s="38" t="s">
        <v>1024</v>
      </c>
      <c r="AE577" s="40" t="s">
        <v>1323</v>
      </c>
      <c r="AF577" s="39">
        <f>データ!K577</f>
        <v>37401</v>
      </c>
      <c r="AG577" s="40" t="s">
        <v>1024</v>
      </c>
      <c r="AH577" s="40" t="s">
        <v>1324</v>
      </c>
      <c r="AI577" s="39" t="str">
        <f>データ!L577</f>
        <v>強奪者の雷／煌</v>
      </c>
      <c r="AJ577" s="10" t="s">
        <v>1113</v>
      </c>
      <c r="AK577" s="39" t="str">
        <f>データ!M577</f>
        <v>単体攻撃（宝箱優先／追加ダメージ）[特大]</v>
      </c>
      <c r="AL577" s="10" t="s">
        <v>1024</v>
      </c>
      <c r="AM577" s="40" t="s">
        <v>1325</v>
      </c>
      <c r="AN577" s="39" t="str">
        <f>データ!N577</f>
        <v>-</v>
      </c>
      <c r="AO577" s="10" t="s">
        <v>1113</v>
      </c>
      <c r="AP577" s="39" t="str">
        <f>データ!O577</f>
        <v>　</v>
      </c>
      <c r="AQ577" s="41" t="s">
        <v>1024</v>
      </c>
      <c r="AR577" s="40" t="s">
        <v>1324</v>
      </c>
      <c r="AS577" s="39" t="str">
        <f>データ!P577</f>
        <v>フォートレス／煌</v>
      </c>
      <c r="AT577" s="10" t="s">
        <v>1113</v>
      </c>
      <c r="AU577" s="39" t="str">
        <f>データ!Q577</f>
        <v>パーティ全体の防御力が特大UP(3分間)</v>
      </c>
      <c r="AV577" s="10" t="s">
        <v>1024</v>
      </c>
      <c r="AW577" s="40" t="s">
        <v>1324</v>
      </c>
      <c r="AX577" s="39" t="str">
        <f>データ!R577</f>
        <v>シャドウ／真</v>
      </c>
      <c r="AY577" s="10" t="s">
        <v>1113</v>
      </c>
      <c r="AZ577" s="39" t="str">
        <f>データ!S577</f>
        <v>バトル時の強襲CB率が中UP(3分間)</v>
      </c>
      <c r="BA577" s="41" t="s">
        <v>1024</v>
      </c>
      <c r="BB577" s="40" t="s">
        <v>1319</v>
      </c>
      <c r="BC577" s="39" t="str">
        <f>データ!T577</f>
        <v>-</v>
      </c>
      <c r="BD577" s="41" t="s">
        <v>1024</v>
      </c>
      <c r="BE577" s="40" t="s">
        <v>1320</v>
      </c>
      <c r="BF577" s="39" t="str">
        <f>データ!U577</f>
        <v>-</v>
      </c>
      <c r="BG577" s="41" t="s">
        <v>1024</v>
      </c>
      <c r="BH577" s="40" t="s">
        <v>1319</v>
      </c>
      <c r="BI577" s="39" t="str">
        <f>データ!V577</f>
        <v>常設</v>
      </c>
      <c r="BJ577" s="41" t="s">
        <v>1024</v>
      </c>
      <c r="BK577" s="10" t="s">
        <v>1019</v>
      </c>
    </row>
    <row r="578" spans="1:63" x14ac:dyDescent="0.15">
      <c r="A578" s="10" t="s">
        <v>1016</v>
      </c>
      <c r="B578" s="10" t="s">
        <v>1454</v>
      </c>
      <c r="C578" s="38" t="str">
        <f>"./images/thumbnail/"&amp;データ!B578&amp;".jpg"</f>
        <v>./images/thumbnail/1943.jpg</v>
      </c>
      <c r="D578" s="38" t="s">
        <v>1455</v>
      </c>
      <c r="E578" s="38" t="str">
        <f>"./images/thumbnail/"&amp;データ!B578&amp;".jpg"</f>
        <v>./images/thumbnail/1943.jpg</v>
      </c>
      <c r="F578" s="38" t="s">
        <v>1116</v>
      </c>
      <c r="G578" s="38" t="s">
        <v>1319</v>
      </c>
      <c r="H578" s="38" t="str">
        <f>データ!C578</f>
        <v>主人公＆マリユス</v>
      </c>
      <c r="I578" s="38" t="s">
        <v>1024</v>
      </c>
      <c r="J578" s="38" t="s">
        <v>1320</v>
      </c>
      <c r="K578" s="38" t="str">
        <f>データ!D578</f>
        <v>UR</v>
      </c>
      <c r="L578" s="38" t="s">
        <v>1024</v>
      </c>
      <c r="M578" s="38" t="s">
        <v>1321</v>
      </c>
      <c r="N578" s="38">
        <f>データ!E578</f>
        <v>15</v>
      </c>
      <c r="O578" s="38" t="s">
        <v>1024</v>
      </c>
      <c r="P578" s="38" t="s">
        <v>1319</v>
      </c>
      <c r="Q578" s="38" t="str">
        <f>データ!F578</f>
        <v>斬</v>
      </c>
      <c r="R578" s="38" t="s">
        <v>1024</v>
      </c>
      <c r="S578" s="38" t="s">
        <v>1319</v>
      </c>
      <c r="T578" s="39">
        <f>データ!G578</f>
        <v>21024</v>
      </c>
      <c r="U578" s="40" t="s">
        <v>1024</v>
      </c>
      <c r="V578" s="40" t="s">
        <v>1319</v>
      </c>
      <c r="W578" s="39">
        <f>データ!H578</f>
        <v>9282</v>
      </c>
      <c r="X578" s="40" t="s">
        <v>1024</v>
      </c>
      <c r="Y578" s="40" t="s">
        <v>1319</v>
      </c>
      <c r="Z578" s="39">
        <f>データ!I578</f>
        <v>7359</v>
      </c>
      <c r="AA578" s="40" t="s">
        <v>1024</v>
      </c>
      <c r="AB578" s="40" t="s">
        <v>1322</v>
      </c>
      <c r="AC578" s="39" t="str">
        <f>データ!J578</f>
        <v>SS-</v>
      </c>
      <c r="AD578" s="38" t="s">
        <v>1024</v>
      </c>
      <c r="AE578" s="40" t="s">
        <v>1323</v>
      </c>
      <c r="AF578" s="39">
        <f>データ!K578</f>
        <v>37665</v>
      </c>
      <c r="AG578" s="40" t="s">
        <v>1024</v>
      </c>
      <c r="AH578" s="40" t="s">
        <v>1324</v>
      </c>
      <c r="AI578" s="39" t="str">
        <f>データ!L578</f>
        <v>魔幻の閃光／煌</v>
      </c>
      <c r="AJ578" s="10" t="s">
        <v>1113</v>
      </c>
      <c r="AK578" s="39" t="str">
        <f>データ!M578</f>
        <v>縦一列に攻撃[特大]</v>
      </c>
      <c r="AL578" s="38" t="s">
        <v>1024</v>
      </c>
      <c r="AM578" s="40" t="s">
        <v>1325</v>
      </c>
      <c r="AN578" s="39" t="str">
        <f>データ!N578</f>
        <v>-</v>
      </c>
      <c r="AO578" s="10" t="s">
        <v>1113</v>
      </c>
      <c r="AP578" s="39" t="str">
        <f>データ!O578</f>
        <v>　</v>
      </c>
      <c r="AQ578" s="41" t="s">
        <v>1024</v>
      </c>
      <c r="AR578" s="40" t="s">
        <v>1324</v>
      </c>
      <c r="AS578" s="39" t="str">
        <f>データ!P578</f>
        <v>アサルト／煌</v>
      </c>
      <c r="AT578" s="10" t="s">
        <v>1113</v>
      </c>
      <c r="AU578" s="39" t="str">
        <f>データ!Q578</f>
        <v>パーティ全体の攻撃力が特大UP(3分間)</v>
      </c>
      <c r="AV578" s="10" t="s">
        <v>1024</v>
      </c>
      <c r="AW578" s="40" t="s">
        <v>1324</v>
      </c>
      <c r="AX578" s="39" t="str">
        <f>データ!R578</f>
        <v>スラッシャー／絶</v>
      </c>
      <c r="AY578" s="10" t="s">
        <v>1113</v>
      </c>
      <c r="AZ578" s="39" t="str">
        <f>データ!S578</f>
        <v>キリ番キャッスルブレイク時の獲得ポイントUP(3回)</v>
      </c>
      <c r="BA578" s="41" t="s">
        <v>1024</v>
      </c>
      <c r="BB578" s="40" t="s">
        <v>1319</v>
      </c>
      <c r="BC578" s="39" t="str">
        <f>データ!T578</f>
        <v>-</v>
      </c>
      <c r="BD578" s="41" t="s">
        <v>1024</v>
      </c>
      <c r="BE578" s="40" t="s">
        <v>1320</v>
      </c>
      <c r="BF578" s="39" t="str">
        <f>データ!U578</f>
        <v>-</v>
      </c>
      <c r="BG578" s="41" t="s">
        <v>1024</v>
      </c>
      <c r="BH578" s="40" t="s">
        <v>1319</v>
      </c>
      <c r="BI578" s="39" t="str">
        <f>データ!V578</f>
        <v>ガチャイベ</v>
      </c>
      <c r="BJ578" s="41" t="s">
        <v>1024</v>
      </c>
      <c r="BK578" s="10" t="s">
        <v>1019</v>
      </c>
    </row>
    <row r="579" spans="1:63" x14ac:dyDescent="0.15">
      <c r="A579" s="10" t="s">
        <v>1016</v>
      </c>
      <c r="B579" s="10" t="s">
        <v>1454</v>
      </c>
      <c r="C579" s="38" t="str">
        <f>"./images/thumbnail/"&amp;データ!B579&amp;".jpg"</f>
        <v>./images/thumbnail/1944.jpg</v>
      </c>
      <c r="D579" s="38" t="s">
        <v>1455</v>
      </c>
      <c r="E579" s="38" t="str">
        <f>"./images/thumbnail/"&amp;データ!B579&amp;".jpg"</f>
        <v>./images/thumbnail/1944.jpg</v>
      </c>
      <c r="F579" s="38" t="s">
        <v>1116</v>
      </c>
      <c r="G579" s="38" t="s">
        <v>1319</v>
      </c>
      <c r="H579" s="38" t="str">
        <f>データ!C579</f>
        <v>シャルロ</v>
      </c>
      <c r="I579" s="38" t="s">
        <v>1024</v>
      </c>
      <c r="J579" s="38" t="s">
        <v>1320</v>
      </c>
      <c r="K579" s="38" t="str">
        <f>データ!D579</f>
        <v>UR</v>
      </c>
      <c r="L579" s="38" t="s">
        <v>1024</v>
      </c>
      <c r="M579" s="38" t="s">
        <v>1321</v>
      </c>
      <c r="N579" s="38">
        <f>データ!E579</f>
        <v>15</v>
      </c>
      <c r="O579" s="38" t="s">
        <v>1024</v>
      </c>
      <c r="P579" s="38" t="s">
        <v>1319</v>
      </c>
      <c r="Q579" s="38" t="str">
        <f>データ!F579</f>
        <v>斬</v>
      </c>
      <c r="R579" s="38" t="s">
        <v>1024</v>
      </c>
      <c r="S579" s="38" t="s">
        <v>1319</v>
      </c>
      <c r="T579" s="39">
        <f>データ!G579</f>
        <v>21528</v>
      </c>
      <c r="U579" s="40" t="s">
        <v>1024</v>
      </c>
      <c r="V579" s="40" t="s">
        <v>1319</v>
      </c>
      <c r="W579" s="39">
        <f>データ!H579</f>
        <v>9208</v>
      </c>
      <c r="X579" s="40" t="s">
        <v>1024</v>
      </c>
      <c r="Y579" s="40" t="s">
        <v>1319</v>
      </c>
      <c r="Z579" s="39">
        <f>データ!I579</f>
        <v>7647</v>
      </c>
      <c r="AA579" s="40" t="s">
        <v>1024</v>
      </c>
      <c r="AB579" s="40" t="s">
        <v>1322</v>
      </c>
      <c r="AC579" s="39" t="str">
        <f>データ!J579</f>
        <v>SS-</v>
      </c>
      <c r="AD579" s="38" t="s">
        <v>1024</v>
      </c>
      <c r="AE579" s="40" t="s">
        <v>1323</v>
      </c>
      <c r="AF579" s="39">
        <f>データ!K579</f>
        <v>38383</v>
      </c>
      <c r="AG579" s="40" t="s">
        <v>1024</v>
      </c>
      <c r="AH579" s="40" t="s">
        <v>1324</v>
      </c>
      <c r="AI579" s="39" t="str">
        <f>データ!L579</f>
        <v>地焔幻の一閃／煌</v>
      </c>
      <c r="AJ579" s="10" t="s">
        <v>1113</v>
      </c>
      <c r="AK579" s="39" t="str">
        <f>データ!M579</f>
        <v>横一列攻撃[特大]自分の防御力UP[特大]</v>
      </c>
      <c r="AL579" s="10" t="s">
        <v>1024</v>
      </c>
      <c r="AM579" s="40" t="s">
        <v>1325</v>
      </c>
      <c r="AN579" s="39" t="str">
        <f>データ!N579</f>
        <v>-</v>
      </c>
      <c r="AO579" s="10" t="s">
        <v>1113</v>
      </c>
      <c r="AP579" s="39" t="str">
        <f>データ!O579</f>
        <v>　</v>
      </c>
      <c r="AQ579" s="41" t="s">
        <v>1024</v>
      </c>
      <c r="AR579" s="40" t="s">
        <v>1324</v>
      </c>
      <c r="AS579" s="39" t="str">
        <f>データ!P579</f>
        <v>ファランクス／絶</v>
      </c>
      <c r="AT579" s="10" t="s">
        <v>1113</v>
      </c>
      <c r="AU579" s="39" t="str">
        <f>データ!Q579</f>
        <v>騎士団全体の強襲率大DOWN・防御力大UP(3分間)</v>
      </c>
      <c r="AV579" s="10" t="s">
        <v>1024</v>
      </c>
      <c r="AW579" s="40" t="s">
        <v>1324</v>
      </c>
      <c r="AX579" s="39" t="str">
        <f>データ!R579</f>
        <v>ストリーム／真</v>
      </c>
      <c r="AY579" s="10" t="s">
        <v>1113</v>
      </c>
      <c r="AZ579" s="39" t="str">
        <f>データ!S579</f>
        <v>パーティ全体の攻撃力・速度が中UP(3分間)</v>
      </c>
      <c r="BA579" s="41" t="s">
        <v>1024</v>
      </c>
      <c r="BB579" s="40" t="s">
        <v>1319</v>
      </c>
      <c r="BC579" s="39" t="str">
        <f>データ!T579</f>
        <v>-</v>
      </c>
      <c r="BD579" s="41" t="s">
        <v>1024</v>
      </c>
      <c r="BE579" s="40" t="s">
        <v>1320</v>
      </c>
      <c r="BF579" s="39" t="str">
        <f>データ!U579</f>
        <v>-</v>
      </c>
      <c r="BG579" s="41" t="s">
        <v>1024</v>
      </c>
      <c r="BH579" s="40" t="s">
        <v>1319</v>
      </c>
      <c r="BI579" s="39" t="str">
        <f>データ!V579</f>
        <v>ガチャイベ</v>
      </c>
      <c r="BJ579" s="41" t="s">
        <v>1024</v>
      </c>
      <c r="BK579" s="10" t="s">
        <v>1019</v>
      </c>
    </row>
    <row r="580" spans="1:63" x14ac:dyDescent="0.15">
      <c r="A580" s="10" t="s">
        <v>1016</v>
      </c>
      <c r="B580" s="10" t="s">
        <v>1454</v>
      </c>
      <c r="C580" s="38" t="str">
        <f>"./images/thumbnail/"&amp;データ!B580&amp;".jpg"</f>
        <v>./images/thumbnail/1945.jpg</v>
      </c>
      <c r="D580" s="38" t="s">
        <v>1455</v>
      </c>
      <c r="E580" s="38" t="str">
        <f>"./images/thumbnail/"&amp;データ!B580&amp;".jpg"</f>
        <v>./images/thumbnail/1945.jpg</v>
      </c>
      <c r="F580" s="38" t="s">
        <v>1116</v>
      </c>
      <c r="G580" s="38" t="s">
        <v>1319</v>
      </c>
      <c r="H580" s="38" t="str">
        <f>データ!C580</f>
        <v>アスル</v>
      </c>
      <c r="I580" s="38" t="s">
        <v>1024</v>
      </c>
      <c r="J580" s="38" t="s">
        <v>1320</v>
      </c>
      <c r="K580" s="38" t="str">
        <f>データ!D580</f>
        <v>UR</v>
      </c>
      <c r="L580" s="38" t="s">
        <v>1024</v>
      </c>
      <c r="M580" s="38" t="s">
        <v>1321</v>
      </c>
      <c r="N580" s="38">
        <f>データ!E580</f>
        <v>15</v>
      </c>
      <c r="O580" s="38" t="s">
        <v>1024</v>
      </c>
      <c r="P580" s="38" t="s">
        <v>1319</v>
      </c>
      <c r="Q580" s="38" t="str">
        <f>データ!F580</f>
        <v>遠</v>
      </c>
      <c r="R580" s="38" t="s">
        <v>1024</v>
      </c>
      <c r="S580" s="38" t="s">
        <v>1319</v>
      </c>
      <c r="T580" s="39">
        <f>データ!G580</f>
        <v>26847</v>
      </c>
      <c r="U580" s="40" t="s">
        <v>1024</v>
      </c>
      <c r="V580" s="40" t="s">
        <v>1319</v>
      </c>
      <c r="W580" s="39">
        <f>データ!H580</f>
        <v>8250</v>
      </c>
      <c r="X580" s="40" t="s">
        <v>1024</v>
      </c>
      <c r="Y580" s="40" t="s">
        <v>1319</v>
      </c>
      <c r="Z580" s="39">
        <f>データ!I580</f>
        <v>8098</v>
      </c>
      <c r="AA580" s="40" t="s">
        <v>1024</v>
      </c>
      <c r="AB580" s="40" t="s">
        <v>1322</v>
      </c>
      <c r="AC580" s="39" t="str">
        <f>データ!J580</f>
        <v>SS</v>
      </c>
      <c r="AD580" s="38" t="s">
        <v>1024</v>
      </c>
      <c r="AE580" s="40" t="s">
        <v>1323</v>
      </c>
      <c r="AF580" s="39">
        <f>データ!K580</f>
        <v>43195</v>
      </c>
      <c r="AG580" s="40" t="s">
        <v>1024</v>
      </c>
      <c r="AH580" s="40" t="s">
        <v>1324</v>
      </c>
      <c r="AI580" s="39" t="str">
        <f>データ!L580</f>
        <v>灼</v>
      </c>
      <c r="AJ580" s="10" t="s">
        <v>1113</v>
      </c>
      <c r="AK580" s="39" t="str">
        <f>データ!M580</f>
        <v>敵全体に攻撃[極大]</v>
      </c>
      <c r="AL580" s="10" t="s">
        <v>1024</v>
      </c>
      <c r="AM580" s="40" t="s">
        <v>1325</v>
      </c>
      <c r="AN580" s="39" t="str">
        <f>データ!N580</f>
        <v>-</v>
      </c>
      <c r="AO580" s="10" t="s">
        <v>1113</v>
      </c>
      <c r="AP580" s="39" t="str">
        <f>データ!O580</f>
        <v>　</v>
      </c>
      <c r="AQ580" s="41" t="s">
        <v>1024</v>
      </c>
      <c r="AR580" s="40" t="s">
        <v>1324</v>
      </c>
      <c r="AS580" s="39" t="str">
        <f>データ!P580</f>
        <v>ランページ／煌</v>
      </c>
      <c r="AT580" s="10" t="s">
        <v>1113</v>
      </c>
      <c r="AU580" s="39" t="str">
        <f>データ!Q580</f>
        <v>バトルで獲得する騎士団戦スコアが特大アップ(3分間)</v>
      </c>
      <c r="AV580" s="10" t="s">
        <v>1024</v>
      </c>
      <c r="AW580" s="40" t="s">
        <v>1324</v>
      </c>
      <c r="AX580" s="39" t="str">
        <f>データ!R580</f>
        <v>アサルト／絶</v>
      </c>
      <c r="AY580" s="10" t="s">
        <v>1113</v>
      </c>
      <c r="AZ580" s="39" t="str">
        <f>データ!S580</f>
        <v>パーティ全体の攻撃力が大UP(3分間)</v>
      </c>
      <c r="BA580" s="41" t="s">
        <v>1024</v>
      </c>
      <c r="BB580" s="40" t="s">
        <v>1319</v>
      </c>
      <c r="BC580" s="39" t="str">
        <f>データ!T580</f>
        <v>-</v>
      </c>
      <c r="BD580" s="41" t="s">
        <v>1024</v>
      </c>
      <c r="BE580" s="40" t="s">
        <v>1320</v>
      </c>
      <c r="BF580" s="39" t="str">
        <f>データ!U580</f>
        <v>-</v>
      </c>
      <c r="BG580" s="41" t="s">
        <v>1024</v>
      </c>
      <c r="BH580" s="40" t="s">
        <v>1319</v>
      </c>
      <c r="BI580" s="39" t="str">
        <f>データ!V580</f>
        <v>ガチャイベ</v>
      </c>
      <c r="BJ580" s="41" t="s">
        <v>1024</v>
      </c>
      <c r="BK580" s="10" t="s">
        <v>1019</v>
      </c>
    </row>
    <row r="581" spans="1:63" x14ac:dyDescent="0.15">
      <c r="A581" s="10" t="s">
        <v>1016</v>
      </c>
      <c r="B581" s="10" t="s">
        <v>1454</v>
      </c>
      <c r="C581" s="38" t="str">
        <f>"./images/thumbnail/"&amp;データ!B581&amp;".jpg"</f>
        <v>./images/thumbnail/1946.jpg</v>
      </c>
      <c r="D581" s="38" t="s">
        <v>1455</v>
      </c>
      <c r="E581" s="38" t="str">
        <f>"./images/thumbnail/"&amp;データ!B581&amp;".jpg"</f>
        <v>./images/thumbnail/1946.jpg</v>
      </c>
      <c r="F581" s="38" t="s">
        <v>1116</v>
      </c>
      <c r="G581" s="38" t="s">
        <v>1319</v>
      </c>
      <c r="H581" s="38" t="str">
        <f>データ!C581</f>
        <v>主人公</v>
      </c>
      <c r="I581" s="38" t="s">
        <v>1024</v>
      </c>
      <c r="J581" s="38" t="s">
        <v>1320</v>
      </c>
      <c r="K581" s="38" t="str">
        <f>データ!D581</f>
        <v>UR</v>
      </c>
      <c r="L581" s="38" t="s">
        <v>1024</v>
      </c>
      <c r="M581" s="38" t="s">
        <v>1321</v>
      </c>
      <c r="N581" s="38">
        <f>データ!E581</f>
        <v>15</v>
      </c>
      <c r="O581" s="38" t="s">
        <v>1024</v>
      </c>
      <c r="P581" s="38" t="s">
        <v>1319</v>
      </c>
      <c r="Q581" s="38" t="str">
        <f>データ!F581</f>
        <v>斬</v>
      </c>
      <c r="R581" s="38" t="s">
        <v>1024</v>
      </c>
      <c r="S581" s="38" t="s">
        <v>1319</v>
      </c>
      <c r="T581" s="39">
        <f>データ!G581</f>
        <v>19066</v>
      </c>
      <c r="U581" s="40" t="s">
        <v>1024</v>
      </c>
      <c r="V581" s="40" t="s">
        <v>1319</v>
      </c>
      <c r="W581" s="39">
        <f>データ!H581</f>
        <v>9450</v>
      </c>
      <c r="X581" s="40" t="s">
        <v>1024</v>
      </c>
      <c r="Y581" s="40" t="s">
        <v>1319</v>
      </c>
      <c r="Z581" s="39">
        <f>データ!I581</f>
        <v>6332</v>
      </c>
      <c r="AA581" s="40" t="s">
        <v>1024</v>
      </c>
      <c r="AB581" s="40" t="s">
        <v>1322</v>
      </c>
      <c r="AC581" s="39" t="str">
        <f>データ!J581</f>
        <v>SS-</v>
      </c>
      <c r="AD581" s="38" t="s">
        <v>1024</v>
      </c>
      <c r="AE581" s="40" t="s">
        <v>1323</v>
      </c>
      <c r="AF581" s="39">
        <f>データ!K581</f>
        <v>34848</v>
      </c>
      <c r="AG581" s="40" t="s">
        <v>1024</v>
      </c>
      <c r="AH581" s="40" t="s">
        <v>1324</v>
      </c>
      <c r="AI581" s="39" t="str">
        <f>データ!L581</f>
        <v>魔幻の閃光／煌</v>
      </c>
      <c r="AJ581" s="10" t="s">
        <v>1113</v>
      </c>
      <c r="AK581" s="39" t="str">
        <f>データ!M581</f>
        <v>縦一列に攻撃[特大]</v>
      </c>
      <c r="AL581" s="10" t="s">
        <v>1024</v>
      </c>
      <c r="AM581" s="40" t="s">
        <v>1325</v>
      </c>
      <c r="AN581" s="39" t="str">
        <f>データ!N581</f>
        <v xml:space="preserve">不死者の猛撃 </v>
      </c>
      <c r="AO581" s="10" t="s">
        <v>1113</v>
      </c>
      <c r="AP581" s="39" t="str">
        <f>データ!O581</f>
        <v>単体固定ダメ[超特大]自分に固定ダメ[極大]</v>
      </c>
      <c r="AQ581" s="41" t="s">
        <v>1024</v>
      </c>
      <c r="AR581" s="40" t="s">
        <v>1324</v>
      </c>
      <c r="AS581" s="39" t="str">
        <f>データ!P581</f>
        <v>アサルト／煌</v>
      </c>
      <c r="AT581" s="10" t="s">
        <v>1113</v>
      </c>
      <c r="AU581" s="39" t="str">
        <f>データ!Q581</f>
        <v>パーティ全体の攻撃力が特大UP(3分間)</v>
      </c>
      <c r="AV581" s="10" t="s">
        <v>1024</v>
      </c>
      <c r="AW581" s="40" t="s">
        <v>1324</v>
      </c>
      <c r="AX581" s="39" t="str">
        <f>データ!R581</f>
        <v>アサルト／絶</v>
      </c>
      <c r="AY581" s="10" t="s">
        <v>1113</v>
      </c>
      <c r="AZ581" s="39" t="str">
        <f>データ!S581</f>
        <v>パーティ全体の攻撃力が大UP(3分間)</v>
      </c>
      <c r="BA581" s="41" t="s">
        <v>1024</v>
      </c>
      <c r="BB581" s="40" t="s">
        <v>1319</v>
      </c>
      <c r="BC581" s="39" t="str">
        <f>データ!T581</f>
        <v>-</v>
      </c>
      <c r="BD581" s="41" t="s">
        <v>1024</v>
      </c>
      <c r="BE581" s="40" t="s">
        <v>1320</v>
      </c>
      <c r="BF581" s="39" t="str">
        <f>データ!U581</f>
        <v>-</v>
      </c>
      <c r="BG581" s="41" t="s">
        <v>1024</v>
      </c>
      <c r="BH581" s="40" t="s">
        <v>1319</v>
      </c>
      <c r="BI581" s="39" t="str">
        <f>データ!V581</f>
        <v>スペシャル任務報酬</v>
      </c>
      <c r="BJ581" s="41" t="s">
        <v>1024</v>
      </c>
      <c r="BK581" s="10" t="s">
        <v>1019</v>
      </c>
    </row>
    <row r="582" spans="1:63" x14ac:dyDescent="0.15">
      <c r="A582" s="10" t="s">
        <v>1016</v>
      </c>
      <c r="B582" s="10" t="s">
        <v>1454</v>
      </c>
      <c r="C582" s="38" t="str">
        <f>"./images/thumbnail/"&amp;データ!B582&amp;".jpg"</f>
        <v>./images/thumbnail/1947.jpg</v>
      </c>
      <c r="D582" s="38" t="s">
        <v>1455</v>
      </c>
      <c r="E582" s="38" t="str">
        <f>"./images/thumbnail/"&amp;データ!B582&amp;".jpg"</f>
        <v>./images/thumbnail/1947.jpg</v>
      </c>
      <c r="F582" s="38" t="s">
        <v>1116</v>
      </c>
      <c r="G582" s="38" t="s">
        <v>1319</v>
      </c>
      <c r="H582" s="38" t="str">
        <f>データ!C582</f>
        <v>マリエル</v>
      </c>
      <c r="I582" s="38" t="s">
        <v>1024</v>
      </c>
      <c r="J582" s="38" t="s">
        <v>1320</v>
      </c>
      <c r="K582" s="38" t="str">
        <f>データ!D582</f>
        <v>UR</v>
      </c>
      <c r="L582" s="38" t="s">
        <v>1024</v>
      </c>
      <c r="M582" s="38" t="s">
        <v>1321</v>
      </c>
      <c r="N582" s="38">
        <f>データ!E582</f>
        <v>15</v>
      </c>
      <c r="O582" s="38" t="s">
        <v>1024</v>
      </c>
      <c r="P582" s="38" t="s">
        <v>1319</v>
      </c>
      <c r="Q582" s="38" t="str">
        <f>データ!F582</f>
        <v>斬</v>
      </c>
      <c r="R582" s="38" t="s">
        <v>1024</v>
      </c>
      <c r="S582" s="38" t="s">
        <v>1319</v>
      </c>
      <c r="T582" s="39">
        <f>データ!G582</f>
        <v>20708</v>
      </c>
      <c r="U582" s="40" t="s">
        <v>1024</v>
      </c>
      <c r="V582" s="40" t="s">
        <v>1319</v>
      </c>
      <c r="W582" s="39">
        <f>データ!H582</f>
        <v>9082</v>
      </c>
      <c r="X582" s="40" t="s">
        <v>1024</v>
      </c>
      <c r="Y582" s="40" t="s">
        <v>1319</v>
      </c>
      <c r="Z582" s="39">
        <f>データ!I582</f>
        <v>7437</v>
      </c>
      <c r="AA582" s="40" t="s">
        <v>1024</v>
      </c>
      <c r="AB582" s="40" t="s">
        <v>1322</v>
      </c>
      <c r="AC582" s="39" t="str">
        <f>データ!J582</f>
        <v>SS-</v>
      </c>
      <c r="AD582" s="38" t="s">
        <v>1024</v>
      </c>
      <c r="AE582" s="40" t="s">
        <v>1323</v>
      </c>
      <c r="AF582" s="39">
        <f>データ!K582</f>
        <v>37227</v>
      </c>
      <c r="AG582" s="40" t="s">
        <v>1024</v>
      </c>
      <c r="AH582" s="40" t="s">
        <v>1324</v>
      </c>
      <c r="AI582" s="39" t="str">
        <f>データ!L582</f>
        <v>魔幻の閃光／煌</v>
      </c>
      <c r="AJ582" s="10" t="s">
        <v>1113</v>
      </c>
      <c r="AK582" s="39" t="str">
        <f>データ!M582</f>
        <v>縦一列に攻撃[特大]</v>
      </c>
      <c r="AL582" s="10" t="s">
        <v>1024</v>
      </c>
      <c r="AM582" s="40" t="s">
        <v>1325</v>
      </c>
      <c r="AN582" s="39" t="str">
        <f>データ!N582</f>
        <v>堕天使の息吹</v>
      </c>
      <c r="AO582" s="10" t="s">
        <v>1113</v>
      </c>
      <c r="AP582" s="39" t="str">
        <f>データ!O582</f>
        <v>味方1体を蘇生[HP特大]</v>
      </c>
      <c r="AQ582" s="41" t="s">
        <v>1024</v>
      </c>
      <c r="AR582" s="40" t="s">
        <v>1324</v>
      </c>
      <c r="AS582" s="39" t="str">
        <f>データ!P582</f>
        <v>レクトノート／絶</v>
      </c>
      <c r="AT582" s="10" t="s">
        <v>1113</v>
      </c>
      <c r="AU582" s="39" t="str">
        <f>データ!Q582</f>
        <v>バトルで敵を全滅するとBPが大回復(3分間)</v>
      </c>
      <c r="AV582" s="10" t="s">
        <v>1024</v>
      </c>
      <c r="AW582" s="40" t="s">
        <v>1324</v>
      </c>
      <c r="AX582" s="39" t="str">
        <f>データ!R582</f>
        <v>アサルト／絶</v>
      </c>
      <c r="AY582" s="10" t="s">
        <v>1113</v>
      </c>
      <c r="AZ582" s="39" t="str">
        <f>データ!S582</f>
        <v>パーティ全体の攻撃力が大UP(3分間)</v>
      </c>
      <c r="BA582" s="41" t="s">
        <v>1024</v>
      </c>
      <c r="BB582" s="40" t="s">
        <v>1319</v>
      </c>
      <c r="BC582" s="39" t="str">
        <f>データ!T582</f>
        <v>-</v>
      </c>
      <c r="BD582" s="41" t="s">
        <v>1024</v>
      </c>
      <c r="BE582" s="40" t="s">
        <v>1320</v>
      </c>
      <c r="BF582" s="39" t="str">
        <f>データ!U582</f>
        <v>-</v>
      </c>
      <c r="BG582" s="41" t="s">
        <v>1024</v>
      </c>
      <c r="BH582" s="40" t="s">
        <v>1319</v>
      </c>
      <c r="BI582" s="39" t="str">
        <f>データ!V582</f>
        <v>スペシャル任務報酬</v>
      </c>
      <c r="BJ582" s="41" t="s">
        <v>1024</v>
      </c>
      <c r="BK582" s="10" t="s">
        <v>1019</v>
      </c>
    </row>
    <row r="583" spans="1:63" x14ac:dyDescent="0.15">
      <c r="A583" s="10" t="s">
        <v>1016</v>
      </c>
      <c r="B583" s="10" t="s">
        <v>1454</v>
      </c>
      <c r="C583" s="38" t="str">
        <f>"./images/thumbnail/"&amp;データ!B583&amp;".jpg"</f>
        <v>./images/thumbnail/1948.jpg</v>
      </c>
      <c r="D583" s="38" t="s">
        <v>1455</v>
      </c>
      <c r="E583" s="38" t="str">
        <f>"./images/thumbnail/"&amp;データ!B583&amp;".jpg"</f>
        <v>./images/thumbnail/1948.jpg</v>
      </c>
      <c r="F583" s="38" t="s">
        <v>1116</v>
      </c>
      <c r="G583" s="38" t="s">
        <v>1319</v>
      </c>
      <c r="H583" s="38" t="str">
        <f>データ!C583</f>
        <v>アーデルハイド</v>
      </c>
      <c r="I583" s="38" t="s">
        <v>1024</v>
      </c>
      <c r="J583" s="38" t="s">
        <v>1320</v>
      </c>
      <c r="K583" s="38" t="str">
        <f>データ!D583</f>
        <v>UR</v>
      </c>
      <c r="L583" s="38" t="s">
        <v>1024</v>
      </c>
      <c r="M583" s="38" t="s">
        <v>1321</v>
      </c>
      <c r="N583" s="38">
        <f>データ!E583</f>
        <v>15</v>
      </c>
      <c r="O583" s="38" t="s">
        <v>1024</v>
      </c>
      <c r="P583" s="38" t="s">
        <v>1319</v>
      </c>
      <c r="Q583" s="38" t="str">
        <f>データ!F583</f>
        <v>突</v>
      </c>
      <c r="R583" s="38" t="s">
        <v>1024</v>
      </c>
      <c r="S583" s="38" t="s">
        <v>1319</v>
      </c>
      <c r="T583" s="39">
        <f>データ!G583</f>
        <v>21462</v>
      </c>
      <c r="U583" s="40" t="s">
        <v>1024</v>
      </c>
      <c r="V583" s="40" t="s">
        <v>1319</v>
      </c>
      <c r="W583" s="39">
        <f>データ!H583</f>
        <v>6229</v>
      </c>
      <c r="X583" s="40" t="s">
        <v>1024</v>
      </c>
      <c r="Y583" s="40" t="s">
        <v>1319</v>
      </c>
      <c r="Z583" s="39">
        <f>データ!I583</f>
        <v>7820</v>
      </c>
      <c r="AA583" s="40" t="s">
        <v>1024</v>
      </c>
      <c r="AB583" s="40" t="s">
        <v>1322</v>
      </c>
      <c r="AC583" s="39" t="str">
        <f>データ!J583</f>
        <v>SS+</v>
      </c>
      <c r="AD583" s="38" t="s">
        <v>1024</v>
      </c>
      <c r="AE583" s="40" t="s">
        <v>1323</v>
      </c>
      <c r="AF583" s="39">
        <f>データ!K583</f>
        <v>35511</v>
      </c>
      <c r="AG583" s="40" t="s">
        <v>1024</v>
      </c>
      <c r="AH583" s="40" t="s">
        <v>1324</v>
      </c>
      <c r="AI583" s="39" t="str">
        <f>データ!L583</f>
        <v>蒼突の神護</v>
      </c>
      <c r="AJ583" s="10" t="s">
        <v>1113</v>
      </c>
      <c r="AK583" s="39" t="str">
        <f>データ!M583</f>
        <v>味方突属性の防御力をUP[特大]</v>
      </c>
      <c r="AL583" s="10" t="s">
        <v>1024</v>
      </c>
      <c r="AM583" s="40" t="s">
        <v>1325</v>
      </c>
      <c r="AN583" s="39" t="str">
        <f>データ!N583</f>
        <v>-</v>
      </c>
      <c r="AO583" s="10" t="s">
        <v>1113</v>
      </c>
      <c r="AP583" s="39" t="str">
        <f>データ!O583</f>
        <v>　</v>
      </c>
      <c r="AQ583" s="41" t="s">
        <v>1024</v>
      </c>
      <c r="AR583" s="40" t="s">
        <v>1324</v>
      </c>
      <c r="AS583" s="39" t="str">
        <f>データ!P583</f>
        <v>エース／煌</v>
      </c>
      <c r="AT583" s="10" t="s">
        <v>1113</v>
      </c>
      <c r="AU583" s="39" t="str">
        <f>データ!Q583</f>
        <v>パーティ全体の攻・防が特大UP(3分間)</v>
      </c>
      <c r="AV583" s="10" t="s">
        <v>1024</v>
      </c>
      <c r="AW583" s="40" t="s">
        <v>1324</v>
      </c>
      <c r="AX583" s="39" t="str">
        <f>データ!R583</f>
        <v>ジャガーノート／絶</v>
      </c>
      <c r="AY583" s="10" t="s">
        <v>1113</v>
      </c>
      <c r="AZ583" s="39" t="str">
        <f>データ!S583</f>
        <v>バトルで敵を全滅するとBPが大回復(バトル3回)</v>
      </c>
      <c r="BA583" s="41" t="s">
        <v>1024</v>
      </c>
      <c r="BB583" s="40" t="s">
        <v>1319</v>
      </c>
      <c r="BC583" s="39" t="str">
        <f>データ!T583</f>
        <v>-</v>
      </c>
      <c r="BD583" s="41" t="s">
        <v>1024</v>
      </c>
      <c r="BE583" s="40" t="s">
        <v>1320</v>
      </c>
      <c r="BF583" s="39" t="str">
        <f>データ!U583</f>
        <v>-</v>
      </c>
      <c r="BG583" s="41" t="s">
        <v>1024</v>
      </c>
      <c r="BH583" s="40" t="s">
        <v>1319</v>
      </c>
      <c r="BI583" s="39" t="str">
        <f>データ!V583</f>
        <v>トレジャーチェストガチャ</v>
      </c>
      <c r="BJ583" s="41" t="s">
        <v>1024</v>
      </c>
      <c r="BK583" s="10" t="s">
        <v>1019</v>
      </c>
    </row>
    <row r="584" spans="1:63" x14ac:dyDescent="0.15">
      <c r="A584" s="10" t="s">
        <v>1016</v>
      </c>
      <c r="B584" s="10" t="s">
        <v>1454</v>
      </c>
      <c r="C584" s="38" t="str">
        <f>"./images/thumbnail/"&amp;データ!B584&amp;".jpg"</f>
        <v>./images/thumbnail/1950.jpg</v>
      </c>
      <c r="D584" s="38" t="s">
        <v>1455</v>
      </c>
      <c r="E584" s="38" t="str">
        <f>"./images/thumbnail/"&amp;データ!B584&amp;".jpg"</f>
        <v>./images/thumbnail/1950.jpg</v>
      </c>
      <c r="F584" s="38" t="s">
        <v>1116</v>
      </c>
      <c r="G584" s="38" t="s">
        <v>1319</v>
      </c>
      <c r="H584" s="38" t="str">
        <f>データ!C584</f>
        <v>ジム</v>
      </c>
      <c r="I584" s="38" t="s">
        <v>1024</v>
      </c>
      <c r="J584" s="38" t="s">
        <v>1320</v>
      </c>
      <c r="K584" s="38" t="str">
        <f>データ!D584</f>
        <v>SSR</v>
      </c>
      <c r="L584" s="38" t="s">
        <v>1024</v>
      </c>
      <c r="M584" s="38" t="s">
        <v>1321</v>
      </c>
      <c r="N584" s="38">
        <f>データ!E584</f>
        <v>13</v>
      </c>
      <c r="O584" s="38" t="s">
        <v>1024</v>
      </c>
      <c r="P584" s="38" t="s">
        <v>1319</v>
      </c>
      <c r="Q584" s="38" t="str">
        <f>データ!F584</f>
        <v>斬</v>
      </c>
      <c r="R584" s="38" t="s">
        <v>1024</v>
      </c>
      <c r="S584" s="38" t="s">
        <v>1319</v>
      </c>
      <c r="T584" s="39">
        <f>データ!G584</f>
        <v>16529</v>
      </c>
      <c r="U584" s="40" t="s">
        <v>1024</v>
      </c>
      <c r="V584" s="40" t="s">
        <v>1319</v>
      </c>
      <c r="W584" s="39">
        <f>データ!H584</f>
        <v>7966</v>
      </c>
      <c r="X584" s="40" t="s">
        <v>1024</v>
      </c>
      <c r="Y584" s="40" t="s">
        <v>1319</v>
      </c>
      <c r="Z584" s="39">
        <f>データ!I584</f>
        <v>5236</v>
      </c>
      <c r="AA584" s="40" t="s">
        <v>1024</v>
      </c>
      <c r="AB584" s="40" t="s">
        <v>1322</v>
      </c>
      <c r="AC584" s="39" t="str">
        <f>データ!J584</f>
        <v>A+</v>
      </c>
      <c r="AD584" s="38" t="s">
        <v>1024</v>
      </c>
      <c r="AE584" s="40" t="s">
        <v>1323</v>
      </c>
      <c r="AF584" s="39">
        <f>データ!K584</f>
        <v>29731</v>
      </c>
      <c r="AG584" s="40" t="s">
        <v>1024</v>
      </c>
      <c r="AH584" s="40" t="s">
        <v>1324</v>
      </c>
      <c r="AI584" s="39" t="str">
        <f>データ!L584</f>
        <v>地幻氷の縦十字／絶</v>
      </c>
      <c r="AJ584" s="10" t="s">
        <v>1113</v>
      </c>
      <c r="AK584" s="39" t="str">
        <f>データ!M584</f>
        <v>十字型攻撃[大]自分の防御力UP[大]</v>
      </c>
      <c r="AL584" s="38" t="s">
        <v>1024</v>
      </c>
      <c r="AM584" s="40" t="s">
        <v>1325</v>
      </c>
      <c r="AN584" s="39" t="str">
        <f>データ!N584</f>
        <v>-</v>
      </c>
      <c r="AO584" s="10" t="s">
        <v>1113</v>
      </c>
      <c r="AP584" s="39" t="str">
        <f>データ!O584</f>
        <v>　</v>
      </c>
      <c r="AQ584" s="41" t="s">
        <v>1024</v>
      </c>
      <c r="AR584" s="40" t="s">
        <v>1324</v>
      </c>
      <c r="AS584" s="39" t="str">
        <f>データ!P584</f>
        <v>アサルトオーダー</v>
      </c>
      <c r="AT584" s="10" t="s">
        <v>1113</v>
      </c>
      <c r="AU584" s="39" t="str">
        <f>データ!Q584</f>
        <v>騎士団全体の攻撃力が小UP(3分間)</v>
      </c>
      <c r="AV584" s="10" t="s">
        <v>1024</v>
      </c>
      <c r="AW584" s="40" t="s">
        <v>1324</v>
      </c>
      <c r="AX584" s="39" t="str">
        <f>データ!R584</f>
        <v>-</v>
      </c>
      <c r="AY584" s="10" t="s">
        <v>1113</v>
      </c>
      <c r="AZ584" s="39" t="str">
        <f>データ!S584</f>
        <v>　</v>
      </c>
      <c r="BA584" s="41" t="s">
        <v>1024</v>
      </c>
      <c r="BB584" s="40" t="s">
        <v>1319</v>
      </c>
      <c r="BC584" s="39" t="str">
        <f>データ!T584</f>
        <v>-</v>
      </c>
      <c r="BD584" s="41" t="s">
        <v>1024</v>
      </c>
      <c r="BE584" s="40" t="s">
        <v>1320</v>
      </c>
      <c r="BF584" s="39" t="str">
        <f>データ!U584</f>
        <v>-</v>
      </c>
      <c r="BG584" s="41" t="s">
        <v>1024</v>
      </c>
      <c r="BH584" s="40" t="s">
        <v>1319</v>
      </c>
      <c r="BI584" s="39" t="str">
        <f>データ!V584</f>
        <v>マゴニア</v>
      </c>
      <c r="BJ584" s="41" t="s">
        <v>1024</v>
      </c>
      <c r="BK584" s="10" t="s">
        <v>1019</v>
      </c>
    </row>
    <row r="585" spans="1:63" x14ac:dyDescent="0.15">
      <c r="A585" s="10" t="s">
        <v>1016</v>
      </c>
      <c r="B585" s="10" t="s">
        <v>1454</v>
      </c>
      <c r="C585" s="38" t="str">
        <f>"./images/thumbnail/"&amp;データ!B585&amp;".jpg"</f>
        <v>./images/thumbnail/1951.jpg</v>
      </c>
      <c r="D585" s="38" t="s">
        <v>1455</v>
      </c>
      <c r="E585" s="38" t="str">
        <f>"./images/thumbnail/"&amp;データ!B585&amp;".jpg"</f>
        <v>./images/thumbnail/1951.jpg</v>
      </c>
      <c r="F585" s="38" t="s">
        <v>1116</v>
      </c>
      <c r="G585" s="38" t="s">
        <v>1319</v>
      </c>
      <c r="H585" s="38" t="str">
        <f>データ!C585</f>
        <v>シーラ</v>
      </c>
      <c r="I585" s="38" t="s">
        <v>1024</v>
      </c>
      <c r="J585" s="38" t="s">
        <v>1320</v>
      </c>
      <c r="K585" s="38" t="str">
        <f>データ!D585</f>
        <v>UR</v>
      </c>
      <c r="L585" s="38" t="s">
        <v>1024</v>
      </c>
      <c r="M585" s="38" t="s">
        <v>1321</v>
      </c>
      <c r="N585" s="38">
        <f>データ!E585</f>
        <v>14</v>
      </c>
      <c r="O585" s="38" t="s">
        <v>1024</v>
      </c>
      <c r="P585" s="38" t="s">
        <v>1319</v>
      </c>
      <c r="Q585" s="38" t="str">
        <f>データ!F585</f>
        <v>突</v>
      </c>
      <c r="R585" s="38" t="s">
        <v>1024</v>
      </c>
      <c r="S585" s="38" t="s">
        <v>1319</v>
      </c>
      <c r="T585" s="39">
        <f>データ!G585</f>
        <v>21920</v>
      </c>
      <c r="U585" s="40" t="s">
        <v>1024</v>
      </c>
      <c r="V585" s="40" t="s">
        <v>1319</v>
      </c>
      <c r="W585" s="39">
        <f>データ!H585</f>
        <v>6272</v>
      </c>
      <c r="X585" s="40" t="s">
        <v>1024</v>
      </c>
      <c r="Y585" s="40" t="s">
        <v>1319</v>
      </c>
      <c r="Z585" s="39">
        <f>データ!I585</f>
        <v>7270</v>
      </c>
      <c r="AA585" s="40" t="s">
        <v>1024</v>
      </c>
      <c r="AB585" s="40" t="s">
        <v>1322</v>
      </c>
      <c r="AC585" s="39" t="str">
        <f>データ!J585</f>
        <v>SS+</v>
      </c>
      <c r="AD585" s="38" t="s">
        <v>1024</v>
      </c>
      <c r="AE585" s="40" t="s">
        <v>1323</v>
      </c>
      <c r="AF585" s="39">
        <f>データ!K585</f>
        <v>35462</v>
      </c>
      <c r="AG585" s="40" t="s">
        <v>1024</v>
      </c>
      <c r="AH585" s="40" t="s">
        <v>1324</v>
      </c>
      <c r="AI585" s="39" t="str">
        <f>データ!L585</f>
        <v>孤撃の言霊／煌</v>
      </c>
      <c r="AJ585" s="10" t="s">
        <v>1113</v>
      </c>
      <c r="AK585" s="39" t="str">
        <f>データ!M585</f>
        <v>一定確率で敵を範囲不可にする[超高確率]</v>
      </c>
      <c r="AL585" s="10" t="s">
        <v>1024</v>
      </c>
      <c r="AM585" s="40" t="s">
        <v>1325</v>
      </c>
      <c r="AN585" s="39" t="str">
        <f>データ!N585</f>
        <v>-</v>
      </c>
      <c r="AO585" s="10" t="s">
        <v>1113</v>
      </c>
      <c r="AP585" s="39" t="str">
        <f>データ!O585</f>
        <v>　</v>
      </c>
      <c r="AQ585" s="41" t="s">
        <v>1024</v>
      </c>
      <c r="AR585" s="40" t="s">
        <v>1324</v>
      </c>
      <c r="AS585" s="39" t="str">
        <f>データ!P585</f>
        <v>ジャガーノート／絶</v>
      </c>
      <c r="AT585" s="10" t="s">
        <v>1113</v>
      </c>
      <c r="AU585" s="39" t="str">
        <f>データ!Q585</f>
        <v>バトルで敵を全滅するとBPが大回復(バトル3回)</v>
      </c>
      <c r="AV585" s="10" t="s">
        <v>1024</v>
      </c>
      <c r="AW585" s="40" t="s">
        <v>1324</v>
      </c>
      <c r="AX585" s="39" t="str">
        <f>データ!R585</f>
        <v>-</v>
      </c>
      <c r="AY585" s="10" t="s">
        <v>1113</v>
      </c>
      <c r="AZ585" s="39" t="str">
        <f>データ!S585</f>
        <v>　</v>
      </c>
      <c r="BA585" s="41" t="s">
        <v>1024</v>
      </c>
      <c r="BB585" s="40" t="s">
        <v>1319</v>
      </c>
      <c r="BC585" s="39" t="str">
        <f>データ!T585</f>
        <v>-</v>
      </c>
      <c r="BD585" s="41" t="s">
        <v>1024</v>
      </c>
      <c r="BE585" s="40" t="s">
        <v>1320</v>
      </c>
      <c r="BF585" s="39" t="str">
        <f>データ!U585</f>
        <v>-</v>
      </c>
      <c r="BG585" s="41" t="s">
        <v>1024</v>
      </c>
      <c r="BH585" s="40" t="s">
        <v>1319</v>
      </c>
      <c r="BI585" s="39" t="str">
        <f>データ!V585</f>
        <v>マゴニア</v>
      </c>
      <c r="BJ585" s="41" t="s">
        <v>1024</v>
      </c>
      <c r="BK585" s="10" t="s">
        <v>1019</v>
      </c>
    </row>
    <row r="586" spans="1:63" x14ac:dyDescent="0.15">
      <c r="A586" s="10" t="s">
        <v>1016</v>
      </c>
      <c r="B586" s="10" t="s">
        <v>1454</v>
      </c>
      <c r="C586" s="38" t="str">
        <f>"./images/thumbnail/"&amp;データ!B586&amp;".jpg"</f>
        <v>./images/thumbnail/1953.jpg</v>
      </c>
      <c r="D586" s="38" t="s">
        <v>1455</v>
      </c>
      <c r="E586" s="38" t="str">
        <f>"./images/thumbnail/"&amp;データ!B586&amp;".jpg"</f>
        <v>./images/thumbnail/1953.jpg</v>
      </c>
      <c r="F586" s="38" t="s">
        <v>1116</v>
      </c>
      <c r="G586" s="38" t="s">
        <v>1319</v>
      </c>
      <c r="H586" s="38" t="str">
        <f>データ!C586</f>
        <v>キュオスティ</v>
      </c>
      <c r="I586" s="38" t="s">
        <v>1024</v>
      </c>
      <c r="J586" s="38" t="s">
        <v>1320</v>
      </c>
      <c r="K586" s="38" t="str">
        <f>データ!D586</f>
        <v>UR</v>
      </c>
      <c r="L586" s="38" t="s">
        <v>1024</v>
      </c>
      <c r="M586" s="38" t="s">
        <v>1321</v>
      </c>
      <c r="N586" s="38">
        <f>データ!E586</f>
        <v>14</v>
      </c>
      <c r="O586" s="38" t="s">
        <v>1024</v>
      </c>
      <c r="P586" s="38" t="s">
        <v>1319</v>
      </c>
      <c r="Q586" s="38" t="str">
        <f>データ!F586</f>
        <v>斬</v>
      </c>
      <c r="R586" s="38" t="s">
        <v>1024</v>
      </c>
      <c r="S586" s="38" t="s">
        <v>1319</v>
      </c>
      <c r="T586" s="39">
        <f>データ!G586</f>
        <v>18123</v>
      </c>
      <c r="U586" s="40" t="s">
        <v>1024</v>
      </c>
      <c r="V586" s="40" t="s">
        <v>1319</v>
      </c>
      <c r="W586" s="39">
        <f>データ!H586</f>
        <v>8995</v>
      </c>
      <c r="X586" s="40" t="s">
        <v>1024</v>
      </c>
      <c r="Y586" s="40" t="s">
        <v>1319</v>
      </c>
      <c r="Z586" s="39">
        <f>データ!I586</f>
        <v>6257</v>
      </c>
      <c r="AA586" s="40" t="s">
        <v>1024</v>
      </c>
      <c r="AB586" s="40" t="s">
        <v>1322</v>
      </c>
      <c r="AC586" s="39" t="str">
        <f>データ!J586</f>
        <v>S</v>
      </c>
      <c r="AD586" s="38" t="s">
        <v>1024</v>
      </c>
      <c r="AE586" s="40" t="s">
        <v>1323</v>
      </c>
      <c r="AF586" s="39">
        <f>データ!K586</f>
        <v>33375</v>
      </c>
      <c r="AG586" s="40" t="s">
        <v>1024</v>
      </c>
      <c r="AH586" s="40" t="s">
        <v>1324</v>
      </c>
      <c r="AI586" s="39" t="str">
        <f>データ!L586</f>
        <v>斬紅の神護</v>
      </c>
      <c r="AJ586" s="10" t="s">
        <v>1113</v>
      </c>
      <c r="AK586" s="39" t="str">
        <f>データ!M586</f>
        <v>味方斬属性の防御力をUP[特大]</v>
      </c>
      <c r="AL586" s="10" t="s">
        <v>1024</v>
      </c>
      <c r="AM586" s="40" t="s">
        <v>1325</v>
      </c>
      <c r="AN586" s="39" t="str">
        <f>データ!N586</f>
        <v>-</v>
      </c>
      <c r="AO586" s="10" t="s">
        <v>1113</v>
      </c>
      <c r="AP586" s="39" t="str">
        <f>データ!O586</f>
        <v>　</v>
      </c>
      <c r="AQ586" s="41" t="s">
        <v>1024</v>
      </c>
      <c r="AR586" s="40" t="s">
        <v>1324</v>
      </c>
      <c r="AS586" s="39" t="str">
        <f>データ!P586</f>
        <v>エクスドライブ／絶</v>
      </c>
      <c r="AT586" s="10" t="s">
        <v>1113</v>
      </c>
      <c r="AU586" s="39" t="str">
        <f>データ!Q586</f>
        <v>キリ番CB時の獲得ポイント大UP(3分間)</v>
      </c>
      <c r="AV586" s="10" t="s">
        <v>1024</v>
      </c>
      <c r="AW586" s="40" t="s">
        <v>1324</v>
      </c>
      <c r="AX586" s="39" t="str">
        <f>データ!R586</f>
        <v>-</v>
      </c>
      <c r="AY586" s="10" t="s">
        <v>1113</v>
      </c>
      <c r="AZ586" s="39" t="str">
        <f>データ!S586</f>
        <v>　</v>
      </c>
      <c r="BA586" s="41" t="s">
        <v>1024</v>
      </c>
      <c r="BB586" s="40" t="s">
        <v>1319</v>
      </c>
      <c r="BC586" s="39" t="str">
        <f>データ!T586</f>
        <v>-</v>
      </c>
      <c r="BD586" s="41" t="s">
        <v>1024</v>
      </c>
      <c r="BE586" s="40" t="s">
        <v>1320</v>
      </c>
      <c r="BF586" s="39" t="str">
        <f>データ!U586</f>
        <v>-</v>
      </c>
      <c r="BG586" s="41" t="s">
        <v>1024</v>
      </c>
      <c r="BH586" s="40" t="s">
        <v>1319</v>
      </c>
      <c r="BI586" s="39" t="str">
        <f>データ!V586</f>
        <v>ガチャイベ</v>
      </c>
      <c r="BJ586" s="41" t="s">
        <v>1024</v>
      </c>
      <c r="BK586" s="10" t="s">
        <v>1019</v>
      </c>
    </row>
    <row r="587" spans="1:63" x14ac:dyDescent="0.15">
      <c r="A587" s="10" t="s">
        <v>1016</v>
      </c>
      <c r="B587" s="10" t="s">
        <v>1454</v>
      </c>
      <c r="C587" s="38" t="str">
        <f>"./images/thumbnail/"&amp;データ!B587&amp;".jpg"</f>
        <v>./images/thumbnail/1955.jpg</v>
      </c>
      <c r="D587" s="38" t="s">
        <v>1455</v>
      </c>
      <c r="E587" s="38" t="str">
        <f>"./images/thumbnail/"&amp;データ!B587&amp;".jpg"</f>
        <v>./images/thumbnail/1955.jpg</v>
      </c>
      <c r="F587" s="38" t="s">
        <v>1116</v>
      </c>
      <c r="G587" s="38" t="s">
        <v>1319</v>
      </c>
      <c r="H587" s="38" t="str">
        <f>データ!C587</f>
        <v>デフロット</v>
      </c>
      <c r="I587" s="38" t="s">
        <v>1024</v>
      </c>
      <c r="J587" s="38" t="s">
        <v>1320</v>
      </c>
      <c r="K587" s="38" t="str">
        <f>データ!D587</f>
        <v>UR</v>
      </c>
      <c r="L587" s="38" t="s">
        <v>1024</v>
      </c>
      <c r="M587" s="38" t="s">
        <v>1321</v>
      </c>
      <c r="N587" s="38">
        <f>データ!E587</f>
        <v>15</v>
      </c>
      <c r="O587" s="38" t="s">
        <v>1024</v>
      </c>
      <c r="P587" s="38" t="s">
        <v>1319</v>
      </c>
      <c r="Q587" s="38" t="str">
        <f>データ!F587</f>
        <v>突</v>
      </c>
      <c r="R587" s="38" t="s">
        <v>1024</v>
      </c>
      <c r="S587" s="38" t="s">
        <v>1319</v>
      </c>
      <c r="T587" s="39">
        <f>データ!G587</f>
        <v>23876</v>
      </c>
      <c r="U587" s="40" t="s">
        <v>1024</v>
      </c>
      <c r="V587" s="40" t="s">
        <v>1319</v>
      </c>
      <c r="W587" s="39">
        <f>データ!H587</f>
        <v>6588</v>
      </c>
      <c r="X587" s="40" t="s">
        <v>1024</v>
      </c>
      <c r="Y587" s="40" t="s">
        <v>1319</v>
      </c>
      <c r="Z587" s="39">
        <f>データ!I587</f>
        <v>8567</v>
      </c>
      <c r="AA587" s="40" t="s">
        <v>1024</v>
      </c>
      <c r="AB587" s="40" t="s">
        <v>1322</v>
      </c>
      <c r="AC587" s="39" t="str">
        <f>データ!J587</f>
        <v>SS2</v>
      </c>
      <c r="AD587" s="38" t="s">
        <v>1024</v>
      </c>
      <c r="AE587" s="40" t="s">
        <v>1323</v>
      </c>
      <c r="AF587" s="39">
        <f>データ!K587</f>
        <v>39031</v>
      </c>
      <c r="AG587" s="40" t="s">
        <v>1024</v>
      </c>
      <c r="AH587" s="40" t="s">
        <v>1324</v>
      </c>
      <c r="AI587" s="39" t="str">
        <f>データ!L587</f>
        <v>対翠の突風／煌</v>
      </c>
      <c r="AJ587" s="10" t="s">
        <v>1113</v>
      </c>
      <c r="AK587" s="39" t="str">
        <f>データ!M587</f>
        <v>遠に強く打に弱い縦一列攻撃[特大]</v>
      </c>
      <c r="AL587" s="10" t="s">
        <v>1024</v>
      </c>
      <c r="AM587" s="40" t="s">
        <v>1325</v>
      </c>
      <c r="AN587" s="39" t="str">
        <f>データ!N587</f>
        <v>-</v>
      </c>
      <c r="AO587" s="10" t="s">
        <v>1113</v>
      </c>
      <c r="AP587" s="39" t="str">
        <f>データ!O587</f>
        <v>　</v>
      </c>
      <c r="AQ587" s="41" t="s">
        <v>1024</v>
      </c>
      <c r="AR587" s="40" t="s">
        <v>1324</v>
      </c>
      <c r="AS587" s="39" t="str">
        <f>データ!P587</f>
        <v>ストリーム／絶</v>
      </c>
      <c r="AT587" s="10" t="s">
        <v>1113</v>
      </c>
      <c r="AU587" s="39" t="str">
        <f>データ!Q587</f>
        <v>パーティ全体の攻撃力・速度が大UP(3分間)</v>
      </c>
      <c r="AV587" s="10" t="s">
        <v>1024</v>
      </c>
      <c r="AW587" s="40" t="s">
        <v>1324</v>
      </c>
      <c r="AX587" s="39" t="str">
        <f>データ!R587</f>
        <v>エース／絶</v>
      </c>
      <c r="AY587" s="10" t="s">
        <v>1113</v>
      </c>
      <c r="AZ587" s="39" t="str">
        <f>データ!S587</f>
        <v>パーティ全体の攻・防が大UP(3分間)</v>
      </c>
      <c r="BA587" s="41" t="s">
        <v>1024</v>
      </c>
      <c r="BB587" s="40" t="s">
        <v>1319</v>
      </c>
      <c r="BC587" s="39" t="str">
        <f>データ!T587</f>
        <v>-</v>
      </c>
      <c r="BD587" s="41" t="s">
        <v>1024</v>
      </c>
      <c r="BE587" s="40" t="s">
        <v>1320</v>
      </c>
      <c r="BF587" s="39" t="str">
        <f>データ!U587</f>
        <v>-</v>
      </c>
      <c r="BG587" s="41" t="s">
        <v>1024</v>
      </c>
      <c r="BH587" s="40" t="s">
        <v>1319</v>
      </c>
      <c r="BI587" s="39" t="str">
        <f>データ!V587</f>
        <v>ガチャイベ</v>
      </c>
      <c r="BJ587" s="41" t="s">
        <v>1024</v>
      </c>
      <c r="BK587" s="10" t="s">
        <v>1019</v>
      </c>
    </row>
    <row r="588" spans="1:63" x14ac:dyDescent="0.15">
      <c r="A588" s="10" t="s">
        <v>1016</v>
      </c>
      <c r="B588" s="10" t="s">
        <v>1454</v>
      </c>
      <c r="C588" s="38" t="str">
        <f>"./images/thumbnail/"&amp;データ!B588&amp;".jpg"</f>
        <v>./images/thumbnail/1957.jpg</v>
      </c>
      <c r="D588" s="38" t="s">
        <v>1455</v>
      </c>
      <c r="E588" s="38" t="str">
        <f>"./images/thumbnail/"&amp;データ!B588&amp;".jpg"</f>
        <v>./images/thumbnail/1957.jpg</v>
      </c>
      <c r="F588" s="38" t="s">
        <v>1116</v>
      </c>
      <c r="G588" s="38" t="s">
        <v>1319</v>
      </c>
      <c r="H588" s="38" t="str">
        <f>データ!C588</f>
        <v>トト</v>
      </c>
      <c r="I588" s="38" t="s">
        <v>1024</v>
      </c>
      <c r="J588" s="38" t="s">
        <v>1320</v>
      </c>
      <c r="K588" s="38" t="str">
        <f>データ!D588</f>
        <v>UR</v>
      </c>
      <c r="L588" s="38" t="s">
        <v>1024</v>
      </c>
      <c r="M588" s="38" t="s">
        <v>1321</v>
      </c>
      <c r="N588" s="38">
        <f>データ!E588</f>
        <v>14</v>
      </c>
      <c r="O588" s="38" t="s">
        <v>1024</v>
      </c>
      <c r="P588" s="38" t="s">
        <v>1319</v>
      </c>
      <c r="Q588" s="38" t="str">
        <f>データ!F588</f>
        <v>打</v>
      </c>
      <c r="R588" s="38" t="s">
        <v>1024</v>
      </c>
      <c r="S588" s="38" t="s">
        <v>1319</v>
      </c>
      <c r="T588" s="39">
        <f>データ!G588</f>
        <v>23769</v>
      </c>
      <c r="U588" s="40" t="s">
        <v>1024</v>
      </c>
      <c r="V588" s="40" t="s">
        <v>1319</v>
      </c>
      <c r="W588" s="39">
        <f>データ!H588</f>
        <v>7011</v>
      </c>
      <c r="X588" s="40" t="s">
        <v>1024</v>
      </c>
      <c r="Y588" s="40" t="s">
        <v>1319</v>
      </c>
      <c r="Z588" s="39">
        <f>データ!I588</f>
        <v>8254</v>
      </c>
      <c r="AA588" s="40" t="s">
        <v>1024</v>
      </c>
      <c r="AB588" s="40" t="s">
        <v>1322</v>
      </c>
      <c r="AC588" s="39" t="str">
        <f>データ!J588</f>
        <v>S+</v>
      </c>
      <c r="AD588" s="38" t="s">
        <v>1024</v>
      </c>
      <c r="AE588" s="40" t="s">
        <v>1323</v>
      </c>
      <c r="AF588" s="39">
        <f>データ!K588</f>
        <v>39034</v>
      </c>
      <c r="AG588" s="40" t="s">
        <v>1024</v>
      </c>
      <c r="AH588" s="40" t="s">
        <v>1324</v>
      </c>
      <c r="AI588" s="39" t="str">
        <f>データ!L588</f>
        <v>幻光の交叉線／煌</v>
      </c>
      <c r="AJ588" s="10" t="s">
        <v>1113</v>
      </c>
      <c r="AK588" s="39" t="str">
        <f>データ!M588</f>
        <v>X字型に攻撃[特大]</v>
      </c>
      <c r="AL588" s="10" t="s">
        <v>1024</v>
      </c>
      <c r="AM588" s="40" t="s">
        <v>1325</v>
      </c>
      <c r="AN588" s="39" t="str">
        <f>データ!N588</f>
        <v>-</v>
      </c>
      <c r="AO588" s="10" t="s">
        <v>1113</v>
      </c>
      <c r="AP588" s="39" t="str">
        <f>データ!O588</f>
        <v>　</v>
      </c>
      <c r="AQ588" s="41" t="s">
        <v>1024</v>
      </c>
      <c r="AR588" s="40" t="s">
        <v>1324</v>
      </c>
      <c r="AS588" s="39" t="str">
        <f>データ!P588</f>
        <v>メナス／真</v>
      </c>
      <c r="AT588" s="10" t="s">
        <v>1113</v>
      </c>
      <c r="AU588" s="39" t="str">
        <f>データ!Q588</f>
        <v>対戦騎士団全体の防御力が中DOWN(3分間)</v>
      </c>
      <c r="AV588" s="10" t="s">
        <v>1024</v>
      </c>
      <c r="AW588" s="40" t="s">
        <v>1324</v>
      </c>
      <c r="AX588" s="39" t="str">
        <f>データ!R588</f>
        <v>-</v>
      </c>
      <c r="AY588" s="10" t="s">
        <v>1113</v>
      </c>
      <c r="AZ588" s="39" t="str">
        <f>データ!S588</f>
        <v>　</v>
      </c>
      <c r="BA588" s="41" t="s">
        <v>1024</v>
      </c>
      <c r="BB588" s="40" t="s">
        <v>1319</v>
      </c>
      <c r="BC588" s="39" t="str">
        <f>データ!T588</f>
        <v>-</v>
      </c>
      <c r="BD588" s="41" t="s">
        <v>1024</v>
      </c>
      <c r="BE588" s="40" t="s">
        <v>1320</v>
      </c>
      <c r="BF588" s="39" t="str">
        <f>データ!U588</f>
        <v>-</v>
      </c>
      <c r="BG588" s="41" t="s">
        <v>1024</v>
      </c>
      <c r="BH588" s="40" t="s">
        <v>1319</v>
      </c>
      <c r="BI588" s="39" t="str">
        <f>データ!V588</f>
        <v>ガチャイベ</v>
      </c>
      <c r="BJ588" s="41" t="s">
        <v>1024</v>
      </c>
      <c r="BK588" s="10" t="s">
        <v>1019</v>
      </c>
    </row>
    <row r="589" spans="1:63" x14ac:dyDescent="0.15">
      <c r="A589" s="10" t="s">
        <v>1016</v>
      </c>
      <c r="B589" s="10" t="s">
        <v>1454</v>
      </c>
      <c r="C589" s="38" t="str">
        <f>"./images/thumbnail/"&amp;データ!B589&amp;".jpg"</f>
        <v>./images/thumbnail/1959.jpg</v>
      </c>
      <c r="D589" s="38" t="s">
        <v>1455</v>
      </c>
      <c r="E589" s="38" t="str">
        <f>"./images/thumbnail/"&amp;データ!B589&amp;".jpg"</f>
        <v>./images/thumbnail/1959.jpg</v>
      </c>
      <c r="F589" s="38" t="s">
        <v>1116</v>
      </c>
      <c r="G589" s="38" t="s">
        <v>1319</v>
      </c>
      <c r="H589" s="38" t="str">
        <f>データ!C589</f>
        <v>ロイ</v>
      </c>
      <c r="I589" s="38" t="s">
        <v>1024</v>
      </c>
      <c r="J589" s="38" t="s">
        <v>1320</v>
      </c>
      <c r="K589" s="38" t="str">
        <f>データ!D589</f>
        <v>UR</v>
      </c>
      <c r="L589" s="38" t="s">
        <v>1024</v>
      </c>
      <c r="M589" s="38" t="s">
        <v>1321</v>
      </c>
      <c r="N589" s="38">
        <f>データ!E589</f>
        <v>15</v>
      </c>
      <c r="O589" s="38" t="s">
        <v>1024</v>
      </c>
      <c r="P589" s="38" t="s">
        <v>1319</v>
      </c>
      <c r="Q589" s="38" t="str">
        <f>データ!F589</f>
        <v>遠</v>
      </c>
      <c r="R589" s="38" t="s">
        <v>1024</v>
      </c>
      <c r="S589" s="38" t="s">
        <v>1319</v>
      </c>
      <c r="T589" s="39">
        <f>データ!G589</f>
        <v>22055</v>
      </c>
      <c r="U589" s="40" t="s">
        <v>1024</v>
      </c>
      <c r="V589" s="40" t="s">
        <v>1319</v>
      </c>
      <c r="W589" s="39">
        <f>データ!H589</f>
        <v>7128</v>
      </c>
      <c r="X589" s="40" t="s">
        <v>1024</v>
      </c>
      <c r="Y589" s="40" t="s">
        <v>1319</v>
      </c>
      <c r="Z589" s="39">
        <f>データ!I589</f>
        <v>7013</v>
      </c>
      <c r="AA589" s="40" t="s">
        <v>1024</v>
      </c>
      <c r="AB589" s="40" t="s">
        <v>1322</v>
      </c>
      <c r="AC589" s="39" t="str">
        <f>データ!J589</f>
        <v>SS</v>
      </c>
      <c r="AD589" s="38" t="s">
        <v>1024</v>
      </c>
      <c r="AE589" s="40" t="s">
        <v>1323</v>
      </c>
      <c r="AF589" s="39">
        <f>データ!K589</f>
        <v>36196</v>
      </c>
      <c r="AG589" s="40" t="s">
        <v>1024</v>
      </c>
      <c r="AH589" s="40" t="s">
        <v>1324</v>
      </c>
      <c r="AI589" s="39" t="str">
        <f>データ!L589</f>
        <v>遠鋭の六連撃／真</v>
      </c>
      <c r="AJ589" s="10" t="s">
        <v>1113</v>
      </c>
      <c r="AK589" s="39" t="str">
        <f>データ!M589</f>
        <v>ﾗﾝﾀﾞﾑ6連続攻撃[中][低確率]でﾀﾞﾒｰｼﾞ2倍</v>
      </c>
      <c r="AL589" s="38" t="s">
        <v>1024</v>
      </c>
      <c r="AM589" s="40" t="s">
        <v>1325</v>
      </c>
      <c r="AN589" s="39" t="str">
        <f>データ!N589</f>
        <v>-</v>
      </c>
      <c r="AO589" s="10" t="s">
        <v>1113</v>
      </c>
      <c r="AP589" s="39" t="str">
        <f>データ!O589</f>
        <v>　</v>
      </c>
      <c r="AQ589" s="41" t="s">
        <v>1024</v>
      </c>
      <c r="AR589" s="40" t="s">
        <v>1324</v>
      </c>
      <c r="AS589" s="39" t="str">
        <f>データ!P589</f>
        <v>オラクル／煌</v>
      </c>
      <c r="AT589" s="10" t="s">
        <v>1113</v>
      </c>
      <c r="AU589" s="39" t="str">
        <f>データ!Q589</f>
        <v>パーティ全体のスキル発動率が特大UP(3分間)</v>
      </c>
      <c r="AV589" s="10" t="s">
        <v>1024</v>
      </c>
      <c r="AW589" s="40" t="s">
        <v>1324</v>
      </c>
      <c r="AX589" s="39" t="str">
        <f>データ!R589</f>
        <v>ランページ／絶</v>
      </c>
      <c r="AY589" s="10" t="s">
        <v>1113</v>
      </c>
      <c r="AZ589" s="39" t="str">
        <f>データ!S589</f>
        <v>バトルで獲得する騎士団戦スコアが大アップ(3分間)</v>
      </c>
      <c r="BA589" s="41" t="s">
        <v>1024</v>
      </c>
      <c r="BB589" s="40" t="s">
        <v>1319</v>
      </c>
      <c r="BC589" s="39" t="str">
        <f>データ!T589</f>
        <v>-</v>
      </c>
      <c r="BD589" s="41" t="s">
        <v>1024</v>
      </c>
      <c r="BE589" s="40" t="s">
        <v>1320</v>
      </c>
      <c r="BF589" s="39" t="str">
        <f>データ!U589</f>
        <v>-</v>
      </c>
      <c r="BG589" s="41" t="s">
        <v>1024</v>
      </c>
      <c r="BH589" s="40" t="s">
        <v>1319</v>
      </c>
      <c r="BI589" s="39" t="str">
        <f>データ!V589</f>
        <v>ガチャイベ</v>
      </c>
      <c r="BJ589" s="41" t="s">
        <v>1024</v>
      </c>
      <c r="BK589" s="10" t="s">
        <v>1019</v>
      </c>
    </row>
    <row r="590" spans="1:63" x14ac:dyDescent="0.15">
      <c r="A590" s="10" t="s">
        <v>1016</v>
      </c>
      <c r="B590" s="10" t="s">
        <v>1454</v>
      </c>
      <c r="C590" s="38" t="str">
        <f>"./images/thumbnail/"&amp;データ!B590&amp;".jpg"</f>
        <v>./images/thumbnail/1961.jpg</v>
      </c>
      <c r="D590" s="38" t="s">
        <v>1455</v>
      </c>
      <c r="E590" s="38" t="str">
        <f>"./images/thumbnail/"&amp;データ!B590&amp;".jpg"</f>
        <v>./images/thumbnail/1961.jpg</v>
      </c>
      <c r="F590" s="38" t="s">
        <v>1116</v>
      </c>
      <c r="G590" s="38" t="s">
        <v>1319</v>
      </c>
      <c r="H590" s="38" t="str">
        <f>データ!C590</f>
        <v>バルバラ</v>
      </c>
      <c r="I590" s="38" t="s">
        <v>1024</v>
      </c>
      <c r="J590" s="38" t="s">
        <v>1320</v>
      </c>
      <c r="K590" s="38" t="str">
        <f>データ!D590</f>
        <v>UR</v>
      </c>
      <c r="L590" s="38" t="s">
        <v>1024</v>
      </c>
      <c r="M590" s="38" t="s">
        <v>1321</v>
      </c>
      <c r="N590" s="38">
        <f>データ!E590</f>
        <v>14</v>
      </c>
      <c r="O590" s="38" t="s">
        <v>1024</v>
      </c>
      <c r="P590" s="38" t="s">
        <v>1319</v>
      </c>
      <c r="Q590" s="38" t="str">
        <f>データ!F590</f>
        <v>打</v>
      </c>
      <c r="R590" s="38" t="s">
        <v>1024</v>
      </c>
      <c r="S590" s="38" t="s">
        <v>1319</v>
      </c>
      <c r="T590" s="39">
        <f>データ!G590</f>
        <v>22763</v>
      </c>
      <c r="U590" s="40" t="s">
        <v>1024</v>
      </c>
      <c r="V590" s="40" t="s">
        <v>1319</v>
      </c>
      <c r="W590" s="39">
        <f>データ!H590</f>
        <v>6737</v>
      </c>
      <c r="X590" s="40" t="s">
        <v>1024</v>
      </c>
      <c r="Y590" s="40" t="s">
        <v>1319</v>
      </c>
      <c r="Z590" s="39">
        <f>データ!I590</f>
        <v>9272</v>
      </c>
      <c r="AA590" s="40" t="s">
        <v>1024</v>
      </c>
      <c r="AB590" s="40" t="s">
        <v>1322</v>
      </c>
      <c r="AC590" s="39" t="str">
        <f>データ!J590</f>
        <v>A+</v>
      </c>
      <c r="AD590" s="38" t="s">
        <v>1024</v>
      </c>
      <c r="AE590" s="40" t="s">
        <v>1323</v>
      </c>
      <c r="AF590" s="39">
        <f>データ!K590</f>
        <v>38772</v>
      </c>
      <c r="AG590" s="40" t="s">
        <v>1024</v>
      </c>
      <c r="AH590" s="40" t="s">
        <v>1324</v>
      </c>
      <c r="AI590" s="39" t="str">
        <f>データ!L590</f>
        <v>紫打の神威</v>
      </c>
      <c r="AJ590" s="10" t="s">
        <v>1113</v>
      </c>
      <c r="AK590" s="39" t="str">
        <f>データ!M590</f>
        <v>味方打属性の攻撃力をUP[特大]</v>
      </c>
      <c r="AL590" s="10" t="s">
        <v>1024</v>
      </c>
      <c r="AM590" s="40" t="s">
        <v>1325</v>
      </c>
      <c r="AN590" s="39" t="str">
        <f>データ!N590</f>
        <v>-</v>
      </c>
      <c r="AO590" s="10" t="s">
        <v>1113</v>
      </c>
      <c r="AP590" s="39" t="str">
        <f>データ!O590</f>
        <v>　</v>
      </c>
      <c r="AQ590" s="41" t="s">
        <v>1024</v>
      </c>
      <c r="AR590" s="40" t="s">
        <v>1324</v>
      </c>
      <c r="AS590" s="39" t="str">
        <f>データ!P590</f>
        <v>アサルトオーダー／真</v>
      </c>
      <c r="AT590" s="10" t="s">
        <v>1113</v>
      </c>
      <c r="AU590" s="39" t="str">
        <f>データ!Q590</f>
        <v>騎士団全体の攻撃力が中UP(3分間)</v>
      </c>
      <c r="AV590" s="10" t="s">
        <v>1024</v>
      </c>
      <c r="AW590" s="40" t="s">
        <v>1324</v>
      </c>
      <c r="AX590" s="39" t="str">
        <f>データ!R590</f>
        <v>-</v>
      </c>
      <c r="AY590" s="10" t="s">
        <v>1113</v>
      </c>
      <c r="AZ590" s="39" t="str">
        <f>データ!S590</f>
        <v>　</v>
      </c>
      <c r="BA590" s="41" t="s">
        <v>1024</v>
      </c>
      <c r="BB590" s="40" t="s">
        <v>1319</v>
      </c>
      <c r="BC590" s="39" t="str">
        <f>データ!T590</f>
        <v>-</v>
      </c>
      <c r="BD590" s="41" t="s">
        <v>1024</v>
      </c>
      <c r="BE590" s="40" t="s">
        <v>1320</v>
      </c>
      <c r="BF590" s="39" t="str">
        <f>データ!U590</f>
        <v>-</v>
      </c>
      <c r="BG590" s="41" t="s">
        <v>1024</v>
      </c>
      <c r="BH590" s="40" t="s">
        <v>1319</v>
      </c>
      <c r="BI590" s="39" t="str">
        <f>データ!V590</f>
        <v>常設</v>
      </c>
      <c r="BJ590" s="41" t="s">
        <v>1024</v>
      </c>
      <c r="BK590" s="10" t="s">
        <v>1019</v>
      </c>
    </row>
    <row r="591" spans="1:63" x14ac:dyDescent="0.15">
      <c r="A591" s="10" t="s">
        <v>1016</v>
      </c>
      <c r="B591" s="10" t="s">
        <v>1454</v>
      </c>
      <c r="C591" s="38" t="str">
        <f>"./images/thumbnail/"&amp;データ!B591&amp;".jpg"</f>
        <v>./images/thumbnail/1963.jpg</v>
      </c>
      <c r="D591" s="38" t="s">
        <v>1455</v>
      </c>
      <c r="E591" s="38" t="str">
        <f>"./images/thumbnail/"&amp;データ!B591&amp;".jpg"</f>
        <v>./images/thumbnail/1963.jpg</v>
      </c>
      <c r="F591" s="38" t="s">
        <v>1116</v>
      </c>
      <c r="G591" s="38" t="s">
        <v>1319</v>
      </c>
      <c r="H591" s="38" t="str">
        <f>データ!C591</f>
        <v>アデリーナ</v>
      </c>
      <c r="I591" s="38" t="s">
        <v>1024</v>
      </c>
      <c r="J591" s="38" t="s">
        <v>1320</v>
      </c>
      <c r="K591" s="38" t="str">
        <f>データ!D591</f>
        <v>UR</v>
      </c>
      <c r="L591" s="38" t="s">
        <v>1024</v>
      </c>
      <c r="M591" s="38" t="s">
        <v>1321</v>
      </c>
      <c r="N591" s="38">
        <f>データ!E591</f>
        <v>15</v>
      </c>
      <c r="O591" s="38" t="s">
        <v>1024</v>
      </c>
      <c r="P591" s="38" t="s">
        <v>1319</v>
      </c>
      <c r="Q591" s="38" t="str">
        <f>データ!F591</f>
        <v>遠</v>
      </c>
      <c r="R591" s="38" t="s">
        <v>1024</v>
      </c>
      <c r="S591" s="38" t="s">
        <v>1319</v>
      </c>
      <c r="T591" s="39">
        <f>データ!G591</f>
        <v>21844</v>
      </c>
      <c r="U591" s="40" t="s">
        <v>1024</v>
      </c>
      <c r="V591" s="40" t="s">
        <v>1319</v>
      </c>
      <c r="W591" s="39">
        <f>データ!H591</f>
        <v>7247</v>
      </c>
      <c r="X591" s="40" t="s">
        <v>1024</v>
      </c>
      <c r="Y591" s="40" t="s">
        <v>1319</v>
      </c>
      <c r="Z591" s="39">
        <f>データ!I591</f>
        <v>6934</v>
      </c>
      <c r="AA591" s="40" t="s">
        <v>1024</v>
      </c>
      <c r="AB591" s="40" t="s">
        <v>1322</v>
      </c>
      <c r="AC591" s="39" t="str">
        <f>データ!J591</f>
        <v>SS</v>
      </c>
      <c r="AD591" s="38" t="s">
        <v>1024</v>
      </c>
      <c r="AE591" s="40" t="s">
        <v>1323</v>
      </c>
      <c r="AF591" s="39">
        <f>データ!K591</f>
        <v>36025</v>
      </c>
      <c r="AG591" s="40" t="s">
        <v>1024</v>
      </c>
      <c r="AH591" s="40" t="s">
        <v>1324</v>
      </c>
      <c r="AI591" s="39" t="str">
        <f>データ!L591</f>
        <v>天幻射の五連撃／真</v>
      </c>
      <c r="AJ591" s="10" t="s">
        <v>1113</v>
      </c>
      <c r="AK591" s="39" t="str">
        <f>データ!M591</f>
        <v>ランダム5連続攻撃[中]自分の攻撃力UP[中]</v>
      </c>
      <c r="AL591" s="10" t="s">
        <v>1024</v>
      </c>
      <c r="AM591" s="40" t="s">
        <v>1325</v>
      </c>
      <c r="AN591" s="39" t="str">
        <f>データ!N591</f>
        <v>-</v>
      </c>
      <c r="AO591" s="10" t="s">
        <v>1113</v>
      </c>
      <c r="AP591" s="39" t="str">
        <f>データ!O591</f>
        <v>　</v>
      </c>
      <c r="AQ591" s="41" t="s">
        <v>1024</v>
      </c>
      <c r="AR591" s="40" t="s">
        <v>1324</v>
      </c>
      <c r="AS591" s="39" t="str">
        <f>データ!P591</f>
        <v>フォートレス／煌</v>
      </c>
      <c r="AT591" s="10" t="s">
        <v>1113</v>
      </c>
      <c r="AU591" s="39" t="str">
        <f>データ!Q591</f>
        <v>パーティ全体の防御力が特大UP(3分間)</v>
      </c>
      <c r="AV591" s="10" t="s">
        <v>1024</v>
      </c>
      <c r="AW591" s="40" t="s">
        <v>1324</v>
      </c>
      <c r="AX591" s="39" t="str">
        <f>データ!R591</f>
        <v>リヴァイブ／絶</v>
      </c>
      <c r="AY591" s="10" t="s">
        <v>1113</v>
      </c>
      <c r="AZ591" s="39" t="str">
        <f>データ!S591</f>
        <v>高確率で戦闘不能ユニットを復帰</v>
      </c>
      <c r="BA591" s="41" t="s">
        <v>1024</v>
      </c>
      <c r="BB591" s="40" t="s">
        <v>1319</v>
      </c>
      <c r="BC591" s="39" t="str">
        <f>データ!T591</f>
        <v>-</v>
      </c>
      <c r="BD591" s="41" t="s">
        <v>1024</v>
      </c>
      <c r="BE591" s="40" t="s">
        <v>1320</v>
      </c>
      <c r="BF591" s="39" t="str">
        <f>データ!U591</f>
        <v>-</v>
      </c>
      <c r="BG591" s="41" t="s">
        <v>1024</v>
      </c>
      <c r="BH591" s="40" t="s">
        <v>1319</v>
      </c>
      <c r="BI591" s="39" t="str">
        <f>データ!V591</f>
        <v>常設</v>
      </c>
      <c r="BJ591" s="41" t="s">
        <v>1024</v>
      </c>
      <c r="BK591" s="10" t="s">
        <v>1019</v>
      </c>
    </row>
    <row r="592" spans="1:63" x14ac:dyDescent="0.15">
      <c r="A592" s="10" t="s">
        <v>1016</v>
      </c>
      <c r="B592" s="10" t="s">
        <v>1454</v>
      </c>
      <c r="C592" s="38" t="str">
        <f>"./images/thumbnail/"&amp;データ!B592&amp;".jpg"</f>
        <v>./images/thumbnail/1964.jpg</v>
      </c>
      <c r="D592" s="38" t="s">
        <v>1455</v>
      </c>
      <c r="E592" s="38" t="str">
        <f>"./images/thumbnail/"&amp;データ!B592&amp;".jpg"</f>
        <v>./images/thumbnail/1964.jpg</v>
      </c>
      <c r="F592" s="38" t="s">
        <v>1116</v>
      </c>
      <c r="G592" s="38" t="s">
        <v>1319</v>
      </c>
      <c r="H592" s="38" t="str">
        <f>データ!C592</f>
        <v>ジム</v>
      </c>
      <c r="I592" s="38" t="s">
        <v>1024</v>
      </c>
      <c r="J592" s="38" t="s">
        <v>1320</v>
      </c>
      <c r="K592" s="38" t="str">
        <f>データ!D592</f>
        <v>UR</v>
      </c>
      <c r="L592" s="38" t="s">
        <v>1024</v>
      </c>
      <c r="M592" s="38" t="s">
        <v>1321</v>
      </c>
      <c r="N592" s="38">
        <f>データ!E592</f>
        <v>15</v>
      </c>
      <c r="O592" s="38" t="s">
        <v>1024</v>
      </c>
      <c r="P592" s="38" t="s">
        <v>1319</v>
      </c>
      <c r="Q592" s="38" t="str">
        <f>データ!F592</f>
        <v>斬</v>
      </c>
      <c r="R592" s="38" t="s">
        <v>1024</v>
      </c>
      <c r="S592" s="38" t="s">
        <v>1319</v>
      </c>
      <c r="T592" s="39">
        <f>データ!G592</f>
        <v>20668</v>
      </c>
      <c r="U592" s="40" t="s">
        <v>1024</v>
      </c>
      <c r="V592" s="40" t="s">
        <v>1319</v>
      </c>
      <c r="W592" s="39">
        <f>データ!H592</f>
        <v>9404</v>
      </c>
      <c r="X592" s="40" t="s">
        <v>1024</v>
      </c>
      <c r="Y592" s="40" t="s">
        <v>1319</v>
      </c>
      <c r="Z592" s="39">
        <f>データ!I592</f>
        <v>7010</v>
      </c>
      <c r="AA592" s="40" t="s">
        <v>1024</v>
      </c>
      <c r="AB592" s="40" t="s">
        <v>1322</v>
      </c>
      <c r="AC592" s="39" t="str">
        <f>データ!J592</f>
        <v>SS-</v>
      </c>
      <c r="AD592" s="38" t="s">
        <v>1024</v>
      </c>
      <c r="AE592" s="40" t="s">
        <v>1323</v>
      </c>
      <c r="AF592" s="39">
        <f>データ!K592</f>
        <v>37082</v>
      </c>
      <c r="AG592" s="40" t="s">
        <v>1024</v>
      </c>
      <c r="AH592" s="40" t="s">
        <v>1324</v>
      </c>
      <c r="AI592" s="39" t="str">
        <f>データ!L592</f>
        <v>対紫の突風／煌</v>
      </c>
      <c r="AJ592" s="10" t="s">
        <v>1113</v>
      </c>
      <c r="AK592" s="39" t="str">
        <f>データ!M592</f>
        <v>打に強く遠に弱い縦一列攻撃[特大]</v>
      </c>
      <c r="AL592" s="10" t="s">
        <v>1024</v>
      </c>
      <c r="AM592" s="40" t="s">
        <v>1325</v>
      </c>
      <c r="AN592" s="39" t="str">
        <f>データ!N592</f>
        <v>-</v>
      </c>
      <c r="AO592" s="10" t="s">
        <v>1113</v>
      </c>
      <c r="AP592" s="39" t="str">
        <f>データ!O592</f>
        <v>　</v>
      </c>
      <c r="AQ592" s="41" t="s">
        <v>1024</v>
      </c>
      <c r="AR592" s="40" t="s">
        <v>1324</v>
      </c>
      <c r="AS592" s="39" t="str">
        <f>データ!P592</f>
        <v>アサルト／煌</v>
      </c>
      <c r="AT592" s="10" t="s">
        <v>1113</v>
      </c>
      <c r="AU592" s="39" t="str">
        <f>データ!Q592</f>
        <v>パーティ全体の攻撃力が特大UP(3分間)</v>
      </c>
      <c r="AV592" s="10" t="s">
        <v>1024</v>
      </c>
      <c r="AW592" s="40" t="s">
        <v>1324</v>
      </c>
      <c r="AX592" s="39" t="str">
        <f>データ!R592</f>
        <v>ブリッツ</v>
      </c>
      <c r="AY592" s="10" t="s">
        <v>1113</v>
      </c>
      <c r="AZ592" s="39" t="str">
        <f>データ!S592</f>
        <v>強襲CBの発生確率・強襲時獲得ポイントUP(3分間)</v>
      </c>
      <c r="BA592" s="41" t="s">
        <v>1024</v>
      </c>
      <c r="BB592" s="40" t="s">
        <v>1319</v>
      </c>
      <c r="BC592" s="39" t="str">
        <f>データ!T592</f>
        <v>-</v>
      </c>
      <c r="BD592" s="41" t="s">
        <v>1024</v>
      </c>
      <c r="BE592" s="40" t="s">
        <v>1320</v>
      </c>
      <c r="BF592" s="39" t="str">
        <f>データ!U592</f>
        <v>-</v>
      </c>
      <c r="BG592" s="41" t="s">
        <v>1024</v>
      </c>
      <c r="BH592" s="40" t="s">
        <v>1319</v>
      </c>
      <c r="BI592" s="39" t="str">
        <f>データ!V592</f>
        <v>ガチャイベ</v>
      </c>
      <c r="BJ592" s="41" t="s">
        <v>1024</v>
      </c>
      <c r="BK592" s="10" t="s">
        <v>1019</v>
      </c>
    </row>
    <row r="593" spans="1:63" x14ac:dyDescent="0.15">
      <c r="A593" s="10" t="s">
        <v>1016</v>
      </c>
      <c r="B593" s="10" t="s">
        <v>1454</v>
      </c>
      <c r="C593" s="38" t="str">
        <f>"./images/thumbnail/"&amp;データ!B593&amp;".jpg"</f>
        <v>./images/thumbnail/1965.jpg</v>
      </c>
      <c r="D593" s="38" t="s">
        <v>1455</v>
      </c>
      <c r="E593" s="38" t="str">
        <f>"./images/thumbnail/"&amp;データ!B593&amp;".jpg"</f>
        <v>./images/thumbnail/1965.jpg</v>
      </c>
      <c r="F593" s="38" t="s">
        <v>1116</v>
      </c>
      <c r="G593" s="38" t="s">
        <v>1319</v>
      </c>
      <c r="H593" s="38" t="str">
        <f>データ!C593</f>
        <v>マリー</v>
      </c>
      <c r="I593" s="38" t="s">
        <v>1024</v>
      </c>
      <c r="J593" s="38" t="s">
        <v>1320</v>
      </c>
      <c r="K593" s="38" t="str">
        <f>データ!D593</f>
        <v>UR</v>
      </c>
      <c r="L593" s="38" t="s">
        <v>1024</v>
      </c>
      <c r="M593" s="38" t="s">
        <v>1321</v>
      </c>
      <c r="N593" s="38">
        <f>データ!E593</f>
        <v>15</v>
      </c>
      <c r="O593" s="38" t="s">
        <v>1024</v>
      </c>
      <c r="P593" s="38" t="s">
        <v>1319</v>
      </c>
      <c r="Q593" s="38" t="str">
        <f>データ!F593</f>
        <v>打</v>
      </c>
      <c r="R593" s="38" t="s">
        <v>1024</v>
      </c>
      <c r="S593" s="38" t="s">
        <v>1319</v>
      </c>
      <c r="T593" s="39">
        <f>データ!G593</f>
        <v>26549</v>
      </c>
      <c r="U593" s="40" t="s">
        <v>1024</v>
      </c>
      <c r="V593" s="40" t="s">
        <v>1319</v>
      </c>
      <c r="W593" s="39">
        <f>データ!H593</f>
        <v>7286</v>
      </c>
      <c r="X593" s="40" t="s">
        <v>1024</v>
      </c>
      <c r="Y593" s="40" t="s">
        <v>1319</v>
      </c>
      <c r="Z593" s="39">
        <f>データ!I593</f>
        <v>10266</v>
      </c>
      <c r="AA593" s="40" t="s">
        <v>1024</v>
      </c>
      <c r="AB593" s="40" t="s">
        <v>1322</v>
      </c>
      <c r="AC593" s="39" t="str">
        <f>データ!J593</f>
        <v>S</v>
      </c>
      <c r="AD593" s="38" t="s">
        <v>1024</v>
      </c>
      <c r="AE593" s="40" t="s">
        <v>1323</v>
      </c>
      <c r="AF593" s="39">
        <f>データ!K593</f>
        <v>44101</v>
      </c>
      <c r="AG593" s="40" t="s">
        <v>1024</v>
      </c>
      <c r="AH593" s="40" t="s">
        <v>1324</v>
      </c>
      <c r="AI593" s="39" t="str">
        <f>データ!L593</f>
        <v>天幻光の交叉線／煌</v>
      </c>
      <c r="AJ593" s="10" t="s">
        <v>1113</v>
      </c>
      <c r="AK593" s="39" t="str">
        <f>データ!M593</f>
        <v>X字型攻撃[特大]自分の攻撃力UP[特大]</v>
      </c>
      <c r="AL593" s="10" t="s">
        <v>1024</v>
      </c>
      <c r="AM593" s="40" t="s">
        <v>1325</v>
      </c>
      <c r="AN593" s="39" t="str">
        <f>データ!N593</f>
        <v>-</v>
      </c>
      <c r="AO593" s="10" t="s">
        <v>1113</v>
      </c>
      <c r="AP593" s="39" t="str">
        <f>データ!O593</f>
        <v>　</v>
      </c>
      <c r="AQ593" s="41" t="s">
        <v>1024</v>
      </c>
      <c r="AR593" s="40" t="s">
        <v>1324</v>
      </c>
      <c r="AS593" s="39" t="str">
        <f>データ!P593</f>
        <v>フォースオブウィッシュ／絶</v>
      </c>
      <c r="AT593" s="10" t="s">
        <v>1113</v>
      </c>
      <c r="AU593" s="39" t="str">
        <f>データ!Q593</f>
        <v>騎士団全員のBPを大回復</v>
      </c>
      <c r="AV593" s="10" t="s">
        <v>1024</v>
      </c>
      <c r="AW593" s="40" t="s">
        <v>1324</v>
      </c>
      <c r="AX593" s="39" t="str">
        <f>データ!R593</f>
        <v>スラッシャー／絶</v>
      </c>
      <c r="AY593" s="10" t="s">
        <v>1113</v>
      </c>
      <c r="AZ593" s="39" t="str">
        <f>データ!S593</f>
        <v>キリ番キャッスルブレイク時の獲得ポイントUP(3回)</v>
      </c>
      <c r="BA593" s="41" t="s">
        <v>1024</v>
      </c>
      <c r="BB593" s="40" t="s">
        <v>1319</v>
      </c>
      <c r="BC593" s="39" t="str">
        <f>データ!T593</f>
        <v>-</v>
      </c>
      <c r="BD593" s="41" t="s">
        <v>1024</v>
      </c>
      <c r="BE593" s="40" t="s">
        <v>1320</v>
      </c>
      <c r="BF593" s="39" t="str">
        <f>データ!U593</f>
        <v>-</v>
      </c>
      <c r="BG593" s="41" t="s">
        <v>1024</v>
      </c>
      <c r="BH593" s="40" t="s">
        <v>1319</v>
      </c>
      <c r="BI593" s="39" t="str">
        <f>データ!V593</f>
        <v>ガチャイベ</v>
      </c>
      <c r="BJ593" s="41" t="s">
        <v>1024</v>
      </c>
      <c r="BK593" s="10" t="s">
        <v>1019</v>
      </c>
    </row>
    <row r="594" spans="1:63" x14ac:dyDescent="0.15">
      <c r="A594" s="10" t="s">
        <v>1016</v>
      </c>
      <c r="B594" s="10" t="s">
        <v>1454</v>
      </c>
      <c r="C594" s="38" t="str">
        <f>"./images/thumbnail/"&amp;データ!B594&amp;".jpg"</f>
        <v>./images/thumbnail/1970.jpg</v>
      </c>
      <c r="D594" s="38" t="s">
        <v>1455</v>
      </c>
      <c r="E594" s="38" t="str">
        <f>"./images/thumbnail/"&amp;データ!B594&amp;".jpg"</f>
        <v>./images/thumbnail/1970.jpg</v>
      </c>
      <c r="F594" s="38" t="s">
        <v>1116</v>
      </c>
      <c r="G594" s="38" t="s">
        <v>1319</v>
      </c>
      <c r="H594" s="38" t="str">
        <f>データ!C594</f>
        <v>ダムディン</v>
      </c>
      <c r="I594" s="38" t="s">
        <v>1024</v>
      </c>
      <c r="J594" s="38" t="s">
        <v>1320</v>
      </c>
      <c r="K594" s="38" t="str">
        <f>データ!D594</f>
        <v>UR</v>
      </c>
      <c r="L594" s="38" t="s">
        <v>1024</v>
      </c>
      <c r="M594" s="38" t="s">
        <v>1321</v>
      </c>
      <c r="N594" s="38">
        <f>データ!E594</f>
        <v>14</v>
      </c>
      <c r="O594" s="38" t="s">
        <v>1024</v>
      </c>
      <c r="P594" s="38" t="s">
        <v>1319</v>
      </c>
      <c r="Q594" s="38" t="str">
        <f>データ!F594</f>
        <v>突</v>
      </c>
      <c r="R594" s="38" t="s">
        <v>1024</v>
      </c>
      <c r="S594" s="38" t="s">
        <v>1319</v>
      </c>
      <c r="T594" s="39">
        <f>データ!G594</f>
        <v>21594</v>
      </c>
      <c r="U594" s="40" t="s">
        <v>1024</v>
      </c>
      <c r="V594" s="40" t="s">
        <v>1319</v>
      </c>
      <c r="W594" s="39">
        <f>データ!H594</f>
        <v>6213</v>
      </c>
      <c r="X594" s="40" t="s">
        <v>1024</v>
      </c>
      <c r="Y594" s="40" t="s">
        <v>1319</v>
      </c>
      <c r="Z594" s="39">
        <f>データ!I594</f>
        <v>7191</v>
      </c>
      <c r="AA594" s="40" t="s">
        <v>1024</v>
      </c>
      <c r="AB594" s="40" t="s">
        <v>1322</v>
      </c>
      <c r="AC594" s="39" t="str">
        <f>データ!J594</f>
        <v>SS+</v>
      </c>
      <c r="AD594" s="38" t="s">
        <v>1024</v>
      </c>
      <c r="AE594" s="40" t="s">
        <v>1323</v>
      </c>
      <c r="AF594" s="39">
        <f>データ!K594</f>
        <v>34998</v>
      </c>
      <c r="AG594" s="40" t="s">
        <v>1024</v>
      </c>
      <c r="AH594" s="40" t="s">
        <v>1324</v>
      </c>
      <c r="AI594" s="39" t="str">
        <f>データ!L594</f>
        <v>癒やしの光／煌</v>
      </c>
      <c r="AJ594" s="10" t="s">
        <v>1113</v>
      </c>
      <c r="AK594" s="39" t="str">
        <f>データ!M594</f>
        <v>最もダメージが多い味方1人のHP回復[特大]</v>
      </c>
      <c r="AL594" s="10" t="s">
        <v>1024</v>
      </c>
      <c r="AM594" s="40" t="s">
        <v>1325</v>
      </c>
      <c r="AN594" s="39" t="str">
        <f>データ!N594</f>
        <v>-</v>
      </c>
      <c r="AO594" s="10" t="s">
        <v>1113</v>
      </c>
      <c r="AP594" s="39" t="str">
        <f>データ!O594</f>
        <v>　</v>
      </c>
      <c r="AQ594" s="41" t="s">
        <v>1024</v>
      </c>
      <c r="AR594" s="40" t="s">
        <v>1324</v>
      </c>
      <c r="AS594" s="39" t="str">
        <f>データ!P594</f>
        <v>ランページ／絶</v>
      </c>
      <c r="AT594" s="10" t="s">
        <v>1113</v>
      </c>
      <c r="AU594" s="39" t="str">
        <f>データ!Q594</f>
        <v>バトルで獲得する騎士団戦スコアが大アップ(3分間)</v>
      </c>
      <c r="AV594" s="10" t="s">
        <v>1024</v>
      </c>
      <c r="AW594" s="40" t="s">
        <v>1324</v>
      </c>
      <c r="AX594" s="39" t="str">
        <f>データ!R594</f>
        <v>-</v>
      </c>
      <c r="AY594" s="10" t="s">
        <v>1113</v>
      </c>
      <c r="AZ594" s="39" t="str">
        <f>データ!S594</f>
        <v>　</v>
      </c>
      <c r="BA594" s="41" t="s">
        <v>1024</v>
      </c>
      <c r="BB594" s="40" t="s">
        <v>1319</v>
      </c>
      <c r="BC594" s="39" t="str">
        <f>データ!T594</f>
        <v>-</v>
      </c>
      <c r="BD594" s="41" t="s">
        <v>1024</v>
      </c>
      <c r="BE594" s="40" t="s">
        <v>1320</v>
      </c>
      <c r="BF594" s="39" t="str">
        <f>データ!U594</f>
        <v>-</v>
      </c>
      <c r="BG594" s="41" t="s">
        <v>1024</v>
      </c>
      <c r="BH594" s="40" t="s">
        <v>1319</v>
      </c>
      <c r="BI594" s="39" t="str">
        <f>データ!V594</f>
        <v>誓いイベ</v>
      </c>
      <c r="BJ594" s="41" t="s">
        <v>1024</v>
      </c>
      <c r="BK594" s="10" t="s">
        <v>1019</v>
      </c>
    </row>
    <row r="595" spans="1:63" x14ac:dyDescent="0.15">
      <c r="A595" s="10" t="s">
        <v>1016</v>
      </c>
      <c r="B595" s="10" t="s">
        <v>1454</v>
      </c>
      <c r="C595" s="38" t="str">
        <f>"./images/thumbnail/"&amp;データ!B595&amp;".jpg"</f>
        <v>./images/thumbnail/1972.jpg</v>
      </c>
      <c r="D595" s="38" t="s">
        <v>1455</v>
      </c>
      <c r="E595" s="38" t="str">
        <f>"./images/thumbnail/"&amp;データ!B595&amp;".jpg"</f>
        <v>./images/thumbnail/1972.jpg</v>
      </c>
      <c r="F595" s="38" t="s">
        <v>1116</v>
      </c>
      <c r="G595" s="38" t="s">
        <v>1319</v>
      </c>
      <c r="H595" s="38" t="str">
        <f>データ!C595</f>
        <v>ノエル</v>
      </c>
      <c r="I595" s="38" t="s">
        <v>1024</v>
      </c>
      <c r="J595" s="38" t="s">
        <v>1320</v>
      </c>
      <c r="K595" s="38" t="str">
        <f>データ!D595</f>
        <v>UR</v>
      </c>
      <c r="L595" s="38" t="s">
        <v>1024</v>
      </c>
      <c r="M595" s="38" t="s">
        <v>1321</v>
      </c>
      <c r="N595" s="38">
        <f>データ!E595</f>
        <v>15</v>
      </c>
      <c r="O595" s="38" t="s">
        <v>1024</v>
      </c>
      <c r="P595" s="38" t="s">
        <v>1319</v>
      </c>
      <c r="Q595" s="38" t="str">
        <f>データ!F595</f>
        <v>斬</v>
      </c>
      <c r="R595" s="38" t="s">
        <v>1024</v>
      </c>
      <c r="S595" s="38" t="s">
        <v>1319</v>
      </c>
      <c r="T595" s="39">
        <f>データ!G595</f>
        <v>21190</v>
      </c>
      <c r="U595" s="40" t="s">
        <v>1024</v>
      </c>
      <c r="V595" s="40" t="s">
        <v>1319</v>
      </c>
      <c r="W595" s="39">
        <f>データ!H595</f>
        <v>9286</v>
      </c>
      <c r="X595" s="40" t="s">
        <v>1024</v>
      </c>
      <c r="Y595" s="40" t="s">
        <v>1319</v>
      </c>
      <c r="Z595" s="39">
        <f>データ!I595</f>
        <v>7417</v>
      </c>
      <c r="AA595" s="40" t="s">
        <v>1024</v>
      </c>
      <c r="AB595" s="40" t="s">
        <v>1322</v>
      </c>
      <c r="AC595" s="39" t="str">
        <f>データ!J595</f>
        <v>SS-</v>
      </c>
      <c r="AD595" s="38" t="s">
        <v>1024</v>
      </c>
      <c r="AE595" s="40" t="s">
        <v>1323</v>
      </c>
      <c r="AF595" s="39">
        <f>データ!K595</f>
        <v>37893</v>
      </c>
      <c r="AG595" s="40" t="s">
        <v>1024</v>
      </c>
      <c r="AH595" s="40" t="s">
        <v>1324</v>
      </c>
      <c r="AI595" s="39" t="str">
        <f>データ!L595</f>
        <v>天焔幻の一閃／煌</v>
      </c>
      <c r="AJ595" s="10" t="s">
        <v>1113</v>
      </c>
      <c r="AK595" s="39" t="str">
        <f>データ!M595</f>
        <v>横一列攻撃[特大]自分の攻撃力UP[特大]</v>
      </c>
      <c r="AL595" s="10" t="s">
        <v>1024</v>
      </c>
      <c r="AM595" s="40" t="s">
        <v>1325</v>
      </c>
      <c r="AN595" s="39" t="str">
        <f>データ!N595</f>
        <v>-</v>
      </c>
      <c r="AO595" s="10" t="s">
        <v>1113</v>
      </c>
      <c r="AP595" s="39" t="str">
        <f>データ!O595</f>
        <v>　</v>
      </c>
      <c r="AQ595" s="41" t="s">
        <v>1024</v>
      </c>
      <c r="AR595" s="40" t="s">
        <v>1324</v>
      </c>
      <c r="AS595" s="39" t="str">
        <f>データ!P595</f>
        <v>エース／煌</v>
      </c>
      <c r="AT595" s="10" t="s">
        <v>1113</v>
      </c>
      <c r="AU595" s="39" t="str">
        <f>データ!Q595</f>
        <v>パーティ全体の攻・防が特大UP(3分間)</v>
      </c>
      <c r="AV595" s="10" t="s">
        <v>1024</v>
      </c>
      <c r="AW595" s="40" t="s">
        <v>1324</v>
      </c>
      <c r="AX595" s="39" t="str">
        <f>データ!R595</f>
        <v>ストリーム／真</v>
      </c>
      <c r="AY595" s="10" t="s">
        <v>1113</v>
      </c>
      <c r="AZ595" s="39" t="str">
        <f>データ!S595</f>
        <v>パーティ全体の攻撃力・速度が中UP(3分間)</v>
      </c>
      <c r="BA595" s="41" t="s">
        <v>1024</v>
      </c>
      <c r="BB595" s="40" t="s">
        <v>1319</v>
      </c>
      <c r="BC595" s="39" t="str">
        <f>データ!T595</f>
        <v>-</v>
      </c>
      <c r="BD595" s="41" t="s">
        <v>1024</v>
      </c>
      <c r="BE595" s="40" t="s">
        <v>1320</v>
      </c>
      <c r="BF595" s="39" t="str">
        <f>データ!U595</f>
        <v>-</v>
      </c>
      <c r="BG595" s="41" t="s">
        <v>1024</v>
      </c>
      <c r="BH595" s="40" t="s">
        <v>1319</v>
      </c>
      <c r="BI595" s="39" t="str">
        <f>データ!V595</f>
        <v>ガチャイベ</v>
      </c>
      <c r="BJ595" s="41" t="s">
        <v>1024</v>
      </c>
      <c r="BK595" s="10" t="s">
        <v>1019</v>
      </c>
    </row>
    <row r="596" spans="1:63" x14ac:dyDescent="0.15">
      <c r="A596" s="10" t="s">
        <v>1016</v>
      </c>
      <c r="B596" s="10" t="s">
        <v>1454</v>
      </c>
      <c r="C596" s="38" t="str">
        <f>"./images/thumbnail/"&amp;データ!B596&amp;".jpg"</f>
        <v>./images/thumbnail/1974.jpg</v>
      </c>
      <c r="D596" s="38" t="s">
        <v>1455</v>
      </c>
      <c r="E596" s="38" t="str">
        <f>"./images/thumbnail/"&amp;データ!B596&amp;".jpg"</f>
        <v>./images/thumbnail/1974.jpg</v>
      </c>
      <c r="F596" s="38" t="s">
        <v>1116</v>
      </c>
      <c r="G596" s="38" t="s">
        <v>1319</v>
      </c>
      <c r="H596" s="38" t="str">
        <f>データ!C596</f>
        <v>ベルナデッタ</v>
      </c>
      <c r="I596" s="38" t="s">
        <v>1024</v>
      </c>
      <c r="J596" s="38" t="s">
        <v>1320</v>
      </c>
      <c r="K596" s="38" t="str">
        <f>データ!D596</f>
        <v>UR</v>
      </c>
      <c r="L596" s="38" t="s">
        <v>1024</v>
      </c>
      <c r="M596" s="38" t="s">
        <v>1321</v>
      </c>
      <c r="N596" s="38">
        <f>データ!E596</f>
        <v>15</v>
      </c>
      <c r="O596" s="38" t="s">
        <v>1024</v>
      </c>
      <c r="P596" s="38" t="s">
        <v>1319</v>
      </c>
      <c r="Q596" s="38" t="str">
        <f>データ!F596</f>
        <v>突</v>
      </c>
      <c r="R596" s="38" t="s">
        <v>1024</v>
      </c>
      <c r="S596" s="38" t="s">
        <v>1319</v>
      </c>
      <c r="T596" s="39">
        <f>データ!G596</f>
        <v>23431</v>
      </c>
      <c r="U596" s="40" t="s">
        <v>1024</v>
      </c>
      <c r="V596" s="40" t="s">
        <v>1319</v>
      </c>
      <c r="W596" s="39">
        <f>データ!H596</f>
        <v>6559</v>
      </c>
      <c r="X596" s="40" t="s">
        <v>1024</v>
      </c>
      <c r="Y596" s="40" t="s">
        <v>1319</v>
      </c>
      <c r="Z596" s="39">
        <f>データ!I596</f>
        <v>8673</v>
      </c>
      <c r="AA596" s="40" t="s">
        <v>1024</v>
      </c>
      <c r="AB596" s="40" t="s">
        <v>1322</v>
      </c>
      <c r="AC596" s="39" t="str">
        <f>データ!J596</f>
        <v>SS2</v>
      </c>
      <c r="AD596" s="38" t="s">
        <v>1024</v>
      </c>
      <c r="AE596" s="40" t="s">
        <v>1323</v>
      </c>
      <c r="AF596" s="39">
        <f>データ!K596</f>
        <v>38663</v>
      </c>
      <c r="AG596" s="40" t="s">
        <v>1024</v>
      </c>
      <c r="AH596" s="40" t="s">
        <v>1324</v>
      </c>
      <c r="AI596" s="39" t="str">
        <f>データ!L596</f>
        <v>蒼突の神威</v>
      </c>
      <c r="AJ596" s="10" t="s">
        <v>1113</v>
      </c>
      <c r="AK596" s="39" t="str">
        <f>データ!M596</f>
        <v>味方突属性の攻撃力をUP[特大]</v>
      </c>
      <c r="AL596" s="10" t="s">
        <v>1024</v>
      </c>
      <c r="AM596" s="40" t="s">
        <v>1325</v>
      </c>
      <c r="AN596" s="39" t="str">
        <f>データ!N596</f>
        <v>-</v>
      </c>
      <c r="AO596" s="10" t="s">
        <v>1113</v>
      </c>
      <c r="AP596" s="39" t="str">
        <f>データ!O596</f>
        <v>　</v>
      </c>
      <c r="AQ596" s="41" t="s">
        <v>1024</v>
      </c>
      <c r="AR596" s="40" t="s">
        <v>1324</v>
      </c>
      <c r="AS596" s="39" t="str">
        <f>データ!P596</f>
        <v>ランページ／煌</v>
      </c>
      <c r="AT596" s="10" t="s">
        <v>1113</v>
      </c>
      <c r="AU596" s="39" t="str">
        <f>データ!Q596</f>
        <v>バトルで獲得する騎士団戦スコアが特大アップ(3分間)</v>
      </c>
      <c r="AV596" s="10" t="s">
        <v>1024</v>
      </c>
      <c r="AW596" s="40" t="s">
        <v>1324</v>
      </c>
      <c r="AX596" s="39" t="str">
        <f>データ!R596</f>
        <v>エース／絶</v>
      </c>
      <c r="AY596" s="10" t="s">
        <v>1113</v>
      </c>
      <c r="AZ596" s="39" t="str">
        <f>データ!S596</f>
        <v>パーティ全体の攻・防が大UP(3分間)</v>
      </c>
      <c r="BA596" s="41" t="s">
        <v>1024</v>
      </c>
      <c r="BB596" s="40" t="s">
        <v>1319</v>
      </c>
      <c r="BC596" s="39" t="str">
        <f>データ!T596</f>
        <v>-</v>
      </c>
      <c r="BD596" s="41" t="s">
        <v>1024</v>
      </c>
      <c r="BE596" s="40" t="s">
        <v>1320</v>
      </c>
      <c r="BF596" s="39" t="str">
        <f>データ!U596</f>
        <v>-</v>
      </c>
      <c r="BG596" s="41" t="s">
        <v>1024</v>
      </c>
      <c r="BH596" s="40" t="s">
        <v>1319</v>
      </c>
      <c r="BI596" s="39" t="str">
        <f>データ!V596</f>
        <v>ガチャイベ</v>
      </c>
      <c r="BJ596" s="41" t="s">
        <v>1024</v>
      </c>
      <c r="BK596" s="10" t="s">
        <v>1019</v>
      </c>
    </row>
    <row r="597" spans="1:63" x14ac:dyDescent="0.15">
      <c r="A597" s="10" t="s">
        <v>1016</v>
      </c>
      <c r="B597" s="10" t="s">
        <v>1454</v>
      </c>
      <c r="C597" s="38" t="str">
        <f>"./images/thumbnail/"&amp;データ!B597&amp;".jpg"</f>
        <v>./images/thumbnail/1975.jpg</v>
      </c>
      <c r="D597" s="38" t="s">
        <v>1455</v>
      </c>
      <c r="E597" s="38" t="str">
        <f>"./images/thumbnail/"&amp;データ!B597&amp;".jpg"</f>
        <v>./images/thumbnail/1975.jpg</v>
      </c>
      <c r="F597" s="38" t="s">
        <v>1116</v>
      </c>
      <c r="G597" s="38" t="s">
        <v>1319</v>
      </c>
      <c r="H597" s="38" t="str">
        <f>データ!C597</f>
        <v>ジャック</v>
      </c>
      <c r="I597" s="38" t="s">
        <v>1024</v>
      </c>
      <c r="J597" s="38" t="s">
        <v>1320</v>
      </c>
      <c r="K597" s="38" t="str">
        <f>データ!D597</f>
        <v>UR</v>
      </c>
      <c r="L597" s="38" t="s">
        <v>1024</v>
      </c>
      <c r="M597" s="38" t="s">
        <v>1321</v>
      </c>
      <c r="N597" s="38">
        <f>データ!E597</f>
        <v>15</v>
      </c>
      <c r="O597" s="38" t="s">
        <v>1024</v>
      </c>
      <c r="P597" s="38" t="s">
        <v>1319</v>
      </c>
      <c r="Q597" s="38" t="str">
        <f>データ!F597</f>
        <v>斬</v>
      </c>
      <c r="R597" s="38" t="s">
        <v>1024</v>
      </c>
      <c r="S597" s="38" t="s">
        <v>1319</v>
      </c>
      <c r="T597" s="39">
        <f>データ!G597</f>
        <v>20371</v>
      </c>
      <c r="U597" s="40" t="s">
        <v>1024</v>
      </c>
      <c r="V597" s="40" t="s">
        <v>1319</v>
      </c>
      <c r="W597" s="39">
        <f>データ!H597</f>
        <v>9175</v>
      </c>
      <c r="X597" s="40" t="s">
        <v>1024</v>
      </c>
      <c r="Y597" s="40" t="s">
        <v>1319</v>
      </c>
      <c r="Z597" s="39">
        <f>データ!I597</f>
        <v>7597</v>
      </c>
      <c r="AA597" s="40" t="s">
        <v>1024</v>
      </c>
      <c r="AB597" s="40" t="s">
        <v>1322</v>
      </c>
      <c r="AC597" s="39" t="str">
        <f>データ!J597</f>
        <v>SS-</v>
      </c>
      <c r="AD597" s="38" t="s">
        <v>1024</v>
      </c>
      <c r="AE597" s="40" t="s">
        <v>1323</v>
      </c>
      <c r="AF597" s="39">
        <f>データ!K597</f>
        <v>37143</v>
      </c>
      <c r="AG597" s="40" t="s">
        <v>1024</v>
      </c>
      <c r="AH597" s="40" t="s">
        <v>1324</v>
      </c>
      <c r="AI597" s="39" t="str">
        <f>データ!L597</f>
        <v>魔幻の閃光／煌</v>
      </c>
      <c r="AJ597" s="10" t="s">
        <v>1113</v>
      </c>
      <c r="AK597" s="39" t="str">
        <f>データ!M597</f>
        <v>縦一列に攻撃[特大]</v>
      </c>
      <c r="AL597" s="10" t="s">
        <v>1024</v>
      </c>
      <c r="AM597" s="40" t="s">
        <v>1325</v>
      </c>
      <c r="AN597" s="39" t="str">
        <f>データ!N597</f>
        <v>-</v>
      </c>
      <c r="AO597" s="10" t="s">
        <v>1113</v>
      </c>
      <c r="AP597" s="39" t="str">
        <f>データ!O597</f>
        <v>　</v>
      </c>
      <c r="AQ597" s="41" t="s">
        <v>1024</v>
      </c>
      <c r="AR597" s="40" t="s">
        <v>1324</v>
      </c>
      <c r="AS597" s="39" t="str">
        <f>データ!P597</f>
        <v>レクトノート／絶</v>
      </c>
      <c r="AT597" s="10" t="s">
        <v>1113</v>
      </c>
      <c r="AU597" s="39" t="str">
        <f>データ!Q597</f>
        <v>バトルで敵を全滅するとBPが大回復(3分間)</v>
      </c>
      <c r="AV597" s="10" t="s">
        <v>1024</v>
      </c>
      <c r="AW597" s="40" t="s">
        <v>1324</v>
      </c>
      <c r="AX597" s="39" t="str">
        <f>データ!R597</f>
        <v>アサルト／絶</v>
      </c>
      <c r="AY597" s="10" t="s">
        <v>1113</v>
      </c>
      <c r="AZ597" s="39" t="str">
        <f>データ!S597</f>
        <v>パーティ全体の攻撃力が大UP(3分間)</v>
      </c>
      <c r="BA597" s="41" t="s">
        <v>1024</v>
      </c>
      <c r="BB597" s="40" t="s">
        <v>1319</v>
      </c>
      <c r="BC597" s="39" t="str">
        <f>データ!T597</f>
        <v>-</v>
      </c>
      <c r="BD597" s="41" t="s">
        <v>1024</v>
      </c>
      <c r="BE597" s="40" t="s">
        <v>1320</v>
      </c>
      <c r="BF597" s="39" t="str">
        <f>データ!U597</f>
        <v>-</v>
      </c>
      <c r="BG597" s="41" t="s">
        <v>1024</v>
      </c>
      <c r="BH597" s="40" t="s">
        <v>1319</v>
      </c>
      <c r="BI597" s="39" t="str">
        <f>データ!V597</f>
        <v>ポーカー</v>
      </c>
      <c r="BJ597" s="41" t="s">
        <v>1024</v>
      </c>
      <c r="BK597" s="10" t="s">
        <v>1019</v>
      </c>
    </row>
    <row r="598" spans="1:63" x14ac:dyDescent="0.15">
      <c r="A598" s="10" t="s">
        <v>1016</v>
      </c>
      <c r="B598" s="10" t="s">
        <v>1454</v>
      </c>
      <c r="C598" s="38" t="str">
        <f>"./images/thumbnail/"&amp;データ!B598&amp;".jpg"</f>
        <v>./images/thumbnail/1976.jpg</v>
      </c>
      <c r="D598" s="38" t="s">
        <v>1455</v>
      </c>
      <c r="E598" s="38" t="str">
        <f>"./images/thumbnail/"&amp;データ!B598&amp;".jpg"</f>
        <v>./images/thumbnail/1976.jpg</v>
      </c>
      <c r="F598" s="38" t="s">
        <v>1116</v>
      </c>
      <c r="G598" s="38" t="s">
        <v>1319</v>
      </c>
      <c r="H598" s="38" t="str">
        <f>データ!C598</f>
        <v>ディディエ</v>
      </c>
      <c r="I598" s="38" t="s">
        <v>1024</v>
      </c>
      <c r="J598" s="38" t="s">
        <v>1320</v>
      </c>
      <c r="K598" s="38" t="str">
        <f>データ!D598</f>
        <v>UR</v>
      </c>
      <c r="L598" s="38" t="s">
        <v>1024</v>
      </c>
      <c r="M598" s="38" t="s">
        <v>1321</v>
      </c>
      <c r="N598" s="38">
        <f>データ!E598</f>
        <v>15</v>
      </c>
      <c r="O598" s="38" t="s">
        <v>1024</v>
      </c>
      <c r="P598" s="38" t="s">
        <v>1319</v>
      </c>
      <c r="Q598" s="38" t="str">
        <f>データ!F598</f>
        <v>打</v>
      </c>
      <c r="R598" s="38" t="s">
        <v>1024</v>
      </c>
      <c r="S598" s="38" t="s">
        <v>1319</v>
      </c>
      <c r="T598" s="39">
        <f>データ!G598</f>
        <v>26948</v>
      </c>
      <c r="U598" s="40" t="s">
        <v>1024</v>
      </c>
      <c r="V598" s="40" t="s">
        <v>1319</v>
      </c>
      <c r="W598" s="39">
        <f>データ!H598</f>
        <v>7313</v>
      </c>
      <c r="X598" s="40" t="s">
        <v>1024</v>
      </c>
      <c r="Y598" s="40" t="s">
        <v>1319</v>
      </c>
      <c r="Z598" s="39">
        <f>データ!I598</f>
        <v>10639</v>
      </c>
      <c r="AA598" s="40" t="s">
        <v>1024</v>
      </c>
      <c r="AB598" s="40" t="s">
        <v>1322</v>
      </c>
      <c r="AC598" s="39" t="str">
        <f>データ!J598</f>
        <v>S</v>
      </c>
      <c r="AD598" s="38" t="s">
        <v>1024</v>
      </c>
      <c r="AE598" s="40" t="s">
        <v>1323</v>
      </c>
      <c r="AF598" s="39">
        <f>データ!K598</f>
        <v>44900</v>
      </c>
      <c r="AG598" s="40" t="s">
        <v>1024</v>
      </c>
      <c r="AH598" s="40" t="s">
        <v>1324</v>
      </c>
      <c r="AI598" s="39" t="str">
        <f>データ!L598</f>
        <v>幻光の交叉線／煌</v>
      </c>
      <c r="AJ598" s="10" t="s">
        <v>1113</v>
      </c>
      <c r="AK598" s="39" t="str">
        <f>データ!M598</f>
        <v>X字型に攻撃[特大]</v>
      </c>
      <c r="AL598" s="10" t="s">
        <v>1024</v>
      </c>
      <c r="AM598" s="40" t="s">
        <v>1325</v>
      </c>
      <c r="AN598" s="39" t="str">
        <f>データ!N598</f>
        <v>夢幻の暴威</v>
      </c>
      <c r="AO598" s="10" t="s">
        <v>1113</v>
      </c>
      <c r="AP598" s="39" t="str">
        <f>データ!O598</f>
        <v>自分の攻撃力と防御力をUP[極大]</v>
      </c>
      <c r="AQ598" s="41" t="s">
        <v>1024</v>
      </c>
      <c r="AR598" s="40" t="s">
        <v>1324</v>
      </c>
      <c r="AS598" s="39" t="str">
        <f>データ!P598</f>
        <v>バーサク／絶</v>
      </c>
      <c r="AT598" s="10" t="s">
        <v>1113</v>
      </c>
      <c r="AU598" s="39" t="str">
        <f>データ!Q598</f>
        <v>強襲が発生無効、バトル時に攻・防大UP(3分間)</v>
      </c>
      <c r="AV598" s="10" t="s">
        <v>1024</v>
      </c>
      <c r="AW598" s="40" t="s">
        <v>1324</v>
      </c>
      <c r="AX598" s="39" t="str">
        <f>データ!R598</f>
        <v>エース／絶</v>
      </c>
      <c r="AY598" s="10" t="s">
        <v>1113</v>
      </c>
      <c r="AZ598" s="39" t="str">
        <f>データ!S598</f>
        <v>パーティ全体の攻・防が大UP(3分間)</v>
      </c>
      <c r="BA598" s="41" t="s">
        <v>1024</v>
      </c>
      <c r="BB598" s="40" t="s">
        <v>1319</v>
      </c>
      <c r="BC598" s="39" t="str">
        <f>データ!T598</f>
        <v>-</v>
      </c>
      <c r="BD598" s="41" t="s">
        <v>1024</v>
      </c>
      <c r="BE598" s="40" t="s">
        <v>1320</v>
      </c>
      <c r="BF598" s="39" t="str">
        <f>データ!U598</f>
        <v>-</v>
      </c>
      <c r="BG598" s="41" t="s">
        <v>1024</v>
      </c>
      <c r="BH598" s="40" t="s">
        <v>1319</v>
      </c>
      <c r="BI598" s="39" t="str">
        <f>データ!V598</f>
        <v>常設</v>
      </c>
      <c r="BJ598" s="41" t="s">
        <v>1024</v>
      </c>
      <c r="BK598" s="10" t="s">
        <v>1019</v>
      </c>
    </row>
    <row r="599" spans="1:63" x14ac:dyDescent="0.15">
      <c r="A599" s="10" t="s">
        <v>1016</v>
      </c>
      <c r="B599" s="10" t="s">
        <v>1454</v>
      </c>
      <c r="C599" s="38" t="str">
        <f>"./images/thumbnail/"&amp;データ!B599&amp;".jpg"</f>
        <v>./images/thumbnail/1978.jpg</v>
      </c>
      <c r="D599" s="38" t="s">
        <v>1455</v>
      </c>
      <c r="E599" s="38" t="str">
        <f>"./images/thumbnail/"&amp;データ!B599&amp;".jpg"</f>
        <v>./images/thumbnail/1978.jpg</v>
      </c>
      <c r="F599" s="38" t="s">
        <v>1116</v>
      </c>
      <c r="G599" s="38" t="s">
        <v>1319</v>
      </c>
      <c r="H599" s="38" t="str">
        <f>データ!C599</f>
        <v>ジュネ</v>
      </c>
      <c r="I599" s="38" t="s">
        <v>1024</v>
      </c>
      <c r="J599" s="38" t="s">
        <v>1320</v>
      </c>
      <c r="K599" s="38" t="str">
        <f>データ!D599</f>
        <v>UR</v>
      </c>
      <c r="L599" s="38" t="s">
        <v>1024</v>
      </c>
      <c r="M599" s="38" t="s">
        <v>1321</v>
      </c>
      <c r="N599" s="38">
        <f>データ!E599</f>
        <v>15</v>
      </c>
      <c r="O599" s="38" t="s">
        <v>1024</v>
      </c>
      <c r="P599" s="38" t="s">
        <v>1319</v>
      </c>
      <c r="Q599" s="38" t="str">
        <f>データ!F599</f>
        <v>斬</v>
      </c>
      <c r="R599" s="38" t="s">
        <v>1024</v>
      </c>
      <c r="S599" s="38" t="s">
        <v>1319</v>
      </c>
      <c r="T599" s="39">
        <f>データ!G599</f>
        <v>20458</v>
      </c>
      <c r="U599" s="40" t="s">
        <v>1024</v>
      </c>
      <c r="V599" s="40" t="s">
        <v>1319</v>
      </c>
      <c r="W599" s="39">
        <f>データ!H599</f>
        <v>9203</v>
      </c>
      <c r="X599" s="40" t="s">
        <v>1024</v>
      </c>
      <c r="Y599" s="40" t="s">
        <v>1319</v>
      </c>
      <c r="Z599" s="39">
        <f>データ!I599</f>
        <v>7053</v>
      </c>
      <c r="AA599" s="40" t="s">
        <v>1024</v>
      </c>
      <c r="AB599" s="40" t="s">
        <v>1322</v>
      </c>
      <c r="AC599" s="39" t="str">
        <f>データ!J599</f>
        <v>SS-</v>
      </c>
      <c r="AD599" s="38" t="s">
        <v>1024</v>
      </c>
      <c r="AE599" s="40" t="s">
        <v>1323</v>
      </c>
      <c r="AF599" s="39">
        <f>データ!K599</f>
        <v>36714</v>
      </c>
      <c r="AG599" s="40" t="s">
        <v>1024</v>
      </c>
      <c r="AH599" s="40" t="s">
        <v>1324</v>
      </c>
      <c r="AI599" s="39" t="str">
        <f>データ!L599</f>
        <v>対紫の薙風／煌</v>
      </c>
      <c r="AJ599" s="10" t="s">
        <v>1113</v>
      </c>
      <c r="AK599" s="39" t="str">
        <f>データ!M599</f>
        <v>打に強く遠に弱い横一列攻撃[特大]</v>
      </c>
      <c r="AL599" s="10" t="s">
        <v>1024</v>
      </c>
      <c r="AM599" s="40" t="s">
        <v>1325</v>
      </c>
      <c r="AN599" s="39" t="str">
        <f>データ!N599</f>
        <v>-</v>
      </c>
      <c r="AO599" s="10" t="s">
        <v>1113</v>
      </c>
      <c r="AP599" s="39" t="str">
        <f>データ!O599</f>
        <v>　</v>
      </c>
      <c r="AQ599" s="41" t="s">
        <v>1024</v>
      </c>
      <c r="AR599" s="40" t="s">
        <v>1324</v>
      </c>
      <c r="AS599" s="39" t="str">
        <f>データ!P599</f>
        <v>ステルス／絶</v>
      </c>
      <c r="AT599" s="10" t="s">
        <v>1113</v>
      </c>
      <c r="AU599" s="39" t="str">
        <f>データ!Q599</f>
        <v>強襲CBの発生確率・強襲時獲得ポイント大UP(3回)</v>
      </c>
      <c r="AV599" s="10" t="s">
        <v>1024</v>
      </c>
      <c r="AW599" s="40" t="s">
        <v>1324</v>
      </c>
      <c r="AX599" s="39" t="str">
        <f>データ!R599</f>
        <v>ポイントライズ／絶</v>
      </c>
      <c r="AY599" s="10" t="s">
        <v>1113</v>
      </c>
      <c r="AZ599" s="39" t="str">
        <f>データ!S599</f>
        <v>獲得する騎士団戦スコアが大アップ(バトル3回)</v>
      </c>
      <c r="BA599" s="41" t="s">
        <v>1024</v>
      </c>
      <c r="BB599" s="40" t="s">
        <v>1319</v>
      </c>
      <c r="BC599" s="39" t="str">
        <f>データ!T599</f>
        <v>-</v>
      </c>
      <c r="BD599" s="41" t="s">
        <v>1024</v>
      </c>
      <c r="BE599" s="40" t="s">
        <v>1320</v>
      </c>
      <c r="BF599" s="39" t="str">
        <f>データ!U599</f>
        <v>-</v>
      </c>
      <c r="BG599" s="41" t="s">
        <v>1024</v>
      </c>
      <c r="BH599" s="40" t="s">
        <v>1319</v>
      </c>
      <c r="BI599" s="39" t="str">
        <f>データ!V599</f>
        <v>常設</v>
      </c>
      <c r="BJ599" s="41" t="s">
        <v>1024</v>
      </c>
      <c r="BK599" s="10" t="s">
        <v>1019</v>
      </c>
    </row>
    <row r="600" spans="1:63" x14ac:dyDescent="0.15">
      <c r="A600" s="10" t="s">
        <v>1016</v>
      </c>
      <c r="B600" s="10" t="s">
        <v>1454</v>
      </c>
      <c r="C600" s="38" t="str">
        <f>"./images/thumbnail/"&amp;データ!B600&amp;".jpg"</f>
        <v>./images/thumbnail/1980.jpg</v>
      </c>
      <c r="D600" s="38" t="s">
        <v>1455</v>
      </c>
      <c r="E600" s="38" t="str">
        <f>"./images/thumbnail/"&amp;データ!B600&amp;".jpg"</f>
        <v>./images/thumbnail/1980.jpg</v>
      </c>
      <c r="F600" s="38" t="s">
        <v>1116</v>
      </c>
      <c r="G600" s="38" t="s">
        <v>1319</v>
      </c>
      <c r="H600" s="38" t="str">
        <f>データ!C600</f>
        <v>ヴィンセント</v>
      </c>
      <c r="I600" s="38" t="s">
        <v>1024</v>
      </c>
      <c r="J600" s="38" t="s">
        <v>1320</v>
      </c>
      <c r="K600" s="38" t="str">
        <f>データ!D600</f>
        <v>UR</v>
      </c>
      <c r="L600" s="38" t="s">
        <v>1024</v>
      </c>
      <c r="M600" s="38" t="s">
        <v>1321</v>
      </c>
      <c r="N600" s="38">
        <f>データ!E600</f>
        <v>14</v>
      </c>
      <c r="O600" s="38" t="s">
        <v>1024</v>
      </c>
      <c r="P600" s="38" t="s">
        <v>1319</v>
      </c>
      <c r="Q600" s="38" t="str">
        <f>データ!F600</f>
        <v>打</v>
      </c>
      <c r="R600" s="38" t="s">
        <v>1024</v>
      </c>
      <c r="S600" s="38" t="s">
        <v>1319</v>
      </c>
      <c r="T600" s="39">
        <f>データ!G600</f>
        <v>21324</v>
      </c>
      <c r="U600" s="40" t="s">
        <v>1024</v>
      </c>
      <c r="V600" s="40" t="s">
        <v>1319</v>
      </c>
      <c r="W600" s="39">
        <f>データ!H600</f>
        <v>6770</v>
      </c>
      <c r="X600" s="40" t="s">
        <v>1024</v>
      </c>
      <c r="Y600" s="40" t="s">
        <v>1319</v>
      </c>
      <c r="Z600" s="39">
        <f>データ!I600</f>
        <v>9470</v>
      </c>
      <c r="AA600" s="40" t="s">
        <v>1024</v>
      </c>
      <c r="AB600" s="40" t="s">
        <v>1322</v>
      </c>
      <c r="AC600" s="39" t="str">
        <f>データ!J600</f>
        <v>A+</v>
      </c>
      <c r="AD600" s="38" t="s">
        <v>1024</v>
      </c>
      <c r="AE600" s="40" t="s">
        <v>1323</v>
      </c>
      <c r="AF600" s="39">
        <f>データ!K600</f>
        <v>37564</v>
      </c>
      <c r="AG600" s="40" t="s">
        <v>1024</v>
      </c>
      <c r="AH600" s="40" t="s">
        <v>1324</v>
      </c>
      <c r="AI600" s="39" t="str">
        <f>データ!L600</f>
        <v>焔幻の一閃／煌</v>
      </c>
      <c r="AJ600" s="10" t="s">
        <v>1113</v>
      </c>
      <c r="AK600" s="39" t="str">
        <f>データ!M600</f>
        <v>横一列に攻撃[特大]</v>
      </c>
      <c r="AL600" s="10" t="s">
        <v>1024</v>
      </c>
      <c r="AM600" s="40" t="s">
        <v>1325</v>
      </c>
      <c r="AN600" s="39" t="str">
        <f>データ!N600</f>
        <v>-</v>
      </c>
      <c r="AO600" s="10" t="s">
        <v>1113</v>
      </c>
      <c r="AP600" s="39" t="str">
        <f>データ!O600</f>
        <v>　</v>
      </c>
      <c r="AQ600" s="41" t="s">
        <v>1024</v>
      </c>
      <c r="AR600" s="40" t="s">
        <v>1324</v>
      </c>
      <c r="AS600" s="39" t="str">
        <f>データ!P600</f>
        <v>エースオーダー／真</v>
      </c>
      <c r="AT600" s="10" t="s">
        <v>1113</v>
      </c>
      <c r="AU600" s="39" t="str">
        <f>データ!Q600</f>
        <v>騎士団全体の攻・防が中UP(3分間)</v>
      </c>
      <c r="AV600" s="10" t="s">
        <v>1024</v>
      </c>
      <c r="AW600" s="40" t="s">
        <v>1324</v>
      </c>
      <c r="AX600" s="39" t="str">
        <f>データ!R600</f>
        <v>-</v>
      </c>
      <c r="AY600" s="10" t="s">
        <v>1113</v>
      </c>
      <c r="AZ600" s="39" t="str">
        <f>データ!S600</f>
        <v>　</v>
      </c>
      <c r="BA600" s="41" t="s">
        <v>1024</v>
      </c>
      <c r="BB600" s="40" t="s">
        <v>1319</v>
      </c>
      <c r="BC600" s="39" t="str">
        <f>データ!T600</f>
        <v>-</v>
      </c>
      <c r="BD600" s="41" t="s">
        <v>1024</v>
      </c>
      <c r="BE600" s="40" t="s">
        <v>1320</v>
      </c>
      <c r="BF600" s="39" t="str">
        <f>データ!U600</f>
        <v>-</v>
      </c>
      <c r="BG600" s="41" t="s">
        <v>1024</v>
      </c>
      <c r="BH600" s="40" t="s">
        <v>1319</v>
      </c>
      <c r="BI600" s="39" t="str">
        <f>データ!V600</f>
        <v>常設</v>
      </c>
      <c r="BJ600" s="41" t="s">
        <v>1024</v>
      </c>
      <c r="BK600" s="10" t="s">
        <v>1019</v>
      </c>
    </row>
    <row r="601" spans="1:63" x14ac:dyDescent="0.15">
      <c r="A601" s="10" t="s">
        <v>1016</v>
      </c>
      <c r="B601" s="10" t="s">
        <v>1454</v>
      </c>
      <c r="C601" s="38" t="str">
        <f>"./images/thumbnail/"&amp;データ!B601&amp;".jpg"</f>
        <v>./images/thumbnail/1981.jpg</v>
      </c>
      <c r="D601" s="38" t="s">
        <v>1455</v>
      </c>
      <c r="E601" s="38" t="str">
        <f>"./images/thumbnail/"&amp;データ!B601&amp;".jpg"</f>
        <v>./images/thumbnail/1981.jpg</v>
      </c>
      <c r="F601" s="38" t="s">
        <v>1116</v>
      </c>
      <c r="G601" s="38" t="s">
        <v>1319</v>
      </c>
      <c r="H601" s="38" t="str">
        <f>データ!C601</f>
        <v>エリック</v>
      </c>
      <c r="I601" s="38" t="s">
        <v>1024</v>
      </c>
      <c r="J601" s="38" t="s">
        <v>1320</v>
      </c>
      <c r="K601" s="38" t="str">
        <f>データ!D601</f>
        <v>UR</v>
      </c>
      <c r="L601" s="38" t="s">
        <v>1024</v>
      </c>
      <c r="M601" s="38" t="s">
        <v>1321</v>
      </c>
      <c r="N601" s="38">
        <f>データ!E601</f>
        <v>14</v>
      </c>
      <c r="O601" s="38" t="s">
        <v>1024</v>
      </c>
      <c r="P601" s="38" t="s">
        <v>1319</v>
      </c>
      <c r="Q601" s="38" t="str">
        <f>データ!F601</f>
        <v>斬</v>
      </c>
      <c r="R601" s="38" t="s">
        <v>1024</v>
      </c>
      <c r="S601" s="38" t="s">
        <v>1319</v>
      </c>
      <c r="T601" s="39">
        <f>データ!G601</f>
        <v>17935</v>
      </c>
      <c r="U601" s="40" t="s">
        <v>1024</v>
      </c>
      <c r="V601" s="40" t="s">
        <v>1319</v>
      </c>
      <c r="W601" s="39">
        <f>データ!H601</f>
        <v>8278</v>
      </c>
      <c r="X601" s="40" t="s">
        <v>1024</v>
      </c>
      <c r="Y601" s="40" t="s">
        <v>1319</v>
      </c>
      <c r="Z601" s="39">
        <f>データ!I601</f>
        <v>6918</v>
      </c>
      <c r="AA601" s="40" t="s">
        <v>1024</v>
      </c>
      <c r="AB601" s="40" t="s">
        <v>1322</v>
      </c>
      <c r="AC601" s="39" t="str">
        <f>データ!J601</f>
        <v>S</v>
      </c>
      <c r="AD601" s="38" t="s">
        <v>1024</v>
      </c>
      <c r="AE601" s="40" t="s">
        <v>1323</v>
      </c>
      <c r="AF601" s="39">
        <f>データ!K601</f>
        <v>33131</v>
      </c>
      <c r="AG601" s="40" t="s">
        <v>1024</v>
      </c>
      <c r="AH601" s="40" t="s">
        <v>1324</v>
      </c>
      <c r="AI601" s="39" t="str">
        <f>データ!L601</f>
        <v>破岩の縦十字／煌</v>
      </c>
      <c r="AJ601" s="10" t="s">
        <v>1113</v>
      </c>
      <c r="AK601" s="39" t="str">
        <f>データ!M601</f>
        <v>十字型に固定ダメージ[特大]</v>
      </c>
      <c r="AL601" s="38" t="s">
        <v>1024</v>
      </c>
      <c r="AM601" s="40" t="s">
        <v>1325</v>
      </c>
      <c r="AN601" s="39" t="str">
        <f>データ!N601</f>
        <v>-</v>
      </c>
      <c r="AO601" s="10" t="s">
        <v>1113</v>
      </c>
      <c r="AP601" s="39" t="str">
        <f>データ!O601</f>
        <v>　</v>
      </c>
      <c r="AQ601" s="41" t="s">
        <v>1024</v>
      </c>
      <c r="AR601" s="40" t="s">
        <v>1324</v>
      </c>
      <c r="AS601" s="39" t="str">
        <f>データ!P601</f>
        <v>ストリーム／真</v>
      </c>
      <c r="AT601" s="10" t="s">
        <v>1113</v>
      </c>
      <c r="AU601" s="39" t="str">
        <f>データ!Q601</f>
        <v>パーティ全体の攻撃力・速度が中UP(3分間)</v>
      </c>
      <c r="AV601" s="10" t="s">
        <v>1024</v>
      </c>
      <c r="AW601" s="40" t="s">
        <v>1324</v>
      </c>
      <c r="AX601" s="39" t="str">
        <f>データ!R601</f>
        <v>-</v>
      </c>
      <c r="AY601" s="10" t="s">
        <v>1113</v>
      </c>
      <c r="AZ601" s="39" t="str">
        <f>データ!S601</f>
        <v>　</v>
      </c>
      <c r="BA601" s="41" t="s">
        <v>1024</v>
      </c>
      <c r="BB601" s="40" t="s">
        <v>1319</v>
      </c>
      <c r="BC601" s="39" t="str">
        <f>データ!T601</f>
        <v>-</v>
      </c>
      <c r="BD601" s="41" t="s">
        <v>1024</v>
      </c>
      <c r="BE601" s="40" t="s">
        <v>1320</v>
      </c>
      <c r="BF601" s="39" t="str">
        <f>データ!U601</f>
        <v>-</v>
      </c>
      <c r="BG601" s="41" t="s">
        <v>1024</v>
      </c>
      <c r="BH601" s="40" t="s">
        <v>1319</v>
      </c>
      <c r="BI601" s="39" t="str">
        <f>データ!V601</f>
        <v>グラン</v>
      </c>
      <c r="BJ601" s="41" t="s">
        <v>1024</v>
      </c>
      <c r="BK601" s="10" t="s">
        <v>1019</v>
      </c>
    </row>
    <row r="602" spans="1:63" x14ac:dyDescent="0.15">
      <c r="A602" s="10" t="s">
        <v>1016</v>
      </c>
      <c r="B602" s="10" t="s">
        <v>1454</v>
      </c>
      <c r="C602" s="38" t="str">
        <f>"./images/thumbnail/"&amp;データ!B602&amp;".jpg"</f>
        <v>./images/thumbnail/1982.jpg</v>
      </c>
      <c r="D602" s="38" t="s">
        <v>1455</v>
      </c>
      <c r="E602" s="38" t="str">
        <f>"./images/thumbnail/"&amp;データ!B602&amp;".jpg"</f>
        <v>./images/thumbnail/1982.jpg</v>
      </c>
      <c r="F602" s="38" t="s">
        <v>1116</v>
      </c>
      <c r="G602" s="38" t="s">
        <v>1319</v>
      </c>
      <c r="H602" s="38" t="str">
        <f>データ!C602</f>
        <v>ラエド</v>
      </c>
      <c r="I602" s="38" t="s">
        <v>1024</v>
      </c>
      <c r="J602" s="38" t="s">
        <v>1320</v>
      </c>
      <c r="K602" s="38" t="str">
        <f>データ!D602</f>
        <v>UR</v>
      </c>
      <c r="L602" s="38" t="s">
        <v>1024</v>
      </c>
      <c r="M602" s="38" t="s">
        <v>1321</v>
      </c>
      <c r="N602" s="38">
        <f>データ!E602</f>
        <v>15</v>
      </c>
      <c r="O602" s="38" t="s">
        <v>1024</v>
      </c>
      <c r="P602" s="38" t="s">
        <v>1319</v>
      </c>
      <c r="Q602" s="38" t="str">
        <f>データ!F602</f>
        <v>遠</v>
      </c>
      <c r="R602" s="38" t="s">
        <v>1024</v>
      </c>
      <c r="S602" s="38" t="s">
        <v>1319</v>
      </c>
      <c r="T602" s="39">
        <f>データ!G602</f>
        <v>20741</v>
      </c>
      <c r="U602" s="40" t="s">
        <v>1024</v>
      </c>
      <c r="V602" s="40" t="s">
        <v>1319</v>
      </c>
      <c r="W602" s="39">
        <f>データ!H602</f>
        <v>7105</v>
      </c>
      <c r="X602" s="40" t="s">
        <v>1024</v>
      </c>
      <c r="Y602" s="40" t="s">
        <v>1319</v>
      </c>
      <c r="Z602" s="39">
        <f>データ!I602</f>
        <v>6137</v>
      </c>
      <c r="AA602" s="40" t="s">
        <v>1024</v>
      </c>
      <c r="AB602" s="40" t="s">
        <v>1322</v>
      </c>
      <c r="AC602" s="39" t="str">
        <f>データ!J602</f>
        <v>SS</v>
      </c>
      <c r="AD602" s="38" t="s">
        <v>1024</v>
      </c>
      <c r="AE602" s="40" t="s">
        <v>1323</v>
      </c>
      <c r="AF602" s="39">
        <f>データ!K602</f>
        <v>33983</v>
      </c>
      <c r="AG602" s="40" t="s">
        <v>1024</v>
      </c>
      <c r="AH602" s="40" t="s">
        <v>1324</v>
      </c>
      <c r="AI602" s="39" t="str">
        <f>データ!L602</f>
        <v>雷焦</v>
      </c>
      <c r="AJ602" s="10" t="s">
        <v>1113</v>
      </c>
      <c r="AK602" s="39" t="str">
        <f>データ!M602</f>
        <v>ランダムで6連続攻撃[中]</v>
      </c>
      <c r="AL602" s="10" t="s">
        <v>1024</v>
      </c>
      <c r="AM602" s="40" t="s">
        <v>1325</v>
      </c>
      <c r="AN602" s="39" t="str">
        <f>データ!N602</f>
        <v>-</v>
      </c>
      <c r="AO602" s="10" t="s">
        <v>1113</v>
      </c>
      <c r="AP602" s="39" t="str">
        <f>データ!O602</f>
        <v>　</v>
      </c>
      <c r="AQ602" s="41" t="s">
        <v>1024</v>
      </c>
      <c r="AR602" s="40" t="s">
        <v>1324</v>
      </c>
      <c r="AS602" s="39" t="str">
        <f>データ!P602</f>
        <v>アサルト／煌</v>
      </c>
      <c r="AT602" s="10" t="s">
        <v>1113</v>
      </c>
      <c r="AU602" s="39" t="str">
        <f>データ!Q602</f>
        <v>パーティ全体の攻撃力が特大UP(3分間)</v>
      </c>
      <c r="AV602" s="10" t="s">
        <v>1024</v>
      </c>
      <c r="AW602" s="40" t="s">
        <v>1324</v>
      </c>
      <c r="AX602" s="39" t="str">
        <f>データ!R602</f>
        <v>バーサク／真</v>
      </c>
      <c r="AY602" s="10" t="s">
        <v>1113</v>
      </c>
      <c r="AZ602" s="39" t="str">
        <f>データ!S602</f>
        <v>強襲が発生無効、バトル時に攻・防中UP(3分間)</v>
      </c>
      <c r="BA602" s="41" t="s">
        <v>1024</v>
      </c>
      <c r="BB602" s="40" t="s">
        <v>1319</v>
      </c>
      <c r="BC602" s="39" t="str">
        <f>データ!T602</f>
        <v>-</v>
      </c>
      <c r="BD602" s="41" t="s">
        <v>1024</v>
      </c>
      <c r="BE602" s="40" t="s">
        <v>1320</v>
      </c>
      <c r="BF602" s="39" t="str">
        <f>データ!U602</f>
        <v>-</v>
      </c>
      <c r="BG602" s="41" t="s">
        <v>1024</v>
      </c>
      <c r="BH602" s="40" t="s">
        <v>1319</v>
      </c>
      <c r="BI602" s="39" t="str">
        <f>データ!V602</f>
        <v>スペシャル任務報酬</v>
      </c>
      <c r="BJ602" s="41" t="s">
        <v>1024</v>
      </c>
      <c r="BK602" s="10" t="s">
        <v>1019</v>
      </c>
    </row>
    <row r="603" spans="1:63" x14ac:dyDescent="0.15">
      <c r="A603" s="10" t="s">
        <v>1016</v>
      </c>
      <c r="B603" s="10" t="s">
        <v>1454</v>
      </c>
      <c r="C603" s="38" t="str">
        <f>"./images/thumbnail/"&amp;データ!B603&amp;".jpg"</f>
        <v>./images/thumbnail/1983.jpg</v>
      </c>
      <c r="D603" s="38" t="s">
        <v>1455</v>
      </c>
      <c r="E603" s="38" t="str">
        <f>"./images/thumbnail/"&amp;データ!B603&amp;".jpg"</f>
        <v>./images/thumbnail/1983.jpg</v>
      </c>
      <c r="F603" s="38" t="s">
        <v>1116</v>
      </c>
      <c r="G603" s="38" t="s">
        <v>1319</v>
      </c>
      <c r="H603" s="38" t="str">
        <f>データ!C603</f>
        <v>アルマース</v>
      </c>
      <c r="I603" s="38" t="s">
        <v>1024</v>
      </c>
      <c r="J603" s="38" t="s">
        <v>1320</v>
      </c>
      <c r="K603" s="38" t="str">
        <f>データ!D603</f>
        <v>UR</v>
      </c>
      <c r="L603" s="38" t="s">
        <v>1024</v>
      </c>
      <c r="M603" s="38" t="s">
        <v>1321</v>
      </c>
      <c r="N603" s="38">
        <f>データ!E603</f>
        <v>15</v>
      </c>
      <c r="O603" s="38" t="s">
        <v>1024</v>
      </c>
      <c r="P603" s="38" t="s">
        <v>1319</v>
      </c>
      <c r="Q603" s="38" t="str">
        <f>データ!F603</f>
        <v>遠</v>
      </c>
      <c r="R603" s="38" t="s">
        <v>1024</v>
      </c>
      <c r="S603" s="38" t="s">
        <v>1319</v>
      </c>
      <c r="T603" s="39">
        <f>データ!G603</f>
        <v>22183</v>
      </c>
      <c r="U603" s="40" t="s">
        <v>1024</v>
      </c>
      <c r="V603" s="40" t="s">
        <v>1319</v>
      </c>
      <c r="W603" s="39">
        <f>データ!H603</f>
        <v>7086</v>
      </c>
      <c r="X603" s="40" t="s">
        <v>1024</v>
      </c>
      <c r="Y603" s="40" t="s">
        <v>1319</v>
      </c>
      <c r="Z603" s="39">
        <f>データ!I603</f>
        <v>7016</v>
      </c>
      <c r="AA603" s="40" t="s">
        <v>1024</v>
      </c>
      <c r="AB603" s="40" t="s">
        <v>1322</v>
      </c>
      <c r="AC603" s="39" t="str">
        <f>データ!J603</f>
        <v>SS</v>
      </c>
      <c r="AD603" s="38" t="s">
        <v>1024</v>
      </c>
      <c r="AE603" s="40" t="s">
        <v>1323</v>
      </c>
      <c r="AF603" s="39">
        <f>データ!K603</f>
        <v>36285</v>
      </c>
      <c r="AG603" s="40" t="s">
        <v>1024</v>
      </c>
      <c r="AH603" s="40" t="s">
        <v>1324</v>
      </c>
      <c r="AI603" s="39" t="str">
        <f>データ!L603</f>
        <v>遠翠の天護</v>
      </c>
      <c r="AJ603" s="10" t="s">
        <v>1113</v>
      </c>
      <c r="AK603" s="39" t="str">
        <f>データ!M603</f>
        <v>味方遠属性の防御力をUP[極大]</v>
      </c>
      <c r="AL603" s="10" t="s">
        <v>1024</v>
      </c>
      <c r="AM603" s="40" t="s">
        <v>1325</v>
      </c>
      <c r="AN603" s="39" t="str">
        <f>データ!N603</f>
        <v>-</v>
      </c>
      <c r="AO603" s="10" t="s">
        <v>1113</v>
      </c>
      <c r="AP603" s="39" t="str">
        <f>データ!O603</f>
        <v>　</v>
      </c>
      <c r="AQ603" s="41" t="s">
        <v>1024</v>
      </c>
      <c r="AR603" s="40" t="s">
        <v>1324</v>
      </c>
      <c r="AS603" s="39" t="str">
        <f>データ!P603</f>
        <v>フォートレス／煌</v>
      </c>
      <c r="AT603" s="10" t="s">
        <v>1113</v>
      </c>
      <c r="AU603" s="39" t="str">
        <f>データ!Q603</f>
        <v>パーティ全体の防御力が特大UP(3分間)</v>
      </c>
      <c r="AV603" s="10" t="s">
        <v>1024</v>
      </c>
      <c r="AW603" s="40" t="s">
        <v>1324</v>
      </c>
      <c r="AX603" s="39" t="str">
        <f>データ!R603</f>
        <v>アサルト／絶</v>
      </c>
      <c r="AY603" s="10" t="s">
        <v>1113</v>
      </c>
      <c r="AZ603" s="39" t="str">
        <f>データ!S603</f>
        <v>パーティ全体の攻撃力が大UP(3分間)</v>
      </c>
      <c r="BA603" s="41" t="s">
        <v>1024</v>
      </c>
      <c r="BB603" s="40" t="s">
        <v>1319</v>
      </c>
      <c r="BC603" s="39" t="str">
        <f>データ!T603</f>
        <v>-</v>
      </c>
      <c r="BD603" s="41" t="s">
        <v>1024</v>
      </c>
      <c r="BE603" s="40" t="s">
        <v>1320</v>
      </c>
      <c r="BF603" s="39" t="str">
        <f>データ!U603</f>
        <v>-</v>
      </c>
      <c r="BG603" s="41" t="s">
        <v>1024</v>
      </c>
      <c r="BH603" s="40" t="s">
        <v>1319</v>
      </c>
      <c r="BI603" s="39" t="str">
        <f>データ!V603</f>
        <v>スペシャル任務報酬</v>
      </c>
      <c r="BJ603" s="41" t="s">
        <v>1024</v>
      </c>
      <c r="BK603" s="10" t="s">
        <v>1019</v>
      </c>
    </row>
    <row r="604" spans="1:63" x14ac:dyDescent="0.15">
      <c r="A604" s="10" t="s">
        <v>1016</v>
      </c>
      <c r="B604" s="10" t="s">
        <v>1454</v>
      </c>
      <c r="C604" s="38" t="str">
        <f>"./images/thumbnail/"&amp;データ!B604&amp;".jpg"</f>
        <v>./images/thumbnail/1988.jpg</v>
      </c>
      <c r="D604" s="38" t="s">
        <v>1455</v>
      </c>
      <c r="E604" s="38" t="str">
        <f>"./images/thumbnail/"&amp;データ!B604&amp;".jpg"</f>
        <v>./images/thumbnail/1988.jpg</v>
      </c>
      <c r="F604" s="38" t="s">
        <v>1116</v>
      </c>
      <c r="G604" s="38" t="s">
        <v>1319</v>
      </c>
      <c r="H604" s="38" t="str">
        <f>データ!C604</f>
        <v>カルディナ</v>
      </c>
      <c r="I604" s="38" t="s">
        <v>1024</v>
      </c>
      <c r="J604" s="38" t="s">
        <v>1320</v>
      </c>
      <c r="K604" s="38" t="str">
        <f>データ!D604</f>
        <v>SSR</v>
      </c>
      <c r="L604" s="38" t="s">
        <v>1024</v>
      </c>
      <c r="M604" s="38" t="s">
        <v>1321</v>
      </c>
      <c r="N604" s="38">
        <f>データ!E604</f>
        <v>13</v>
      </c>
      <c r="O604" s="38" t="s">
        <v>1024</v>
      </c>
      <c r="P604" s="38" t="s">
        <v>1319</v>
      </c>
      <c r="Q604" s="38" t="str">
        <f>データ!F604</f>
        <v>突</v>
      </c>
      <c r="R604" s="38" t="s">
        <v>1024</v>
      </c>
      <c r="S604" s="38" t="s">
        <v>1319</v>
      </c>
      <c r="T604" s="39">
        <f>データ!G604</f>
        <v>17181</v>
      </c>
      <c r="U604" s="40" t="s">
        <v>1024</v>
      </c>
      <c r="V604" s="40" t="s">
        <v>1319</v>
      </c>
      <c r="W604" s="39">
        <f>データ!H604</f>
        <v>5380</v>
      </c>
      <c r="X604" s="40" t="s">
        <v>1024</v>
      </c>
      <c r="Y604" s="40" t="s">
        <v>1319</v>
      </c>
      <c r="Z604" s="39">
        <f>データ!I604</f>
        <v>6104</v>
      </c>
      <c r="AA604" s="40" t="s">
        <v>1024</v>
      </c>
      <c r="AB604" s="40" t="s">
        <v>1322</v>
      </c>
      <c r="AC604" s="39" t="str">
        <f>データ!J604</f>
        <v>SS-</v>
      </c>
      <c r="AD604" s="38" t="s">
        <v>1024</v>
      </c>
      <c r="AE604" s="40" t="s">
        <v>1323</v>
      </c>
      <c r="AF604" s="39">
        <f>データ!K604</f>
        <v>28665</v>
      </c>
      <c r="AG604" s="40" t="s">
        <v>1024</v>
      </c>
      <c r="AH604" s="40" t="s">
        <v>1324</v>
      </c>
      <c r="AI604" s="39" t="str">
        <f>データ!L604</f>
        <v>蒼突の聖天</v>
      </c>
      <c r="AJ604" s="10" t="s">
        <v>1113</v>
      </c>
      <c r="AK604" s="39" t="str">
        <f>データ!M604</f>
        <v>味方突属性の攻撃力と防御力をUP[大]</v>
      </c>
      <c r="AL604" s="10" t="s">
        <v>1024</v>
      </c>
      <c r="AM604" s="40" t="s">
        <v>1325</v>
      </c>
      <c r="AN604" s="39" t="str">
        <f>データ!N604</f>
        <v>-</v>
      </c>
      <c r="AO604" s="10" t="s">
        <v>1113</v>
      </c>
      <c r="AP604" s="39" t="str">
        <f>データ!O604</f>
        <v>　</v>
      </c>
      <c r="AQ604" s="41" t="s">
        <v>1024</v>
      </c>
      <c r="AR604" s="40" t="s">
        <v>1324</v>
      </c>
      <c r="AS604" s="39" t="str">
        <f>データ!P604</f>
        <v>アサルト／真</v>
      </c>
      <c r="AT604" s="10" t="s">
        <v>1113</v>
      </c>
      <c r="AU604" s="39" t="str">
        <f>データ!Q604</f>
        <v>パーティ全体の攻撃力が中UP(3分間)</v>
      </c>
      <c r="AV604" s="10" t="s">
        <v>1024</v>
      </c>
      <c r="AW604" s="40" t="s">
        <v>1324</v>
      </c>
      <c r="AX604" s="39" t="str">
        <f>データ!R604</f>
        <v>-</v>
      </c>
      <c r="AY604" s="10" t="s">
        <v>1113</v>
      </c>
      <c r="AZ604" s="39" t="str">
        <f>データ!S604</f>
        <v>　</v>
      </c>
      <c r="BA604" s="41" t="s">
        <v>1024</v>
      </c>
      <c r="BB604" s="40" t="s">
        <v>1319</v>
      </c>
      <c r="BC604" s="39" t="str">
        <f>データ!T604</f>
        <v>-</v>
      </c>
      <c r="BD604" s="41" t="s">
        <v>1024</v>
      </c>
      <c r="BE604" s="40" t="s">
        <v>1320</v>
      </c>
      <c r="BF604" s="39" t="str">
        <f>データ!U604</f>
        <v>-</v>
      </c>
      <c r="BG604" s="41" t="s">
        <v>1024</v>
      </c>
      <c r="BH604" s="40" t="s">
        <v>1319</v>
      </c>
      <c r="BI604" s="39" t="str">
        <f>データ!V604</f>
        <v>メダル</v>
      </c>
      <c r="BJ604" s="41" t="s">
        <v>1024</v>
      </c>
      <c r="BK604" s="10" t="s">
        <v>1019</v>
      </c>
    </row>
    <row r="605" spans="1:63" x14ac:dyDescent="0.15">
      <c r="A605" s="10" t="s">
        <v>1016</v>
      </c>
      <c r="B605" s="10" t="s">
        <v>1454</v>
      </c>
      <c r="C605" s="38" t="str">
        <f>"./images/thumbnail/"&amp;データ!B605&amp;".jpg"</f>
        <v>./images/thumbnail/1989.jpg</v>
      </c>
      <c r="D605" s="38" t="s">
        <v>1455</v>
      </c>
      <c r="E605" s="38" t="str">
        <f>"./images/thumbnail/"&amp;データ!B605&amp;".jpg"</f>
        <v>./images/thumbnail/1989.jpg</v>
      </c>
      <c r="F605" s="38" t="s">
        <v>1116</v>
      </c>
      <c r="G605" s="38" t="s">
        <v>1319</v>
      </c>
      <c r="H605" s="38" t="str">
        <f>データ!C605</f>
        <v>ペイジ</v>
      </c>
      <c r="I605" s="38" t="s">
        <v>1024</v>
      </c>
      <c r="J605" s="38" t="s">
        <v>1320</v>
      </c>
      <c r="K605" s="38" t="str">
        <f>データ!D605</f>
        <v>UR</v>
      </c>
      <c r="L605" s="38" t="s">
        <v>1024</v>
      </c>
      <c r="M605" s="38" t="s">
        <v>1321</v>
      </c>
      <c r="N605" s="38">
        <f>データ!E605</f>
        <v>14</v>
      </c>
      <c r="O605" s="38" t="s">
        <v>1024</v>
      </c>
      <c r="P605" s="38" t="s">
        <v>1319</v>
      </c>
      <c r="Q605" s="38" t="str">
        <f>データ!F605</f>
        <v>斬</v>
      </c>
      <c r="R605" s="38" t="s">
        <v>1024</v>
      </c>
      <c r="S605" s="38" t="s">
        <v>1319</v>
      </c>
      <c r="T605" s="39">
        <f>データ!G605</f>
        <v>18396</v>
      </c>
      <c r="U605" s="40" t="s">
        <v>1024</v>
      </c>
      <c r="V605" s="40" t="s">
        <v>1319</v>
      </c>
      <c r="W605" s="39">
        <f>データ!H605</f>
        <v>8488</v>
      </c>
      <c r="X605" s="40" t="s">
        <v>1024</v>
      </c>
      <c r="Y605" s="40" t="s">
        <v>1319</v>
      </c>
      <c r="Z605" s="39">
        <f>データ!I605</f>
        <v>6628</v>
      </c>
      <c r="AA605" s="40" t="s">
        <v>1024</v>
      </c>
      <c r="AB605" s="40" t="s">
        <v>1322</v>
      </c>
      <c r="AC605" s="39" t="str">
        <f>データ!J605</f>
        <v>S</v>
      </c>
      <c r="AD605" s="38" t="s">
        <v>1024</v>
      </c>
      <c r="AE605" s="40" t="s">
        <v>1323</v>
      </c>
      <c r="AF605" s="39">
        <f>データ!K605</f>
        <v>33512</v>
      </c>
      <c r="AG605" s="40" t="s">
        <v>1024</v>
      </c>
      <c r="AH605" s="40" t="s">
        <v>1324</v>
      </c>
      <c r="AI605" s="39" t="str">
        <f>データ!L605</f>
        <v>斬紅の神護</v>
      </c>
      <c r="AJ605" s="10" t="s">
        <v>1113</v>
      </c>
      <c r="AK605" s="39" t="str">
        <f>データ!M605</f>
        <v>味方斬属性の防御力をUP[特大]</v>
      </c>
      <c r="AL605" s="10" t="s">
        <v>1024</v>
      </c>
      <c r="AM605" s="40" t="s">
        <v>1325</v>
      </c>
      <c r="AN605" s="39" t="str">
        <f>データ!N605</f>
        <v>-</v>
      </c>
      <c r="AO605" s="10" t="s">
        <v>1113</v>
      </c>
      <c r="AP605" s="39" t="str">
        <f>データ!O605</f>
        <v>　</v>
      </c>
      <c r="AQ605" s="41" t="s">
        <v>1024</v>
      </c>
      <c r="AR605" s="40" t="s">
        <v>1324</v>
      </c>
      <c r="AS605" s="39" t="str">
        <f>データ!P605</f>
        <v>アサルトオーダー／真</v>
      </c>
      <c r="AT605" s="10" t="s">
        <v>1113</v>
      </c>
      <c r="AU605" s="39" t="str">
        <f>データ!Q605</f>
        <v>騎士団全体の攻撃力が中UP(3分間)</v>
      </c>
      <c r="AV605" s="10" t="s">
        <v>1024</v>
      </c>
      <c r="AW605" s="40" t="s">
        <v>1324</v>
      </c>
      <c r="AX605" s="39" t="str">
        <f>データ!R605</f>
        <v>-</v>
      </c>
      <c r="AY605" s="10" t="s">
        <v>1113</v>
      </c>
      <c r="AZ605" s="39" t="str">
        <f>データ!S605</f>
        <v>　</v>
      </c>
      <c r="BA605" s="41" t="s">
        <v>1024</v>
      </c>
      <c r="BB605" s="40" t="s">
        <v>1319</v>
      </c>
      <c r="BC605" s="39" t="str">
        <f>データ!T605</f>
        <v>-</v>
      </c>
      <c r="BD605" s="41" t="s">
        <v>1024</v>
      </c>
      <c r="BE605" s="40" t="s">
        <v>1320</v>
      </c>
      <c r="BF605" s="39" t="str">
        <f>データ!U605</f>
        <v>-</v>
      </c>
      <c r="BG605" s="41" t="s">
        <v>1024</v>
      </c>
      <c r="BH605" s="40" t="s">
        <v>1319</v>
      </c>
      <c r="BI605" s="39" t="str">
        <f>データ!V605</f>
        <v>魔女の追憶イベ</v>
      </c>
      <c r="BJ605" s="41" t="s">
        <v>1024</v>
      </c>
      <c r="BK605" s="10" t="s">
        <v>1019</v>
      </c>
    </row>
    <row r="606" spans="1:63" x14ac:dyDescent="0.15">
      <c r="A606" s="10" t="s">
        <v>1016</v>
      </c>
      <c r="B606" s="10" t="s">
        <v>1454</v>
      </c>
      <c r="C606" s="38" t="str">
        <f>"./images/thumbnail/"&amp;データ!B606&amp;".jpg"</f>
        <v>./images/thumbnail/1991.jpg</v>
      </c>
      <c r="D606" s="38" t="s">
        <v>1455</v>
      </c>
      <c r="E606" s="38" t="str">
        <f>"./images/thumbnail/"&amp;データ!B606&amp;".jpg"</f>
        <v>./images/thumbnail/1991.jpg</v>
      </c>
      <c r="F606" s="38" t="s">
        <v>1116</v>
      </c>
      <c r="G606" s="38" t="s">
        <v>1319</v>
      </c>
      <c r="H606" s="38" t="str">
        <f>データ!C606</f>
        <v>ジゼル</v>
      </c>
      <c r="I606" s="38" t="s">
        <v>1024</v>
      </c>
      <c r="J606" s="38" t="s">
        <v>1320</v>
      </c>
      <c r="K606" s="38" t="str">
        <f>データ!D606</f>
        <v>UR</v>
      </c>
      <c r="L606" s="38" t="s">
        <v>1024</v>
      </c>
      <c r="M606" s="38" t="s">
        <v>1321</v>
      </c>
      <c r="N606" s="38">
        <f>データ!E606</f>
        <v>15</v>
      </c>
      <c r="O606" s="38" t="s">
        <v>1024</v>
      </c>
      <c r="P606" s="38" t="s">
        <v>1319</v>
      </c>
      <c r="Q606" s="38" t="str">
        <f>データ!F606</f>
        <v>突</v>
      </c>
      <c r="R606" s="38" t="s">
        <v>1024</v>
      </c>
      <c r="S606" s="38" t="s">
        <v>1319</v>
      </c>
      <c r="T606" s="39">
        <f>データ!G606</f>
        <v>22881</v>
      </c>
      <c r="U606" s="40" t="s">
        <v>1024</v>
      </c>
      <c r="V606" s="40" t="s">
        <v>1319</v>
      </c>
      <c r="W606" s="39">
        <f>データ!H606</f>
        <v>6714</v>
      </c>
      <c r="X606" s="40" t="s">
        <v>1024</v>
      </c>
      <c r="Y606" s="40" t="s">
        <v>1319</v>
      </c>
      <c r="Z606" s="39">
        <f>データ!I606</f>
        <v>8350</v>
      </c>
      <c r="AA606" s="40" t="s">
        <v>1024</v>
      </c>
      <c r="AB606" s="40" t="s">
        <v>1322</v>
      </c>
      <c r="AC606" s="39" t="str">
        <f>データ!J606</f>
        <v>SS2</v>
      </c>
      <c r="AD606" s="38" t="s">
        <v>1024</v>
      </c>
      <c r="AE606" s="40" t="s">
        <v>1323</v>
      </c>
      <c r="AF606" s="39">
        <f>データ!K606</f>
        <v>37945</v>
      </c>
      <c r="AG606" s="40" t="s">
        <v>1024</v>
      </c>
      <c r="AH606" s="40" t="s">
        <v>1324</v>
      </c>
      <c r="AI606" s="39" t="str">
        <f>データ!L606</f>
        <v>天覇消滅／光芒</v>
      </c>
      <c r="AJ606" s="10" t="s">
        <v>1113</v>
      </c>
      <c r="AK606" s="39" t="str">
        <f>データ!M606</f>
        <v>敵全体の攻撃力をDOWN[極大]</v>
      </c>
      <c r="AL606" s="38" t="s">
        <v>1024</v>
      </c>
      <c r="AM606" s="40" t="s">
        <v>1325</v>
      </c>
      <c r="AN606" s="39" t="str">
        <f>データ!N606</f>
        <v>-</v>
      </c>
      <c r="AO606" s="10" t="s">
        <v>1113</v>
      </c>
      <c r="AP606" s="39" t="str">
        <f>データ!O606</f>
        <v>　</v>
      </c>
      <c r="AQ606" s="41" t="s">
        <v>1024</v>
      </c>
      <c r="AR606" s="40" t="s">
        <v>1324</v>
      </c>
      <c r="AS606" s="39" t="str">
        <f>データ!P606</f>
        <v>ランページ／煌</v>
      </c>
      <c r="AT606" s="10" t="s">
        <v>1113</v>
      </c>
      <c r="AU606" s="39" t="str">
        <f>データ!Q606</f>
        <v>バトルで獲得する騎士団戦スコアが特大アップ(3分間)</v>
      </c>
      <c r="AV606" s="10" t="s">
        <v>1024</v>
      </c>
      <c r="AW606" s="40" t="s">
        <v>1324</v>
      </c>
      <c r="AX606" s="39" t="str">
        <f>データ!R606</f>
        <v>ポイントライズ／絶</v>
      </c>
      <c r="AY606" s="10" t="s">
        <v>1113</v>
      </c>
      <c r="AZ606" s="39" t="str">
        <f>データ!S606</f>
        <v>獲得する騎士団戦スコアが大アップ(バトル3回)</v>
      </c>
      <c r="BA606" s="41" t="s">
        <v>1024</v>
      </c>
      <c r="BB606" s="40" t="s">
        <v>1319</v>
      </c>
      <c r="BC606" s="39" t="str">
        <f>データ!T606</f>
        <v>-</v>
      </c>
      <c r="BD606" s="41" t="s">
        <v>1024</v>
      </c>
      <c r="BE606" s="40" t="s">
        <v>1320</v>
      </c>
      <c r="BF606" s="39" t="str">
        <f>データ!U606</f>
        <v>-</v>
      </c>
      <c r="BG606" s="41" t="s">
        <v>1024</v>
      </c>
      <c r="BH606" s="40" t="s">
        <v>1319</v>
      </c>
      <c r="BI606" s="39" t="str">
        <f>データ!V606</f>
        <v>ガチャイベ</v>
      </c>
      <c r="BJ606" s="41" t="s">
        <v>1024</v>
      </c>
      <c r="BK606" s="10" t="s">
        <v>1019</v>
      </c>
    </row>
    <row r="607" spans="1:63" x14ac:dyDescent="0.15">
      <c r="A607" s="10" t="s">
        <v>1016</v>
      </c>
      <c r="B607" s="10" t="s">
        <v>1454</v>
      </c>
      <c r="C607" s="38" t="str">
        <f>"./images/thumbnail/"&amp;データ!B607&amp;".jpg"</f>
        <v>./images/thumbnail/1993.jpg</v>
      </c>
      <c r="D607" s="38" t="s">
        <v>1455</v>
      </c>
      <c r="E607" s="38" t="str">
        <f>"./images/thumbnail/"&amp;データ!B607&amp;".jpg"</f>
        <v>./images/thumbnail/1993.jpg</v>
      </c>
      <c r="F607" s="38" t="s">
        <v>1116</v>
      </c>
      <c r="G607" s="38" t="s">
        <v>1319</v>
      </c>
      <c r="H607" s="38" t="str">
        <f>データ!C607</f>
        <v>カノン</v>
      </c>
      <c r="I607" s="38" t="s">
        <v>1024</v>
      </c>
      <c r="J607" s="38" t="s">
        <v>1320</v>
      </c>
      <c r="K607" s="38" t="str">
        <f>データ!D607</f>
        <v>UR</v>
      </c>
      <c r="L607" s="38" t="s">
        <v>1024</v>
      </c>
      <c r="M607" s="38" t="s">
        <v>1321</v>
      </c>
      <c r="N607" s="38">
        <f>データ!E607</f>
        <v>15</v>
      </c>
      <c r="O607" s="38" t="s">
        <v>1024</v>
      </c>
      <c r="P607" s="38" t="s">
        <v>1319</v>
      </c>
      <c r="Q607" s="38" t="str">
        <f>データ!F607</f>
        <v>打</v>
      </c>
      <c r="R607" s="38" t="s">
        <v>1024</v>
      </c>
      <c r="S607" s="38" t="s">
        <v>1319</v>
      </c>
      <c r="T607" s="39">
        <f>データ!G607</f>
        <v>28798</v>
      </c>
      <c r="U607" s="40" t="s">
        <v>1024</v>
      </c>
      <c r="V607" s="40" t="s">
        <v>1319</v>
      </c>
      <c r="W607" s="39">
        <f>データ!H607</f>
        <v>7405</v>
      </c>
      <c r="X607" s="40" t="s">
        <v>1024</v>
      </c>
      <c r="Y607" s="40" t="s">
        <v>1319</v>
      </c>
      <c r="Z607" s="39">
        <f>データ!I607</f>
        <v>11047</v>
      </c>
      <c r="AA607" s="40" t="s">
        <v>1024</v>
      </c>
      <c r="AB607" s="40" t="s">
        <v>1322</v>
      </c>
      <c r="AC607" s="39" t="str">
        <f>データ!J607</f>
        <v>S</v>
      </c>
      <c r="AD607" s="38" t="s">
        <v>1024</v>
      </c>
      <c r="AE607" s="40" t="s">
        <v>1323</v>
      </c>
      <c r="AF607" s="39">
        <f>データ!K607</f>
        <v>47250</v>
      </c>
      <c r="AG607" s="40" t="s">
        <v>1024</v>
      </c>
      <c r="AH607" s="40" t="s">
        <v>1324</v>
      </c>
      <c r="AI607" s="39" t="str">
        <f>データ!L607</f>
        <v>地幻光の交叉線／煌</v>
      </c>
      <c r="AJ607" s="10" t="s">
        <v>1113</v>
      </c>
      <c r="AK607" s="39" t="str">
        <f>データ!M607</f>
        <v>X字型攻撃[特大]自分の防御力UP[特大]</v>
      </c>
      <c r="AL607" s="10" t="s">
        <v>1024</v>
      </c>
      <c r="AM607" s="40" t="s">
        <v>1325</v>
      </c>
      <c r="AN607" s="39" t="str">
        <f>データ!N607</f>
        <v>-</v>
      </c>
      <c r="AO607" s="10" t="s">
        <v>1113</v>
      </c>
      <c r="AP607" s="39" t="str">
        <f>データ!O607</f>
        <v>　</v>
      </c>
      <c r="AQ607" s="41" t="s">
        <v>1024</v>
      </c>
      <c r="AR607" s="40" t="s">
        <v>1324</v>
      </c>
      <c r="AS607" s="39" t="str">
        <f>データ!P607</f>
        <v>ファランクス／絶</v>
      </c>
      <c r="AT607" s="10" t="s">
        <v>1113</v>
      </c>
      <c r="AU607" s="39" t="str">
        <f>データ!Q607</f>
        <v>騎士団全体の強襲率大DOWN・防御力大UP(3分間)</v>
      </c>
      <c r="AV607" s="10" t="s">
        <v>1024</v>
      </c>
      <c r="AW607" s="40" t="s">
        <v>1324</v>
      </c>
      <c r="AX607" s="39" t="str">
        <f>データ!R607</f>
        <v>キャッスルヴェール／真</v>
      </c>
      <c r="AY607" s="10" t="s">
        <v>1113</v>
      </c>
      <c r="AZ607" s="39" t="str">
        <f>データ!S607</f>
        <v>城の強度Lvが中UP(3分間)</v>
      </c>
      <c r="BA607" s="41" t="s">
        <v>1024</v>
      </c>
      <c r="BB607" s="40" t="s">
        <v>1319</v>
      </c>
      <c r="BC607" s="39" t="str">
        <f>データ!T607</f>
        <v>-</v>
      </c>
      <c r="BD607" s="41" t="s">
        <v>1024</v>
      </c>
      <c r="BE607" s="40" t="s">
        <v>1320</v>
      </c>
      <c r="BF607" s="39" t="str">
        <f>データ!U607</f>
        <v>-</v>
      </c>
      <c r="BG607" s="41" t="s">
        <v>1024</v>
      </c>
      <c r="BH607" s="40" t="s">
        <v>1319</v>
      </c>
      <c r="BI607" s="39" t="str">
        <f>データ!V607</f>
        <v>ガチャイベ</v>
      </c>
      <c r="BJ607" s="41" t="s">
        <v>1024</v>
      </c>
      <c r="BK607" s="10" t="s">
        <v>1019</v>
      </c>
    </row>
    <row r="608" spans="1:63" x14ac:dyDescent="0.15">
      <c r="A608" s="10" t="s">
        <v>1016</v>
      </c>
      <c r="B608" s="10" t="s">
        <v>1454</v>
      </c>
      <c r="C608" s="38" t="str">
        <f>"./images/thumbnail/"&amp;データ!B608&amp;".jpg"</f>
        <v>./images/thumbnail/1995.jpg</v>
      </c>
      <c r="D608" s="38" t="s">
        <v>1455</v>
      </c>
      <c r="E608" s="38" t="str">
        <f>"./images/thumbnail/"&amp;データ!B608&amp;".jpg"</f>
        <v>./images/thumbnail/1995.jpg</v>
      </c>
      <c r="F608" s="38" t="s">
        <v>1116</v>
      </c>
      <c r="G608" s="38" t="s">
        <v>1319</v>
      </c>
      <c r="H608" s="38" t="str">
        <f>データ!C608</f>
        <v>アンネ</v>
      </c>
      <c r="I608" s="38" t="s">
        <v>1024</v>
      </c>
      <c r="J608" s="38" t="s">
        <v>1320</v>
      </c>
      <c r="K608" s="38" t="str">
        <f>データ!D608</f>
        <v>UR</v>
      </c>
      <c r="L608" s="38" t="s">
        <v>1024</v>
      </c>
      <c r="M608" s="38" t="s">
        <v>1321</v>
      </c>
      <c r="N608" s="38">
        <f>データ!E608</f>
        <v>15</v>
      </c>
      <c r="O608" s="38" t="s">
        <v>1024</v>
      </c>
      <c r="P608" s="38" t="s">
        <v>1319</v>
      </c>
      <c r="Q608" s="38" t="str">
        <f>データ!F608</f>
        <v>遠</v>
      </c>
      <c r="R608" s="38" t="s">
        <v>1024</v>
      </c>
      <c r="S608" s="38" t="s">
        <v>1319</v>
      </c>
      <c r="T608" s="39">
        <f>データ!G608</f>
        <v>23155</v>
      </c>
      <c r="U608" s="40" t="s">
        <v>1024</v>
      </c>
      <c r="V608" s="40" t="s">
        <v>1319</v>
      </c>
      <c r="W608" s="39">
        <f>データ!H608</f>
        <v>7240</v>
      </c>
      <c r="X608" s="40" t="s">
        <v>1024</v>
      </c>
      <c r="Y608" s="40" t="s">
        <v>1319</v>
      </c>
      <c r="Z608" s="39">
        <f>データ!I608</f>
        <v>7461</v>
      </c>
      <c r="AA608" s="40" t="s">
        <v>1024</v>
      </c>
      <c r="AB608" s="40" t="s">
        <v>1322</v>
      </c>
      <c r="AC608" s="39" t="str">
        <f>データ!J608</f>
        <v>SS</v>
      </c>
      <c r="AD608" s="38" t="s">
        <v>1024</v>
      </c>
      <c r="AE608" s="40" t="s">
        <v>1323</v>
      </c>
      <c r="AF608" s="39">
        <f>データ!K608</f>
        <v>37856</v>
      </c>
      <c r="AG608" s="40" t="s">
        <v>1024</v>
      </c>
      <c r="AH608" s="40" t="s">
        <v>1324</v>
      </c>
      <c r="AI608" s="39" t="str">
        <f>データ!L608</f>
        <v>マクシ・ミリアン</v>
      </c>
      <c r="AJ608" s="10" t="s">
        <v>1113</v>
      </c>
      <c r="AK608" s="39" t="str">
        <f>データ!M608</f>
        <v>ランダムで6連続攻撃[中]</v>
      </c>
      <c r="AL608" s="38" t="s">
        <v>1024</v>
      </c>
      <c r="AM608" s="40" t="s">
        <v>1325</v>
      </c>
      <c r="AN608" s="39" t="str">
        <f>データ!N608</f>
        <v>-</v>
      </c>
      <c r="AO608" s="10" t="s">
        <v>1113</v>
      </c>
      <c r="AP608" s="39" t="str">
        <f>データ!O608</f>
        <v>　</v>
      </c>
      <c r="AQ608" s="41" t="s">
        <v>1024</v>
      </c>
      <c r="AR608" s="40" t="s">
        <v>1324</v>
      </c>
      <c r="AS608" s="39" t="str">
        <f>データ!P608</f>
        <v>エース／煌</v>
      </c>
      <c r="AT608" s="10" t="s">
        <v>1113</v>
      </c>
      <c r="AU608" s="39" t="str">
        <f>データ!Q608</f>
        <v>パーティ全体の攻・防が特大UP(3分間)</v>
      </c>
      <c r="AV608" s="10" t="s">
        <v>1024</v>
      </c>
      <c r="AW608" s="40" t="s">
        <v>1324</v>
      </c>
      <c r="AX608" s="39" t="str">
        <f>データ!R608</f>
        <v>アクセラレーター／絶</v>
      </c>
      <c r="AY608" s="10" t="s">
        <v>1113</v>
      </c>
      <c r="AZ608" s="39" t="str">
        <f>データ!S608</f>
        <v>パーティ全体の速度が大UP(3分間)</v>
      </c>
      <c r="BA608" s="41" t="s">
        <v>1024</v>
      </c>
      <c r="BB608" s="40" t="s">
        <v>1319</v>
      </c>
      <c r="BC608" s="39" t="str">
        <f>データ!T608</f>
        <v>-</v>
      </c>
      <c r="BD608" s="41" t="s">
        <v>1024</v>
      </c>
      <c r="BE608" s="40" t="s">
        <v>1320</v>
      </c>
      <c r="BF608" s="39" t="str">
        <f>データ!U608</f>
        <v>-</v>
      </c>
      <c r="BG608" s="41" t="s">
        <v>1024</v>
      </c>
      <c r="BH608" s="40" t="s">
        <v>1319</v>
      </c>
      <c r="BI608" s="39" t="str">
        <f>データ!V608</f>
        <v>覇者の塔</v>
      </c>
      <c r="BJ608" s="41" t="s">
        <v>1024</v>
      </c>
      <c r="BK608" s="10" t="s">
        <v>1019</v>
      </c>
    </row>
    <row r="609" spans="1:63" x14ac:dyDescent="0.15">
      <c r="A609" s="10" t="s">
        <v>1016</v>
      </c>
      <c r="B609" s="10" t="s">
        <v>1454</v>
      </c>
      <c r="C609" s="38" t="str">
        <f>"./images/thumbnail/"&amp;データ!B609&amp;".jpg"</f>
        <v>./images/thumbnail/1996.jpg</v>
      </c>
      <c r="D609" s="38" t="s">
        <v>1455</v>
      </c>
      <c r="E609" s="38" t="str">
        <f>"./images/thumbnail/"&amp;データ!B609&amp;".jpg"</f>
        <v>./images/thumbnail/1996.jpg</v>
      </c>
      <c r="F609" s="38" t="s">
        <v>1116</v>
      </c>
      <c r="G609" s="38" t="s">
        <v>1319</v>
      </c>
      <c r="H609" s="38" t="str">
        <f>データ!C609</f>
        <v>クリシーヌ</v>
      </c>
      <c r="I609" s="38" t="s">
        <v>1024</v>
      </c>
      <c r="J609" s="38" t="s">
        <v>1320</v>
      </c>
      <c r="K609" s="38" t="str">
        <f>データ!D609</f>
        <v>UR</v>
      </c>
      <c r="L609" s="38" t="s">
        <v>1024</v>
      </c>
      <c r="M609" s="38" t="s">
        <v>1321</v>
      </c>
      <c r="N609" s="38">
        <f>データ!E609</f>
        <v>15</v>
      </c>
      <c r="O609" s="38" t="s">
        <v>1024</v>
      </c>
      <c r="P609" s="38" t="s">
        <v>1319</v>
      </c>
      <c r="Q609" s="38" t="str">
        <f>データ!F609</f>
        <v>遠</v>
      </c>
      <c r="R609" s="38" t="s">
        <v>1024</v>
      </c>
      <c r="S609" s="38" t="s">
        <v>1319</v>
      </c>
      <c r="T609" s="39">
        <f>データ!G609</f>
        <v>22822</v>
      </c>
      <c r="U609" s="40" t="s">
        <v>1024</v>
      </c>
      <c r="V609" s="40" t="s">
        <v>1319</v>
      </c>
      <c r="W609" s="39">
        <f>データ!H609</f>
        <v>7408</v>
      </c>
      <c r="X609" s="40" t="s">
        <v>1024</v>
      </c>
      <c r="Y609" s="40" t="s">
        <v>1319</v>
      </c>
      <c r="Z609" s="39">
        <f>データ!I609</f>
        <v>6872</v>
      </c>
      <c r="AA609" s="40" t="s">
        <v>1024</v>
      </c>
      <c r="AB609" s="40" t="s">
        <v>1322</v>
      </c>
      <c r="AC609" s="39" t="str">
        <f>データ!J609</f>
        <v>SS</v>
      </c>
      <c r="AD609" s="38" t="s">
        <v>1024</v>
      </c>
      <c r="AE609" s="40" t="s">
        <v>1323</v>
      </c>
      <c r="AF609" s="39">
        <f>データ!K609</f>
        <v>37102</v>
      </c>
      <c r="AG609" s="40" t="s">
        <v>1024</v>
      </c>
      <c r="AH609" s="40" t="s">
        <v>1324</v>
      </c>
      <c r="AI609" s="39" t="str">
        <f>データ!L609</f>
        <v>対紫の突風／煌</v>
      </c>
      <c r="AJ609" s="10" t="s">
        <v>1113</v>
      </c>
      <c r="AK609" s="39" t="str">
        <f>データ!M609</f>
        <v>打に強く遠に弱い縦一列攻撃[特大]</v>
      </c>
      <c r="AL609" s="10" t="s">
        <v>1024</v>
      </c>
      <c r="AM609" s="40" t="s">
        <v>1325</v>
      </c>
      <c r="AN609" s="39" t="str">
        <f>データ!N609</f>
        <v>毒蛇の禁呪</v>
      </c>
      <c r="AO609" s="10" t="s">
        <v>1113</v>
      </c>
      <c r="AP609" s="39" t="str">
        <f>データ!O609</f>
        <v>敵を毒状態[超高確率]&amp;毒ダメージ[大]</v>
      </c>
      <c r="AQ609" s="41" t="s">
        <v>1024</v>
      </c>
      <c r="AR609" s="40" t="s">
        <v>1324</v>
      </c>
      <c r="AS609" s="39" t="str">
        <f>データ!P609</f>
        <v>レクトノート／絶</v>
      </c>
      <c r="AT609" s="10" t="s">
        <v>1113</v>
      </c>
      <c r="AU609" s="39" t="str">
        <f>データ!Q609</f>
        <v>バトルで敵を全滅するとBPが大回復(3分間)</v>
      </c>
      <c r="AV609" s="10" t="s">
        <v>1024</v>
      </c>
      <c r="AW609" s="40" t="s">
        <v>1324</v>
      </c>
      <c r="AX609" s="39" t="str">
        <f>データ!R609</f>
        <v>フォートレス／絶</v>
      </c>
      <c r="AY609" s="10" t="s">
        <v>1113</v>
      </c>
      <c r="AZ609" s="39" t="str">
        <f>データ!S609</f>
        <v>パーティ全体の防御力が大UP(3分間)</v>
      </c>
      <c r="BA609" s="41" t="s">
        <v>1024</v>
      </c>
      <c r="BB609" s="40" t="s">
        <v>1319</v>
      </c>
      <c r="BC609" s="39" t="str">
        <f>データ!T609</f>
        <v>-</v>
      </c>
      <c r="BD609" s="41" t="s">
        <v>1024</v>
      </c>
      <c r="BE609" s="40" t="s">
        <v>1320</v>
      </c>
      <c r="BF609" s="39" t="str">
        <f>データ!U609</f>
        <v>-</v>
      </c>
      <c r="BG609" s="41" t="s">
        <v>1024</v>
      </c>
      <c r="BH609" s="40" t="s">
        <v>1319</v>
      </c>
      <c r="BI609" s="39" t="str">
        <f>データ!V609</f>
        <v>常設</v>
      </c>
      <c r="BJ609" s="41" t="s">
        <v>1024</v>
      </c>
      <c r="BK609" s="10" t="s">
        <v>1019</v>
      </c>
    </row>
    <row r="610" spans="1:63" x14ac:dyDescent="0.15">
      <c r="A610" s="10" t="s">
        <v>1016</v>
      </c>
      <c r="B610" s="10" t="s">
        <v>1454</v>
      </c>
      <c r="C610" s="38" t="str">
        <f>"./images/thumbnail/"&amp;データ!B610&amp;".jpg"</f>
        <v>./images/thumbnail/1997.jpg</v>
      </c>
      <c r="D610" s="38" t="s">
        <v>1455</v>
      </c>
      <c r="E610" s="38" t="str">
        <f>"./images/thumbnail/"&amp;データ!B610&amp;".jpg"</f>
        <v>./images/thumbnail/1997.jpg</v>
      </c>
      <c r="F610" s="38" t="s">
        <v>1116</v>
      </c>
      <c r="G610" s="38" t="s">
        <v>1319</v>
      </c>
      <c r="H610" s="38" t="str">
        <f>データ!C610</f>
        <v>ギルバード</v>
      </c>
      <c r="I610" s="38" t="s">
        <v>1024</v>
      </c>
      <c r="J610" s="38" t="s">
        <v>1320</v>
      </c>
      <c r="K610" s="38" t="str">
        <f>データ!D610</f>
        <v>SSR</v>
      </c>
      <c r="L610" s="38" t="s">
        <v>1024</v>
      </c>
      <c r="M610" s="38" t="s">
        <v>1321</v>
      </c>
      <c r="N610" s="38">
        <f>データ!E610</f>
        <v>12</v>
      </c>
      <c r="O610" s="38" t="s">
        <v>1024</v>
      </c>
      <c r="P610" s="38" t="s">
        <v>1319</v>
      </c>
      <c r="Q610" s="38" t="str">
        <f>データ!F610</f>
        <v>打</v>
      </c>
      <c r="R610" s="38" t="s">
        <v>1024</v>
      </c>
      <c r="S610" s="38" t="s">
        <v>1319</v>
      </c>
      <c r="T610" s="39">
        <f>データ!G610</f>
        <v>19361</v>
      </c>
      <c r="U610" s="40" t="s">
        <v>1024</v>
      </c>
      <c r="V610" s="40" t="s">
        <v>1319</v>
      </c>
      <c r="W610" s="39">
        <f>データ!H610</f>
        <v>5334</v>
      </c>
      <c r="X610" s="40" t="s">
        <v>1024</v>
      </c>
      <c r="Y610" s="40" t="s">
        <v>1319</v>
      </c>
      <c r="Z610" s="39">
        <f>データ!I610</f>
        <v>6914</v>
      </c>
      <c r="AA610" s="40" t="s">
        <v>1024</v>
      </c>
      <c r="AB610" s="40" t="s">
        <v>1322</v>
      </c>
      <c r="AC610" s="39" t="str">
        <f>データ!J610</f>
        <v>A-</v>
      </c>
      <c r="AD610" s="38" t="s">
        <v>1024</v>
      </c>
      <c r="AE610" s="40" t="s">
        <v>1323</v>
      </c>
      <c r="AF610" s="39">
        <f>データ!K610</f>
        <v>31609</v>
      </c>
      <c r="AG610" s="40" t="s">
        <v>1024</v>
      </c>
      <c r="AH610" s="40" t="s">
        <v>1324</v>
      </c>
      <c r="AI610" s="39" t="str">
        <f>データ!L610</f>
        <v>天幻光の交叉線／絶</v>
      </c>
      <c r="AJ610" s="10" t="s">
        <v>1113</v>
      </c>
      <c r="AK610" s="39" t="str">
        <f>データ!M610</f>
        <v>X字型攻撃[大]自分の攻撃力UP[大]</v>
      </c>
      <c r="AL610" s="10" t="s">
        <v>1024</v>
      </c>
      <c r="AM610" s="40" t="s">
        <v>1325</v>
      </c>
      <c r="AN610" s="39" t="str">
        <f>データ!N610</f>
        <v>-</v>
      </c>
      <c r="AO610" s="10" t="s">
        <v>1113</v>
      </c>
      <c r="AP610" s="39" t="str">
        <f>データ!O610</f>
        <v>　</v>
      </c>
      <c r="AQ610" s="41" t="s">
        <v>1024</v>
      </c>
      <c r="AR610" s="40" t="s">
        <v>1324</v>
      </c>
      <c r="AS610" s="39" t="str">
        <f>データ!P610</f>
        <v>グラビティアサルト／真</v>
      </c>
      <c r="AT610" s="10" t="s">
        <v>1113</v>
      </c>
      <c r="AU610" s="39" t="str">
        <f>データ!Q610</f>
        <v>パーティ全体の攻撃力中UP・速度大DOWN(3分間)</v>
      </c>
      <c r="AV610" s="10" t="s">
        <v>1024</v>
      </c>
      <c r="AW610" s="40" t="s">
        <v>1324</v>
      </c>
      <c r="AX610" s="39" t="str">
        <f>データ!R610</f>
        <v>-</v>
      </c>
      <c r="AY610" s="10" t="s">
        <v>1113</v>
      </c>
      <c r="AZ610" s="39" t="str">
        <f>データ!S610</f>
        <v>　</v>
      </c>
      <c r="BA610" s="41" t="s">
        <v>1024</v>
      </c>
      <c r="BB610" s="40" t="s">
        <v>1319</v>
      </c>
      <c r="BC610" s="39" t="str">
        <f>データ!T610</f>
        <v>-</v>
      </c>
      <c r="BD610" s="41" t="s">
        <v>1024</v>
      </c>
      <c r="BE610" s="40" t="s">
        <v>1320</v>
      </c>
      <c r="BF610" s="39" t="str">
        <f>データ!U610</f>
        <v>-</v>
      </c>
      <c r="BG610" s="41" t="s">
        <v>1024</v>
      </c>
      <c r="BH610" s="40" t="s">
        <v>1319</v>
      </c>
      <c r="BI610" s="39" t="str">
        <f>データ!V610</f>
        <v>第14回統一報酬</v>
      </c>
      <c r="BJ610" s="41" t="s">
        <v>1024</v>
      </c>
      <c r="BK610" s="10" t="s">
        <v>1019</v>
      </c>
    </row>
    <row r="611" spans="1:63" x14ac:dyDescent="0.15">
      <c r="A611" s="10" t="s">
        <v>1016</v>
      </c>
      <c r="B611" s="10" t="s">
        <v>1454</v>
      </c>
      <c r="C611" s="38" t="str">
        <f>"./images/thumbnail/"&amp;データ!B611&amp;".jpg"</f>
        <v>./images/thumbnail/1998.jpg</v>
      </c>
      <c r="D611" s="38" t="s">
        <v>1455</v>
      </c>
      <c r="E611" s="38" t="str">
        <f>"./images/thumbnail/"&amp;データ!B611&amp;".jpg"</f>
        <v>./images/thumbnail/1998.jpg</v>
      </c>
      <c r="F611" s="38" t="s">
        <v>1116</v>
      </c>
      <c r="G611" s="38" t="s">
        <v>1319</v>
      </c>
      <c r="H611" s="38" t="str">
        <f>データ!C611</f>
        <v>ギルバード</v>
      </c>
      <c r="I611" s="38" t="s">
        <v>1024</v>
      </c>
      <c r="J611" s="38" t="s">
        <v>1320</v>
      </c>
      <c r="K611" s="38" t="str">
        <f>データ!D611</f>
        <v>SSR</v>
      </c>
      <c r="L611" s="38" t="s">
        <v>1024</v>
      </c>
      <c r="M611" s="38" t="s">
        <v>1321</v>
      </c>
      <c r="N611" s="38">
        <f>データ!E611</f>
        <v>13</v>
      </c>
      <c r="O611" s="38" t="s">
        <v>1024</v>
      </c>
      <c r="P611" s="38" t="s">
        <v>1319</v>
      </c>
      <c r="Q611" s="38" t="str">
        <f>データ!F611</f>
        <v>打</v>
      </c>
      <c r="R611" s="38" t="s">
        <v>1024</v>
      </c>
      <c r="S611" s="38" t="s">
        <v>1319</v>
      </c>
      <c r="T611" s="39">
        <f>データ!G611</f>
        <v>18992</v>
      </c>
      <c r="U611" s="40" t="s">
        <v>1024</v>
      </c>
      <c r="V611" s="40" t="s">
        <v>1319</v>
      </c>
      <c r="W611" s="39">
        <f>データ!H611</f>
        <v>6467</v>
      </c>
      <c r="X611" s="40" t="s">
        <v>1024</v>
      </c>
      <c r="Y611" s="40" t="s">
        <v>1319</v>
      </c>
      <c r="Z611" s="39">
        <f>データ!I611</f>
        <v>7593</v>
      </c>
      <c r="AA611" s="40" t="s">
        <v>1024</v>
      </c>
      <c r="AB611" s="40" t="s">
        <v>1322</v>
      </c>
      <c r="AC611" s="39" t="str">
        <f>データ!J611</f>
        <v>A-</v>
      </c>
      <c r="AD611" s="38" t="s">
        <v>1024</v>
      </c>
      <c r="AE611" s="40" t="s">
        <v>1323</v>
      </c>
      <c r="AF611" s="39">
        <f>データ!K611</f>
        <v>33052</v>
      </c>
      <c r="AG611" s="40" t="s">
        <v>1024</v>
      </c>
      <c r="AH611" s="40" t="s">
        <v>1324</v>
      </c>
      <c r="AI611" s="39" t="str">
        <f>データ!L611</f>
        <v>天幻光の交叉線／絶</v>
      </c>
      <c r="AJ611" s="10" t="s">
        <v>1113</v>
      </c>
      <c r="AK611" s="39" t="str">
        <f>データ!M611</f>
        <v>X字型攻撃[大]自分の攻撃力UP[大]</v>
      </c>
      <c r="AL611" s="10" t="s">
        <v>1024</v>
      </c>
      <c r="AM611" s="40" t="s">
        <v>1325</v>
      </c>
      <c r="AN611" s="39" t="str">
        <f>データ!N611</f>
        <v>-</v>
      </c>
      <c r="AO611" s="10" t="s">
        <v>1113</v>
      </c>
      <c r="AP611" s="39" t="str">
        <f>データ!O611</f>
        <v>　</v>
      </c>
      <c r="AQ611" s="41" t="s">
        <v>1024</v>
      </c>
      <c r="AR611" s="40" t="s">
        <v>1324</v>
      </c>
      <c r="AS611" s="39" t="str">
        <f>データ!P611</f>
        <v>グラビティアサルト／真</v>
      </c>
      <c r="AT611" s="10" t="s">
        <v>1113</v>
      </c>
      <c r="AU611" s="39" t="str">
        <f>データ!Q611</f>
        <v>パーティ全体の攻撃力中UP・速度大DOWN(3分間)</v>
      </c>
      <c r="AV611" s="10" t="s">
        <v>1024</v>
      </c>
      <c r="AW611" s="40" t="s">
        <v>1324</v>
      </c>
      <c r="AX611" s="39" t="str">
        <f>データ!R611</f>
        <v>-</v>
      </c>
      <c r="AY611" s="10" t="s">
        <v>1113</v>
      </c>
      <c r="AZ611" s="39" t="str">
        <f>データ!S611</f>
        <v>　</v>
      </c>
      <c r="BA611" s="41" t="s">
        <v>1024</v>
      </c>
      <c r="BB611" s="40" t="s">
        <v>1319</v>
      </c>
      <c r="BC611" s="39" t="str">
        <f>データ!T611</f>
        <v>-</v>
      </c>
      <c r="BD611" s="41" t="s">
        <v>1024</v>
      </c>
      <c r="BE611" s="40" t="s">
        <v>1320</v>
      </c>
      <c r="BF611" s="39" t="str">
        <f>データ!U611</f>
        <v>-</v>
      </c>
      <c r="BG611" s="41" t="s">
        <v>1024</v>
      </c>
      <c r="BH611" s="40" t="s">
        <v>1319</v>
      </c>
      <c r="BI611" s="39" t="str">
        <f>データ!V611</f>
        <v>第14回統一報酬</v>
      </c>
      <c r="BJ611" s="41" t="s">
        <v>1024</v>
      </c>
      <c r="BK611" s="10" t="s">
        <v>1019</v>
      </c>
    </row>
    <row r="612" spans="1:63" x14ac:dyDescent="0.15">
      <c r="A612" s="10" t="s">
        <v>1016</v>
      </c>
      <c r="B612" s="10" t="s">
        <v>1454</v>
      </c>
      <c r="C612" s="38" t="str">
        <f>"./images/thumbnail/"&amp;データ!B612&amp;".jpg"</f>
        <v>./images/thumbnail/1999.jpg</v>
      </c>
      <c r="D612" s="38" t="s">
        <v>1455</v>
      </c>
      <c r="E612" s="38" t="str">
        <f>"./images/thumbnail/"&amp;データ!B612&amp;".jpg"</f>
        <v>./images/thumbnail/1999.jpg</v>
      </c>
      <c r="F612" s="38" t="s">
        <v>1116</v>
      </c>
      <c r="G612" s="38" t="s">
        <v>1319</v>
      </c>
      <c r="H612" s="38" t="str">
        <f>データ!C612</f>
        <v>ギルバード</v>
      </c>
      <c r="I612" s="38" t="s">
        <v>1024</v>
      </c>
      <c r="J612" s="38" t="s">
        <v>1320</v>
      </c>
      <c r="K612" s="38" t="str">
        <f>データ!D612</f>
        <v>UR</v>
      </c>
      <c r="L612" s="38" t="s">
        <v>1024</v>
      </c>
      <c r="M612" s="38" t="s">
        <v>1321</v>
      </c>
      <c r="N612" s="38">
        <f>データ!E612</f>
        <v>14</v>
      </c>
      <c r="O612" s="38" t="s">
        <v>1024</v>
      </c>
      <c r="P612" s="38" t="s">
        <v>1319</v>
      </c>
      <c r="Q612" s="38" t="str">
        <f>データ!F612</f>
        <v>打</v>
      </c>
      <c r="R612" s="38" t="s">
        <v>1024</v>
      </c>
      <c r="S612" s="38" t="s">
        <v>1319</v>
      </c>
      <c r="T612" s="39">
        <f>データ!G612</f>
        <v>24195</v>
      </c>
      <c r="U612" s="40" t="s">
        <v>1024</v>
      </c>
      <c r="V612" s="40" t="s">
        <v>1319</v>
      </c>
      <c r="W612" s="39">
        <f>データ!H612</f>
        <v>7016</v>
      </c>
      <c r="X612" s="40" t="s">
        <v>1024</v>
      </c>
      <c r="Y612" s="40" t="s">
        <v>1319</v>
      </c>
      <c r="Z612" s="39">
        <f>データ!I612</f>
        <v>9743</v>
      </c>
      <c r="AA612" s="40" t="s">
        <v>1024</v>
      </c>
      <c r="AB612" s="40" t="s">
        <v>1322</v>
      </c>
      <c r="AC612" s="39" t="str">
        <f>データ!J612</f>
        <v>A+</v>
      </c>
      <c r="AD612" s="38" t="s">
        <v>1024</v>
      </c>
      <c r="AE612" s="40" t="s">
        <v>1323</v>
      </c>
      <c r="AF612" s="39">
        <f>データ!K612</f>
        <v>40954</v>
      </c>
      <c r="AG612" s="40" t="s">
        <v>1024</v>
      </c>
      <c r="AH612" s="40" t="s">
        <v>1324</v>
      </c>
      <c r="AI612" s="39" t="str">
        <f>データ!L612</f>
        <v>天幻光の交叉線／煌</v>
      </c>
      <c r="AJ612" s="10" t="s">
        <v>1113</v>
      </c>
      <c r="AK612" s="39" t="str">
        <f>データ!M612</f>
        <v>X字型攻撃[特大]自分の攻撃力UP[特大]</v>
      </c>
      <c r="AL612" s="10" t="s">
        <v>1024</v>
      </c>
      <c r="AM612" s="40" t="s">
        <v>1325</v>
      </c>
      <c r="AN612" s="39" t="str">
        <f>データ!N612</f>
        <v>-</v>
      </c>
      <c r="AO612" s="10" t="s">
        <v>1113</v>
      </c>
      <c r="AP612" s="39" t="str">
        <f>データ!O612</f>
        <v>　</v>
      </c>
      <c r="AQ612" s="41" t="s">
        <v>1024</v>
      </c>
      <c r="AR612" s="40" t="s">
        <v>1324</v>
      </c>
      <c r="AS612" s="39" t="str">
        <f>データ!P612</f>
        <v>グラビティアサルト／絶</v>
      </c>
      <c r="AT612" s="10" t="s">
        <v>1113</v>
      </c>
      <c r="AU612" s="39" t="str">
        <f>データ!Q612</f>
        <v>パーティ全体の攻撃力大UP・速度大DOWN(3分間)</v>
      </c>
      <c r="AV612" s="10" t="s">
        <v>1024</v>
      </c>
      <c r="AW612" s="40" t="s">
        <v>1324</v>
      </c>
      <c r="AX612" s="39" t="str">
        <f>データ!R612</f>
        <v>-</v>
      </c>
      <c r="AY612" s="10" t="s">
        <v>1113</v>
      </c>
      <c r="AZ612" s="39" t="str">
        <f>データ!S612</f>
        <v>　</v>
      </c>
      <c r="BA612" s="41" t="s">
        <v>1024</v>
      </c>
      <c r="BB612" s="40" t="s">
        <v>1319</v>
      </c>
      <c r="BC612" s="39" t="str">
        <f>データ!T612</f>
        <v>-</v>
      </c>
      <c r="BD612" s="41" t="s">
        <v>1024</v>
      </c>
      <c r="BE612" s="40" t="s">
        <v>1320</v>
      </c>
      <c r="BF612" s="39" t="str">
        <f>データ!U612</f>
        <v>-</v>
      </c>
      <c r="BG612" s="41" t="s">
        <v>1024</v>
      </c>
      <c r="BH612" s="40" t="s">
        <v>1319</v>
      </c>
      <c r="BI612" s="39" t="str">
        <f>データ!V612</f>
        <v>第14回統一報酬</v>
      </c>
      <c r="BJ612" s="41" t="s">
        <v>1024</v>
      </c>
      <c r="BK612" s="10" t="s">
        <v>1019</v>
      </c>
    </row>
    <row r="613" spans="1:63" x14ac:dyDescent="0.15">
      <c r="A613" s="10" t="s">
        <v>1016</v>
      </c>
      <c r="B613" s="10" t="s">
        <v>1454</v>
      </c>
      <c r="C613" s="38" t="str">
        <f>"./images/thumbnail/"&amp;データ!B613&amp;".jpg"</f>
        <v>./images/thumbnail/2000.jpg</v>
      </c>
      <c r="D613" s="38" t="s">
        <v>1455</v>
      </c>
      <c r="E613" s="38" t="str">
        <f>"./images/thumbnail/"&amp;データ!B613&amp;".jpg"</f>
        <v>./images/thumbnail/2000.jpg</v>
      </c>
      <c r="F613" s="38" t="s">
        <v>1116</v>
      </c>
      <c r="G613" s="38" t="s">
        <v>1319</v>
      </c>
      <c r="H613" s="38" t="str">
        <f>データ!C613</f>
        <v>ギルバード</v>
      </c>
      <c r="I613" s="38" t="s">
        <v>1024</v>
      </c>
      <c r="J613" s="38" t="s">
        <v>1320</v>
      </c>
      <c r="K613" s="38" t="str">
        <f>データ!D613</f>
        <v>UR</v>
      </c>
      <c r="L613" s="38" t="s">
        <v>1024</v>
      </c>
      <c r="M613" s="38" t="s">
        <v>1321</v>
      </c>
      <c r="N613" s="38">
        <f>データ!E613</f>
        <v>15</v>
      </c>
      <c r="O613" s="38" t="s">
        <v>1024</v>
      </c>
      <c r="P613" s="38" t="s">
        <v>1319</v>
      </c>
      <c r="Q613" s="38" t="str">
        <f>データ!F613</f>
        <v>打</v>
      </c>
      <c r="R613" s="38" t="s">
        <v>1024</v>
      </c>
      <c r="S613" s="38" t="s">
        <v>1319</v>
      </c>
      <c r="T613" s="39">
        <f>データ!G613</f>
        <v>27468</v>
      </c>
      <c r="U613" s="40" t="s">
        <v>1024</v>
      </c>
      <c r="V613" s="40" t="s">
        <v>1319</v>
      </c>
      <c r="W613" s="39">
        <f>データ!H613</f>
        <v>7329</v>
      </c>
      <c r="X613" s="40" t="s">
        <v>1024</v>
      </c>
      <c r="Y613" s="40" t="s">
        <v>1319</v>
      </c>
      <c r="Z613" s="39">
        <f>データ!I613</f>
        <v>10487</v>
      </c>
      <c r="AA613" s="40" t="s">
        <v>1024</v>
      </c>
      <c r="AB613" s="40" t="s">
        <v>1322</v>
      </c>
      <c r="AC613" s="39" t="str">
        <f>データ!J613</f>
        <v>S</v>
      </c>
      <c r="AD613" s="38" t="s">
        <v>1024</v>
      </c>
      <c r="AE613" s="40" t="s">
        <v>1323</v>
      </c>
      <c r="AF613" s="39">
        <f>データ!K613</f>
        <v>45284</v>
      </c>
      <c r="AG613" s="40" t="s">
        <v>1024</v>
      </c>
      <c r="AH613" s="40" t="s">
        <v>1324</v>
      </c>
      <c r="AI613" s="39" t="str">
        <f>データ!L613</f>
        <v>天幻光の交叉線／煌</v>
      </c>
      <c r="AJ613" s="10" t="s">
        <v>1113</v>
      </c>
      <c r="AK613" s="39" t="str">
        <f>データ!M613</f>
        <v>X字型攻撃[特大]自分の攻撃力UP[特大]</v>
      </c>
      <c r="AL613" s="10" t="s">
        <v>1024</v>
      </c>
      <c r="AM613" s="40" t="s">
        <v>1325</v>
      </c>
      <c r="AN613" s="39" t="str">
        <f>データ!N613</f>
        <v>-</v>
      </c>
      <c r="AO613" s="10" t="s">
        <v>1113</v>
      </c>
      <c r="AP613" s="39" t="str">
        <f>データ!O613</f>
        <v>　</v>
      </c>
      <c r="AQ613" s="41" t="s">
        <v>1024</v>
      </c>
      <c r="AR613" s="40" t="s">
        <v>1324</v>
      </c>
      <c r="AS613" s="39" t="str">
        <f>データ!P613</f>
        <v>グラビティアサルト／煌</v>
      </c>
      <c r="AT613" s="10" t="s">
        <v>1113</v>
      </c>
      <c r="AU613" s="39" t="str">
        <f>データ!Q613</f>
        <v>パーティ全体の攻撃力特大UP・速度大DOWN(3分間)</v>
      </c>
      <c r="AV613" s="10" t="s">
        <v>1024</v>
      </c>
      <c r="AW613" s="40" t="s">
        <v>1324</v>
      </c>
      <c r="AX613" s="39" t="str">
        <f>データ!R613</f>
        <v>ポイントライズ／絶</v>
      </c>
      <c r="AY613" s="10" t="s">
        <v>1113</v>
      </c>
      <c r="AZ613" s="39" t="str">
        <f>データ!S613</f>
        <v>獲得する騎士団戦スコアが大アップ(バトル3回)</v>
      </c>
      <c r="BA613" s="41" t="s">
        <v>1024</v>
      </c>
      <c r="BB613" s="40" t="s">
        <v>1319</v>
      </c>
      <c r="BC613" s="39" t="str">
        <f>データ!T613</f>
        <v>-</v>
      </c>
      <c r="BD613" s="41" t="s">
        <v>1024</v>
      </c>
      <c r="BE613" s="40" t="s">
        <v>1320</v>
      </c>
      <c r="BF613" s="39" t="str">
        <f>データ!U613</f>
        <v>-</v>
      </c>
      <c r="BG613" s="41" t="s">
        <v>1024</v>
      </c>
      <c r="BH613" s="40" t="s">
        <v>1319</v>
      </c>
      <c r="BI613" s="39" t="str">
        <f>データ!V613</f>
        <v>第14回統一報酬</v>
      </c>
      <c r="BJ613" s="41" t="s">
        <v>1024</v>
      </c>
      <c r="BK613" s="10" t="s">
        <v>1019</v>
      </c>
    </row>
    <row r="614" spans="1:63" x14ac:dyDescent="0.15">
      <c r="A614" s="10" t="s">
        <v>1016</v>
      </c>
      <c r="B614" s="10" t="s">
        <v>1454</v>
      </c>
      <c r="C614" s="38" t="str">
        <f>"./images/thumbnail/"&amp;データ!B614&amp;".jpg"</f>
        <v>./images/thumbnail/2002.jpg</v>
      </c>
      <c r="D614" s="38" t="s">
        <v>1455</v>
      </c>
      <c r="E614" s="38" t="str">
        <f>"./images/thumbnail/"&amp;データ!B614&amp;".jpg"</f>
        <v>./images/thumbnail/2002.jpg</v>
      </c>
      <c r="F614" s="38" t="s">
        <v>1116</v>
      </c>
      <c r="G614" s="38" t="s">
        <v>1319</v>
      </c>
      <c r="H614" s="38" t="str">
        <f>データ!C614</f>
        <v>シュザナ</v>
      </c>
      <c r="I614" s="38" t="s">
        <v>1024</v>
      </c>
      <c r="J614" s="38" t="s">
        <v>1320</v>
      </c>
      <c r="K614" s="38" t="str">
        <f>データ!D614</f>
        <v>UR</v>
      </c>
      <c r="L614" s="38" t="s">
        <v>1024</v>
      </c>
      <c r="M614" s="38" t="s">
        <v>1321</v>
      </c>
      <c r="N614" s="38">
        <f>データ!E614</f>
        <v>14</v>
      </c>
      <c r="O614" s="38" t="s">
        <v>1024</v>
      </c>
      <c r="P614" s="38" t="s">
        <v>1319</v>
      </c>
      <c r="Q614" s="38" t="str">
        <f>データ!F614</f>
        <v>斬</v>
      </c>
      <c r="R614" s="38" t="s">
        <v>1024</v>
      </c>
      <c r="S614" s="38" t="s">
        <v>1319</v>
      </c>
      <c r="T614" s="39">
        <f>データ!G614</f>
        <v>18581</v>
      </c>
      <c r="U614" s="40" t="s">
        <v>1024</v>
      </c>
      <c r="V614" s="40" t="s">
        <v>1319</v>
      </c>
      <c r="W614" s="39">
        <f>データ!H614</f>
        <v>8195</v>
      </c>
      <c r="X614" s="40" t="s">
        <v>1024</v>
      </c>
      <c r="Y614" s="40" t="s">
        <v>1319</v>
      </c>
      <c r="Z614" s="39">
        <f>データ!I614</f>
        <v>7013</v>
      </c>
      <c r="AA614" s="40" t="s">
        <v>1024</v>
      </c>
      <c r="AB614" s="40" t="s">
        <v>1322</v>
      </c>
      <c r="AC614" s="39" t="str">
        <f>データ!J614</f>
        <v>S</v>
      </c>
      <c r="AD614" s="38" t="s">
        <v>1024</v>
      </c>
      <c r="AE614" s="40" t="s">
        <v>1323</v>
      </c>
      <c r="AF614" s="39">
        <f>データ!K614</f>
        <v>33789</v>
      </c>
      <c r="AG614" s="40" t="s">
        <v>1024</v>
      </c>
      <c r="AH614" s="40" t="s">
        <v>1324</v>
      </c>
      <c r="AI614" s="39" t="str">
        <f>データ!L614</f>
        <v>対蒼の薙風／煌</v>
      </c>
      <c r="AJ614" s="10" t="s">
        <v>1113</v>
      </c>
      <c r="AK614" s="39" t="str">
        <f>データ!M614</f>
        <v>突に強く斬に弱い横一列攻撃[特大]</v>
      </c>
      <c r="AL614" s="10" t="s">
        <v>1024</v>
      </c>
      <c r="AM614" s="40" t="s">
        <v>1325</v>
      </c>
      <c r="AN614" s="39" t="str">
        <f>データ!N614</f>
        <v>-</v>
      </c>
      <c r="AO614" s="10" t="s">
        <v>1113</v>
      </c>
      <c r="AP614" s="39" t="str">
        <f>データ!O614</f>
        <v>　</v>
      </c>
      <c r="AQ614" s="41" t="s">
        <v>1024</v>
      </c>
      <c r="AR614" s="40" t="s">
        <v>1324</v>
      </c>
      <c r="AS614" s="39" t="str">
        <f>データ!P614</f>
        <v>フォートレスオーダー／真</v>
      </c>
      <c r="AT614" s="10" t="s">
        <v>1113</v>
      </c>
      <c r="AU614" s="39" t="str">
        <f>データ!Q614</f>
        <v>騎士団全体の防御力が中UP(3分間)</v>
      </c>
      <c r="AV614" s="10" t="s">
        <v>1024</v>
      </c>
      <c r="AW614" s="40" t="s">
        <v>1324</v>
      </c>
      <c r="AX614" s="39" t="str">
        <f>データ!R614</f>
        <v>-</v>
      </c>
      <c r="AY614" s="10" t="s">
        <v>1113</v>
      </c>
      <c r="AZ614" s="39" t="str">
        <f>データ!S614</f>
        <v>　</v>
      </c>
      <c r="BA614" s="41" t="s">
        <v>1024</v>
      </c>
      <c r="BB614" s="40" t="s">
        <v>1319</v>
      </c>
      <c r="BC614" s="39" t="str">
        <f>データ!T614</f>
        <v>-</v>
      </c>
      <c r="BD614" s="41" t="s">
        <v>1024</v>
      </c>
      <c r="BE614" s="40" t="s">
        <v>1320</v>
      </c>
      <c r="BF614" s="39" t="str">
        <f>データ!U614</f>
        <v>-</v>
      </c>
      <c r="BG614" s="41" t="s">
        <v>1024</v>
      </c>
      <c r="BH614" s="40" t="s">
        <v>1319</v>
      </c>
      <c r="BI614" s="39" t="str">
        <f>データ!V614</f>
        <v>常設</v>
      </c>
      <c r="BJ614" s="41" t="s">
        <v>1024</v>
      </c>
      <c r="BK614" s="10" t="s">
        <v>1019</v>
      </c>
    </row>
    <row r="615" spans="1:63" x14ac:dyDescent="0.15">
      <c r="A615" s="10" t="s">
        <v>1016</v>
      </c>
      <c r="B615" s="10" t="s">
        <v>1454</v>
      </c>
      <c r="C615" s="38" t="str">
        <f>"./images/thumbnail/"&amp;データ!B615&amp;".jpg"</f>
        <v>./images/thumbnail/2004.jpg</v>
      </c>
      <c r="D615" s="38" t="s">
        <v>1455</v>
      </c>
      <c r="E615" s="38" t="str">
        <f>"./images/thumbnail/"&amp;データ!B615&amp;".jpg"</f>
        <v>./images/thumbnail/2004.jpg</v>
      </c>
      <c r="F615" s="38" t="s">
        <v>1116</v>
      </c>
      <c r="G615" s="38" t="s">
        <v>1319</v>
      </c>
      <c r="H615" s="38" t="str">
        <f>データ!C615</f>
        <v>デフロット</v>
      </c>
      <c r="I615" s="38" t="s">
        <v>1024</v>
      </c>
      <c r="J615" s="38" t="s">
        <v>1320</v>
      </c>
      <c r="K615" s="38" t="str">
        <f>データ!D615</f>
        <v>UR</v>
      </c>
      <c r="L615" s="38" t="s">
        <v>1024</v>
      </c>
      <c r="M615" s="38" t="s">
        <v>1321</v>
      </c>
      <c r="N615" s="38">
        <f>データ!E615</f>
        <v>15</v>
      </c>
      <c r="O615" s="38" t="s">
        <v>1024</v>
      </c>
      <c r="P615" s="38" t="s">
        <v>1319</v>
      </c>
      <c r="Q615" s="38" t="str">
        <f>データ!F615</f>
        <v>突</v>
      </c>
      <c r="R615" s="38" t="s">
        <v>1024</v>
      </c>
      <c r="S615" s="38" t="s">
        <v>1319</v>
      </c>
      <c r="T615" s="39">
        <f>データ!G615</f>
        <v>22075</v>
      </c>
      <c r="U615" s="40" t="s">
        <v>1024</v>
      </c>
      <c r="V615" s="40" t="s">
        <v>1319</v>
      </c>
      <c r="W615" s="39">
        <f>データ!H615</f>
        <v>6421</v>
      </c>
      <c r="X615" s="40" t="s">
        <v>1024</v>
      </c>
      <c r="Y615" s="40" t="s">
        <v>1319</v>
      </c>
      <c r="Z615" s="39">
        <f>データ!I615</f>
        <v>8212</v>
      </c>
      <c r="AA615" s="40" t="s">
        <v>1024</v>
      </c>
      <c r="AB615" s="40" t="s">
        <v>1322</v>
      </c>
      <c r="AC615" s="39" t="str">
        <f>データ!J615</f>
        <v>SS2</v>
      </c>
      <c r="AD615" s="38" t="s">
        <v>1024</v>
      </c>
      <c r="AE615" s="40" t="s">
        <v>1323</v>
      </c>
      <c r="AF615" s="39">
        <f>データ!K615</f>
        <v>36708</v>
      </c>
      <c r="AG615" s="40" t="s">
        <v>1024</v>
      </c>
      <c r="AH615" s="40" t="s">
        <v>1324</v>
      </c>
      <c r="AI615" s="39" t="str">
        <f>データ!L615</f>
        <v>魔幻の閃光／煌</v>
      </c>
      <c r="AJ615" s="10" t="s">
        <v>1113</v>
      </c>
      <c r="AK615" s="39" t="str">
        <f>データ!M615</f>
        <v>縦一列に攻撃[特大]</v>
      </c>
      <c r="AL615" s="10" t="s">
        <v>1024</v>
      </c>
      <c r="AM615" s="40" t="s">
        <v>1325</v>
      </c>
      <c r="AN615" s="39" t="str">
        <f>データ!N615</f>
        <v>-</v>
      </c>
      <c r="AO615" s="10" t="s">
        <v>1113</v>
      </c>
      <c r="AP615" s="39" t="str">
        <f>データ!O615</f>
        <v>　</v>
      </c>
      <c r="AQ615" s="41" t="s">
        <v>1024</v>
      </c>
      <c r="AR615" s="40" t="s">
        <v>1324</v>
      </c>
      <c r="AS615" s="39" t="str">
        <f>データ!P615</f>
        <v>アサルト／煌</v>
      </c>
      <c r="AT615" s="10" t="s">
        <v>1113</v>
      </c>
      <c r="AU615" s="39" t="str">
        <f>データ!Q615</f>
        <v>パーティ全体の攻撃力が特大UP(3分間)</v>
      </c>
      <c r="AV615" s="10" t="s">
        <v>1024</v>
      </c>
      <c r="AW615" s="40" t="s">
        <v>1324</v>
      </c>
      <c r="AX615" s="39" t="str">
        <f>データ!R615</f>
        <v>エース／絶</v>
      </c>
      <c r="AY615" s="10" t="s">
        <v>1113</v>
      </c>
      <c r="AZ615" s="39" t="str">
        <f>データ!S615</f>
        <v>パーティ全体の攻・防が大UP(3分間)</v>
      </c>
      <c r="BA615" s="41" t="s">
        <v>1024</v>
      </c>
      <c r="BB615" s="40" t="s">
        <v>1319</v>
      </c>
      <c r="BC615" s="39" t="str">
        <f>データ!T615</f>
        <v>-</v>
      </c>
      <c r="BD615" s="41" t="s">
        <v>1024</v>
      </c>
      <c r="BE615" s="40" t="s">
        <v>1320</v>
      </c>
      <c r="BF615" s="39" t="str">
        <f>データ!U615</f>
        <v>-</v>
      </c>
      <c r="BG615" s="41" t="s">
        <v>1024</v>
      </c>
      <c r="BH615" s="40" t="s">
        <v>1319</v>
      </c>
      <c r="BI615" s="39" t="str">
        <f>データ!V615</f>
        <v>常設</v>
      </c>
      <c r="BJ615" s="41" t="s">
        <v>1024</v>
      </c>
      <c r="BK615" s="10" t="s">
        <v>1019</v>
      </c>
    </row>
    <row r="616" spans="1:63" x14ac:dyDescent="0.15">
      <c r="A616" s="10" t="s">
        <v>1016</v>
      </c>
      <c r="B616" s="10" t="s">
        <v>1454</v>
      </c>
      <c r="C616" s="38" t="str">
        <f>"./images/thumbnail/"&amp;データ!B616&amp;".jpg"</f>
        <v>./images/thumbnail/2006.jpg</v>
      </c>
      <c r="D616" s="38" t="s">
        <v>1455</v>
      </c>
      <c r="E616" s="38" t="str">
        <f>"./images/thumbnail/"&amp;データ!B616&amp;".jpg"</f>
        <v>./images/thumbnail/2006.jpg</v>
      </c>
      <c r="F616" s="38" t="s">
        <v>1116</v>
      </c>
      <c r="G616" s="38" t="s">
        <v>1319</v>
      </c>
      <c r="H616" s="38" t="str">
        <f>データ!C616</f>
        <v>アーロン</v>
      </c>
      <c r="I616" s="38" t="s">
        <v>1024</v>
      </c>
      <c r="J616" s="38" t="s">
        <v>1320</v>
      </c>
      <c r="K616" s="38" t="str">
        <f>データ!D616</f>
        <v>UR</v>
      </c>
      <c r="L616" s="38" t="s">
        <v>1024</v>
      </c>
      <c r="M616" s="38" t="s">
        <v>1321</v>
      </c>
      <c r="N616" s="38">
        <f>データ!E616</f>
        <v>15</v>
      </c>
      <c r="O616" s="38" t="s">
        <v>1024</v>
      </c>
      <c r="P616" s="38" t="s">
        <v>1319</v>
      </c>
      <c r="Q616" s="38" t="str">
        <f>データ!F616</f>
        <v>打</v>
      </c>
      <c r="R616" s="38" t="s">
        <v>1024</v>
      </c>
      <c r="S616" s="38" t="s">
        <v>1319</v>
      </c>
      <c r="T616" s="39">
        <f>データ!G616</f>
        <v>27468</v>
      </c>
      <c r="U616" s="40" t="s">
        <v>1024</v>
      </c>
      <c r="V616" s="40" t="s">
        <v>1319</v>
      </c>
      <c r="W616" s="39">
        <f>データ!H616</f>
        <v>7434</v>
      </c>
      <c r="X616" s="40" t="s">
        <v>1024</v>
      </c>
      <c r="Y616" s="40" t="s">
        <v>1319</v>
      </c>
      <c r="Z616" s="39">
        <f>データ!I616</f>
        <v>10490</v>
      </c>
      <c r="AA616" s="40" t="s">
        <v>1024</v>
      </c>
      <c r="AB616" s="40" t="s">
        <v>1322</v>
      </c>
      <c r="AC616" s="39" t="str">
        <f>データ!J616</f>
        <v>S</v>
      </c>
      <c r="AD616" s="38" t="s">
        <v>1024</v>
      </c>
      <c r="AE616" s="40" t="s">
        <v>1323</v>
      </c>
      <c r="AF616" s="39">
        <f>データ!K616</f>
        <v>45392</v>
      </c>
      <c r="AG616" s="40" t="s">
        <v>1024</v>
      </c>
      <c r="AH616" s="40" t="s">
        <v>1324</v>
      </c>
      <c r="AI616" s="39" t="str">
        <f>データ!L616</f>
        <v>強奪者の雷／煌</v>
      </c>
      <c r="AJ616" s="10" t="s">
        <v>1113</v>
      </c>
      <c r="AK616" s="39" t="str">
        <f>データ!M616</f>
        <v>単体攻撃（宝箱優先／追加ダメージ）[特大]</v>
      </c>
      <c r="AL616" s="10" t="s">
        <v>1024</v>
      </c>
      <c r="AM616" s="40" t="s">
        <v>1325</v>
      </c>
      <c r="AN616" s="39" t="str">
        <f>データ!N616</f>
        <v>-</v>
      </c>
      <c r="AO616" s="10" t="s">
        <v>1113</v>
      </c>
      <c r="AP616" s="39" t="str">
        <f>データ!O616</f>
        <v>　</v>
      </c>
      <c r="AQ616" s="41" t="s">
        <v>1024</v>
      </c>
      <c r="AR616" s="40" t="s">
        <v>1324</v>
      </c>
      <c r="AS616" s="39" t="str">
        <f>データ!P616</f>
        <v>エース／煌</v>
      </c>
      <c r="AT616" s="10" t="s">
        <v>1113</v>
      </c>
      <c r="AU616" s="39" t="str">
        <f>データ!Q616</f>
        <v>パーティ全体の攻・防が特大UP(3分間)</v>
      </c>
      <c r="AV616" s="10" t="s">
        <v>1024</v>
      </c>
      <c r="AW616" s="40" t="s">
        <v>1324</v>
      </c>
      <c r="AX616" s="39" t="str">
        <f>データ!R616</f>
        <v>ランページ／絶</v>
      </c>
      <c r="AY616" s="10" t="s">
        <v>1113</v>
      </c>
      <c r="AZ616" s="39" t="str">
        <f>データ!S616</f>
        <v>バトルで獲得する騎士団戦スコアが大アップ(3分間)</v>
      </c>
      <c r="BA616" s="41" t="s">
        <v>1024</v>
      </c>
      <c r="BB616" s="40" t="s">
        <v>1319</v>
      </c>
      <c r="BC616" s="39" t="str">
        <f>データ!T616</f>
        <v>-</v>
      </c>
      <c r="BD616" s="41" t="s">
        <v>1024</v>
      </c>
      <c r="BE616" s="40" t="s">
        <v>1320</v>
      </c>
      <c r="BF616" s="39" t="str">
        <f>データ!U616</f>
        <v>-</v>
      </c>
      <c r="BG616" s="41" t="s">
        <v>1024</v>
      </c>
      <c r="BH616" s="40" t="s">
        <v>1319</v>
      </c>
      <c r="BI616" s="39" t="str">
        <f>データ!V616</f>
        <v>ガチャイベ</v>
      </c>
      <c r="BJ616" s="41" t="s">
        <v>1024</v>
      </c>
      <c r="BK616" s="10" t="s">
        <v>1019</v>
      </c>
    </row>
    <row r="617" spans="1:63" x14ac:dyDescent="0.15">
      <c r="A617" s="10" t="s">
        <v>1016</v>
      </c>
      <c r="B617" s="10" t="s">
        <v>1454</v>
      </c>
      <c r="C617" s="38" t="str">
        <f>"./images/thumbnail/"&amp;データ!B617&amp;".jpg"</f>
        <v>./images/thumbnail/2008.jpg</v>
      </c>
      <c r="D617" s="38" t="s">
        <v>1455</v>
      </c>
      <c r="E617" s="38" t="str">
        <f>"./images/thumbnail/"&amp;データ!B617&amp;".jpg"</f>
        <v>./images/thumbnail/2008.jpg</v>
      </c>
      <c r="F617" s="38" t="s">
        <v>1116</v>
      </c>
      <c r="G617" s="38" t="s">
        <v>1319</v>
      </c>
      <c r="H617" s="38" t="str">
        <f>データ!C617</f>
        <v>コルン</v>
      </c>
      <c r="I617" s="38" t="s">
        <v>1024</v>
      </c>
      <c r="J617" s="38" t="s">
        <v>1320</v>
      </c>
      <c r="K617" s="38" t="str">
        <f>データ!D617</f>
        <v>UR</v>
      </c>
      <c r="L617" s="38" t="s">
        <v>1024</v>
      </c>
      <c r="M617" s="38" t="s">
        <v>1321</v>
      </c>
      <c r="N617" s="38">
        <f>データ!E617</f>
        <v>15</v>
      </c>
      <c r="O617" s="38" t="s">
        <v>1024</v>
      </c>
      <c r="P617" s="38" t="s">
        <v>1319</v>
      </c>
      <c r="Q617" s="38" t="str">
        <f>データ!F617</f>
        <v>遠</v>
      </c>
      <c r="R617" s="38" t="s">
        <v>1024</v>
      </c>
      <c r="S617" s="38" t="s">
        <v>1319</v>
      </c>
      <c r="T617" s="39">
        <f>データ!G617</f>
        <v>23247</v>
      </c>
      <c r="U617" s="40" t="s">
        <v>1024</v>
      </c>
      <c r="V617" s="40" t="s">
        <v>1319</v>
      </c>
      <c r="W617" s="39">
        <f>データ!H617</f>
        <v>7290</v>
      </c>
      <c r="X617" s="40" t="s">
        <v>1024</v>
      </c>
      <c r="Y617" s="40" t="s">
        <v>1319</v>
      </c>
      <c r="Z617" s="39">
        <f>データ!I617</f>
        <v>7214</v>
      </c>
      <c r="AA617" s="40" t="s">
        <v>1024</v>
      </c>
      <c r="AB617" s="40" t="s">
        <v>1322</v>
      </c>
      <c r="AC617" s="39" t="str">
        <f>データ!J617</f>
        <v>SS</v>
      </c>
      <c r="AD617" s="38" t="s">
        <v>1024</v>
      </c>
      <c r="AE617" s="40" t="s">
        <v>1323</v>
      </c>
      <c r="AF617" s="39">
        <f>データ!K617</f>
        <v>37751</v>
      </c>
      <c r="AG617" s="40" t="s">
        <v>1024</v>
      </c>
      <c r="AH617" s="40" t="s">
        <v>1324</v>
      </c>
      <c r="AI617" s="39" t="str">
        <f>データ!L617</f>
        <v>対紅の薙風／煌</v>
      </c>
      <c r="AJ617" s="10" t="s">
        <v>1113</v>
      </c>
      <c r="AK617" s="39" t="str">
        <f>データ!M617</f>
        <v>斬に強く突に弱い横一列攻撃[特大]</v>
      </c>
      <c r="AL617" s="10" t="s">
        <v>1024</v>
      </c>
      <c r="AM617" s="40" t="s">
        <v>1325</v>
      </c>
      <c r="AN617" s="39" t="str">
        <f>データ!N617</f>
        <v>-</v>
      </c>
      <c r="AO617" s="10" t="s">
        <v>1113</v>
      </c>
      <c r="AP617" s="39" t="str">
        <f>データ!O617</f>
        <v>　</v>
      </c>
      <c r="AQ617" s="41" t="s">
        <v>1024</v>
      </c>
      <c r="AR617" s="40" t="s">
        <v>1324</v>
      </c>
      <c r="AS617" s="39" t="str">
        <f>データ!P617</f>
        <v>バーサク／絶</v>
      </c>
      <c r="AT617" s="10" t="s">
        <v>1113</v>
      </c>
      <c r="AU617" s="39" t="str">
        <f>データ!Q617</f>
        <v>強襲が発生無効、バトル時に攻・防大UP(3分間)</v>
      </c>
      <c r="AV617" s="10" t="s">
        <v>1024</v>
      </c>
      <c r="AW617" s="40" t="s">
        <v>1324</v>
      </c>
      <c r="AX617" s="39" t="str">
        <f>データ!R617</f>
        <v>フォートレス／絶</v>
      </c>
      <c r="AY617" s="10" t="s">
        <v>1113</v>
      </c>
      <c r="AZ617" s="39" t="str">
        <f>データ!S617</f>
        <v>パーティ全体の防御力が大UP(3分間)</v>
      </c>
      <c r="BA617" s="41" t="s">
        <v>1024</v>
      </c>
      <c r="BB617" s="40" t="s">
        <v>1319</v>
      </c>
      <c r="BC617" s="39" t="str">
        <f>データ!T617</f>
        <v>-</v>
      </c>
      <c r="BD617" s="41" t="s">
        <v>1024</v>
      </c>
      <c r="BE617" s="40" t="s">
        <v>1320</v>
      </c>
      <c r="BF617" s="39" t="str">
        <f>データ!U617</f>
        <v>-</v>
      </c>
      <c r="BG617" s="41" t="s">
        <v>1024</v>
      </c>
      <c r="BH617" s="40" t="s">
        <v>1319</v>
      </c>
      <c r="BI617" s="39" t="str">
        <f>データ!V617</f>
        <v>ガチャイベ</v>
      </c>
      <c r="BJ617" s="41" t="s">
        <v>1024</v>
      </c>
      <c r="BK617" s="10" t="s">
        <v>1019</v>
      </c>
    </row>
    <row r="618" spans="1:63" x14ac:dyDescent="0.15">
      <c r="A618" s="10" t="s">
        <v>1016</v>
      </c>
      <c r="B618" s="10" t="s">
        <v>1454</v>
      </c>
      <c r="C618" s="38" t="str">
        <f>"./images/thumbnail/"&amp;データ!B618&amp;".jpg"</f>
        <v>./images/thumbnail/2009.jpg</v>
      </c>
      <c r="D618" s="38" t="s">
        <v>1455</v>
      </c>
      <c r="E618" s="38" t="str">
        <f>"./images/thumbnail/"&amp;データ!B618&amp;".jpg"</f>
        <v>./images/thumbnail/2009.jpg</v>
      </c>
      <c r="F618" s="38" t="s">
        <v>1116</v>
      </c>
      <c r="G618" s="38" t="s">
        <v>1319</v>
      </c>
      <c r="H618" s="38" t="str">
        <f>データ!C618</f>
        <v>ベルトラン</v>
      </c>
      <c r="I618" s="38" t="s">
        <v>1024</v>
      </c>
      <c r="J618" s="38" t="s">
        <v>1320</v>
      </c>
      <c r="K618" s="38" t="str">
        <f>データ!D618</f>
        <v>UR</v>
      </c>
      <c r="L618" s="38" t="s">
        <v>1024</v>
      </c>
      <c r="M618" s="38" t="s">
        <v>1321</v>
      </c>
      <c r="N618" s="38">
        <f>データ!E618</f>
        <v>15</v>
      </c>
      <c r="O618" s="38" t="s">
        <v>1024</v>
      </c>
      <c r="P618" s="38" t="s">
        <v>1319</v>
      </c>
      <c r="Q618" s="38" t="str">
        <f>データ!F618</f>
        <v>打</v>
      </c>
      <c r="R618" s="38" t="s">
        <v>1024</v>
      </c>
      <c r="S618" s="38" t="s">
        <v>1319</v>
      </c>
      <c r="T618" s="39">
        <f>データ!G618</f>
        <v>25795</v>
      </c>
      <c r="U618" s="40" t="s">
        <v>1024</v>
      </c>
      <c r="V618" s="40" t="s">
        <v>1319</v>
      </c>
      <c r="W618" s="39">
        <f>データ!H618</f>
        <v>7214</v>
      </c>
      <c r="X618" s="40" t="s">
        <v>1024</v>
      </c>
      <c r="Y618" s="40" t="s">
        <v>1319</v>
      </c>
      <c r="Z618" s="39">
        <f>データ!I618</f>
        <v>10046</v>
      </c>
      <c r="AA618" s="40" t="s">
        <v>1024</v>
      </c>
      <c r="AB618" s="40" t="s">
        <v>1322</v>
      </c>
      <c r="AC618" s="39" t="str">
        <f>データ!J618</f>
        <v>S</v>
      </c>
      <c r="AD618" s="38" t="s">
        <v>1024</v>
      </c>
      <c r="AE618" s="40" t="s">
        <v>1323</v>
      </c>
      <c r="AF618" s="39">
        <f>データ!K618</f>
        <v>43055</v>
      </c>
      <c r="AG618" s="40" t="s">
        <v>1024</v>
      </c>
      <c r="AH618" s="40" t="s">
        <v>1324</v>
      </c>
      <c r="AI618" s="39" t="str">
        <f>データ!L618</f>
        <v>幻光の交叉線／煌</v>
      </c>
      <c r="AJ618" s="10" t="s">
        <v>1113</v>
      </c>
      <c r="AK618" s="39" t="str">
        <f>データ!M618</f>
        <v>X字型に攻撃[特大]</v>
      </c>
      <c r="AL618" s="10" t="s">
        <v>1024</v>
      </c>
      <c r="AM618" s="40" t="s">
        <v>1325</v>
      </c>
      <c r="AN618" s="39" t="str">
        <f>データ!N618</f>
        <v>-</v>
      </c>
      <c r="AO618" s="10" t="s">
        <v>1113</v>
      </c>
      <c r="AP618" s="39" t="str">
        <f>データ!O618</f>
        <v>　</v>
      </c>
      <c r="AQ618" s="41" t="s">
        <v>1024</v>
      </c>
      <c r="AR618" s="40" t="s">
        <v>1324</v>
      </c>
      <c r="AS618" s="39" t="str">
        <f>データ!P618</f>
        <v>ポイントライズ／煌</v>
      </c>
      <c r="AT618" s="10" t="s">
        <v>1113</v>
      </c>
      <c r="AU618" s="39" t="str">
        <f>データ!Q618</f>
        <v>獲得する騎士団戦スコアが特大アップ(バトル3回)</v>
      </c>
      <c r="AV618" s="10" t="s">
        <v>1024</v>
      </c>
      <c r="AW618" s="40" t="s">
        <v>1324</v>
      </c>
      <c r="AX618" s="39" t="str">
        <f>データ!R618</f>
        <v>アサルト／絶</v>
      </c>
      <c r="AY618" s="10" t="s">
        <v>1113</v>
      </c>
      <c r="AZ618" s="39" t="str">
        <f>データ!S618</f>
        <v>パーティ全体の攻撃力が大UP(3分間)</v>
      </c>
      <c r="BA618" s="41" t="s">
        <v>1024</v>
      </c>
      <c r="BB618" s="40" t="s">
        <v>1319</v>
      </c>
      <c r="BC618" s="39" t="str">
        <f>データ!T618</f>
        <v>-</v>
      </c>
      <c r="BD618" s="41" t="s">
        <v>1024</v>
      </c>
      <c r="BE618" s="40" t="s">
        <v>1320</v>
      </c>
      <c r="BF618" s="39" t="str">
        <f>データ!U618</f>
        <v>-</v>
      </c>
      <c r="BG618" s="41" t="s">
        <v>1024</v>
      </c>
      <c r="BH618" s="40" t="s">
        <v>1319</v>
      </c>
      <c r="BI618" s="39" t="str">
        <f>データ!V618</f>
        <v>スペシャル任務報酬</v>
      </c>
      <c r="BJ618" s="41" t="s">
        <v>1024</v>
      </c>
      <c r="BK618" s="10" t="s">
        <v>1019</v>
      </c>
    </row>
    <row r="619" spans="1:63" x14ac:dyDescent="0.15">
      <c r="A619" s="10" t="s">
        <v>1016</v>
      </c>
      <c r="B619" s="10" t="s">
        <v>1454</v>
      </c>
      <c r="C619" s="38" t="str">
        <f>"./images/thumbnail/"&amp;データ!B619&amp;".jpg"</f>
        <v>./images/thumbnail/2010.jpg</v>
      </c>
      <c r="D619" s="38" t="s">
        <v>1455</v>
      </c>
      <c r="E619" s="38" t="str">
        <f>"./images/thumbnail/"&amp;データ!B619&amp;".jpg"</f>
        <v>./images/thumbnail/2010.jpg</v>
      </c>
      <c r="F619" s="38" t="s">
        <v>1116</v>
      </c>
      <c r="G619" s="38" t="s">
        <v>1319</v>
      </c>
      <c r="H619" s="38" t="str">
        <f>データ!C619</f>
        <v>ランドルフ</v>
      </c>
      <c r="I619" s="38" t="s">
        <v>1024</v>
      </c>
      <c r="J619" s="38" t="s">
        <v>1320</v>
      </c>
      <c r="K619" s="38" t="str">
        <f>データ!D619</f>
        <v>SSR</v>
      </c>
      <c r="L619" s="38" t="s">
        <v>1024</v>
      </c>
      <c r="M619" s="38" t="s">
        <v>1321</v>
      </c>
      <c r="N619" s="38">
        <f>データ!E619</f>
        <v>13</v>
      </c>
      <c r="O619" s="38" t="s">
        <v>1024</v>
      </c>
      <c r="P619" s="38" t="s">
        <v>1319</v>
      </c>
      <c r="Q619" s="38" t="str">
        <f>データ!F619</f>
        <v>遠</v>
      </c>
      <c r="R619" s="38" t="s">
        <v>1024</v>
      </c>
      <c r="S619" s="38" t="s">
        <v>1319</v>
      </c>
      <c r="T619" s="39">
        <f>データ!G619</f>
        <v>19474</v>
      </c>
      <c r="U619" s="40" t="s">
        <v>1024</v>
      </c>
      <c r="V619" s="40" t="s">
        <v>1319</v>
      </c>
      <c r="W619" s="39">
        <f>データ!H619</f>
        <v>6488</v>
      </c>
      <c r="X619" s="40" t="s">
        <v>1024</v>
      </c>
      <c r="Y619" s="40" t="s">
        <v>1319</v>
      </c>
      <c r="Z619" s="39">
        <f>データ!I619</f>
        <v>5794</v>
      </c>
      <c r="AA619" s="40" t="s">
        <v>1024</v>
      </c>
      <c r="AB619" s="40" t="s">
        <v>1322</v>
      </c>
      <c r="AC619" s="39" t="str">
        <f>データ!J619</f>
        <v>S-</v>
      </c>
      <c r="AD619" s="38" t="s">
        <v>1024</v>
      </c>
      <c r="AE619" s="40" t="s">
        <v>1323</v>
      </c>
      <c r="AF619" s="39">
        <f>データ!K619</f>
        <v>31756</v>
      </c>
      <c r="AG619" s="40" t="s">
        <v>1024</v>
      </c>
      <c r="AH619" s="40" t="s">
        <v>1324</v>
      </c>
      <c r="AI619" s="39" t="str">
        <f>データ!L619</f>
        <v>地幻射の四連撃／真</v>
      </c>
      <c r="AJ619" s="10" t="s">
        <v>1113</v>
      </c>
      <c r="AK619" s="39" t="str">
        <f>データ!M619</f>
        <v>ランダム4連続攻撃[中]自分の防御力UP[中]</v>
      </c>
      <c r="AL619" s="10" t="s">
        <v>1024</v>
      </c>
      <c r="AM619" s="40" t="s">
        <v>1325</v>
      </c>
      <c r="AN619" s="39" t="str">
        <f>データ!N619</f>
        <v>-</v>
      </c>
      <c r="AO619" s="10" t="s">
        <v>1113</v>
      </c>
      <c r="AP619" s="39" t="str">
        <f>データ!O619</f>
        <v>　</v>
      </c>
      <c r="AQ619" s="41" t="s">
        <v>1024</v>
      </c>
      <c r="AR619" s="40" t="s">
        <v>1324</v>
      </c>
      <c r="AS619" s="39" t="str">
        <f>データ!P619</f>
        <v>フォースオブウィッシュ／真</v>
      </c>
      <c r="AT619" s="10" t="s">
        <v>1113</v>
      </c>
      <c r="AU619" s="39" t="str">
        <f>データ!Q619</f>
        <v>騎士団全員のBPを中回復</v>
      </c>
      <c r="AV619" s="10" t="s">
        <v>1024</v>
      </c>
      <c r="AW619" s="40" t="s">
        <v>1324</v>
      </c>
      <c r="AX619" s="39" t="str">
        <f>データ!R619</f>
        <v>-</v>
      </c>
      <c r="AY619" s="10" t="s">
        <v>1113</v>
      </c>
      <c r="AZ619" s="39" t="str">
        <f>データ!S619</f>
        <v>　</v>
      </c>
      <c r="BA619" s="41" t="s">
        <v>1024</v>
      </c>
      <c r="BB619" s="40" t="s">
        <v>1319</v>
      </c>
      <c r="BC619" s="39" t="str">
        <f>データ!T619</f>
        <v>-</v>
      </c>
      <c r="BD619" s="41" t="s">
        <v>1024</v>
      </c>
      <c r="BE619" s="40" t="s">
        <v>1320</v>
      </c>
      <c r="BF619" s="39" t="str">
        <f>データ!U619</f>
        <v>-</v>
      </c>
      <c r="BG619" s="41" t="s">
        <v>1024</v>
      </c>
      <c r="BH619" s="40" t="s">
        <v>1319</v>
      </c>
      <c r="BI619" s="39" t="str">
        <f>データ!V619</f>
        <v>マゴニア</v>
      </c>
      <c r="BJ619" s="41" t="s">
        <v>1024</v>
      </c>
      <c r="BK619" s="10" t="s">
        <v>1019</v>
      </c>
    </row>
    <row r="620" spans="1:63" x14ac:dyDescent="0.15">
      <c r="A620" s="10" t="s">
        <v>1016</v>
      </c>
      <c r="B620" s="10" t="s">
        <v>1454</v>
      </c>
      <c r="C620" s="38" t="str">
        <f>"./images/thumbnail/"&amp;データ!B620&amp;".jpg"</f>
        <v>./images/thumbnail/2011.jpg</v>
      </c>
      <c r="D620" s="38" t="s">
        <v>1455</v>
      </c>
      <c r="E620" s="38" t="str">
        <f>"./images/thumbnail/"&amp;データ!B620&amp;".jpg"</f>
        <v>./images/thumbnail/2011.jpg</v>
      </c>
      <c r="F620" s="38" t="s">
        <v>1116</v>
      </c>
      <c r="G620" s="38" t="s">
        <v>1319</v>
      </c>
      <c r="H620" s="38" t="str">
        <f>データ!C620</f>
        <v>アミナ</v>
      </c>
      <c r="I620" s="38" t="s">
        <v>1024</v>
      </c>
      <c r="J620" s="38" t="s">
        <v>1320</v>
      </c>
      <c r="K620" s="38" t="str">
        <f>データ!D620</f>
        <v>UR</v>
      </c>
      <c r="L620" s="38" t="s">
        <v>1024</v>
      </c>
      <c r="M620" s="38" t="s">
        <v>1321</v>
      </c>
      <c r="N620" s="38">
        <f>データ!E620</f>
        <v>14</v>
      </c>
      <c r="O620" s="38" t="s">
        <v>1024</v>
      </c>
      <c r="P620" s="38" t="s">
        <v>1319</v>
      </c>
      <c r="Q620" s="38" t="str">
        <f>データ!F620</f>
        <v>突</v>
      </c>
      <c r="R620" s="38" t="s">
        <v>1024</v>
      </c>
      <c r="S620" s="38" t="s">
        <v>1319</v>
      </c>
      <c r="T620" s="39">
        <f>データ!G620</f>
        <v>22170</v>
      </c>
      <c r="U620" s="40" t="s">
        <v>1024</v>
      </c>
      <c r="V620" s="40" t="s">
        <v>1319</v>
      </c>
      <c r="W620" s="39">
        <f>データ!H620</f>
        <v>6187</v>
      </c>
      <c r="X620" s="40" t="s">
        <v>1024</v>
      </c>
      <c r="Y620" s="40" t="s">
        <v>1319</v>
      </c>
      <c r="Z620" s="39">
        <f>データ!I620</f>
        <v>7254</v>
      </c>
      <c r="AA620" s="40" t="s">
        <v>1024</v>
      </c>
      <c r="AB620" s="40" t="s">
        <v>1322</v>
      </c>
      <c r="AC620" s="39" t="str">
        <f>データ!J620</f>
        <v>SS+</v>
      </c>
      <c r="AD620" s="38" t="s">
        <v>1024</v>
      </c>
      <c r="AE620" s="40" t="s">
        <v>1323</v>
      </c>
      <c r="AF620" s="39">
        <f>データ!K620</f>
        <v>35611</v>
      </c>
      <c r="AG620" s="40" t="s">
        <v>1024</v>
      </c>
      <c r="AH620" s="40" t="s">
        <v>1324</v>
      </c>
      <c r="AI620" s="39" t="str">
        <f>データ!L620</f>
        <v>対紫の突風／煌</v>
      </c>
      <c r="AJ620" s="10" t="s">
        <v>1113</v>
      </c>
      <c r="AK620" s="39" t="str">
        <f>データ!M620</f>
        <v>打に強く遠に弱い縦一列攻撃[特大]</v>
      </c>
      <c r="AL620" s="10" t="s">
        <v>1024</v>
      </c>
      <c r="AM620" s="40" t="s">
        <v>1325</v>
      </c>
      <c r="AN620" s="39" t="str">
        <f>データ!N620</f>
        <v>-</v>
      </c>
      <c r="AO620" s="10" t="s">
        <v>1113</v>
      </c>
      <c r="AP620" s="39" t="str">
        <f>データ!O620</f>
        <v>　</v>
      </c>
      <c r="AQ620" s="41" t="s">
        <v>1024</v>
      </c>
      <c r="AR620" s="40" t="s">
        <v>1324</v>
      </c>
      <c r="AS620" s="39" t="str">
        <f>データ!P620</f>
        <v>エースオーダー／真</v>
      </c>
      <c r="AT620" s="10" t="s">
        <v>1113</v>
      </c>
      <c r="AU620" s="39" t="str">
        <f>データ!Q620</f>
        <v>騎士団全体の攻・防が中UP(3分間)</v>
      </c>
      <c r="AV620" s="10" t="s">
        <v>1024</v>
      </c>
      <c r="AW620" s="40" t="s">
        <v>1324</v>
      </c>
      <c r="AX620" s="39" t="str">
        <f>データ!R620</f>
        <v>-</v>
      </c>
      <c r="AY620" s="10" t="s">
        <v>1113</v>
      </c>
      <c r="AZ620" s="39" t="str">
        <f>データ!S620</f>
        <v>　</v>
      </c>
      <c r="BA620" s="41" t="s">
        <v>1024</v>
      </c>
      <c r="BB620" s="40" t="s">
        <v>1319</v>
      </c>
      <c r="BC620" s="39" t="str">
        <f>データ!T620</f>
        <v>-</v>
      </c>
      <c r="BD620" s="41" t="s">
        <v>1024</v>
      </c>
      <c r="BE620" s="40" t="s">
        <v>1320</v>
      </c>
      <c r="BF620" s="39" t="str">
        <f>データ!U620</f>
        <v>-</v>
      </c>
      <c r="BG620" s="41" t="s">
        <v>1024</v>
      </c>
      <c r="BH620" s="40" t="s">
        <v>1319</v>
      </c>
      <c r="BI620" s="39" t="str">
        <f>データ!V620</f>
        <v>マゴニア</v>
      </c>
      <c r="BJ620" s="41" t="s">
        <v>1024</v>
      </c>
      <c r="BK620" s="10" t="s">
        <v>1019</v>
      </c>
    </row>
    <row r="621" spans="1:63" x14ac:dyDescent="0.15">
      <c r="A621" s="10" t="s">
        <v>1016</v>
      </c>
      <c r="B621" s="10" t="s">
        <v>1454</v>
      </c>
      <c r="C621" s="38" t="str">
        <f>"./images/thumbnail/"&amp;データ!B621&amp;".jpg"</f>
        <v>./images/thumbnail/2012.jpg</v>
      </c>
      <c r="D621" s="38" t="s">
        <v>1455</v>
      </c>
      <c r="E621" s="38" t="str">
        <f>"./images/thumbnail/"&amp;データ!B621&amp;".jpg"</f>
        <v>./images/thumbnail/2012.jpg</v>
      </c>
      <c r="F621" s="38" t="s">
        <v>1116</v>
      </c>
      <c r="G621" s="38" t="s">
        <v>1319</v>
      </c>
      <c r="H621" s="38" t="str">
        <f>データ!C621</f>
        <v>ルギス</v>
      </c>
      <c r="I621" s="38" t="s">
        <v>1024</v>
      </c>
      <c r="J621" s="38" t="s">
        <v>1320</v>
      </c>
      <c r="K621" s="38" t="str">
        <f>データ!D621</f>
        <v>UR</v>
      </c>
      <c r="L621" s="38" t="s">
        <v>1024</v>
      </c>
      <c r="M621" s="38" t="s">
        <v>1321</v>
      </c>
      <c r="N621" s="38">
        <f>データ!E621</f>
        <v>15</v>
      </c>
      <c r="O621" s="38" t="s">
        <v>1024</v>
      </c>
      <c r="P621" s="38" t="s">
        <v>1319</v>
      </c>
      <c r="Q621" s="38" t="str">
        <f>データ!F621</f>
        <v>斬</v>
      </c>
      <c r="R621" s="38" t="s">
        <v>1024</v>
      </c>
      <c r="S621" s="38" t="s">
        <v>1319</v>
      </c>
      <c r="T621" s="39">
        <f>データ!G621</f>
        <v>19750</v>
      </c>
      <c r="U621" s="40" t="s">
        <v>1024</v>
      </c>
      <c r="V621" s="40" t="s">
        <v>1319</v>
      </c>
      <c r="W621" s="39">
        <f>データ!H621</f>
        <v>9387</v>
      </c>
      <c r="X621" s="40" t="s">
        <v>1024</v>
      </c>
      <c r="Y621" s="40" t="s">
        <v>1319</v>
      </c>
      <c r="Z621" s="39">
        <f>データ!I621</f>
        <v>7155</v>
      </c>
      <c r="AA621" s="40" t="s">
        <v>1024</v>
      </c>
      <c r="AB621" s="40" t="s">
        <v>1322</v>
      </c>
      <c r="AC621" s="39" t="str">
        <f>データ!J621</f>
        <v>SS-</v>
      </c>
      <c r="AD621" s="38" t="s">
        <v>1024</v>
      </c>
      <c r="AE621" s="40" t="s">
        <v>1323</v>
      </c>
      <c r="AF621" s="39">
        <f>データ!K621</f>
        <v>36292</v>
      </c>
      <c r="AG621" s="40" t="s">
        <v>1024</v>
      </c>
      <c r="AH621" s="40" t="s">
        <v>1324</v>
      </c>
      <c r="AI621" s="39" t="str">
        <f>データ!L621</f>
        <v>孤狼絶吼</v>
      </c>
      <c r="AJ621" s="10" t="s">
        <v>1113</v>
      </c>
      <c r="AK621" s="39" t="str">
        <f>データ!M621</f>
        <v>X字型攻撃[特大]自分の攻撃力UP[特大]</v>
      </c>
      <c r="AL621" s="10" t="s">
        <v>1024</v>
      </c>
      <c r="AM621" s="40" t="s">
        <v>1325</v>
      </c>
      <c r="AN621" s="39" t="str">
        <f>データ!N621</f>
        <v>孤狼激昂</v>
      </c>
      <c r="AO621" s="10" t="s">
        <v>1113</v>
      </c>
      <c r="AP621" s="39" t="str">
        <f>データ!O621</f>
        <v>一定時間HP最大値をUP[極大]</v>
      </c>
      <c r="AQ621" s="41" t="s">
        <v>1024</v>
      </c>
      <c r="AR621" s="40" t="s">
        <v>1324</v>
      </c>
      <c r="AS621" s="39" t="str">
        <f>データ!P621</f>
        <v>シャドウ／絶</v>
      </c>
      <c r="AT621" s="10" t="s">
        <v>1113</v>
      </c>
      <c r="AU621" s="39" t="str">
        <f>データ!Q621</f>
        <v>バトル時の強襲CB率が大UP(3分間)</v>
      </c>
      <c r="AV621" s="10" t="s">
        <v>1024</v>
      </c>
      <c r="AW621" s="40" t="s">
        <v>1324</v>
      </c>
      <c r="AX621" s="39" t="str">
        <f>データ!R621</f>
        <v>アサルト／絶</v>
      </c>
      <c r="AY621" s="10" t="s">
        <v>1113</v>
      </c>
      <c r="AZ621" s="39" t="str">
        <f>データ!S621</f>
        <v>パーティ全体の攻撃力が大UP(3分間)</v>
      </c>
      <c r="BA621" s="41" t="s">
        <v>1024</v>
      </c>
      <c r="BB621" s="40" t="s">
        <v>1319</v>
      </c>
      <c r="BC621" s="39" t="str">
        <f>データ!T621</f>
        <v>-</v>
      </c>
      <c r="BD621" s="41" t="s">
        <v>1024</v>
      </c>
      <c r="BE621" s="40" t="s">
        <v>1320</v>
      </c>
      <c r="BF621" s="39" t="str">
        <f>データ!U621</f>
        <v>-</v>
      </c>
      <c r="BG621" s="41" t="s">
        <v>1024</v>
      </c>
      <c r="BH621" s="40" t="s">
        <v>1319</v>
      </c>
      <c r="BI621" s="39" t="str">
        <f>データ!V621</f>
        <v>常設</v>
      </c>
      <c r="BJ621" s="41" t="s">
        <v>1024</v>
      </c>
      <c r="BK621" s="10" t="s">
        <v>1019</v>
      </c>
    </row>
    <row r="622" spans="1:63" x14ac:dyDescent="0.15">
      <c r="A622" s="10" t="s">
        <v>1016</v>
      </c>
      <c r="B622" s="10" t="s">
        <v>1454</v>
      </c>
      <c r="C622" s="38" t="str">
        <f>"./images/thumbnail/"&amp;データ!B622&amp;".jpg"</f>
        <v>./images/thumbnail/2013.jpg</v>
      </c>
      <c r="D622" s="38" t="s">
        <v>1455</v>
      </c>
      <c r="E622" s="38" t="str">
        <f>"./images/thumbnail/"&amp;データ!B622&amp;".jpg"</f>
        <v>./images/thumbnail/2013.jpg</v>
      </c>
      <c r="F622" s="38" t="s">
        <v>1116</v>
      </c>
      <c r="G622" s="38" t="s">
        <v>1319</v>
      </c>
      <c r="H622" s="38" t="str">
        <f>データ!C622</f>
        <v>ルナ</v>
      </c>
      <c r="I622" s="38" t="s">
        <v>1024</v>
      </c>
      <c r="J622" s="38" t="s">
        <v>1320</v>
      </c>
      <c r="K622" s="38" t="str">
        <f>データ!D622</f>
        <v>UR</v>
      </c>
      <c r="L622" s="38" t="s">
        <v>1024</v>
      </c>
      <c r="M622" s="38" t="s">
        <v>1321</v>
      </c>
      <c r="N622" s="38">
        <f>データ!E622</f>
        <v>15</v>
      </c>
      <c r="O622" s="38" t="s">
        <v>1024</v>
      </c>
      <c r="P622" s="38" t="s">
        <v>1319</v>
      </c>
      <c r="Q622" s="38" t="str">
        <f>データ!F622</f>
        <v>遠</v>
      </c>
      <c r="R622" s="38" t="s">
        <v>1024</v>
      </c>
      <c r="S622" s="38" t="s">
        <v>1319</v>
      </c>
      <c r="T622" s="39">
        <f>データ!G622</f>
        <v>23797</v>
      </c>
      <c r="U622" s="40" t="s">
        <v>1024</v>
      </c>
      <c r="V622" s="40" t="s">
        <v>1319</v>
      </c>
      <c r="W622" s="39">
        <f>データ!H622</f>
        <v>7583</v>
      </c>
      <c r="X622" s="40" t="s">
        <v>1024</v>
      </c>
      <c r="Y622" s="40" t="s">
        <v>1319</v>
      </c>
      <c r="Z622" s="39">
        <f>データ!I622</f>
        <v>7319</v>
      </c>
      <c r="AA622" s="40" t="s">
        <v>1024</v>
      </c>
      <c r="AB622" s="40" t="s">
        <v>1322</v>
      </c>
      <c r="AC622" s="39" t="str">
        <f>データ!J622</f>
        <v>SS</v>
      </c>
      <c r="AD622" s="38" t="s">
        <v>1024</v>
      </c>
      <c r="AE622" s="40" t="s">
        <v>1323</v>
      </c>
      <c r="AF622" s="39">
        <f>データ!K622</f>
        <v>38699</v>
      </c>
      <c r="AG622" s="40" t="s">
        <v>1024</v>
      </c>
      <c r="AH622" s="40" t="s">
        <v>1324</v>
      </c>
      <c r="AI622" s="39" t="str">
        <f>データ!L622</f>
        <v>浄化の一撃／絶</v>
      </c>
      <c r="AJ622" s="10" t="s">
        <v>1113</v>
      </c>
      <c r="AK622" s="39" t="str">
        <f>データ!M622</f>
        <v>単体固定ﾀﾞﾒｰｼﾞ[大]+味方ｽﾃｰﾀｽDOWN解除</v>
      </c>
      <c r="AL622" s="10" t="s">
        <v>1024</v>
      </c>
      <c r="AM622" s="40" t="s">
        <v>1325</v>
      </c>
      <c r="AN622" s="39" t="str">
        <f>データ!N622</f>
        <v>-</v>
      </c>
      <c r="AO622" s="10" t="s">
        <v>1113</v>
      </c>
      <c r="AP622" s="39" t="str">
        <f>データ!O622</f>
        <v>　</v>
      </c>
      <c r="AQ622" s="41" t="s">
        <v>1024</v>
      </c>
      <c r="AR622" s="40" t="s">
        <v>1324</v>
      </c>
      <c r="AS622" s="39" t="str">
        <f>データ!P622</f>
        <v>エクスターライズ／絶</v>
      </c>
      <c r="AT622" s="10" t="s">
        <v>1113</v>
      </c>
      <c r="AU622" s="39" t="str">
        <f>データ!Q622</f>
        <v>攻撃回数が多いほどバトル獲得スコアが大UP(3分間)</v>
      </c>
      <c r="AV622" s="10" t="s">
        <v>1024</v>
      </c>
      <c r="AW622" s="40" t="s">
        <v>1324</v>
      </c>
      <c r="AX622" s="39" t="str">
        <f>データ!R622</f>
        <v>エース／絶</v>
      </c>
      <c r="AY622" s="10" t="s">
        <v>1113</v>
      </c>
      <c r="AZ622" s="39" t="str">
        <f>データ!S622</f>
        <v>パーティ全体の攻・防が大UP(3分間)</v>
      </c>
      <c r="BA622" s="41" t="s">
        <v>1024</v>
      </c>
      <c r="BB622" s="40" t="s">
        <v>1319</v>
      </c>
      <c r="BC622" s="39" t="str">
        <f>データ!T622</f>
        <v>-</v>
      </c>
      <c r="BD622" s="41" t="s">
        <v>1024</v>
      </c>
      <c r="BE622" s="40" t="s">
        <v>1320</v>
      </c>
      <c r="BF622" s="39" t="str">
        <f>データ!U622</f>
        <v>-</v>
      </c>
      <c r="BG622" s="41" t="s">
        <v>1024</v>
      </c>
      <c r="BH622" s="40" t="s">
        <v>1319</v>
      </c>
      <c r="BI622" s="39" t="str">
        <f>データ!V622</f>
        <v>ガチャイベ</v>
      </c>
      <c r="BJ622" s="41" t="s">
        <v>1024</v>
      </c>
      <c r="BK622" s="10" t="s">
        <v>1019</v>
      </c>
    </row>
    <row r="623" spans="1:63" x14ac:dyDescent="0.15">
      <c r="A623" s="10" t="s">
        <v>1016</v>
      </c>
      <c r="B623" s="10" t="s">
        <v>1454</v>
      </c>
      <c r="C623" s="38" t="str">
        <f>"./images/thumbnail/"&amp;データ!B623&amp;".jpg"</f>
        <v>./images/thumbnail/2014.jpg</v>
      </c>
      <c r="D623" s="38" t="s">
        <v>1455</v>
      </c>
      <c r="E623" s="38" t="str">
        <f>"./images/thumbnail/"&amp;データ!B623&amp;".jpg"</f>
        <v>./images/thumbnail/2014.jpg</v>
      </c>
      <c r="F623" s="38" t="s">
        <v>1116</v>
      </c>
      <c r="G623" s="38" t="s">
        <v>1319</v>
      </c>
      <c r="H623" s="38" t="str">
        <f>データ!C623</f>
        <v>マリエル</v>
      </c>
      <c r="I623" s="38" t="s">
        <v>1024</v>
      </c>
      <c r="J623" s="38" t="s">
        <v>1320</v>
      </c>
      <c r="K623" s="38" t="str">
        <f>データ!D623</f>
        <v>UR</v>
      </c>
      <c r="L623" s="38" t="s">
        <v>1024</v>
      </c>
      <c r="M623" s="38" t="s">
        <v>1321</v>
      </c>
      <c r="N623" s="38">
        <f>データ!E623</f>
        <v>15</v>
      </c>
      <c r="O623" s="38" t="s">
        <v>1024</v>
      </c>
      <c r="P623" s="38" t="s">
        <v>1319</v>
      </c>
      <c r="Q623" s="38" t="str">
        <f>データ!F623</f>
        <v>斬</v>
      </c>
      <c r="R623" s="38" t="s">
        <v>1024</v>
      </c>
      <c r="S623" s="38" t="s">
        <v>1319</v>
      </c>
      <c r="T623" s="39">
        <f>データ!G623</f>
        <v>20313</v>
      </c>
      <c r="U623" s="40" t="s">
        <v>1024</v>
      </c>
      <c r="V623" s="40" t="s">
        <v>1319</v>
      </c>
      <c r="W623" s="39">
        <f>データ!H623</f>
        <v>9285</v>
      </c>
      <c r="X623" s="40" t="s">
        <v>1024</v>
      </c>
      <c r="Y623" s="40" t="s">
        <v>1319</v>
      </c>
      <c r="Z623" s="39">
        <f>データ!I623</f>
        <v>7016</v>
      </c>
      <c r="AA623" s="40" t="s">
        <v>1024</v>
      </c>
      <c r="AB623" s="40" t="s">
        <v>1322</v>
      </c>
      <c r="AC623" s="39" t="str">
        <f>データ!J623</f>
        <v>SS-</v>
      </c>
      <c r="AD623" s="38" t="s">
        <v>1024</v>
      </c>
      <c r="AE623" s="40" t="s">
        <v>1323</v>
      </c>
      <c r="AF623" s="39">
        <f>データ!K623</f>
        <v>36614</v>
      </c>
      <c r="AG623" s="40" t="s">
        <v>1024</v>
      </c>
      <c r="AH623" s="40" t="s">
        <v>1324</v>
      </c>
      <c r="AI623" s="39" t="str">
        <f>データ!L623</f>
        <v>魔幻の閃光／煌</v>
      </c>
      <c r="AJ623" s="10" t="s">
        <v>1113</v>
      </c>
      <c r="AK623" s="39" t="str">
        <f>データ!M623</f>
        <v>縦一列に攻撃[特大]</v>
      </c>
      <c r="AL623" s="10" t="s">
        <v>1024</v>
      </c>
      <c r="AM623" s="40" t="s">
        <v>1325</v>
      </c>
      <c r="AN623" s="39" t="str">
        <f>データ!N623</f>
        <v>-</v>
      </c>
      <c r="AO623" s="10" t="s">
        <v>1113</v>
      </c>
      <c r="AP623" s="39" t="str">
        <f>データ!O623</f>
        <v>　</v>
      </c>
      <c r="AQ623" s="41" t="s">
        <v>1024</v>
      </c>
      <c r="AR623" s="40" t="s">
        <v>1324</v>
      </c>
      <c r="AS623" s="39" t="str">
        <f>データ!P623</f>
        <v>アサルト／煌</v>
      </c>
      <c r="AT623" s="10" t="s">
        <v>1113</v>
      </c>
      <c r="AU623" s="39" t="str">
        <f>データ!Q623</f>
        <v>パーティ全体の攻撃力が特大UP(3分間)</v>
      </c>
      <c r="AV623" s="10" t="s">
        <v>1024</v>
      </c>
      <c r="AW623" s="40" t="s">
        <v>1324</v>
      </c>
      <c r="AX623" s="39" t="str">
        <f>データ!R623</f>
        <v>シャドウ／真</v>
      </c>
      <c r="AY623" s="10" t="s">
        <v>1113</v>
      </c>
      <c r="AZ623" s="39" t="str">
        <f>データ!S623</f>
        <v>バトル時の強襲CB率が中UP(3分間)</v>
      </c>
      <c r="BA623" s="41" t="s">
        <v>1024</v>
      </c>
      <c r="BB623" s="40" t="s">
        <v>1319</v>
      </c>
      <c r="BC623" s="39" t="str">
        <f>データ!T623</f>
        <v>-</v>
      </c>
      <c r="BD623" s="41" t="s">
        <v>1024</v>
      </c>
      <c r="BE623" s="40" t="s">
        <v>1320</v>
      </c>
      <c r="BF623" s="39" t="str">
        <f>データ!U623</f>
        <v>-</v>
      </c>
      <c r="BG623" s="41" t="s">
        <v>1024</v>
      </c>
      <c r="BH623" s="40" t="s">
        <v>1319</v>
      </c>
      <c r="BI623" s="39" t="str">
        <f>データ!V623</f>
        <v>ガチャイベ</v>
      </c>
      <c r="BJ623" s="41" t="s">
        <v>1024</v>
      </c>
      <c r="BK623" s="10" t="s">
        <v>1019</v>
      </c>
    </row>
    <row r="624" spans="1:63" x14ac:dyDescent="0.15">
      <c r="A624" s="10" t="s">
        <v>1016</v>
      </c>
      <c r="B624" s="10" t="s">
        <v>1454</v>
      </c>
      <c r="C624" s="38" t="str">
        <f>"./images/thumbnail/"&amp;データ!B624&amp;".jpg"</f>
        <v>./images/thumbnail/2015.jpg</v>
      </c>
      <c r="D624" s="38" t="s">
        <v>1455</v>
      </c>
      <c r="E624" s="38" t="str">
        <f>"./images/thumbnail/"&amp;データ!B624&amp;".jpg"</f>
        <v>./images/thumbnail/2015.jpg</v>
      </c>
      <c r="F624" s="38" t="s">
        <v>1116</v>
      </c>
      <c r="G624" s="38" t="s">
        <v>1319</v>
      </c>
      <c r="H624" s="38" t="str">
        <f>データ!C624</f>
        <v>モーリス</v>
      </c>
      <c r="I624" s="38" t="s">
        <v>1024</v>
      </c>
      <c r="J624" s="38" t="s">
        <v>1320</v>
      </c>
      <c r="K624" s="38" t="str">
        <f>データ!D624</f>
        <v>UR</v>
      </c>
      <c r="L624" s="38" t="s">
        <v>1024</v>
      </c>
      <c r="M624" s="38" t="s">
        <v>1321</v>
      </c>
      <c r="N624" s="38">
        <f>データ!E624</f>
        <v>15</v>
      </c>
      <c r="O624" s="38" t="s">
        <v>1024</v>
      </c>
      <c r="P624" s="38" t="s">
        <v>1319</v>
      </c>
      <c r="Q624" s="38" t="str">
        <f>データ!F624</f>
        <v>打</v>
      </c>
      <c r="R624" s="38" t="s">
        <v>1024</v>
      </c>
      <c r="S624" s="38" t="s">
        <v>1319</v>
      </c>
      <c r="T624" s="39">
        <f>データ!G624</f>
        <v>26784</v>
      </c>
      <c r="U624" s="40" t="s">
        <v>1024</v>
      </c>
      <c r="V624" s="40" t="s">
        <v>1319</v>
      </c>
      <c r="W624" s="39">
        <f>データ!H624</f>
        <v>7291</v>
      </c>
      <c r="X624" s="40" t="s">
        <v>1024</v>
      </c>
      <c r="Y624" s="40" t="s">
        <v>1319</v>
      </c>
      <c r="Z624" s="39">
        <f>データ!I624</f>
        <v>10584</v>
      </c>
      <c r="AA624" s="40" t="s">
        <v>1024</v>
      </c>
      <c r="AB624" s="40" t="s">
        <v>1322</v>
      </c>
      <c r="AC624" s="39" t="str">
        <f>データ!J624</f>
        <v>S</v>
      </c>
      <c r="AD624" s="38" t="s">
        <v>1024</v>
      </c>
      <c r="AE624" s="40" t="s">
        <v>1323</v>
      </c>
      <c r="AF624" s="39">
        <f>データ!K624</f>
        <v>44659</v>
      </c>
      <c r="AG624" s="40" t="s">
        <v>1024</v>
      </c>
      <c r="AH624" s="40" t="s">
        <v>1324</v>
      </c>
      <c r="AI624" s="39" t="str">
        <f>データ!L624</f>
        <v>幻光の交叉線／煌</v>
      </c>
      <c r="AJ624" s="10" t="s">
        <v>1113</v>
      </c>
      <c r="AK624" s="39" t="str">
        <f>データ!M624</f>
        <v>X字型に攻撃[特大]</v>
      </c>
      <c r="AL624" s="10" t="s">
        <v>1024</v>
      </c>
      <c r="AM624" s="40" t="s">
        <v>1325</v>
      </c>
      <c r="AN624" s="39" t="str">
        <f>データ!N624</f>
        <v>-</v>
      </c>
      <c r="AO624" s="10" t="s">
        <v>1113</v>
      </c>
      <c r="AP624" s="39" t="str">
        <f>データ!O624</f>
        <v>　</v>
      </c>
      <c r="AQ624" s="41" t="s">
        <v>1024</v>
      </c>
      <c r="AR624" s="40" t="s">
        <v>1324</v>
      </c>
      <c r="AS624" s="39" t="str">
        <f>データ!P624</f>
        <v>アサルト／煌</v>
      </c>
      <c r="AT624" s="10" t="s">
        <v>1113</v>
      </c>
      <c r="AU624" s="39" t="str">
        <f>データ!Q624</f>
        <v>パーティ全体の攻撃力が特大UP(3分間)</v>
      </c>
      <c r="AV624" s="10" t="s">
        <v>1024</v>
      </c>
      <c r="AW624" s="40" t="s">
        <v>1324</v>
      </c>
      <c r="AX624" s="39" t="str">
        <f>データ!R624</f>
        <v>ポイントライズ／絶</v>
      </c>
      <c r="AY624" s="10" t="s">
        <v>1113</v>
      </c>
      <c r="AZ624" s="39" t="str">
        <f>データ!S624</f>
        <v>獲得する騎士団戦スコアが大アップ(バトル3回)</v>
      </c>
      <c r="BA624" s="41" t="s">
        <v>1024</v>
      </c>
      <c r="BB624" s="40" t="s">
        <v>1319</v>
      </c>
      <c r="BC624" s="39" t="str">
        <f>データ!T624</f>
        <v>-</v>
      </c>
      <c r="BD624" s="41" t="s">
        <v>1024</v>
      </c>
      <c r="BE624" s="40" t="s">
        <v>1320</v>
      </c>
      <c r="BF624" s="39" t="str">
        <f>データ!U624</f>
        <v>-</v>
      </c>
      <c r="BG624" s="41" t="s">
        <v>1024</v>
      </c>
      <c r="BH624" s="40" t="s">
        <v>1319</v>
      </c>
      <c r="BI624" s="39" t="str">
        <f>データ!V624</f>
        <v>スペシャル任務報酬</v>
      </c>
      <c r="BJ624" s="41" t="s">
        <v>1024</v>
      </c>
      <c r="BK624" s="10" t="s">
        <v>1019</v>
      </c>
    </row>
    <row r="625" spans="1:63" x14ac:dyDescent="0.15">
      <c r="A625" s="10" t="s">
        <v>1016</v>
      </c>
      <c r="B625" s="10" t="s">
        <v>1454</v>
      </c>
      <c r="C625" s="38" t="str">
        <f>"./images/thumbnail/"&amp;データ!B625&amp;".jpg"</f>
        <v>./images/thumbnail/2016.jpg</v>
      </c>
      <c r="D625" s="38" t="s">
        <v>1455</v>
      </c>
      <c r="E625" s="38" t="str">
        <f>"./images/thumbnail/"&amp;データ!B625&amp;".jpg"</f>
        <v>./images/thumbnail/2016.jpg</v>
      </c>
      <c r="F625" s="38" t="s">
        <v>1116</v>
      </c>
      <c r="G625" s="38" t="s">
        <v>1319</v>
      </c>
      <c r="H625" s="38" t="str">
        <f>データ!C625</f>
        <v>ロイ</v>
      </c>
      <c r="I625" s="38" t="s">
        <v>1024</v>
      </c>
      <c r="J625" s="38" t="s">
        <v>1320</v>
      </c>
      <c r="K625" s="38" t="str">
        <f>データ!D625</f>
        <v>UR</v>
      </c>
      <c r="L625" s="38" t="s">
        <v>1024</v>
      </c>
      <c r="M625" s="38" t="s">
        <v>1321</v>
      </c>
      <c r="N625" s="38">
        <f>データ!E625</f>
        <v>15</v>
      </c>
      <c r="O625" s="38" t="s">
        <v>1024</v>
      </c>
      <c r="P625" s="38" t="s">
        <v>1319</v>
      </c>
      <c r="Q625" s="38" t="str">
        <f>データ!F625</f>
        <v>遠</v>
      </c>
      <c r="R625" s="38" t="s">
        <v>1024</v>
      </c>
      <c r="S625" s="38" t="s">
        <v>1319</v>
      </c>
      <c r="T625" s="39">
        <f>データ!G625</f>
        <v>20504</v>
      </c>
      <c r="U625" s="40" t="s">
        <v>1024</v>
      </c>
      <c r="V625" s="40" t="s">
        <v>1319</v>
      </c>
      <c r="W625" s="39">
        <f>データ!H625</f>
        <v>7204</v>
      </c>
      <c r="X625" s="40" t="s">
        <v>1024</v>
      </c>
      <c r="Y625" s="40" t="s">
        <v>1319</v>
      </c>
      <c r="Z625" s="39">
        <f>データ!I625</f>
        <v>6984</v>
      </c>
      <c r="AA625" s="40" t="s">
        <v>1024</v>
      </c>
      <c r="AB625" s="40" t="s">
        <v>1322</v>
      </c>
      <c r="AC625" s="39" t="str">
        <f>データ!J625</f>
        <v>SS</v>
      </c>
      <c r="AD625" s="38" t="s">
        <v>1024</v>
      </c>
      <c r="AE625" s="40" t="s">
        <v>1323</v>
      </c>
      <c r="AF625" s="39">
        <f>データ!K625</f>
        <v>34692</v>
      </c>
      <c r="AG625" s="40" t="s">
        <v>1024</v>
      </c>
      <c r="AH625" s="40" t="s">
        <v>1324</v>
      </c>
      <c r="AI625" s="39" t="str">
        <f>データ!L625</f>
        <v>焔幻の一閃／煌</v>
      </c>
      <c r="AJ625" s="10" t="s">
        <v>1113</v>
      </c>
      <c r="AK625" s="39" t="str">
        <f>データ!M625</f>
        <v>横一列に攻撃[特大]</v>
      </c>
      <c r="AL625" s="38" t="s">
        <v>1024</v>
      </c>
      <c r="AM625" s="40" t="s">
        <v>1325</v>
      </c>
      <c r="AN625" s="39" t="str">
        <f>データ!N625</f>
        <v>-</v>
      </c>
      <c r="AO625" s="10" t="s">
        <v>1113</v>
      </c>
      <c r="AP625" s="39" t="str">
        <f>データ!O625</f>
        <v>　</v>
      </c>
      <c r="AQ625" s="41" t="s">
        <v>1024</v>
      </c>
      <c r="AR625" s="40" t="s">
        <v>1324</v>
      </c>
      <c r="AS625" s="39" t="str">
        <f>データ!P625</f>
        <v>フォートレス／煌</v>
      </c>
      <c r="AT625" s="10" t="s">
        <v>1113</v>
      </c>
      <c r="AU625" s="39" t="str">
        <f>データ!Q625</f>
        <v>パーティ全体の防御力が特大UP(3分間)</v>
      </c>
      <c r="AV625" s="10" t="s">
        <v>1024</v>
      </c>
      <c r="AW625" s="40" t="s">
        <v>1324</v>
      </c>
      <c r="AX625" s="39" t="str">
        <f>データ!R625</f>
        <v>オラクル／絶</v>
      </c>
      <c r="AY625" s="10" t="s">
        <v>1113</v>
      </c>
      <c r="AZ625" s="39" t="str">
        <f>データ!S625</f>
        <v>パーティ全体のスキル発動率が大UP(3分間)</v>
      </c>
      <c r="BA625" s="41" t="s">
        <v>1024</v>
      </c>
      <c r="BB625" s="40" t="s">
        <v>1319</v>
      </c>
      <c r="BC625" s="39" t="str">
        <f>データ!T625</f>
        <v>-</v>
      </c>
      <c r="BD625" s="41" t="s">
        <v>1024</v>
      </c>
      <c r="BE625" s="40" t="s">
        <v>1320</v>
      </c>
      <c r="BF625" s="39" t="str">
        <f>データ!U625</f>
        <v>-</v>
      </c>
      <c r="BG625" s="41" t="s">
        <v>1024</v>
      </c>
      <c r="BH625" s="40" t="s">
        <v>1319</v>
      </c>
      <c r="BI625" s="39" t="str">
        <f>データ!V625</f>
        <v>スペシャル任務報酬</v>
      </c>
      <c r="BJ625" s="41" t="s">
        <v>1024</v>
      </c>
      <c r="BK625" s="10" t="s">
        <v>1019</v>
      </c>
    </row>
    <row r="626" spans="1:63" x14ac:dyDescent="0.15">
      <c r="A626" s="10" t="s">
        <v>1016</v>
      </c>
      <c r="B626" s="10" t="s">
        <v>1454</v>
      </c>
      <c r="C626" s="38" t="str">
        <f>"./images/thumbnail/"&amp;データ!B626&amp;".jpg"</f>
        <v>./images/thumbnail/2021.jpg</v>
      </c>
      <c r="D626" s="38" t="s">
        <v>1455</v>
      </c>
      <c r="E626" s="38" t="str">
        <f>"./images/thumbnail/"&amp;データ!B626&amp;".jpg"</f>
        <v>./images/thumbnail/2021.jpg</v>
      </c>
      <c r="F626" s="38" t="s">
        <v>1116</v>
      </c>
      <c r="G626" s="38" t="s">
        <v>1319</v>
      </c>
      <c r="H626" s="38" t="str">
        <f>データ!C626</f>
        <v>コンスタン</v>
      </c>
      <c r="I626" s="38" t="s">
        <v>1024</v>
      </c>
      <c r="J626" s="38" t="s">
        <v>1320</v>
      </c>
      <c r="K626" s="38" t="str">
        <f>データ!D626</f>
        <v>SSR</v>
      </c>
      <c r="L626" s="38" t="s">
        <v>1024</v>
      </c>
      <c r="M626" s="38" t="s">
        <v>1321</v>
      </c>
      <c r="N626" s="38">
        <f>データ!E626</f>
        <v>13</v>
      </c>
      <c r="O626" s="38" t="s">
        <v>1024</v>
      </c>
      <c r="P626" s="38" t="s">
        <v>1319</v>
      </c>
      <c r="Q626" s="38" t="str">
        <f>データ!F626</f>
        <v>遠</v>
      </c>
      <c r="R626" s="38" t="s">
        <v>1024</v>
      </c>
      <c r="S626" s="38" t="s">
        <v>1319</v>
      </c>
      <c r="T626" s="39">
        <f>データ!G626</f>
        <v>20204</v>
      </c>
      <c r="U626" s="40" t="s">
        <v>1024</v>
      </c>
      <c r="V626" s="40" t="s">
        <v>1319</v>
      </c>
      <c r="W626" s="39">
        <f>データ!H626</f>
        <v>6419</v>
      </c>
      <c r="X626" s="40" t="s">
        <v>1024</v>
      </c>
      <c r="Y626" s="40" t="s">
        <v>1319</v>
      </c>
      <c r="Z626" s="39">
        <f>データ!I626</f>
        <v>4984</v>
      </c>
      <c r="AA626" s="40" t="s">
        <v>1024</v>
      </c>
      <c r="AB626" s="40" t="s">
        <v>1322</v>
      </c>
      <c r="AC626" s="39" t="str">
        <f>データ!J626</f>
        <v>S-</v>
      </c>
      <c r="AD626" s="38" t="s">
        <v>1024</v>
      </c>
      <c r="AE626" s="40" t="s">
        <v>1323</v>
      </c>
      <c r="AF626" s="39">
        <f>データ!K626</f>
        <v>31607</v>
      </c>
      <c r="AG626" s="40" t="s">
        <v>1024</v>
      </c>
      <c r="AH626" s="40" t="s">
        <v>1324</v>
      </c>
      <c r="AI626" s="39" t="str">
        <f>データ!L626</f>
        <v>強奪者の雷／絶</v>
      </c>
      <c r="AJ626" s="10" t="s">
        <v>1113</v>
      </c>
      <c r="AK626" s="39" t="str">
        <f>データ!M626</f>
        <v>単体攻撃（宝箱優先／追加ダメージ）[大]</v>
      </c>
      <c r="AL626" s="10" t="s">
        <v>1024</v>
      </c>
      <c r="AM626" s="40" t="s">
        <v>1325</v>
      </c>
      <c r="AN626" s="39" t="str">
        <f>データ!N626</f>
        <v>-</v>
      </c>
      <c r="AO626" s="10" t="s">
        <v>1113</v>
      </c>
      <c r="AP626" s="39" t="str">
        <f>データ!O626</f>
        <v>　</v>
      </c>
      <c r="AQ626" s="41" t="s">
        <v>1024</v>
      </c>
      <c r="AR626" s="40" t="s">
        <v>1324</v>
      </c>
      <c r="AS626" s="39" t="str">
        <f>データ!P626</f>
        <v>アサルト／真</v>
      </c>
      <c r="AT626" s="10" t="s">
        <v>1113</v>
      </c>
      <c r="AU626" s="39" t="str">
        <f>データ!Q626</f>
        <v>パーティ全体の攻撃力が中UP(3分間)</v>
      </c>
      <c r="AV626" s="10" t="s">
        <v>1024</v>
      </c>
      <c r="AW626" s="40" t="s">
        <v>1324</v>
      </c>
      <c r="AX626" s="39" t="str">
        <f>データ!R626</f>
        <v>-</v>
      </c>
      <c r="AY626" s="10" t="s">
        <v>1113</v>
      </c>
      <c r="AZ626" s="39" t="str">
        <f>データ!S626</f>
        <v>　</v>
      </c>
      <c r="BA626" s="41" t="s">
        <v>1024</v>
      </c>
      <c r="BB626" s="40" t="s">
        <v>1319</v>
      </c>
      <c r="BC626" s="39" t="str">
        <f>データ!T626</f>
        <v>-</v>
      </c>
      <c r="BD626" s="41" t="s">
        <v>1024</v>
      </c>
      <c r="BE626" s="40" t="s">
        <v>1320</v>
      </c>
      <c r="BF626" s="39" t="str">
        <f>データ!U626</f>
        <v>-</v>
      </c>
      <c r="BG626" s="41" t="s">
        <v>1024</v>
      </c>
      <c r="BH626" s="40" t="s">
        <v>1319</v>
      </c>
      <c r="BI626" s="39" t="str">
        <f>データ!V626</f>
        <v>メダル</v>
      </c>
      <c r="BJ626" s="41" t="s">
        <v>1024</v>
      </c>
      <c r="BK626" s="10" t="s">
        <v>1019</v>
      </c>
    </row>
    <row r="627" spans="1:63" x14ac:dyDescent="0.15">
      <c r="A627" s="10" t="s">
        <v>1016</v>
      </c>
      <c r="B627" s="10" t="s">
        <v>1454</v>
      </c>
      <c r="C627" s="38" t="str">
        <f>"./images/thumbnail/"&amp;データ!B627&amp;".jpg"</f>
        <v>./images/thumbnail/2022.jpg</v>
      </c>
      <c r="D627" s="38" t="s">
        <v>1455</v>
      </c>
      <c r="E627" s="38" t="str">
        <f>"./images/thumbnail/"&amp;データ!B627&amp;".jpg"</f>
        <v>./images/thumbnail/2022.jpg</v>
      </c>
      <c r="F627" s="38" t="s">
        <v>1116</v>
      </c>
      <c r="G627" s="38" t="s">
        <v>1319</v>
      </c>
      <c r="H627" s="38" t="str">
        <f>データ!C627</f>
        <v>デュケーヌ</v>
      </c>
      <c r="I627" s="38" t="s">
        <v>1024</v>
      </c>
      <c r="J627" s="38" t="s">
        <v>1320</v>
      </c>
      <c r="K627" s="38" t="str">
        <f>データ!D627</f>
        <v>UR</v>
      </c>
      <c r="L627" s="38" t="s">
        <v>1024</v>
      </c>
      <c r="M627" s="38" t="s">
        <v>1321</v>
      </c>
      <c r="N627" s="38">
        <f>データ!E627</f>
        <v>14</v>
      </c>
      <c r="O627" s="38" t="s">
        <v>1024</v>
      </c>
      <c r="P627" s="38" t="s">
        <v>1319</v>
      </c>
      <c r="Q627" s="38" t="str">
        <f>データ!F627</f>
        <v>斬</v>
      </c>
      <c r="R627" s="38" t="s">
        <v>1024</v>
      </c>
      <c r="S627" s="38" t="s">
        <v>1319</v>
      </c>
      <c r="T627" s="39">
        <f>データ!G627</f>
        <v>17531</v>
      </c>
      <c r="U627" s="40" t="s">
        <v>1024</v>
      </c>
      <c r="V627" s="40" t="s">
        <v>1319</v>
      </c>
      <c r="W627" s="39">
        <f>データ!H627</f>
        <v>8881</v>
      </c>
      <c r="X627" s="40" t="s">
        <v>1024</v>
      </c>
      <c r="Y627" s="40" t="s">
        <v>1319</v>
      </c>
      <c r="Z627" s="39">
        <f>データ!I627</f>
        <v>6192</v>
      </c>
      <c r="AA627" s="40" t="s">
        <v>1024</v>
      </c>
      <c r="AB627" s="40" t="s">
        <v>1322</v>
      </c>
      <c r="AC627" s="39" t="str">
        <f>データ!J627</f>
        <v>S</v>
      </c>
      <c r="AD627" s="38" t="s">
        <v>1024</v>
      </c>
      <c r="AE627" s="40" t="s">
        <v>1323</v>
      </c>
      <c r="AF627" s="39">
        <f>データ!K627</f>
        <v>32604</v>
      </c>
      <c r="AG627" s="40" t="s">
        <v>1024</v>
      </c>
      <c r="AH627" s="40" t="s">
        <v>1324</v>
      </c>
      <c r="AI627" s="39" t="str">
        <f>データ!L627</f>
        <v>魔幻の閃光／煌</v>
      </c>
      <c r="AJ627" s="10" t="s">
        <v>1113</v>
      </c>
      <c r="AK627" s="39" t="str">
        <f>データ!M627</f>
        <v>縦一列に攻撃[特大]</v>
      </c>
      <c r="AL627" s="10" t="s">
        <v>1024</v>
      </c>
      <c r="AM627" s="40" t="s">
        <v>1325</v>
      </c>
      <c r="AN627" s="39" t="str">
        <f>データ!N627</f>
        <v>-</v>
      </c>
      <c r="AO627" s="10" t="s">
        <v>1113</v>
      </c>
      <c r="AP627" s="39" t="str">
        <f>データ!O627</f>
        <v>　</v>
      </c>
      <c r="AQ627" s="41" t="s">
        <v>1024</v>
      </c>
      <c r="AR627" s="40" t="s">
        <v>1324</v>
      </c>
      <c r="AS627" s="39" t="str">
        <f>データ!P627</f>
        <v>アサルトオーダー／真</v>
      </c>
      <c r="AT627" s="10" t="s">
        <v>1113</v>
      </c>
      <c r="AU627" s="39" t="str">
        <f>データ!Q627</f>
        <v>騎士団全体の攻撃力が中UP(3分間)</v>
      </c>
      <c r="AV627" s="10" t="s">
        <v>1024</v>
      </c>
      <c r="AW627" s="40" t="s">
        <v>1324</v>
      </c>
      <c r="AX627" s="39" t="str">
        <f>データ!R627</f>
        <v>-</v>
      </c>
      <c r="AY627" s="10" t="s">
        <v>1113</v>
      </c>
      <c r="AZ627" s="39" t="str">
        <f>データ!S627</f>
        <v>　</v>
      </c>
      <c r="BA627" s="41" t="s">
        <v>1024</v>
      </c>
      <c r="BB627" s="40" t="s">
        <v>1319</v>
      </c>
      <c r="BC627" s="39" t="str">
        <f>データ!T627</f>
        <v>-</v>
      </c>
      <c r="BD627" s="41" t="s">
        <v>1024</v>
      </c>
      <c r="BE627" s="40" t="s">
        <v>1320</v>
      </c>
      <c r="BF627" s="39" t="str">
        <f>データ!U627</f>
        <v>-</v>
      </c>
      <c r="BG627" s="41" t="s">
        <v>1024</v>
      </c>
      <c r="BH627" s="40" t="s">
        <v>1319</v>
      </c>
      <c r="BI627" s="39" t="str">
        <f>データ!V627</f>
        <v>誓いイベ</v>
      </c>
      <c r="BJ627" s="41" t="s">
        <v>1024</v>
      </c>
      <c r="BK627" s="10" t="s">
        <v>1019</v>
      </c>
    </row>
    <row r="628" spans="1:63" x14ac:dyDescent="0.15">
      <c r="A628" s="10" t="s">
        <v>1016</v>
      </c>
      <c r="B628" s="10" t="s">
        <v>1454</v>
      </c>
      <c r="C628" s="38" t="str">
        <f>"./images/thumbnail/"&amp;データ!B628&amp;".jpg"</f>
        <v>./images/thumbnail/2023.jpg</v>
      </c>
      <c r="D628" s="38" t="s">
        <v>1455</v>
      </c>
      <c r="E628" s="38" t="str">
        <f>"./images/thumbnail/"&amp;データ!B628&amp;".jpg"</f>
        <v>./images/thumbnail/2023.jpg</v>
      </c>
      <c r="F628" s="38" t="s">
        <v>1116</v>
      </c>
      <c r="G628" s="38" t="s">
        <v>1319</v>
      </c>
      <c r="H628" s="38" t="str">
        <f>データ!C628</f>
        <v>ベルナデッタ</v>
      </c>
      <c r="I628" s="38" t="s">
        <v>1024</v>
      </c>
      <c r="J628" s="38" t="s">
        <v>1320</v>
      </c>
      <c r="K628" s="38" t="str">
        <f>データ!D628</f>
        <v>UR</v>
      </c>
      <c r="L628" s="38" t="s">
        <v>1024</v>
      </c>
      <c r="M628" s="38" t="s">
        <v>1321</v>
      </c>
      <c r="N628" s="38">
        <f>データ!E628</f>
        <v>15</v>
      </c>
      <c r="O628" s="38" t="s">
        <v>1024</v>
      </c>
      <c r="P628" s="38" t="s">
        <v>1319</v>
      </c>
      <c r="Q628" s="38" t="str">
        <f>データ!F628</f>
        <v>突</v>
      </c>
      <c r="R628" s="38" t="s">
        <v>1024</v>
      </c>
      <c r="S628" s="38" t="s">
        <v>1319</v>
      </c>
      <c r="T628" s="39">
        <f>データ!G628</f>
        <v>23767</v>
      </c>
      <c r="U628" s="40" t="s">
        <v>1024</v>
      </c>
      <c r="V628" s="40" t="s">
        <v>1319</v>
      </c>
      <c r="W628" s="39">
        <f>データ!H628</f>
        <v>6585</v>
      </c>
      <c r="X628" s="40" t="s">
        <v>1024</v>
      </c>
      <c r="Y628" s="40" t="s">
        <v>1319</v>
      </c>
      <c r="Z628" s="39">
        <f>データ!I628</f>
        <v>8462</v>
      </c>
      <c r="AA628" s="40" t="s">
        <v>1024</v>
      </c>
      <c r="AB628" s="40" t="s">
        <v>1322</v>
      </c>
      <c r="AC628" s="39" t="str">
        <f>データ!J628</f>
        <v>SS2</v>
      </c>
      <c r="AD628" s="38" t="s">
        <v>1024</v>
      </c>
      <c r="AE628" s="40" t="s">
        <v>1323</v>
      </c>
      <c r="AF628" s="39">
        <f>データ!K628</f>
        <v>38814</v>
      </c>
      <c r="AG628" s="40" t="s">
        <v>1024</v>
      </c>
      <c r="AH628" s="40" t="s">
        <v>1324</v>
      </c>
      <c r="AI628" s="39" t="str">
        <f>データ!L628</f>
        <v>焔幻の一閃／煌</v>
      </c>
      <c r="AJ628" s="10" t="s">
        <v>1113</v>
      </c>
      <c r="AK628" s="39" t="str">
        <f>データ!M628</f>
        <v>横一列に攻撃[特大]</v>
      </c>
      <c r="AL628" s="10" t="s">
        <v>1024</v>
      </c>
      <c r="AM628" s="40" t="s">
        <v>1325</v>
      </c>
      <c r="AN628" s="39" t="str">
        <f>データ!N628</f>
        <v xml:space="preserve">赤火竜の障壁 </v>
      </c>
      <c r="AO628" s="10" t="s">
        <v>1113</v>
      </c>
      <c r="AP628" s="39" t="str">
        <f>データ!O628</f>
        <v>敵の状態異常スキルを完全無効化</v>
      </c>
      <c r="AQ628" s="41" t="s">
        <v>1024</v>
      </c>
      <c r="AR628" s="40" t="s">
        <v>1324</v>
      </c>
      <c r="AS628" s="39" t="str">
        <f>データ!P628</f>
        <v>エース／煌</v>
      </c>
      <c r="AT628" s="10" t="s">
        <v>1113</v>
      </c>
      <c r="AU628" s="39" t="str">
        <f>データ!Q628</f>
        <v>パーティ全体の攻・防が特大UP(3分間)</v>
      </c>
      <c r="AV628" s="10" t="s">
        <v>1024</v>
      </c>
      <c r="AW628" s="40" t="s">
        <v>1324</v>
      </c>
      <c r="AX628" s="39" t="str">
        <f>データ!R628</f>
        <v>アサルト／絶</v>
      </c>
      <c r="AY628" s="10" t="s">
        <v>1113</v>
      </c>
      <c r="AZ628" s="39" t="str">
        <f>データ!S628</f>
        <v>パーティ全体の攻撃力が大UP(3分間)</v>
      </c>
      <c r="BA628" s="41" t="s">
        <v>1024</v>
      </c>
      <c r="BB628" s="40" t="s">
        <v>1319</v>
      </c>
      <c r="BC628" s="39" t="str">
        <f>データ!T628</f>
        <v>-</v>
      </c>
      <c r="BD628" s="41" t="s">
        <v>1024</v>
      </c>
      <c r="BE628" s="40" t="s">
        <v>1320</v>
      </c>
      <c r="BF628" s="39" t="str">
        <f>データ!U628</f>
        <v>-</v>
      </c>
      <c r="BG628" s="41" t="s">
        <v>1024</v>
      </c>
      <c r="BH628" s="40" t="s">
        <v>1319</v>
      </c>
      <c r="BI628" s="39" t="str">
        <f>データ!V628</f>
        <v>常設</v>
      </c>
      <c r="BJ628" s="41" t="s">
        <v>1024</v>
      </c>
      <c r="BK628" s="10" t="s">
        <v>1019</v>
      </c>
    </row>
    <row r="629" spans="1:63" x14ac:dyDescent="0.15">
      <c r="A629" s="10" t="s">
        <v>1016</v>
      </c>
      <c r="B629" s="10" t="s">
        <v>1454</v>
      </c>
      <c r="C629" s="38" t="str">
        <f>"./images/thumbnail/"&amp;データ!B629&amp;".jpg"</f>
        <v>./images/thumbnail/2025.jpg</v>
      </c>
      <c r="D629" s="38" t="s">
        <v>1455</v>
      </c>
      <c r="E629" s="38" t="str">
        <f>"./images/thumbnail/"&amp;データ!B629&amp;".jpg"</f>
        <v>./images/thumbnail/2025.jpg</v>
      </c>
      <c r="F629" s="38" t="s">
        <v>1116</v>
      </c>
      <c r="G629" s="38" t="s">
        <v>1319</v>
      </c>
      <c r="H629" s="38" t="str">
        <f>データ!C629</f>
        <v>モーニカ</v>
      </c>
      <c r="I629" s="38" t="s">
        <v>1024</v>
      </c>
      <c r="J629" s="38" t="s">
        <v>1320</v>
      </c>
      <c r="K629" s="38" t="str">
        <f>データ!D629</f>
        <v>UR</v>
      </c>
      <c r="L629" s="38" t="s">
        <v>1024</v>
      </c>
      <c r="M629" s="38" t="s">
        <v>1321</v>
      </c>
      <c r="N629" s="38">
        <f>データ!E629</f>
        <v>14</v>
      </c>
      <c r="O629" s="38" t="s">
        <v>1024</v>
      </c>
      <c r="P629" s="38" t="s">
        <v>1319</v>
      </c>
      <c r="Q629" s="38" t="str">
        <f>データ!F629</f>
        <v>打</v>
      </c>
      <c r="R629" s="38" t="s">
        <v>1024</v>
      </c>
      <c r="S629" s="38" t="s">
        <v>1319</v>
      </c>
      <c r="T629" s="39">
        <f>データ!G629</f>
        <v>23645</v>
      </c>
      <c r="U629" s="40" t="s">
        <v>1024</v>
      </c>
      <c r="V629" s="40" t="s">
        <v>1319</v>
      </c>
      <c r="W629" s="39">
        <f>データ!H629</f>
        <v>6704</v>
      </c>
      <c r="X629" s="40" t="s">
        <v>1024</v>
      </c>
      <c r="Y629" s="40" t="s">
        <v>1319</v>
      </c>
      <c r="Z629" s="39">
        <f>データ!I629</f>
        <v>8416</v>
      </c>
      <c r="AA629" s="40" t="s">
        <v>1024</v>
      </c>
      <c r="AB629" s="40" t="s">
        <v>1322</v>
      </c>
      <c r="AC629" s="39" t="str">
        <f>データ!J629</f>
        <v>A+</v>
      </c>
      <c r="AD629" s="38" t="s">
        <v>1024</v>
      </c>
      <c r="AE629" s="40" t="s">
        <v>1323</v>
      </c>
      <c r="AF629" s="39">
        <f>データ!K629</f>
        <v>38765</v>
      </c>
      <c r="AG629" s="40" t="s">
        <v>1024</v>
      </c>
      <c r="AH629" s="40" t="s">
        <v>1324</v>
      </c>
      <c r="AI629" s="39" t="str">
        <f>データ!L629</f>
        <v>沈黙の言霊／煌</v>
      </c>
      <c r="AJ629" s="10" t="s">
        <v>1113</v>
      </c>
      <c r="AK629" s="39" t="str">
        <f>データ!M629</f>
        <v>一定確率で敵を沈黙状態にする[超高確率]</v>
      </c>
      <c r="AL629" s="10" t="s">
        <v>1024</v>
      </c>
      <c r="AM629" s="40" t="s">
        <v>1325</v>
      </c>
      <c r="AN629" s="39" t="str">
        <f>データ!N629</f>
        <v>-</v>
      </c>
      <c r="AO629" s="10" t="s">
        <v>1113</v>
      </c>
      <c r="AP629" s="39" t="str">
        <f>データ!O629</f>
        <v>　</v>
      </c>
      <c r="AQ629" s="41" t="s">
        <v>1024</v>
      </c>
      <c r="AR629" s="40" t="s">
        <v>1324</v>
      </c>
      <c r="AS629" s="39" t="str">
        <f>データ!P629</f>
        <v>シャドウオーダー</v>
      </c>
      <c r="AT629" s="10" t="s">
        <v>1113</v>
      </c>
      <c r="AU629" s="39" t="str">
        <f>データ!Q629</f>
        <v>騎士団全体の強襲CB率が小UP(3分間)</v>
      </c>
      <c r="AV629" s="10" t="s">
        <v>1024</v>
      </c>
      <c r="AW629" s="40" t="s">
        <v>1324</v>
      </c>
      <c r="AX629" s="39" t="str">
        <f>データ!R629</f>
        <v>-</v>
      </c>
      <c r="AY629" s="10" t="s">
        <v>1113</v>
      </c>
      <c r="AZ629" s="39" t="str">
        <f>データ!S629</f>
        <v>　</v>
      </c>
      <c r="BA629" s="41" t="s">
        <v>1024</v>
      </c>
      <c r="BB629" s="40" t="s">
        <v>1319</v>
      </c>
      <c r="BC629" s="39" t="str">
        <f>データ!T629</f>
        <v>-</v>
      </c>
      <c r="BD629" s="41" t="s">
        <v>1024</v>
      </c>
      <c r="BE629" s="40" t="s">
        <v>1320</v>
      </c>
      <c r="BF629" s="39" t="str">
        <f>データ!U629</f>
        <v>-</v>
      </c>
      <c r="BG629" s="41" t="s">
        <v>1024</v>
      </c>
      <c r="BH629" s="40" t="s">
        <v>1319</v>
      </c>
      <c r="BI629" s="39" t="str">
        <f>データ!V629</f>
        <v>常設</v>
      </c>
      <c r="BJ629" s="41" t="s">
        <v>1024</v>
      </c>
      <c r="BK629" s="10" t="s">
        <v>1019</v>
      </c>
    </row>
    <row r="630" spans="1:63" x14ac:dyDescent="0.15">
      <c r="A630" s="10" t="s">
        <v>1016</v>
      </c>
      <c r="B630" s="10" t="s">
        <v>1454</v>
      </c>
      <c r="C630" s="38" t="str">
        <f>"./images/thumbnail/"&amp;データ!B630&amp;".jpg"</f>
        <v>./images/thumbnail/2027.jpg</v>
      </c>
      <c r="D630" s="38" t="s">
        <v>1455</v>
      </c>
      <c r="E630" s="38" t="str">
        <f>"./images/thumbnail/"&amp;データ!B630&amp;".jpg"</f>
        <v>./images/thumbnail/2027.jpg</v>
      </c>
      <c r="F630" s="38" t="s">
        <v>1116</v>
      </c>
      <c r="G630" s="38" t="s">
        <v>1319</v>
      </c>
      <c r="H630" s="38" t="str">
        <f>データ!C630</f>
        <v>デュド</v>
      </c>
      <c r="I630" s="38" t="s">
        <v>1024</v>
      </c>
      <c r="J630" s="38" t="s">
        <v>1320</v>
      </c>
      <c r="K630" s="38" t="str">
        <f>データ!D630</f>
        <v>UR</v>
      </c>
      <c r="L630" s="38" t="s">
        <v>1024</v>
      </c>
      <c r="M630" s="38" t="s">
        <v>1321</v>
      </c>
      <c r="N630" s="38">
        <f>データ!E630</f>
        <v>15</v>
      </c>
      <c r="O630" s="38" t="s">
        <v>1024</v>
      </c>
      <c r="P630" s="38" t="s">
        <v>1319</v>
      </c>
      <c r="Q630" s="38" t="str">
        <f>データ!F630</f>
        <v>打</v>
      </c>
      <c r="R630" s="38" t="s">
        <v>1024</v>
      </c>
      <c r="S630" s="38" t="s">
        <v>1319</v>
      </c>
      <c r="T630" s="39">
        <f>データ!G630</f>
        <v>26895</v>
      </c>
      <c r="U630" s="40" t="s">
        <v>1024</v>
      </c>
      <c r="V630" s="40" t="s">
        <v>1319</v>
      </c>
      <c r="W630" s="39">
        <f>データ!H630</f>
        <v>7319</v>
      </c>
      <c r="X630" s="40" t="s">
        <v>1024</v>
      </c>
      <c r="Y630" s="40" t="s">
        <v>1319</v>
      </c>
      <c r="Z630" s="39">
        <f>データ!I630</f>
        <v>10596</v>
      </c>
      <c r="AA630" s="40" t="s">
        <v>1024</v>
      </c>
      <c r="AB630" s="40" t="s">
        <v>1322</v>
      </c>
      <c r="AC630" s="39" t="str">
        <f>データ!J630</f>
        <v>S</v>
      </c>
      <c r="AD630" s="38" t="s">
        <v>1024</v>
      </c>
      <c r="AE630" s="40" t="s">
        <v>1323</v>
      </c>
      <c r="AF630" s="39">
        <f>データ!K630</f>
        <v>44810</v>
      </c>
      <c r="AG630" s="40" t="s">
        <v>1024</v>
      </c>
      <c r="AH630" s="40" t="s">
        <v>1324</v>
      </c>
      <c r="AI630" s="39" t="str">
        <f>データ!L630</f>
        <v>紫打の天護</v>
      </c>
      <c r="AJ630" s="10" t="s">
        <v>1113</v>
      </c>
      <c r="AK630" s="39" t="str">
        <f>データ!M630</f>
        <v>味方打属性の防御力をUP[極大]</v>
      </c>
      <c r="AL630" s="38" t="s">
        <v>1024</v>
      </c>
      <c r="AM630" s="40" t="s">
        <v>1325</v>
      </c>
      <c r="AN630" s="39" t="str">
        <f>データ!N630</f>
        <v>-</v>
      </c>
      <c r="AO630" s="10" t="s">
        <v>1113</v>
      </c>
      <c r="AP630" s="39" t="str">
        <f>データ!O630</f>
        <v>　</v>
      </c>
      <c r="AQ630" s="41" t="s">
        <v>1024</v>
      </c>
      <c r="AR630" s="40" t="s">
        <v>1324</v>
      </c>
      <c r="AS630" s="39" t="str">
        <f>データ!P630</f>
        <v>グラビティアサルト／煌</v>
      </c>
      <c r="AT630" s="10" t="s">
        <v>1113</v>
      </c>
      <c r="AU630" s="39" t="str">
        <f>データ!Q630</f>
        <v>パーティ全体の攻撃力特大UP・速度大DOWN(3分間)</v>
      </c>
      <c r="AV630" s="10" t="s">
        <v>1024</v>
      </c>
      <c r="AW630" s="40" t="s">
        <v>1324</v>
      </c>
      <c r="AX630" s="39" t="str">
        <f>データ!R630</f>
        <v>キャッスルウィークネス／真</v>
      </c>
      <c r="AY630" s="10" t="s">
        <v>1113</v>
      </c>
      <c r="AZ630" s="39" t="str">
        <f>データ!S630</f>
        <v>対戦騎士団の城強度Lvが中DOWN(3分間)</v>
      </c>
      <c r="BA630" s="41" t="s">
        <v>1024</v>
      </c>
      <c r="BB630" s="40" t="s">
        <v>1319</v>
      </c>
      <c r="BC630" s="39" t="str">
        <f>データ!T630</f>
        <v>-</v>
      </c>
      <c r="BD630" s="41" t="s">
        <v>1024</v>
      </c>
      <c r="BE630" s="40" t="s">
        <v>1320</v>
      </c>
      <c r="BF630" s="39" t="str">
        <f>データ!U630</f>
        <v>-</v>
      </c>
      <c r="BG630" s="41" t="s">
        <v>1024</v>
      </c>
      <c r="BH630" s="40" t="s">
        <v>1319</v>
      </c>
      <c r="BI630" s="39" t="str">
        <f>データ!V630</f>
        <v>ガチャイベ</v>
      </c>
      <c r="BJ630" s="41" t="s">
        <v>1024</v>
      </c>
      <c r="BK630" s="10" t="s">
        <v>1019</v>
      </c>
    </row>
    <row r="631" spans="1:63" x14ac:dyDescent="0.15">
      <c r="A631" s="10" t="s">
        <v>1016</v>
      </c>
      <c r="B631" s="10" t="s">
        <v>1454</v>
      </c>
      <c r="C631" s="38" t="str">
        <f>"./images/thumbnail/"&amp;データ!B631&amp;".jpg"</f>
        <v>./images/thumbnail/2029.jpg</v>
      </c>
      <c r="D631" s="38" t="s">
        <v>1455</v>
      </c>
      <c r="E631" s="38" t="str">
        <f>"./images/thumbnail/"&amp;データ!B631&amp;".jpg"</f>
        <v>./images/thumbnail/2029.jpg</v>
      </c>
      <c r="F631" s="38" t="s">
        <v>1116</v>
      </c>
      <c r="G631" s="38" t="s">
        <v>1319</v>
      </c>
      <c r="H631" s="38" t="str">
        <f>データ!C631</f>
        <v>フォルテ</v>
      </c>
      <c r="I631" s="38" t="s">
        <v>1024</v>
      </c>
      <c r="J631" s="38" t="s">
        <v>1320</v>
      </c>
      <c r="K631" s="38" t="str">
        <f>データ!D631</f>
        <v>UR</v>
      </c>
      <c r="L631" s="38" t="s">
        <v>1024</v>
      </c>
      <c r="M631" s="38" t="s">
        <v>1321</v>
      </c>
      <c r="N631" s="38">
        <f>データ!E631</f>
        <v>15</v>
      </c>
      <c r="O631" s="38" t="s">
        <v>1024</v>
      </c>
      <c r="P631" s="38" t="s">
        <v>1319</v>
      </c>
      <c r="Q631" s="38" t="str">
        <f>データ!F631</f>
        <v>遠</v>
      </c>
      <c r="R631" s="38" t="s">
        <v>1024</v>
      </c>
      <c r="S631" s="38" t="s">
        <v>1319</v>
      </c>
      <c r="T631" s="39">
        <f>データ!G631</f>
        <v>22842</v>
      </c>
      <c r="U631" s="40" t="s">
        <v>1024</v>
      </c>
      <c r="V631" s="40" t="s">
        <v>1319</v>
      </c>
      <c r="W631" s="39">
        <f>データ!H631</f>
        <v>7415</v>
      </c>
      <c r="X631" s="40" t="s">
        <v>1024</v>
      </c>
      <c r="Y631" s="40" t="s">
        <v>1319</v>
      </c>
      <c r="Z631" s="39">
        <f>データ!I631</f>
        <v>7270</v>
      </c>
      <c r="AA631" s="40" t="s">
        <v>1024</v>
      </c>
      <c r="AB631" s="40" t="s">
        <v>1322</v>
      </c>
      <c r="AC631" s="39" t="str">
        <f>データ!J631</f>
        <v>SS</v>
      </c>
      <c r="AD631" s="38" t="s">
        <v>1024</v>
      </c>
      <c r="AE631" s="40" t="s">
        <v>1323</v>
      </c>
      <c r="AF631" s="39">
        <f>データ!K631</f>
        <v>37527</v>
      </c>
      <c r="AG631" s="40" t="s">
        <v>1024</v>
      </c>
      <c r="AH631" s="40" t="s">
        <v>1324</v>
      </c>
      <c r="AI631" s="39" t="str">
        <f>データ!L631</f>
        <v>地幻射の六連撃／真</v>
      </c>
      <c r="AJ631" s="10" t="s">
        <v>1113</v>
      </c>
      <c r="AK631" s="39" t="str">
        <f>データ!M631</f>
        <v>ランダム6連続攻撃[中]自分の防御力UP[中]</v>
      </c>
      <c r="AL631" s="10" t="s">
        <v>1024</v>
      </c>
      <c r="AM631" s="40" t="s">
        <v>1325</v>
      </c>
      <c r="AN631" s="39" t="str">
        <f>データ!N631</f>
        <v>-</v>
      </c>
      <c r="AO631" s="10" t="s">
        <v>1113</v>
      </c>
      <c r="AP631" s="39" t="str">
        <f>データ!O631</f>
        <v>　</v>
      </c>
      <c r="AQ631" s="41" t="s">
        <v>1024</v>
      </c>
      <c r="AR631" s="40" t="s">
        <v>1324</v>
      </c>
      <c r="AS631" s="39" t="str">
        <f>データ!P631</f>
        <v>ランページ／煌</v>
      </c>
      <c r="AT631" s="10" t="s">
        <v>1113</v>
      </c>
      <c r="AU631" s="39" t="str">
        <f>データ!Q631</f>
        <v>バトルで獲得する騎士団戦スコアが特大アップ(3分間)</v>
      </c>
      <c r="AV631" s="10" t="s">
        <v>1024</v>
      </c>
      <c r="AW631" s="40" t="s">
        <v>1324</v>
      </c>
      <c r="AX631" s="39" t="str">
        <f>データ!R631</f>
        <v>ストリーム／真</v>
      </c>
      <c r="AY631" s="10" t="s">
        <v>1113</v>
      </c>
      <c r="AZ631" s="39" t="str">
        <f>データ!S631</f>
        <v>パーティ全体の攻撃力・速度が中UP(3分間)</v>
      </c>
      <c r="BA631" s="41" t="s">
        <v>1024</v>
      </c>
      <c r="BB631" s="40" t="s">
        <v>1319</v>
      </c>
      <c r="BC631" s="39" t="str">
        <f>データ!T631</f>
        <v>-</v>
      </c>
      <c r="BD631" s="41" t="s">
        <v>1024</v>
      </c>
      <c r="BE631" s="40" t="s">
        <v>1320</v>
      </c>
      <c r="BF631" s="39" t="str">
        <f>データ!U631</f>
        <v>-</v>
      </c>
      <c r="BG631" s="41" t="s">
        <v>1024</v>
      </c>
      <c r="BH631" s="40" t="s">
        <v>1319</v>
      </c>
      <c r="BI631" s="39" t="str">
        <f>データ!V631</f>
        <v>ガチャイベ</v>
      </c>
      <c r="BJ631" s="41" t="s">
        <v>1024</v>
      </c>
      <c r="BK631" s="10" t="s">
        <v>1019</v>
      </c>
    </row>
    <row r="632" spans="1:63" x14ac:dyDescent="0.15">
      <c r="A632" s="10" t="s">
        <v>1016</v>
      </c>
      <c r="B632" s="10" t="s">
        <v>1454</v>
      </c>
      <c r="C632" s="38" t="str">
        <f>"./images/thumbnail/"&amp;データ!B632&amp;".jpg"</f>
        <v>./images/thumbnail/2030.jpg</v>
      </c>
      <c r="D632" s="38" t="s">
        <v>1455</v>
      </c>
      <c r="E632" s="38" t="str">
        <f>"./images/thumbnail/"&amp;データ!B632&amp;".jpg"</f>
        <v>./images/thumbnail/2030.jpg</v>
      </c>
      <c r="F632" s="38" t="s">
        <v>1116</v>
      </c>
      <c r="G632" s="38" t="s">
        <v>1319</v>
      </c>
      <c r="H632" s="38" t="str">
        <f>データ!C632</f>
        <v>アリーナ</v>
      </c>
      <c r="I632" s="38" t="s">
        <v>1024</v>
      </c>
      <c r="J632" s="38" t="s">
        <v>1320</v>
      </c>
      <c r="K632" s="38" t="str">
        <f>データ!D632</f>
        <v>UR</v>
      </c>
      <c r="L632" s="38" t="s">
        <v>1024</v>
      </c>
      <c r="M632" s="38" t="s">
        <v>1321</v>
      </c>
      <c r="N632" s="38">
        <f>データ!E632</f>
        <v>15</v>
      </c>
      <c r="O632" s="38" t="s">
        <v>1024</v>
      </c>
      <c r="P632" s="38" t="s">
        <v>1319</v>
      </c>
      <c r="Q632" s="38" t="str">
        <f>データ!F632</f>
        <v>打</v>
      </c>
      <c r="R632" s="38" t="s">
        <v>1024</v>
      </c>
      <c r="S632" s="38" t="s">
        <v>1319</v>
      </c>
      <c r="T632" s="39">
        <f>データ!G632</f>
        <v>26349</v>
      </c>
      <c r="U632" s="40" t="s">
        <v>1024</v>
      </c>
      <c r="V632" s="40" t="s">
        <v>1319</v>
      </c>
      <c r="W632" s="39">
        <f>データ!H632</f>
        <v>7102</v>
      </c>
      <c r="X632" s="40" t="s">
        <v>1024</v>
      </c>
      <c r="Y632" s="40" t="s">
        <v>1319</v>
      </c>
      <c r="Z632" s="39">
        <f>データ!I632</f>
        <v>10128</v>
      </c>
      <c r="AA632" s="40" t="s">
        <v>1024</v>
      </c>
      <c r="AB632" s="40" t="s">
        <v>1322</v>
      </c>
      <c r="AC632" s="39" t="str">
        <f>データ!J632</f>
        <v>S</v>
      </c>
      <c r="AD632" s="38" t="s">
        <v>1024</v>
      </c>
      <c r="AE632" s="40" t="s">
        <v>1323</v>
      </c>
      <c r="AF632" s="39">
        <f>データ!K632</f>
        <v>43579</v>
      </c>
      <c r="AG632" s="40" t="s">
        <v>1024</v>
      </c>
      <c r="AH632" s="40" t="s">
        <v>1324</v>
      </c>
      <c r="AI632" s="39" t="str">
        <f>データ!L632</f>
        <v>天護</v>
      </c>
      <c r="AJ632" s="10" t="s">
        <v>1113</v>
      </c>
      <c r="AK632" s="39" t="str">
        <f>データ!M632</f>
        <v>自分の防御力をUP[極大]</v>
      </c>
      <c r="AL632" s="10" t="s">
        <v>1024</v>
      </c>
      <c r="AM632" s="40" t="s">
        <v>1325</v>
      </c>
      <c r="AN632" s="39" t="str">
        <f>データ!N632</f>
        <v>-</v>
      </c>
      <c r="AO632" s="10" t="s">
        <v>1113</v>
      </c>
      <c r="AP632" s="39" t="str">
        <f>データ!O632</f>
        <v>　</v>
      </c>
      <c r="AQ632" s="41" t="s">
        <v>1024</v>
      </c>
      <c r="AR632" s="40" t="s">
        <v>1324</v>
      </c>
      <c r="AS632" s="39" t="str">
        <f>データ!P632</f>
        <v>シャドウ／絶</v>
      </c>
      <c r="AT632" s="10" t="s">
        <v>1113</v>
      </c>
      <c r="AU632" s="39" t="str">
        <f>データ!Q632</f>
        <v>バトル時の強襲CB率が大UP(3分間)</v>
      </c>
      <c r="AV632" s="10" t="s">
        <v>1024</v>
      </c>
      <c r="AW632" s="40" t="s">
        <v>1324</v>
      </c>
      <c r="AX632" s="39" t="str">
        <f>データ!R632</f>
        <v>オラクル／絶</v>
      </c>
      <c r="AY632" s="10" t="s">
        <v>1113</v>
      </c>
      <c r="AZ632" s="39" t="str">
        <f>データ!S632</f>
        <v>パーティ全体のスキル発動率が大UP(3分間)</v>
      </c>
      <c r="BA632" s="41" t="s">
        <v>1024</v>
      </c>
      <c r="BB632" s="40" t="s">
        <v>1319</v>
      </c>
      <c r="BC632" s="39" t="str">
        <f>データ!T632</f>
        <v>-</v>
      </c>
      <c r="BD632" s="41" t="s">
        <v>1024</v>
      </c>
      <c r="BE632" s="40" t="s">
        <v>1320</v>
      </c>
      <c r="BF632" s="39" t="str">
        <f>データ!U632</f>
        <v>-</v>
      </c>
      <c r="BG632" s="41" t="s">
        <v>1024</v>
      </c>
      <c r="BH632" s="40" t="s">
        <v>1319</v>
      </c>
      <c r="BI632" s="39" t="str">
        <f>データ!V632</f>
        <v>トレジャーチェストガチャ</v>
      </c>
      <c r="BJ632" s="41" t="s">
        <v>1024</v>
      </c>
      <c r="BK632" s="10" t="s">
        <v>1019</v>
      </c>
    </row>
    <row r="633" spans="1:63" x14ac:dyDescent="0.15">
      <c r="A633" s="10" t="s">
        <v>1016</v>
      </c>
      <c r="B633" s="10" t="s">
        <v>1454</v>
      </c>
      <c r="C633" s="38" t="str">
        <f>"./images/thumbnail/"&amp;データ!B633&amp;".jpg"</f>
        <v>./images/thumbnail/2031.jpg</v>
      </c>
      <c r="D633" s="38" t="s">
        <v>1455</v>
      </c>
      <c r="E633" s="38" t="str">
        <f>"./images/thumbnail/"&amp;データ!B633&amp;".jpg"</f>
        <v>./images/thumbnail/2031.jpg</v>
      </c>
      <c r="F633" s="38" t="s">
        <v>1116</v>
      </c>
      <c r="G633" s="38" t="s">
        <v>1319</v>
      </c>
      <c r="H633" s="38" t="str">
        <f>データ!C633</f>
        <v>ベルナデッタ</v>
      </c>
      <c r="I633" s="38" t="s">
        <v>1024</v>
      </c>
      <c r="J633" s="38" t="s">
        <v>1320</v>
      </c>
      <c r="K633" s="38" t="str">
        <f>データ!D633</f>
        <v>UR</v>
      </c>
      <c r="L633" s="38" t="s">
        <v>1024</v>
      </c>
      <c r="M633" s="38" t="s">
        <v>1321</v>
      </c>
      <c r="N633" s="38">
        <f>データ!E633</f>
        <v>15</v>
      </c>
      <c r="O633" s="38" t="s">
        <v>1024</v>
      </c>
      <c r="P633" s="38" t="s">
        <v>1319</v>
      </c>
      <c r="Q633" s="38" t="str">
        <f>データ!F633</f>
        <v>突</v>
      </c>
      <c r="R633" s="38" t="s">
        <v>1024</v>
      </c>
      <c r="S633" s="38" t="s">
        <v>1319</v>
      </c>
      <c r="T633" s="39">
        <f>データ!G633</f>
        <v>22074</v>
      </c>
      <c r="U633" s="40" t="s">
        <v>1024</v>
      </c>
      <c r="V633" s="40" t="s">
        <v>1319</v>
      </c>
      <c r="W633" s="39">
        <f>データ!H633</f>
        <v>6341</v>
      </c>
      <c r="X633" s="40" t="s">
        <v>1024</v>
      </c>
      <c r="Y633" s="40" t="s">
        <v>1319</v>
      </c>
      <c r="Z633" s="39">
        <f>データ!I633</f>
        <v>8031</v>
      </c>
      <c r="AA633" s="40" t="s">
        <v>1024</v>
      </c>
      <c r="AB633" s="40" t="s">
        <v>1322</v>
      </c>
      <c r="AC633" s="39" t="str">
        <f>データ!J633</f>
        <v>SS2</v>
      </c>
      <c r="AD633" s="38" t="s">
        <v>1024</v>
      </c>
      <c r="AE633" s="40" t="s">
        <v>1323</v>
      </c>
      <c r="AF633" s="39">
        <f>データ!K633</f>
        <v>36446</v>
      </c>
      <c r="AG633" s="40" t="s">
        <v>1024</v>
      </c>
      <c r="AH633" s="40" t="s">
        <v>1324</v>
      </c>
      <c r="AI633" s="39" t="str">
        <f>データ!L633</f>
        <v>対紫の薙風／煌</v>
      </c>
      <c r="AJ633" s="10" t="s">
        <v>1113</v>
      </c>
      <c r="AK633" s="39" t="str">
        <f>データ!M633</f>
        <v>打に強く遠に弱い横一列攻撃[特大]</v>
      </c>
      <c r="AL633" s="38" t="s">
        <v>1024</v>
      </c>
      <c r="AM633" s="40" t="s">
        <v>1325</v>
      </c>
      <c r="AN633" s="39" t="str">
        <f>データ!N633</f>
        <v>-</v>
      </c>
      <c r="AO633" s="10" t="s">
        <v>1113</v>
      </c>
      <c r="AP633" s="39" t="str">
        <f>データ!O633</f>
        <v>　</v>
      </c>
      <c r="AQ633" s="41" t="s">
        <v>1024</v>
      </c>
      <c r="AR633" s="40" t="s">
        <v>1324</v>
      </c>
      <c r="AS633" s="39" t="str">
        <f>データ!P633</f>
        <v>レクトノート／絶</v>
      </c>
      <c r="AT633" s="10" t="s">
        <v>1113</v>
      </c>
      <c r="AU633" s="39" t="str">
        <f>データ!Q633</f>
        <v>バトルで敵を全滅するとBPが大回復(3分間)</v>
      </c>
      <c r="AV633" s="10" t="s">
        <v>1024</v>
      </c>
      <c r="AW633" s="40" t="s">
        <v>1324</v>
      </c>
      <c r="AX633" s="39" t="str">
        <f>データ!R633</f>
        <v>エース／絶</v>
      </c>
      <c r="AY633" s="10" t="s">
        <v>1113</v>
      </c>
      <c r="AZ633" s="39" t="str">
        <f>データ!S633</f>
        <v>パーティ全体の攻・防が大UP(3分間)</v>
      </c>
      <c r="BA633" s="41" t="s">
        <v>1024</v>
      </c>
      <c r="BB633" s="40" t="s">
        <v>1319</v>
      </c>
      <c r="BC633" s="39" t="str">
        <f>データ!T633</f>
        <v>-</v>
      </c>
      <c r="BD633" s="41" t="s">
        <v>1024</v>
      </c>
      <c r="BE633" s="40" t="s">
        <v>1320</v>
      </c>
      <c r="BF633" s="39" t="str">
        <f>データ!U633</f>
        <v>-</v>
      </c>
      <c r="BG633" s="41" t="s">
        <v>1024</v>
      </c>
      <c r="BH633" s="40" t="s">
        <v>1319</v>
      </c>
      <c r="BI633" s="39" t="str">
        <f>データ!V633</f>
        <v>6時間レイドイベント</v>
      </c>
      <c r="BJ633" s="41" t="s">
        <v>1024</v>
      </c>
      <c r="BK633" s="10" t="s">
        <v>1019</v>
      </c>
    </row>
    <row r="634" spans="1:63" x14ac:dyDescent="0.15">
      <c r="A634" s="10" t="s">
        <v>1016</v>
      </c>
      <c r="B634" s="10" t="s">
        <v>1454</v>
      </c>
      <c r="C634" s="38" t="str">
        <f>"./images/thumbnail/"&amp;データ!B634&amp;".jpg"</f>
        <v>./images/thumbnail/2032.jpg</v>
      </c>
      <c r="D634" s="38" t="s">
        <v>1455</v>
      </c>
      <c r="E634" s="38" t="str">
        <f>"./images/thumbnail/"&amp;データ!B634&amp;".jpg"</f>
        <v>./images/thumbnail/2032.jpg</v>
      </c>
      <c r="F634" s="38" t="s">
        <v>1116</v>
      </c>
      <c r="G634" s="38" t="s">
        <v>1319</v>
      </c>
      <c r="H634" s="38" t="str">
        <f>データ!C634</f>
        <v>ノンノリア</v>
      </c>
      <c r="I634" s="38" t="s">
        <v>1024</v>
      </c>
      <c r="J634" s="38" t="s">
        <v>1320</v>
      </c>
      <c r="K634" s="38" t="str">
        <f>データ!D634</f>
        <v>UR</v>
      </c>
      <c r="L634" s="38" t="s">
        <v>1024</v>
      </c>
      <c r="M634" s="38" t="s">
        <v>1321</v>
      </c>
      <c r="N634" s="38">
        <f>データ!E634</f>
        <v>15</v>
      </c>
      <c r="O634" s="38" t="s">
        <v>1024</v>
      </c>
      <c r="P634" s="38" t="s">
        <v>1319</v>
      </c>
      <c r="Q634" s="38" t="str">
        <f>データ!F634</f>
        <v>遠</v>
      </c>
      <c r="R634" s="38" t="s">
        <v>1024</v>
      </c>
      <c r="S634" s="38" t="s">
        <v>1319</v>
      </c>
      <c r="T634" s="39">
        <f>データ!G634</f>
        <v>23365</v>
      </c>
      <c r="U634" s="40" t="s">
        <v>1024</v>
      </c>
      <c r="V634" s="40" t="s">
        <v>1319</v>
      </c>
      <c r="W634" s="39">
        <f>データ!H634</f>
        <v>7348</v>
      </c>
      <c r="X634" s="40" t="s">
        <v>1024</v>
      </c>
      <c r="Y634" s="40" t="s">
        <v>1319</v>
      </c>
      <c r="Z634" s="39">
        <f>データ!I634</f>
        <v>7189</v>
      </c>
      <c r="AA634" s="40" t="s">
        <v>1024</v>
      </c>
      <c r="AB634" s="40" t="s">
        <v>1322</v>
      </c>
      <c r="AC634" s="39" t="str">
        <f>データ!J634</f>
        <v>SS2</v>
      </c>
      <c r="AD634" s="38" t="s">
        <v>1024</v>
      </c>
      <c r="AE634" s="40" t="s">
        <v>1323</v>
      </c>
      <c r="AF634" s="39">
        <f>データ!K634</f>
        <v>37902</v>
      </c>
      <c r="AG634" s="40" t="s">
        <v>1024</v>
      </c>
      <c r="AH634" s="40" t="s">
        <v>1324</v>
      </c>
      <c r="AI634" s="39" t="str">
        <f>データ!L634</f>
        <v>天幻射の六連撃／真</v>
      </c>
      <c r="AJ634" s="10" t="s">
        <v>1113</v>
      </c>
      <c r="AK634" s="39" t="str">
        <f>データ!M634</f>
        <v>ランダム6連続攻撃[中]自分の攻撃力UP[中]</v>
      </c>
      <c r="AL634" s="10" t="s">
        <v>1024</v>
      </c>
      <c r="AM634" s="40" t="s">
        <v>1325</v>
      </c>
      <c r="AN634" s="39" t="str">
        <f>データ!N634</f>
        <v>-</v>
      </c>
      <c r="AO634" s="10" t="s">
        <v>1113</v>
      </c>
      <c r="AP634" s="39" t="str">
        <f>データ!O634</f>
        <v>　</v>
      </c>
      <c r="AQ634" s="41" t="s">
        <v>1024</v>
      </c>
      <c r="AR634" s="40" t="s">
        <v>1324</v>
      </c>
      <c r="AS634" s="39" t="str">
        <f>データ!P634</f>
        <v>エース／煌</v>
      </c>
      <c r="AT634" s="10" t="s">
        <v>1113</v>
      </c>
      <c r="AU634" s="39" t="str">
        <f>データ!Q634</f>
        <v>パーティ全体の攻・防が特大UP(3分間)</v>
      </c>
      <c r="AV634" s="10" t="s">
        <v>1024</v>
      </c>
      <c r="AW634" s="40" t="s">
        <v>1324</v>
      </c>
      <c r="AX634" s="39" t="str">
        <f>データ!R634</f>
        <v>アサルトオーダー／真</v>
      </c>
      <c r="AY634" s="10" t="s">
        <v>1113</v>
      </c>
      <c r="AZ634" s="39" t="str">
        <f>データ!S634</f>
        <v>騎士団全体の攻撃力が中UP(3分間)</v>
      </c>
      <c r="BA634" s="41" t="s">
        <v>1024</v>
      </c>
      <c r="BB634" s="40" t="s">
        <v>1319</v>
      </c>
      <c r="BC634" s="39" t="str">
        <f>データ!T634</f>
        <v>-</v>
      </c>
      <c r="BD634" s="41" t="s">
        <v>1024</v>
      </c>
      <c r="BE634" s="40" t="s">
        <v>1320</v>
      </c>
      <c r="BF634" s="39" t="str">
        <f>データ!U634</f>
        <v>-</v>
      </c>
      <c r="BG634" s="41" t="s">
        <v>1024</v>
      </c>
      <c r="BH634" s="40" t="s">
        <v>1319</v>
      </c>
      <c r="BI634" s="39" t="str">
        <f>データ!V634</f>
        <v>ガチャイベ</v>
      </c>
      <c r="BJ634" s="41" t="s">
        <v>1024</v>
      </c>
      <c r="BK634" s="10" t="s">
        <v>1019</v>
      </c>
    </row>
    <row r="635" spans="1:63" x14ac:dyDescent="0.15">
      <c r="A635" s="10" t="s">
        <v>1016</v>
      </c>
      <c r="B635" s="10" t="s">
        <v>1454</v>
      </c>
      <c r="C635" s="38" t="str">
        <f>"./images/thumbnail/"&amp;データ!B635&amp;".jpg"</f>
        <v>./images/thumbnail/2033.jpg</v>
      </c>
      <c r="D635" s="38" t="s">
        <v>1455</v>
      </c>
      <c r="E635" s="38" t="str">
        <f>"./images/thumbnail/"&amp;データ!B635&amp;".jpg"</f>
        <v>./images/thumbnail/2033.jpg</v>
      </c>
      <c r="F635" s="38" t="s">
        <v>1116</v>
      </c>
      <c r="G635" s="38" t="s">
        <v>1319</v>
      </c>
      <c r="H635" s="38" t="str">
        <f>データ!C635</f>
        <v>ジャマル</v>
      </c>
      <c r="I635" s="38" t="s">
        <v>1024</v>
      </c>
      <c r="J635" s="38" t="s">
        <v>1320</v>
      </c>
      <c r="K635" s="38" t="str">
        <f>データ!D635</f>
        <v>SSR</v>
      </c>
      <c r="L635" s="38" t="s">
        <v>1024</v>
      </c>
      <c r="M635" s="38" t="s">
        <v>1321</v>
      </c>
      <c r="N635" s="38">
        <f>データ!E635</f>
        <v>13</v>
      </c>
      <c r="O635" s="38" t="s">
        <v>1024</v>
      </c>
      <c r="P635" s="38" t="s">
        <v>1319</v>
      </c>
      <c r="Q635" s="38" t="str">
        <f>データ!F635</f>
        <v>斬</v>
      </c>
      <c r="R635" s="38" t="s">
        <v>1024</v>
      </c>
      <c r="S635" s="38" t="s">
        <v>1319</v>
      </c>
      <c r="T635" s="39">
        <f>データ!G635</f>
        <v>17376</v>
      </c>
      <c r="U635" s="40" t="s">
        <v>1024</v>
      </c>
      <c r="V635" s="40" t="s">
        <v>1319</v>
      </c>
      <c r="W635" s="39">
        <f>データ!H635</f>
        <v>7899</v>
      </c>
      <c r="X635" s="40" t="s">
        <v>1024</v>
      </c>
      <c r="Y635" s="40" t="s">
        <v>1319</v>
      </c>
      <c r="Z635" s="39">
        <f>データ!I635</f>
        <v>5126</v>
      </c>
      <c r="AA635" s="40" t="s">
        <v>1024</v>
      </c>
      <c r="AB635" s="40" t="s">
        <v>1322</v>
      </c>
      <c r="AC635" s="39" t="str">
        <f>データ!J635</f>
        <v>A+</v>
      </c>
      <c r="AD635" s="38" t="s">
        <v>1024</v>
      </c>
      <c r="AE635" s="40" t="s">
        <v>1323</v>
      </c>
      <c r="AF635" s="39">
        <f>データ!K635</f>
        <v>30401</v>
      </c>
      <c r="AG635" s="40" t="s">
        <v>1024</v>
      </c>
      <c r="AH635" s="40" t="s">
        <v>1324</v>
      </c>
      <c r="AI635" s="39" t="str">
        <f>データ!L635</f>
        <v>魔幻の閃光／絶</v>
      </c>
      <c r="AJ635" s="10" t="s">
        <v>1113</v>
      </c>
      <c r="AK635" s="39" t="str">
        <f>データ!M635</f>
        <v>縦一列に攻撃[大]</v>
      </c>
      <c r="AL635" s="10" t="s">
        <v>1024</v>
      </c>
      <c r="AM635" s="40" t="s">
        <v>1325</v>
      </c>
      <c r="AN635" s="39" t="str">
        <f>データ!N635</f>
        <v>-</v>
      </c>
      <c r="AO635" s="10" t="s">
        <v>1113</v>
      </c>
      <c r="AP635" s="39" t="str">
        <f>データ!O635</f>
        <v>　</v>
      </c>
      <c r="AQ635" s="41" t="s">
        <v>1024</v>
      </c>
      <c r="AR635" s="40" t="s">
        <v>1324</v>
      </c>
      <c r="AS635" s="39" t="str">
        <f>データ!P635</f>
        <v>アサルトオーダー</v>
      </c>
      <c r="AT635" s="10" t="s">
        <v>1113</v>
      </c>
      <c r="AU635" s="39" t="str">
        <f>データ!Q635</f>
        <v>騎士団全体の攻撃力が小UP(3分間)</v>
      </c>
      <c r="AV635" s="10" t="s">
        <v>1024</v>
      </c>
      <c r="AW635" s="40" t="s">
        <v>1324</v>
      </c>
      <c r="AX635" s="39" t="str">
        <f>データ!R635</f>
        <v>-</v>
      </c>
      <c r="AY635" s="10" t="s">
        <v>1113</v>
      </c>
      <c r="AZ635" s="39" t="str">
        <f>データ!S635</f>
        <v>　</v>
      </c>
      <c r="BA635" s="41" t="s">
        <v>1024</v>
      </c>
      <c r="BB635" s="40" t="s">
        <v>1319</v>
      </c>
      <c r="BC635" s="39" t="str">
        <f>データ!T635</f>
        <v>-</v>
      </c>
      <c r="BD635" s="41" t="s">
        <v>1024</v>
      </c>
      <c r="BE635" s="40" t="s">
        <v>1320</v>
      </c>
      <c r="BF635" s="39" t="str">
        <f>データ!U635</f>
        <v>-</v>
      </c>
      <c r="BG635" s="41" t="s">
        <v>1024</v>
      </c>
      <c r="BH635" s="40" t="s">
        <v>1319</v>
      </c>
      <c r="BI635" s="39" t="str">
        <f>データ!V635</f>
        <v>マゴニア</v>
      </c>
      <c r="BJ635" s="41" t="s">
        <v>1024</v>
      </c>
      <c r="BK635" s="10" t="s">
        <v>1019</v>
      </c>
    </row>
    <row r="636" spans="1:63" x14ac:dyDescent="0.15">
      <c r="A636" s="10" t="s">
        <v>1016</v>
      </c>
      <c r="B636" s="10" t="s">
        <v>1454</v>
      </c>
      <c r="C636" s="38" t="str">
        <f>"./images/thumbnail/"&amp;データ!B636&amp;".jpg"</f>
        <v>./images/thumbnail/2034.jpg</v>
      </c>
      <c r="D636" s="38" t="s">
        <v>1455</v>
      </c>
      <c r="E636" s="38" t="str">
        <f>"./images/thumbnail/"&amp;データ!B636&amp;".jpg"</f>
        <v>./images/thumbnail/2034.jpg</v>
      </c>
      <c r="F636" s="38" t="s">
        <v>1116</v>
      </c>
      <c r="G636" s="38" t="s">
        <v>1319</v>
      </c>
      <c r="H636" s="38" t="str">
        <f>データ!C636</f>
        <v>ミミ</v>
      </c>
      <c r="I636" s="38" t="s">
        <v>1024</v>
      </c>
      <c r="J636" s="38" t="s">
        <v>1320</v>
      </c>
      <c r="K636" s="38" t="str">
        <f>データ!D636</f>
        <v>UR</v>
      </c>
      <c r="L636" s="38" t="s">
        <v>1024</v>
      </c>
      <c r="M636" s="38" t="s">
        <v>1321</v>
      </c>
      <c r="N636" s="38">
        <f>データ!E636</f>
        <v>14</v>
      </c>
      <c r="O636" s="38" t="s">
        <v>1024</v>
      </c>
      <c r="P636" s="38" t="s">
        <v>1319</v>
      </c>
      <c r="Q636" s="38" t="str">
        <f>データ!F636</f>
        <v>打</v>
      </c>
      <c r="R636" s="38" t="s">
        <v>1024</v>
      </c>
      <c r="S636" s="38" t="s">
        <v>1319</v>
      </c>
      <c r="T636" s="39">
        <f>データ!G636</f>
        <v>23859</v>
      </c>
      <c r="U636" s="40" t="s">
        <v>1024</v>
      </c>
      <c r="V636" s="40" t="s">
        <v>1319</v>
      </c>
      <c r="W636" s="39">
        <f>データ!H636</f>
        <v>6891</v>
      </c>
      <c r="X636" s="40" t="s">
        <v>1024</v>
      </c>
      <c r="Y636" s="40" t="s">
        <v>1319</v>
      </c>
      <c r="Z636" s="39">
        <f>データ!I636</f>
        <v>9127</v>
      </c>
      <c r="AA636" s="40" t="s">
        <v>1024</v>
      </c>
      <c r="AB636" s="40" t="s">
        <v>1322</v>
      </c>
      <c r="AC636" s="39" t="str">
        <f>データ!J636</f>
        <v>A+</v>
      </c>
      <c r="AD636" s="38" t="s">
        <v>1024</v>
      </c>
      <c r="AE636" s="40" t="s">
        <v>1323</v>
      </c>
      <c r="AF636" s="39">
        <f>データ!K636</f>
        <v>39877</v>
      </c>
      <c r="AG636" s="40" t="s">
        <v>1024</v>
      </c>
      <c r="AH636" s="40" t="s">
        <v>1324</v>
      </c>
      <c r="AI636" s="39" t="str">
        <f>データ!L636</f>
        <v>昏睡の言霊／煌</v>
      </c>
      <c r="AJ636" s="10" t="s">
        <v>1113</v>
      </c>
      <c r="AK636" s="39" t="str">
        <f>データ!M636</f>
        <v>一定確率で敵を睡眠状態にする[超高確率]</v>
      </c>
      <c r="AL636" s="10" t="s">
        <v>1024</v>
      </c>
      <c r="AM636" s="40" t="s">
        <v>1325</v>
      </c>
      <c r="AN636" s="39" t="str">
        <f>データ!N636</f>
        <v>-</v>
      </c>
      <c r="AO636" s="10" t="s">
        <v>1113</v>
      </c>
      <c r="AP636" s="39" t="str">
        <f>データ!O636</f>
        <v>　</v>
      </c>
      <c r="AQ636" s="41" t="s">
        <v>1024</v>
      </c>
      <c r="AR636" s="40" t="s">
        <v>1324</v>
      </c>
      <c r="AS636" s="39" t="str">
        <f>データ!P636</f>
        <v>フォートレスオーダー／真</v>
      </c>
      <c r="AT636" s="10" t="s">
        <v>1113</v>
      </c>
      <c r="AU636" s="39" t="str">
        <f>データ!Q636</f>
        <v>騎士団全体の防御力が中UP(3分間)</v>
      </c>
      <c r="AV636" s="10" t="s">
        <v>1024</v>
      </c>
      <c r="AW636" s="40" t="s">
        <v>1324</v>
      </c>
      <c r="AX636" s="39" t="str">
        <f>データ!R636</f>
        <v>-</v>
      </c>
      <c r="AY636" s="10" t="s">
        <v>1113</v>
      </c>
      <c r="AZ636" s="39" t="str">
        <f>データ!S636</f>
        <v>　</v>
      </c>
      <c r="BA636" s="41" t="s">
        <v>1024</v>
      </c>
      <c r="BB636" s="40" t="s">
        <v>1319</v>
      </c>
      <c r="BC636" s="39" t="str">
        <f>データ!T636</f>
        <v>-</v>
      </c>
      <c r="BD636" s="41" t="s">
        <v>1024</v>
      </c>
      <c r="BE636" s="40" t="s">
        <v>1320</v>
      </c>
      <c r="BF636" s="39" t="str">
        <f>データ!U636</f>
        <v>-</v>
      </c>
      <c r="BG636" s="41" t="s">
        <v>1024</v>
      </c>
      <c r="BH636" s="40" t="s">
        <v>1319</v>
      </c>
      <c r="BI636" s="39" t="str">
        <f>データ!V636</f>
        <v>マゴニア</v>
      </c>
      <c r="BJ636" s="41" t="s">
        <v>1024</v>
      </c>
      <c r="BK636" s="10" t="s">
        <v>1019</v>
      </c>
    </row>
    <row r="637" spans="1:63" x14ac:dyDescent="0.15">
      <c r="A637" s="10" t="s">
        <v>1016</v>
      </c>
      <c r="B637" s="10" t="s">
        <v>1454</v>
      </c>
      <c r="C637" s="38" t="str">
        <f>"./images/thumbnail/"&amp;データ!B637&amp;".jpg"</f>
        <v>./images/thumbnail/2035.jpg</v>
      </c>
      <c r="D637" s="38" t="s">
        <v>1455</v>
      </c>
      <c r="E637" s="38" t="str">
        <f>"./images/thumbnail/"&amp;データ!B637&amp;".jpg"</f>
        <v>./images/thumbnail/2035.jpg</v>
      </c>
      <c r="F637" s="38" t="s">
        <v>1116</v>
      </c>
      <c r="G637" s="38" t="s">
        <v>1319</v>
      </c>
      <c r="H637" s="38" t="str">
        <f>データ!C637</f>
        <v>グレフ＆ガストン</v>
      </c>
      <c r="I637" s="38" t="s">
        <v>1024</v>
      </c>
      <c r="J637" s="38" t="s">
        <v>1320</v>
      </c>
      <c r="K637" s="38" t="str">
        <f>データ!D637</f>
        <v>UR</v>
      </c>
      <c r="L637" s="38" t="s">
        <v>1024</v>
      </c>
      <c r="M637" s="38" t="s">
        <v>1321</v>
      </c>
      <c r="N637" s="38">
        <f>データ!E637</f>
        <v>14</v>
      </c>
      <c r="O637" s="38" t="s">
        <v>1024</v>
      </c>
      <c r="P637" s="38" t="s">
        <v>1319</v>
      </c>
      <c r="Q637" s="38" t="str">
        <f>データ!F637</f>
        <v>打</v>
      </c>
      <c r="R637" s="38" t="s">
        <v>1024</v>
      </c>
      <c r="S637" s="38" t="s">
        <v>1319</v>
      </c>
      <c r="T637" s="39">
        <f>データ!G637</f>
        <v>22407</v>
      </c>
      <c r="U637" s="40" t="s">
        <v>1024</v>
      </c>
      <c r="V637" s="40" t="s">
        <v>1319</v>
      </c>
      <c r="W637" s="39">
        <f>データ!H637</f>
        <v>7314</v>
      </c>
      <c r="X637" s="40" t="s">
        <v>1024</v>
      </c>
      <c r="Y637" s="40" t="s">
        <v>1319</v>
      </c>
      <c r="Z637" s="39">
        <f>データ!I637</f>
        <v>7848</v>
      </c>
      <c r="AA637" s="40" t="s">
        <v>1024</v>
      </c>
      <c r="AB637" s="40" t="s">
        <v>1322</v>
      </c>
      <c r="AC637" s="39" t="str">
        <f>データ!J637</f>
        <v>A+</v>
      </c>
      <c r="AD637" s="38" t="s">
        <v>1024</v>
      </c>
      <c r="AE637" s="40" t="s">
        <v>1323</v>
      </c>
      <c r="AF637" s="39">
        <f>データ!K637</f>
        <v>37569</v>
      </c>
      <c r="AG637" s="40" t="s">
        <v>1024</v>
      </c>
      <c r="AH637" s="40" t="s">
        <v>1324</v>
      </c>
      <c r="AI637" s="39" t="str">
        <f>データ!L637</f>
        <v>狂化の冥呪</v>
      </c>
      <c r="AJ637" s="10" t="s">
        <v>1113</v>
      </c>
      <c r="AK637" s="39" t="str">
        <f>データ!M637</f>
        <v>防御力を極大DOWNし、攻撃力を極大UP</v>
      </c>
      <c r="AL637" s="10" t="s">
        <v>1024</v>
      </c>
      <c r="AM637" s="40" t="s">
        <v>1325</v>
      </c>
      <c r="AN637" s="39" t="str">
        <f>データ!N637</f>
        <v>-</v>
      </c>
      <c r="AO637" s="10" t="s">
        <v>1113</v>
      </c>
      <c r="AP637" s="39" t="str">
        <f>データ!O637</f>
        <v>　</v>
      </c>
      <c r="AQ637" s="41" t="s">
        <v>1024</v>
      </c>
      <c r="AR637" s="40" t="s">
        <v>1324</v>
      </c>
      <c r="AS637" s="39" t="str">
        <f>データ!P637</f>
        <v>シャドウオーダー</v>
      </c>
      <c r="AT637" s="10" t="s">
        <v>1113</v>
      </c>
      <c r="AU637" s="39" t="str">
        <f>データ!Q637</f>
        <v>騎士団全体の強襲CB率が小UP(3分間)</v>
      </c>
      <c r="AV637" s="10" t="s">
        <v>1024</v>
      </c>
      <c r="AW637" s="40" t="s">
        <v>1324</v>
      </c>
      <c r="AX637" s="39" t="str">
        <f>データ!R637</f>
        <v>-</v>
      </c>
      <c r="AY637" s="10" t="s">
        <v>1113</v>
      </c>
      <c r="AZ637" s="39" t="str">
        <f>データ!S637</f>
        <v>　</v>
      </c>
      <c r="BA637" s="41" t="s">
        <v>1024</v>
      </c>
      <c r="BB637" s="40" t="s">
        <v>1319</v>
      </c>
      <c r="BC637" s="39" t="str">
        <f>データ!T637</f>
        <v>-</v>
      </c>
      <c r="BD637" s="41" t="s">
        <v>1024</v>
      </c>
      <c r="BE637" s="40" t="s">
        <v>1320</v>
      </c>
      <c r="BF637" s="39" t="str">
        <f>データ!U637</f>
        <v>-</v>
      </c>
      <c r="BG637" s="41" t="s">
        <v>1024</v>
      </c>
      <c r="BH637" s="40" t="s">
        <v>1319</v>
      </c>
      <c r="BI637" s="39" t="str">
        <f>データ!V637</f>
        <v>魔女の追憶イベ</v>
      </c>
      <c r="BJ637" s="41" t="s">
        <v>1024</v>
      </c>
      <c r="BK637" s="10" t="s">
        <v>1019</v>
      </c>
    </row>
    <row r="638" spans="1:63" x14ac:dyDescent="0.15">
      <c r="A638" s="10" t="s">
        <v>1016</v>
      </c>
      <c r="B638" s="10" t="s">
        <v>1454</v>
      </c>
      <c r="C638" s="38" t="str">
        <f>"./images/thumbnail/"&amp;データ!B638&amp;".jpg"</f>
        <v>./images/thumbnail/2037.jpg</v>
      </c>
      <c r="D638" s="38" t="s">
        <v>1455</v>
      </c>
      <c r="E638" s="38" t="str">
        <f>"./images/thumbnail/"&amp;データ!B638&amp;".jpg"</f>
        <v>./images/thumbnail/2037.jpg</v>
      </c>
      <c r="F638" s="38" t="s">
        <v>1116</v>
      </c>
      <c r="G638" s="38" t="s">
        <v>1319</v>
      </c>
      <c r="H638" s="38" t="str">
        <f>データ!C638</f>
        <v>ピアーネ</v>
      </c>
      <c r="I638" s="38" t="s">
        <v>1024</v>
      </c>
      <c r="J638" s="38" t="s">
        <v>1320</v>
      </c>
      <c r="K638" s="38" t="str">
        <f>データ!D638</f>
        <v>UR</v>
      </c>
      <c r="L638" s="38" t="s">
        <v>1024</v>
      </c>
      <c r="M638" s="38" t="s">
        <v>1321</v>
      </c>
      <c r="N638" s="38">
        <f>データ!E638</f>
        <v>15</v>
      </c>
      <c r="O638" s="38" t="s">
        <v>1024</v>
      </c>
      <c r="P638" s="38" t="s">
        <v>1319</v>
      </c>
      <c r="Q638" s="38" t="str">
        <f>データ!F638</f>
        <v>遠</v>
      </c>
      <c r="R638" s="38" t="s">
        <v>1024</v>
      </c>
      <c r="S638" s="38" t="s">
        <v>1319</v>
      </c>
      <c r="T638" s="39">
        <f>データ!G638</f>
        <v>22170</v>
      </c>
      <c r="U638" s="40" t="s">
        <v>1024</v>
      </c>
      <c r="V638" s="40" t="s">
        <v>1319</v>
      </c>
      <c r="W638" s="39">
        <f>データ!H638</f>
        <v>7224</v>
      </c>
      <c r="X638" s="40" t="s">
        <v>1024</v>
      </c>
      <c r="Y638" s="40" t="s">
        <v>1319</v>
      </c>
      <c r="Z638" s="39">
        <f>データ!I638</f>
        <v>7168</v>
      </c>
      <c r="AA638" s="40" t="s">
        <v>1024</v>
      </c>
      <c r="AB638" s="40" t="s">
        <v>1322</v>
      </c>
      <c r="AC638" s="39" t="str">
        <f>データ!J638</f>
        <v>SS</v>
      </c>
      <c r="AD638" s="38" t="s">
        <v>1024</v>
      </c>
      <c r="AE638" s="40" t="s">
        <v>1323</v>
      </c>
      <c r="AF638" s="39">
        <f>データ!K638</f>
        <v>36562</v>
      </c>
      <c r="AG638" s="40" t="s">
        <v>1024</v>
      </c>
      <c r="AH638" s="40" t="s">
        <v>1324</v>
      </c>
      <c r="AI638" s="39" t="str">
        <f>データ!L638</f>
        <v>対翠の交叉線／煌</v>
      </c>
      <c r="AJ638" s="10" t="s">
        <v>1113</v>
      </c>
      <c r="AK638" s="39" t="str">
        <f>データ!M638</f>
        <v>遠に強く打に弱いX字型攻撃[特大]</v>
      </c>
      <c r="AL638" s="10" t="s">
        <v>1024</v>
      </c>
      <c r="AM638" s="40" t="s">
        <v>1325</v>
      </c>
      <c r="AN638" s="39" t="str">
        <f>データ!N638</f>
        <v>-</v>
      </c>
      <c r="AO638" s="10" t="s">
        <v>1113</v>
      </c>
      <c r="AP638" s="39" t="str">
        <f>データ!O638</f>
        <v>　</v>
      </c>
      <c r="AQ638" s="41" t="s">
        <v>1024</v>
      </c>
      <c r="AR638" s="40" t="s">
        <v>1324</v>
      </c>
      <c r="AS638" s="39" t="str">
        <f>データ!P638</f>
        <v>オラクル／煌</v>
      </c>
      <c r="AT638" s="10" t="s">
        <v>1113</v>
      </c>
      <c r="AU638" s="39" t="str">
        <f>データ!Q638</f>
        <v>パーティ全体のスキル発動率が特大UP(3分間)</v>
      </c>
      <c r="AV638" s="10" t="s">
        <v>1024</v>
      </c>
      <c r="AW638" s="40" t="s">
        <v>1324</v>
      </c>
      <c r="AX638" s="39" t="str">
        <f>データ!R638</f>
        <v>キャッスルヴェール／真</v>
      </c>
      <c r="AY638" s="10" t="s">
        <v>1113</v>
      </c>
      <c r="AZ638" s="39" t="str">
        <f>データ!S638</f>
        <v>城の強度Lvが中UP(3分間)</v>
      </c>
      <c r="BA638" s="41" t="s">
        <v>1024</v>
      </c>
      <c r="BB638" s="40" t="s">
        <v>1319</v>
      </c>
      <c r="BC638" s="39" t="str">
        <f>データ!T638</f>
        <v>-</v>
      </c>
      <c r="BD638" s="41" t="s">
        <v>1024</v>
      </c>
      <c r="BE638" s="40" t="s">
        <v>1320</v>
      </c>
      <c r="BF638" s="39" t="str">
        <f>データ!U638</f>
        <v>-</v>
      </c>
      <c r="BG638" s="41" t="s">
        <v>1024</v>
      </c>
      <c r="BH638" s="40" t="s">
        <v>1319</v>
      </c>
      <c r="BI638" s="39" t="str">
        <f>データ!V638</f>
        <v>常設</v>
      </c>
      <c r="BJ638" s="41" t="s">
        <v>1024</v>
      </c>
      <c r="BK638" s="10" t="s">
        <v>1019</v>
      </c>
    </row>
    <row r="639" spans="1:63" x14ac:dyDescent="0.15">
      <c r="A639" s="10" t="s">
        <v>1016</v>
      </c>
      <c r="B639" s="10" t="s">
        <v>1454</v>
      </c>
      <c r="C639" s="38" t="str">
        <f>"./images/thumbnail/"&amp;データ!B639&amp;".jpg"</f>
        <v>./images/thumbnail/2039.jpg</v>
      </c>
      <c r="D639" s="38" t="s">
        <v>1455</v>
      </c>
      <c r="E639" s="38" t="str">
        <f>"./images/thumbnail/"&amp;データ!B639&amp;".jpg"</f>
        <v>./images/thumbnail/2039.jpg</v>
      </c>
      <c r="F639" s="38" t="s">
        <v>1116</v>
      </c>
      <c r="G639" s="38" t="s">
        <v>1319</v>
      </c>
      <c r="H639" s="38" t="str">
        <f>データ!C639</f>
        <v>アルドルフ</v>
      </c>
      <c r="I639" s="38" t="s">
        <v>1024</v>
      </c>
      <c r="J639" s="38" t="s">
        <v>1320</v>
      </c>
      <c r="K639" s="38" t="str">
        <f>データ!D639</f>
        <v>UR</v>
      </c>
      <c r="L639" s="38" t="s">
        <v>1024</v>
      </c>
      <c r="M639" s="38" t="s">
        <v>1321</v>
      </c>
      <c r="N639" s="38">
        <f>データ!E639</f>
        <v>14</v>
      </c>
      <c r="O639" s="38" t="s">
        <v>1024</v>
      </c>
      <c r="P639" s="38" t="s">
        <v>1319</v>
      </c>
      <c r="Q639" s="38" t="str">
        <f>データ!F639</f>
        <v>打</v>
      </c>
      <c r="R639" s="38" t="s">
        <v>1024</v>
      </c>
      <c r="S639" s="38" t="s">
        <v>1319</v>
      </c>
      <c r="T639" s="39">
        <f>データ!G639</f>
        <v>22559</v>
      </c>
      <c r="U639" s="40" t="s">
        <v>1024</v>
      </c>
      <c r="V639" s="40" t="s">
        <v>1319</v>
      </c>
      <c r="W639" s="39">
        <f>データ!H639</f>
        <v>7007</v>
      </c>
      <c r="X639" s="40" t="s">
        <v>1024</v>
      </c>
      <c r="Y639" s="40" t="s">
        <v>1319</v>
      </c>
      <c r="Z639" s="39">
        <f>データ!I639</f>
        <v>8874</v>
      </c>
      <c r="AA639" s="40" t="s">
        <v>1024</v>
      </c>
      <c r="AB639" s="40" t="s">
        <v>1322</v>
      </c>
      <c r="AC639" s="39" t="str">
        <f>データ!J639</f>
        <v>A+</v>
      </c>
      <c r="AD639" s="38" t="s">
        <v>1024</v>
      </c>
      <c r="AE639" s="40" t="s">
        <v>1323</v>
      </c>
      <c r="AF639" s="39">
        <f>データ!K639</f>
        <v>38440</v>
      </c>
      <c r="AG639" s="40" t="s">
        <v>1024</v>
      </c>
      <c r="AH639" s="40" t="s">
        <v>1324</v>
      </c>
      <c r="AI639" s="39" t="str">
        <f>データ!L639</f>
        <v>焔幻の一閃／煌</v>
      </c>
      <c r="AJ639" s="10" t="s">
        <v>1113</v>
      </c>
      <c r="AK639" s="39" t="str">
        <f>データ!M639</f>
        <v>横一列に攻撃[特大]</v>
      </c>
      <c r="AL639" s="10" t="s">
        <v>1024</v>
      </c>
      <c r="AM639" s="40" t="s">
        <v>1325</v>
      </c>
      <c r="AN639" s="39" t="str">
        <f>データ!N639</f>
        <v>-</v>
      </c>
      <c r="AO639" s="10" t="s">
        <v>1113</v>
      </c>
      <c r="AP639" s="39" t="str">
        <f>データ!O639</f>
        <v>　</v>
      </c>
      <c r="AQ639" s="41" t="s">
        <v>1024</v>
      </c>
      <c r="AR639" s="40" t="s">
        <v>1324</v>
      </c>
      <c r="AS639" s="39" t="str">
        <f>データ!P639</f>
        <v>スラッシャー／絶</v>
      </c>
      <c r="AT639" s="10" t="s">
        <v>1113</v>
      </c>
      <c r="AU639" s="39" t="str">
        <f>データ!Q639</f>
        <v>キリ番キャッスルブレイク時の獲得ポイントUP(3回)</v>
      </c>
      <c r="AV639" s="10" t="s">
        <v>1024</v>
      </c>
      <c r="AW639" s="40" t="s">
        <v>1324</v>
      </c>
      <c r="AX639" s="39" t="str">
        <f>データ!R639</f>
        <v>-</v>
      </c>
      <c r="AY639" s="10" t="s">
        <v>1113</v>
      </c>
      <c r="AZ639" s="39" t="str">
        <f>データ!S639</f>
        <v>　</v>
      </c>
      <c r="BA639" s="41" t="s">
        <v>1024</v>
      </c>
      <c r="BB639" s="40" t="s">
        <v>1319</v>
      </c>
      <c r="BC639" s="39" t="str">
        <f>データ!T639</f>
        <v>-</v>
      </c>
      <c r="BD639" s="41" t="s">
        <v>1024</v>
      </c>
      <c r="BE639" s="40" t="s">
        <v>1320</v>
      </c>
      <c r="BF639" s="39" t="str">
        <f>データ!U639</f>
        <v>-</v>
      </c>
      <c r="BG639" s="41" t="s">
        <v>1024</v>
      </c>
      <c r="BH639" s="40" t="s">
        <v>1319</v>
      </c>
      <c r="BI639" s="39" t="str">
        <f>データ!V639</f>
        <v>常設</v>
      </c>
      <c r="BJ639" s="41" t="s">
        <v>1024</v>
      </c>
      <c r="BK639" s="10" t="s">
        <v>1019</v>
      </c>
    </row>
    <row r="640" spans="1:63" x14ac:dyDescent="0.15">
      <c r="A640" s="10" t="s">
        <v>1016</v>
      </c>
      <c r="B640" s="10" t="s">
        <v>1454</v>
      </c>
      <c r="C640" s="38" t="str">
        <f>"./images/thumbnail/"&amp;データ!B640&amp;".jpg"</f>
        <v>./images/thumbnail/2041.jpg</v>
      </c>
      <c r="D640" s="38" t="s">
        <v>1455</v>
      </c>
      <c r="E640" s="38" t="str">
        <f>"./images/thumbnail/"&amp;データ!B640&amp;".jpg"</f>
        <v>./images/thumbnail/2041.jpg</v>
      </c>
      <c r="F640" s="38" t="s">
        <v>1116</v>
      </c>
      <c r="G640" s="38" t="s">
        <v>1319</v>
      </c>
      <c r="H640" s="38" t="str">
        <f>データ!C640</f>
        <v>ジョゼット</v>
      </c>
      <c r="I640" s="38" t="s">
        <v>1024</v>
      </c>
      <c r="J640" s="38" t="s">
        <v>1320</v>
      </c>
      <c r="K640" s="38" t="str">
        <f>データ!D640</f>
        <v>UR</v>
      </c>
      <c r="L640" s="38" t="s">
        <v>1024</v>
      </c>
      <c r="M640" s="38" t="s">
        <v>1321</v>
      </c>
      <c r="N640" s="38">
        <f>データ!E640</f>
        <v>15</v>
      </c>
      <c r="O640" s="38" t="s">
        <v>1024</v>
      </c>
      <c r="P640" s="38" t="s">
        <v>1319</v>
      </c>
      <c r="Q640" s="38" t="str">
        <f>データ!F640</f>
        <v>打</v>
      </c>
      <c r="R640" s="38" t="s">
        <v>1024</v>
      </c>
      <c r="S640" s="38" t="s">
        <v>1319</v>
      </c>
      <c r="T640" s="39">
        <f>データ!G640</f>
        <v>26928</v>
      </c>
      <c r="U640" s="40" t="s">
        <v>1024</v>
      </c>
      <c r="V640" s="40" t="s">
        <v>1319</v>
      </c>
      <c r="W640" s="39">
        <f>データ!H640</f>
        <v>7267</v>
      </c>
      <c r="X640" s="40" t="s">
        <v>1024</v>
      </c>
      <c r="Y640" s="40" t="s">
        <v>1319</v>
      </c>
      <c r="Z640" s="39">
        <f>データ!I640</f>
        <v>10632</v>
      </c>
      <c r="AA640" s="40" t="s">
        <v>1024</v>
      </c>
      <c r="AB640" s="40" t="s">
        <v>1322</v>
      </c>
      <c r="AC640" s="39" t="str">
        <f>データ!J640</f>
        <v>S</v>
      </c>
      <c r="AD640" s="38" t="s">
        <v>1024</v>
      </c>
      <c r="AE640" s="40" t="s">
        <v>1323</v>
      </c>
      <c r="AF640" s="39">
        <f>データ!K640</f>
        <v>44827</v>
      </c>
      <c r="AG640" s="40" t="s">
        <v>1024</v>
      </c>
      <c r="AH640" s="40" t="s">
        <v>1324</v>
      </c>
      <c r="AI640" s="39" t="str">
        <f>データ!L640</f>
        <v>天焔幻の一閃／煌</v>
      </c>
      <c r="AJ640" s="10" t="s">
        <v>1113</v>
      </c>
      <c r="AK640" s="39" t="str">
        <f>データ!M640</f>
        <v>横一列攻撃[特大]自分の攻撃力UP[特大]</v>
      </c>
      <c r="AL640" s="38" t="s">
        <v>1024</v>
      </c>
      <c r="AM640" s="40" t="s">
        <v>1325</v>
      </c>
      <c r="AN640" s="39" t="str">
        <f>データ!N640</f>
        <v>-</v>
      </c>
      <c r="AO640" s="10" t="s">
        <v>1113</v>
      </c>
      <c r="AP640" s="39" t="str">
        <f>データ!O640</f>
        <v>　</v>
      </c>
      <c r="AQ640" s="41" t="s">
        <v>1024</v>
      </c>
      <c r="AR640" s="40" t="s">
        <v>1324</v>
      </c>
      <c r="AS640" s="39" t="str">
        <f>データ!P640</f>
        <v>フォートレス／煌</v>
      </c>
      <c r="AT640" s="10" t="s">
        <v>1113</v>
      </c>
      <c r="AU640" s="39" t="str">
        <f>データ!Q640</f>
        <v>パーティ全体の防御力が特大UP(3分間)</v>
      </c>
      <c r="AV640" s="10" t="s">
        <v>1024</v>
      </c>
      <c r="AW640" s="40" t="s">
        <v>1324</v>
      </c>
      <c r="AX640" s="39" t="str">
        <f>データ!R640</f>
        <v>エースオーダー／真</v>
      </c>
      <c r="AY640" s="10" t="s">
        <v>1113</v>
      </c>
      <c r="AZ640" s="39" t="str">
        <f>データ!S640</f>
        <v>騎士団全体の攻・防が中UP(3分間)</v>
      </c>
      <c r="BA640" s="41" t="s">
        <v>1024</v>
      </c>
      <c r="BB640" s="40" t="s">
        <v>1319</v>
      </c>
      <c r="BC640" s="39" t="str">
        <f>データ!T640</f>
        <v>-</v>
      </c>
      <c r="BD640" s="41" t="s">
        <v>1024</v>
      </c>
      <c r="BE640" s="40" t="s">
        <v>1320</v>
      </c>
      <c r="BF640" s="39" t="str">
        <f>データ!U640</f>
        <v>-</v>
      </c>
      <c r="BG640" s="41" t="s">
        <v>1024</v>
      </c>
      <c r="BH640" s="40" t="s">
        <v>1319</v>
      </c>
      <c r="BI640" s="39" t="str">
        <f>データ!V640</f>
        <v>覇者の塔</v>
      </c>
      <c r="BJ640" s="41" t="s">
        <v>1024</v>
      </c>
      <c r="BK640" s="10" t="s">
        <v>1019</v>
      </c>
    </row>
    <row r="641" spans="1:63" x14ac:dyDescent="0.15">
      <c r="A641" s="10" t="s">
        <v>1016</v>
      </c>
      <c r="B641" s="10" t="s">
        <v>1454</v>
      </c>
      <c r="C641" s="38" t="str">
        <f>"./images/thumbnail/"&amp;データ!B641&amp;".jpg"</f>
        <v>./images/thumbnail/2042.jpg</v>
      </c>
      <c r="D641" s="38" t="s">
        <v>1455</v>
      </c>
      <c r="E641" s="38" t="str">
        <f>"./images/thumbnail/"&amp;データ!B641&amp;".jpg"</f>
        <v>./images/thumbnail/2042.jpg</v>
      </c>
      <c r="F641" s="38" t="s">
        <v>1116</v>
      </c>
      <c r="G641" s="38" t="s">
        <v>1319</v>
      </c>
      <c r="H641" s="38" t="str">
        <f>データ!C641</f>
        <v>アーデルハイド</v>
      </c>
      <c r="I641" s="38" t="s">
        <v>1024</v>
      </c>
      <c r="J641" s="38" t="s">
        <v>1320</v>
      </c>
      <c r="K641" s="38" t="str">
        <f>データ!D641</f>
        <v>UR</v>
      </c>
      <c r="L641" s="38" t="s">
        <v>1024</v>
      </c>
      <c r="M641" s="38" t="s">
        <v>1321</v>
      </c>
      <c r="N641" s="38">
        <f>データ!E641</f>
        <v>15</v>
      </c>
      <c r="O641" s="38" t="s">
        <v>1024</v>
      </c>
      <c r="P641" s="38" t="s">
        <v>1319</v>
      </c>
      <c r="Q641" s="38" t="str">
        <f>データ!F641</f>
        <v>突</v>
      </c>
      <c r="R641" s="38" t="s">
        <v>1024</v>
      </c>
      <c r="S641" s="38" t="s">
        <v>1319</v>
      </c>
      <c r="T641" s="39">
        <f>データ!G641</f>
        <v>23128</v>
      </c>
      <c r="U641" s="40" t="s">
        <v>1024</v>
      </c>
      <c r="V641" s="40" t="s">
        <v>1319</v>
      </c>
      <c r="W641" s="39">
        <f>データ!H641</f>
        <v>6572</v>
      </c>
      <c r="X641" s="40" t="s">
        <v>1024</v>
      </c>
      <c r="Y641" s="40" t="s">
        <v>1319</v>
      </c>
      <c r="Z641" s="39">
        <f>データ!I641</f>
        <v>8347</v>
      </c>
      <c r="AA641" s="40" t="s">
        <v>1024</v>
      </c>
      <c r="AB641" s="40" t="s">
        <v>1322</v>
      </c>
      <c r="AC641" s="39" t="str">
        <f>データ!J641</f>
        <v>SS2</v>
      </c>
      <c r="AD641" s="38" t="s">
        <v>1024</v>
      </c>
      <c r="AE641" s="40" t="s">
        <v>1323</v>
      </c>
      <c r="AF641" s="39">
        <f>データ!K641</f>
        <v>38047</v>
      </c>
      <c r="AG641" s="40" t="s">
        <v>1024</v>
      </c>
      <c r="AH641" s="40" t="s">
        <v>1324</v>
      </c>
      <c r="AI641" s="39" t="str">
        <f>データ!L641</f>
        <v>対翠の突風／煌</v>
      </c>
      <c r="AJ641" s="10" t="s">
        <v>1113</v>
      </c>
      <c r="AK641" s="39" t="str">
        <f>データ!M641</f>
        <v>遠に強く打に弱い縦一列攻撃[特大]</v>
      </c>
      <c r="AL641" s="10" t="s">
        <v>1024</v>
      </c>
      <c r="AM641" s="40" t="s">
        <v>1325</v>
      </c>
      <c r="AN641" s="39" t="str">
        <f>データ!N641</f>
        <v xml:space="preserve">戦乙女の剛撃 </v>
      </c>
      <c r="AO641" s="10" t="s">
        <v>1113</v>
      </c>
      <c r="AP641" s="39" t="str">
        <f>データ!O641</f>
        <v>通常攻撃の威力がアップ[極大]</v>
      </c>
      <c r="AQ641" s="41" t="s">
        <v>1024</v>
      </c>
      <c r="AR641" s="40" t="s">
        <v>1324</v>
      </c>
      <c r="AS641" s="39" t="str">
        <f>データ!P641</f>
        <v>ファランクス／絶</v>
      </c>
      <c r="AT641" s="10" t="s">
        <v>1113</v>
      </c>
      <c r="AU641" s="39" t="str">
        <f>データ!Q641</f>
        <v>騎士団全体の強襲率大DOWN・防御力大UP(3分間)</v>
      </c>
      <c r="AV641" s="10" t="s">
        <v>1024</v>
      </c>
      <c r="AW641" s="40" t="s">
        <v>1324</v>
      </c>
      <c r="AX641" s="39" t="str">
        <f>データ!R641</f>
        <v>アサルト／絶</v>
      </c>
      <c r="AY641" s="10" t="s">
        <v>1113</v>
      </c>
      <c r="AZ641" s="39" t="str">
        <f>データ!S641</f>
        <v>パーティ全体の攻撃力が大UP(3分間)</v>
      </c>
      <c r="BA641" s="41" t="s">
        <v>1024</v>
      </c>
      <c r="BB641" s="40" t="s">
        <v>1319</v>
      </c>
      <c r="BC641" s="39" t="str">
        <f>データ!T641</f>
        <v>-</v>
      </c>
      <c r="BD641" s="41" t="s">
        <v>1024</v>
      </c>
      <c r="BE641" s="40" t="s">
        <v>1320</v>
      </c>
      <c r="BF641" s="39" t="str">
        <f>データ!U641</f>
        <v>-</v>
      </c>
      <c r="BG641" s="41" t="s">
        <v>1024</v>
      </c>
      <c r="BH641" s="40" t="s">
        <v>1319</v>
      </c>
      <c r="BI641" s="39" t="str">
        <f>データ!V641</f>
        <v>常設</v>
      </c>
      <c r="BJ641" s="41" t="s">
        <v>1024</v>
      </c>
      <c r="BK641" s="10" t="s">
        <v>1019</v>
      </c>
    </row>
    <row r="642" spans="1:63" x14ac:dyDescent="0.15">
      <c r="A642" s="10" t="s">
        <v>1016</v>
      </c>
      <c r="B642" s="10" t="s">
        <v>1454</v>
      </c>
      <c r="C642" s="38" t="str">
        <f>"./images/thumbnail/"&amp;データ!B642&amp;".jpg"</f>
        <v>./images/thumbnail/2043.jpg</v>
      </c>
      <c r="D642" s="38" t="s">
        <v>1455</v>
      </c>
      <c r="E642" s="38" t="str">
        <f>"./images/thumbnail/"&amp;データ!B642&amp;".jpg"</f>
        <v>./images/thumbnail/2043.jpg</v>
      </c>
      <c r="F642" s="38" t="s">
        <v>1116</v>
      </c>
      <c r="G642" s="38" t="s">
        <v>1319</v>
      </c>
      <c r="H642" s="38" t="str">
        <f>データ!C642</f>
        <v>主人公</v>
      </c>
      <c r="I642" s="38" t="s">
        <v>1024</v>
      </c>
      <c r="J642" s="38" t="s">
        <v>1320</v>
      </c>
      <c r="K642" s="38" t="str">
        <f>データ!D642</f>
        <v>SSR</v>
      </c>
      <c r="L642" s="38" t="s">
        <v>1024</v>
      </c>
      <c r="M642" s="38" t="s">
        <v>1321</v>
      </c>
      <c r="N642" s="38">
        <f>データ!E642</f>
        <v>12</v>
      </c>
      <c r="O642" s="38" t="s">
        <v>1024</v>
      </c>
      <c r="P642" s="38" t="s">
        <v>1319</v>
      </c>
      <c r="Q642" s="38" t="str">
        <f>データ!F642</f>
        <v>斬</v>
      </c>
      <c r="R642" s="38" t="s">
        <v>1024</v>
      </c>
      <c r="S642" s="38" t="s">
        <v>1319</v>
      </c>
      <c r="T642" s="39">
        <f>データ!G642</f>
        <v>16043</v>
      </c>
      <c r="U642" s="40" t="s">
        <v>1024</v>
      </c>
      <c r="V642" s="40" t="s">
        <v>1319</v>
      </c>
      <c r="W642" s="39">
        <f>データ!H642</f>
        <v>6424</v>
      </c>
      <c r="X642" s="40" t="s">
        <v>1024</v>
      </c>
      <c r="Y642" s="40" t="s">
        <v>1319</v>
      </c>
      <c r="Z642" s="39">
        <f>データ!I642</f>
        <v>4964</v>
      </c>
      <c r="AA642" s="40" t="s">
        <v>1024</v>
      </c>
      <c r="AB642" s="40" t="s">
        <v>1322</v>
      </c>
      <c r="AC642" s="39" t="str">
        <f>データ!J642</f>
        <v>A+</v>
      </c>
      <c r="AD642" s="38" t="s">
        <v>1024</v>
      </c>
      <c r="AE642" s="40" t="s">
        <v>1323</v>
      </c>
      <c r="AF642" s="39">
        <f>データ!K642</f>
        <v>27431</v>
      </c>
      <c r="AG642" s="40" t="s">
        <v>1024</v>
      </c>
      <c r="AH642" s="40" t="s">
        <v>1324</v>
      </c>
      <c r="AI642" s="39" t="str">
        <f>データ!L642</f>
        <v>幻氷の縦十字／絶</v>
      </c>
      <c r="AJ642" s="10" t="s">
        <v>1113</v>
      </c>
      <c r="AK642" s="39" t="str">
        <f>データ!M642</f>
        <v>十字型に攻撃[大]</v>
      </c>
      <c r="AL642" s="10" t="s">
        <v>1024</v>
      </c>
      <c r="AM642" s="40" t="s">
        <v>1325</v>
      </c>
      <c r="AN642" s="39" t="str">
        <f>データ!N642</f>
        <v>-</v>
      </c>
      <c r="AO642" s="10" t="s">
        <v>1113</v>
      </c>
      <c r="AP642" s="39" t="str">
        <f>データ!O642</f>
        <v>　</v>
      </c>
      <c r="AQ642" s="41" t="s">
        <v>1024</v>
      </c>
      <c r="AR642" s="40" t="s">
        <v>1324</v>
      </c>
      <c r="AS642" s="39" t="str">
        <f>データ!P642</f>
        <v>アサルト／真</v>
      </c>
      <c r="AT642" s="10" t="s">
        <v>1113</v>
      </c>
      <c r="AU642" s="39" t="str">
        <f>データ!Q642</f>
        <v>パーティ全体の攻撃力が中UP(3分間)</v>
      </c>
      <c r="AV642" s="10" t="s">
        <v>1024</v>
      </c>
      <c r="AW642" s="40" t="s">
        <v>1324</v>
      </c>
      <c r="AX642" s="39" t="str">
        <f>データ!R642</f>
        <v>-</v>
      </c>
      <c r="AY642" s="10" t="s">
        <v>1113</v>
      </c>
      <c r="AZ642" s="39" t="str">
        <f>データ!S642</f>
        <v>　</v>
      </c>
      <c r="BA642" s="41" t="s">
        <v>1024</v>
      </c>
      <c r="BB642" s="40" t="s">
        <v>1319</v>
      </c>
      <c r="BC642" s="39" t="str">
        <f>データ!T642</f>
        <v>-</v>
      </c>
      <c r="BD642" s="41" t="s">
        <v>1024</v>
      </c>
      <c r="BE642" s="40" t="s">
        <v>1320</v>
      </c>
      <c r="BF642" s="39" t="str">
        <f>データ!U642</f>
        <v>-</v>
      </c>
      <c r="BG642" s="41" t="s">
        <v>1024</v>
      </c>
      <c r="BH642" s="40" t="s">
        <v>1319</v>
      </c>
      <c r="BI642" s="39" t="str">
        <f>データ!V642</f>
        <v>第15回統一報酬</v>
      </c>
      <c r="BJ642" s="41" t="s">
        <v>1024</v>
      </c>
      <c r="BK642" s="10" t="s">
        <v>1019</v>
      </c>
    </row>
    <row r="643" spans="1:63" x14ac:dyDescent="0.15">
      <c r="A643" s="10" t="s">
        <v>1016</v>
      </c>
      <c r="B643" s="10" t="s">
        <v>1454</v>
      </c>
      <c r="C643" s="38" t="str">
        <f>"./images/thumbnail/"&amp;データ!B643&amp;".jpg"</f>
        <v>./images/thumbnail/2044.jpg</v>
      </c>
      <c r="D643" s="38" t="s">
        <v>1455</v>
      </c>
      <c r="E643" s="38" t="str">
        <f>"./images/thumbnail/"&amp;データ!B643&amp;".jpg"</f>
        <v>./images/thumbnail/2044.jpg</v>
      </c>
      <c r="F643" s="38" t="s">
        <v>1116</v>
      </c>
      <c r="G643" s="38" t="s">
        <v>1319</v>
      </c>
      <c r="H643" s="38" t="str">
        <f>データ!C643</f>
        <v>主人公</v>
      </c>
      <c r="I643" s="38" t="s">
        <v>1024</v>
      </c>
      <c r="J643" s="38" t="s">
        <v>1320</v>
      </c>
      <c r="K643" s="38" t="str">
        <f>データ!D643</f>
        <v>SSR</v>
      </c>
      <c r="L643" s="38" t="s">
        <v>1024</v>
      </c>
      <c r="M643" s="38" t="s">
        <v>1321</v>
      </c>
      <c r="N643" s="38">
        <f>データ!E643</f>
        <v>13</v>
      </c>
      <c r="O643" s="38" t="s">
        <v>1024</v>
      </c>
      <c r="P643" s="38" t="s">
        <v>1319</v>
      </c>
      <c r="Q643" s="38" t="str">
        <f>データ!F643</f>
        <v>斬</v>
      </c>
      <c r="R643" s="38" t="s">
        <v>1024</v>
      </c>
      <c r="S643" s="38" t="s">
        <v>1319</v>
      </c>
      <c r="T643" s="39">
        <f>データ!G643</f>
        <v>17301</v>
      </c>
      <c r="U643" s="40" t="s">
        <v>1024</v>
      </c>
      <c r="V643" s="40" t="s">
        <v>1319</v>
      </c>
      <c r="W643" s="39">
        <f>データ!H643</f>
        <v>7582</v>
      </c>
      <c r="X643" s="40" t="s">
        <v>1024</v>
      </c>
      <c r="Y643" s="40" t="s">
        <v>1319</v>
      </c>
      <c r="Z643" s="39">
        <f>データ!I643</f>
        <v>5973</v>
      </c>
      <c r="AA643" s="40" t="s">
        <v>1024</v>
      </c>
      <c r="AB643" s="40" t="s">
        <v>1322</v>
      </c>
      <c r="AC643" s="39" t="str">
        <f>データ!J643</f>
        <v>A+</v>
      </c>
      <c r="AD643" s="38" t="s">
        <v>1024</v>
      </c>
      <c r="AE643" s="40" t="s">
        <v>1323</v>
      </c>
      <c r="AF643" s="39">
        <f>データ!K643</f>
        <v>30856</v>
      </c>
      <c r="AG643" s="40" t="s">
        <v>1024</v>
      </c>
      <c r="AH643" s="40" t="s">
        <v>1324</v>
      </c>
      <c r="AI643" s="39" t="str">
        <f>データ!L643</f>
        <v>幻氷の縦十字／絶</v>
      </c>
      <c r="AJ643" s="10" t="s">
        <v>1113</v>
      </c>
      <c r="AK643" s="39" t="str">
        <f>データ!M643</f>
        <v>十字型に攻撃[大]</v>
      </c>
      <c r="AL643" s="10" t="s">
        <v>1024</v>
      </c>
      <c r="AM643" s="40" t="s">
        <v>1325</v>
      </c>
      <c r="AN643" s="39" t="str">
        <f>データ!N643</f>
        <v>-</v>
      </c>
      <c r="AO643" s="10" t="s">
        <v>1113</v>
      </c>
      <c r="AP643" s="39" t="str">
        <f>データ!O643</f>
        <v>　</v>
      </c>
      <c r="AQ643" s="41" t="s">
        <v>1024</v>
      </c>
      <c r="AR643" s="40" t="s">
        <v>1324</v>
      </c>
      <c r="AS643" s="39" t="str">
        <f>データ!P643</f>
        <v>アサルト／真</v>
      </c>
      <c r="AT643" s="10" t="s">
        <v>1113</v>
      </c>
      <c r="AU643" s="39" t="str">
        <f>データ!Q643</f>
        <v>パーティ全体の攻撃力が中UP(3分間)</v>
      </c>
      <c r="AV643" s="10" t="s">
        <v>1024</v>
      </c>
      <c r="AW643" s="40" t="s">
        <v>1324</v>
      </c>
      <c r="AX643" s="39" t="str">
        <f>データ!R643</f>
        <v>-</v>
      </c>
      <c r="AY643" s="10" t="s">
        <v>1113</v>
      </c>
      <c r="AZ643" s="39" t="str">
        <f>データ!S643</f>
        <v>　</v>
      </c>
      <c r="BA643" s="41" t="s">
        <v>1024</v>
      </c>
      <c r="BB643" s="40" t="s">
        <v>1319</v>
      </c>
      <c r="BC643" s="39" t="str">
        <f>データ!T643</f>
        <v>-</v>
      </c>
      <c r="BD643" s="41" t="s">
        <v>1024</v>
      </c>
      <c r="BE643" s="40" t="s">
        <v>1320</v>
      </c>
      <c r="BF643" s="39" t="str">
        <f>データ!U643</f>
        <v>-</v>
      </c>
      <c r="BG643" s="41" t="s">
        <v>1024</v>
      </c>
      <c r="BH643" s="40" t="s">
        <v>1319</v>
      </c>
      <c r="BI643" s="39" t="str">
        <f>データ!V643</f>
        <v>第15回統一報酬</v>
      </c>
      <c r="BJ643" s="41" t="s">
        <v>1024</v>
      </c>
      <c r="BK643" s="10" t="s">
        <v>1019</v>
      </c>
    </row>
    <row r="644" spans="1:63" x14ac:dyDescent="0.15">
      <c r="A644" s="10" t="s">
        <v>1016</v>
      </c>
      <c r="B644" s="10" t="s">
        <v>1454</v>
      </c>
      <c r="C644" s="38" t="str">
        <f>"./images/thumbnail/"&amp;データ!B644&amp;".jpg"</f>
        <v>./images/thumbnail/2045.jpg</v>
      </c>
      <c r="D644" s="38" t="s">
        <v>1455</v>
      </c>
      <c r="E644" s="38" t="str">
        <f>"./images/thumbnail/"&amp;データ!B644&amp;".jpg"</f>
        <v>./images/thumbnail/2045.jpg</v>
      </c>
      <c r="F644" s="38" t="s">
        <v>1116</v>
      </c>
      <c r="G644" s="38" t="s">
        <v>1319</v>
      </c>
      <c r="H644" s="38" t="str">
        <f>データ!C644</f>
        <v>主人公</v>
      </c>
      <c r="I644" s="38" t="s">
        <v>1024</v>
      </c>
      <c r="J644" s="38" t="s">
        <v>1320</v>
      </c>
      <c r="K644" s="38" t="str">
        <f>データ!D644</f>
        <v>UR</v>
      </c>
      <c r="L644" s="38" t="s">
        <v>1024</v>
      </c>
      <c r="M644" s="38" t="s">
        <v>1321</v>
      </c>
      <c r="N644" s="38">
        <f>データ!E644</f>
        <v>14</v>
      </c>
      <c r="O644" s="38" t="s">
        <v>1024</v>
      </c>
      <c r="P644" s="38" t="s">
        <v>1319</v>
      </c>
      <c r="Q644" s="38" t="str">
        <f>データ!F644</f>
        <v>斬</v>
      </c>
      <c r="R644" s="38" t="s">
        <v>1024</v>
      </c>
      <c r="S644" s="38" t="s">
        <v>1319</v>
      </c>
      <c r="T644" s="39">
        <f>データ!G644</f>
        <v>18875</v>
      </c>
      <c r="U644" s="40" t="s">
        <v>1024</v>
      </c>
      <c r="V644" s="40" t="s">
        <v>1319</v>
      </c>
      <c r="W644" s="39">
        <f>データ!H644</f>
        <v>8206</v>
      </c>
      <c r="X644" s="40" t="s">
        <v>1024</v>
      </c>
      <c r="Y644" s="40" t="s">
        <v>1319</v>
      </c>
      <c r="Z644" s="39">
        <f>データ!I644</f>
        <v>6934</v>
      </c>
      <c r="AA644" s="40" t="s">
        <v>1024</v>
      </c>
      <c r="AB644" s="40" t="s">
        <v>1322</v>
      </c>
      <c r="AC644" s="39" t="str">
        <f>データ!J644</f>
        <v>SS-</v>
      </c>
      <c r="AD644" s="38" t="s">
        <v>1024</v>
      </c>
      <c r="AE644" s="40" t="s">
        <v>1323</v>
      </c>
      <c r="AF644" s="39">
        <f>データ!K644</f>
        <v>34015</v>
      </c>
      <c r="AG644" s="40" t="s">
        <v>1024</v>
      </c>
      <c r="AH644" s="40" t="s">
        <v>1324</v>
      </c>
      <c r="AI644" s="39" t="str">
        <f>データ!L644</f>
        <v>幻氷の縦十字／煌</v>
      </c>
      <c r="AJ644" s="10" t="s">
        <v>1113</v>
      </c>
      <c r="AK644" s="39" t="str">
        <f>データ!M644</f>
        <v>十字型に攻撃[特大]</v>
      </c>
      <c r="AL644" s="10" t="s">
        <v>1024</v>
      </c>
      <c r="AM644" s="40" t="s">
        <v>1325</v>
      </c>
      <c r="AN644" s="39" t="str">
        <f>データ!N644</f>
        <v>-</v>
      </c>
      <c r="AO644" s="10" t="s">
        <v>1113</v>
      </c>
      <c r="AP644" s="39" t="str">
        <f>データ!O644</f>
        <v>　</v>
      </c>
      <c r="AQ644" s="41" t="s">
        <v>1024</v>
      </c>
      <c r="AR644" s="40" t="s">
        <v>1324</v>
      </c>
      <c r="AS644" s="39" t="str">
        <f>データ!P644</f>
        <v>アサルト／絶</v>
      </c>
      <c r="AT644" s="10" t="s">
        <v>1113</v>
      </c>
      <c r="AU644" s="39" t="str">
        <f>データ!Q644</f>
        <v>パーティ全体の攻撃力が大UP(3分間)</v>
      </c>
      <c r="AV644" s="10" t="s">
        <v>1024</v>
      </c>
      <c r="AW644" s="40" t="s">
        <v>1324</v>
      </c>
      <c r="AX644" s="39" t="str">
        <f>データ!R644</f>
        <v>-</v>
      </c>
      <c r="AY644" s="10" t="s">
        <v>1113</v>
      </c>
      <c r="AZ644" s="39" t="str">
        <f>データ!S644</f>
        <v>　</v>
      </c>
      <c r="BA644" s="41" t="s">
        <v>1024</v>
      </c>
      <c r="BB644" s="40" t="s">
        <v>1319</v>
      </c>
      <c r="BC644" s="39" t="str">
        <f>データ!T644</f>
        <v>-</v>
      </c>
      <c r="BD644" s="41" t="s">
        <v>1024</v>
      </c>
      <c r="BE644" s="40" t="s">
        <v>1320</v>
      </c>
      <c r="BF644" s="39" t="str">
        <f>データ!U644</f>
        <v>-</v>
      </c>
      <c r="BG644" s="41" t="s">
        <v>1024</v>
      </c>
      <c r="BH644" s="40" t="s">
        <v>1319</v>
      </c>
      <c r="BI644" s="39" t="str">
        <f>データ!V644</f>
        <v>第15回統一報酬</v>
      </c>
      <c r="BJ644" s="41" t="s">
        <v>1024</v>
      </c>
      <c r="BK644" s="10" t="s">
        <v>1019</v>
      </c>
    </row>
    <row r="645" spans="1:63" x14ac:dyDescent="0.15">
      <c r="A645" s="10" t="s">
        <v>1016</v>
      </c>
      <c r="B645" s="10" t="s">
        <v>1454</v>
      </c>
      <c r="C645" s="38" t="str">
        <f>"./images/thumbnail/"&amp;データ!B645&amp;".jpg"</f>
        <v>./images/thumbnail/2046.jpg</v>
      </c>
      <c r="D645" s="38" t="s">
        <v>1455</v>
      </c>
      <c r="E645" s="38" t="str">
        <f>"./images/thumbnail/"&amp;データ!B645&amp;".jpg"</f>
        <v>./images/thumbnail/2046.jpg</v>
      </c>
      <c r="F645" s="38" t="s">
        <v>1116</v>
      </c>
      <c r="G645" s="38" t="s">
        <v>1319</v>
      </c>
      <c r="H645" s="38" t="str">
        <f>データ!C645</f>
        <v>主人公</v>
      </c>
      <c r="I645" s="38" t="s">
        <v>1024</v>
      </c>
      <c r="J645" s="38" t="s">
        <v>1320</v>
      </c>
      <c r="K645" s="38" t="str">
        <f>データ!D645</f>
        <v>UR</v>
      </c>
      <c r="L645" s="38" t="s">
        <v>1024</v>
      </c>
      <c r="M645" s="38" t="s">
        <v>1321</v>
      </c>
      <c r="N645" s="38">
        <f>データ!E645</f>
        <v>15</v>
      </c>
      <c r="O645" s="38" t="s">
        <v>1024</v>
      </c>
      <c r="P645" s="38" t="s">
        <v>1319</v>
      </c>
      <c r="Q645" s="38" t="str">
        <f>データ!F645</f>
        <v>斬</v>
      </c>
      <c r="R645" s="38" t="s">
        <v>1024</v>
      </c>
      <c r="S645" s="38" t="s">
        <v>1319</v>
      </c>
      <c r="T645" s="39">
        <f>データ!G645</f>
        <v>21021</v>
      </c>
      <c r="U645" s="40" t="s">
        <v>1024</v>
      </c>
      <c r="V645" s="40" t="s">
        <v>1319</v>
      </c>
      <c r="W645" s="39">
        <f>データ!H645</f>
        <v>9256</v>
      </c>
      <c r="X645" s="40" t="s">
        <v>1024</v>
      </c>
      <c r="Y645" s="40" t="s">
        <v>1319</v>
      </c>
      <c r="Z645" s="39">
        <f>データ!I645</f>
        <v>7592</v>
      </c>
      <c r="AA645" s="40" t="s">
        <v>1024</v>
      </c>
      <c r="AB645" s="40" t="s">
        <v>1322</v>
      </c>
      <c r="AC645" s="39" t="str">
        <f>データ!J645</f>
        <v>SS-</v>
      </c>
      <c r="AD645" s="38" t="s">
        <v>1024</v>
      </c>
      <c r="AE645" s="40" t="s">
        <v>1323</v>
      </c>
      <c r="AF645" s="39">
        <f>データ!K645</f>
        <v>37869</v>
      </c>
      <c r="AG645" s="40" t="s">
        <v>1024</v>
      </c>
      <c r="AH645" s="40" t="s">
        <v>1324</v>
      </c>
      <c r="AI645" s="39" t="str">
        <f>データ!L645</f>
        <v>幻氷の縦十字／煌</v>
      </c>
      <c r="AJ645" s="10" t="s">
        <v>1113</v>
      </c>
      <c r="AK645" s="39" t="str">
        <f>データ!M645</f>
        <v>十字型に攻撃[特大]</v>
      </c>
      <c r="AL645" s="10" t="s">
        <v>1024</v>
      </c>
      <c r="AM645" s="40" t="s">
        <v>1325</v>
      </c>
      <c r="AN645" s="39" t="str">
        <f>データ!N645</f>
        <v>-</v>
      </c>
      <c r="AO645" s="10" t="s">
        <v>1113</v>
      </c>
      <c r="AP645" s="39" t="str">
        <f>データ!O645</f>
        <v>　</v>
      </c>
      <c r="AQ645" s="41" t="s">
        <v>1024</v>
      </c>
      <c r="AR645" s="40" t="s">
        <v>1324</v>
      </c>
      <c r="AS645" s="39" t="str">
        <f>データ!P645</f>
        <v>アサルト／煌</v>
      </c>
      <c r="AT645" s="10" t="s">
        <v>1113</v>
      </c>
      <c r="AU645" s="39" t="str">
        <f>データ!Q645</f>
        <v>パーティ全体の攻撃力が特大UP(3分間)</v>
      </c>
      <c r="AV645" s="10" t="s">
        <v>1024</v>
      </c>
      <c r="AW645" s="40" t="s">
        <v>1324</v>
      </c>
      <c r="AX645" s="39" t="str">
        <f>データ!R645</f>
        <v>シャドウオーダー</v>
      </c>
      <c r="AY645" s="10" t="s">
        <v>1113</v>
      </c>
      <c r="AZ645" s="39" t="str">
        <f>データ!S645</f>
        <v>騎士団全体の強襲CB率が小UP(3分間)</v>
      </c>
      <c r="BA645" s="41" t="s">
        <v>1024</v>
      </c>
      <c r="BB645" s="40" t="s">
        <v>1319</v>
      </c>
      <c r="BC645" s="39" t="str">
        <f>データ!T645</f>
        <v>-</v>
      </c>
      <c r="BD645" s="41" t="s">
        <v>1024</v>
      </c>
      <c r="BE645" s="40" t="s">
        <v>1320</v>
      </c>
      <c r="BF645" s="39" t="str">
        <f>データ!U645</f>
        <v>-</v>
      </c>
      <c r="BG645" s="41" t="s">
        <v>1024</v>
      </c>
      <c r="BH645" s="40" t="s">
        <v>1319</v>
      </c>
      <c r="BI645" s="39" t="str">
        <f>データ!V645</f>
        <v>第15回統一報酬</v>
      </c>
      <c r="BJ645" s="41" t="s">
        <v>1024</v>
      </c>
      <c r="BK645" s="10" t="s">
        <v>1019</v>
      </c>
    </row>
    <row r="646" spans="1:63" x14ac:dyDescent="0.15">
      <c r="A646" s="10" t="s">
        <v>1016</v>
      </c>
      <c r="B646" s="10" t="s">
        <v>1454</v>
      </c>
      <c r="C646" s="38" t="str">
        <f>"./images/thumbnail/"&amp;データ!B646&amp;".jpg"</f>
        <v>./images/thumbnail/2051.jpg</v>
      </c>
      <c r="D646" s="38" t="s">
        <v>1455</v>
      </c>
      <c r="E646" s="38" t="str">
        <f>"./images/thumbnail/"&amp;データ!B646&amp;".jpg"</f>
        <v>./images/thumbnail/2051.jpg</v>
      </c>
      <c r="F646" s="38" t="s">
        <v>1116</v>
      </c>
      <c r="G646" s="38" t="s">
        <v>1319</v>
      </c>
      <c r="H646" s="38" t="str">
        <f>データ!C646</f>
        <v>ジルベール</v>
      </c>
      <c r="I646" s="38" t="s">
        <v>1024</v>
      </c>
      <c r="J646" s="38" t="s">
        <v>1320</v>
      </c>
      <c r="K646" s="38" t="str">
        <f>データ!D646</f>
        <v>SSR</v>
      </c>
      <c r="L646" s="38" t="s">
        <v>1024</v>
      </c>
      <c r="M646" s="38" t="s">
        <v>1321</v>
      </c>
      <c r="N646" s="38">
        <f>データ!E646</f>
        <v>13</v>
      </c>
      <c r="O646" s="38" t="s">
        <v>1024</v>
      </c>
      <c r="P646" s="38" t="s">
        <v>1319</v>
      </c>
      <c r="Q646" s="38" t="str">
        <f>データ!F646</f>
        <v>斬</v>
      </c>
      <c r="R646" s="38" t="s">
        <v>1024</v>
      </c>
      <c r="S646" s="38" t="s">
        <v>1319</v>
      </c>
      <c r="T646" s="39">
        <f>データ!G646</f>
        <v>16649</v>
      </c>
      <c r="U646" s="40" t="s">
        <v>1024</v>
      </c>
      <c r="V646" s="40" t="s">
        <v>1319</v>
      </c>
      <c r="W646" s="39">
        <f>データ!H646</f>
        <v>7930</v>
      </c>
      <c r="X646" s="40" t="s">
        <v>1024</v>
      </c>
      <c r="Y646" s="40" t="s">
        <v>1319</v>
      </c>
      <c r="Z646" s="39">
        <f>データ!I646</f>
        <v>5093</v>
      </c>
      <c r="AA646" s="38" t="s">
        <v>1024</v>
      </c>
      <c r="AB646" s="40" t="s">
        <v>1322</v>
      </c>
      <c r="AC646" s="39" t="str">
        <f>データ!J646</f>
        <v>A+</v>
      </c>
      <c r="AD646" s="38" t="s">
        <v>1024</v>
      </c>
      <c r="AE646" s="40" t="s">
        <v>1323</v>
      </c>
      <c r="AF646" s="39">
        <f>データ!K646</f>
        <v>29672</v>
      </c>
      <c r="AG646" s="40" t="s">
        <v>1024</v>
      </c>
      <c r="AH646" s="40" t="s">
        <v>1324</v>
      </c>
      <c r="AI646" s="39" t="str">
        <f>データ!L646</f>
        <v>強奪者の雷／絶</v>
      </c>
      <c r="AJ646" s="10" t="s">
        <v>1113</v>
      </c>
      <c r="AK646" s="39" t="str">
        <f>データ!M646</f>
        <v>単体攻撃（宝箱優先／追加ダメージ）[大]</v>
      </c>
      <c r="AL646" s="10" t="s">
        <v>1024</v>
      </c>
      <c r="AM646" s="40" t="s">
        <v>1325</v>
      </c>
      <c r="AN646" s="39" t="str">
        <f>データ!N646</f>
        <v>-</v>
      </c>
      <c r="AO646" s="10" t="s">
        <v>1113</v>
      </c>
      <c r="AP646" s="39" t="str">
        <f>データ!O646</f>
        <v>　</v>
      </c>
      <c r="AQ646" s="41" t="s">
        <v>1024</v>
      </c>
      <c r="AR646" s="40" t="s">
        <v>1324</v>
      </c>
      <c r="AS646" s="39" t="str">
        <f>データ!P646</f>
        <v>ヒール／真斬紅</v>
      </c>
      <c r="AT646" s="10" t="s">
        <v>1113</v>
      </c>
      <c r="AU646" s="39" t="str">
        <f>データ!Q646</f>
        <v>斬属性の生存ユニットのHPを高確率で全回復</v>
      </c>
      <c r="AV646" s="10" t="s">
        <v>1024</v>
      </c>
      <c r="AW646" s="40" t="s">
        <v>1324</v>
      </c>
      <c r="AX646" s="39" t="str">
        <f>データ!R646</f>
        <v>-</v>
      </c>
      <c r="AY646" s="10" t="s">
        <v>1113</v>
      </c>
      <c r="AZ646" s="39" t="str">
        <f>データ!S646</f>
        <v>　</v>
      </c>
      <c r="BA646" s="41" t="s">
        <v>1024</v>
      </c>
      <c r="BB646" s="40" t="s">
        <v>1319</v>
      </c>
      <c r="BC646" s="39" t="str">
        <f>データ!T646</f>
        <v>-</v>
      </c>
      <c r="BD646" s="41" t="s">
        <v>1024</v>
      </c>
      <c r="BE646" s="40" t="s">
        <v>1320</v>
      </c>
      <c r="BF646" s="39" t="str">
        <f>データ!U646</f>
        <v>-</v>
      </c>
      <c r="BG646" s="41" t="s">
        <v>1024</v>
      </c>
      <c r="BH646" s="40" t="s">
        <v>1319</v>
      </c>
      <c r="BI646" s="39" t="str">
        <f>データ!V646</f>
        <v>メダル</v>
      </c>
      <c r="BJ646" s="41" t="s">
        <v>1024</v>
      </c>
      <c r="BK646" s="10" t="s">
        <v>1019</v>
      </c>
    </row>
    <row r="647" spans="1:63" x14ac:dyDescent="0.15">
      <c r="A647" s="10" t="s">
        <v>1016</v>
      </c>
      <c r="B647" s="10" t="s">
        <v>1454</v>
      </c>
      <c r="C647" s="38" t="str">
        <f>"./images/thumbnail/"&amp;データ!B647&amp;".jpg"</f>
        <v>./images/thumbnail/2052.jpg</v>
      </c>
      <c r="D647" s="38" t="s">
        <v>1455</v>
      </c>
      <c r="E647" s="38" t="str">
        <f>"./images/thumbnail/"&amp;データ!B647&amp;".jpg"</f>
        <v>./images/thumbnail/2052.jpg</v>
      </c>
      <c r="F647" s="38" t="s">
        <v>1116</v>
      </c>
      <c r="G647" s="38" t="s">
        <v>1319</v>
      </c>
      <c r="H647" s="38" t="str">
        <f>データ!C647</f>
        <v>マガリー</v>
      </c>
      <c r="I647" s="38" t="s">
        <v>1024</v>
      </c>
      <c r="J647" s="38" t="s">
        <v>1320</v>
      </c>
      <c r="K647" s="38" t="str">
        <f>データ!D647</f>
        <v>UR</v>
      </c>
      <c r="L647" s="38" t="s">
        <v>1024</v>
      </c>
      <c r="M647" s="38" t="s">
        <v>1321</v>
      </c>
      <c r="N647" s="38">
        <f>データ!E647</f>
        <v>14</v>
      </c>
      <c r="O647" s="38" t="s">
        <v>1024</v>
      </c>
      <c r="P647" s="38" t="s">
        <v>1319</v>
      </c>
      <c r="Q647" s="38" t="str">
        <f>データ!F647</f>
        <v>打</v>
      </c>
      <c r="R647" s="38" t="s">
        <v>1024</v>
      </c>
      <c r="S647" s="38" t="s">
        <v>1319</v>
      </c>
      <c r="T647" s="39">
        <f>データ!G647</f>
        <v>23743</v>
      </c>
      <c r="U647" s="40" t="s">
        <v>1024</v>
      </c>
      <c r="V647" s="40" t="s">
        <v>1319</v>
      </c>
      <c r="W647" s="39">
        <f>データ!H647</f>
        <v>6979</v>
      </c>
      <c r="X647" s="40" t="s">
        <v>1024</v>
      </c>
      <c r="Y647" s="40" t="s">
        <v>1319</v>
      </c>
      <c r="Z647" s="39">
        <f>データ!I647</f>
        <v>9584</v>
      </c>
      <c r="AA647" s="40" t="s">
        <v>1024</v>
      </c>
      <c r="AB647" s="40" t="s">
        <v>1322</v>
      </c>
      <c r="AC647" s="39" t="str">
        <f>データ!J647</f>
        <v>A+</v>
      </c>
      <c r="AD647" s="38" t="s">
        <v>1024</v>
      </c>
      <c r="AE647" s="40" t="s">
        <v>1323</v>
      </c>
      <c r="AF647" s="39">
        <f>データ!K647</f>
        <v>40306</v>
      </c>
      <c r="AG647" s="40" t="s">
        <v>1024</v>
      </c>
      <c r="AH647" s="40" t="s">
        <v>1324</v>
      </c>
      <c r="AI647" s="39" t="str">
        <f>データ!L647</f>
        <v xml:space="preserve">天護 </v>
      </c>
      <c r="AJ647" s="10" t="s">
        <v>1113</v>
      </c>
      <c r="AK647" s="39" t="str">
        <f>データ!M647</f>
        <v>自分の防御力をUP[極大]</v>
      </c>
      <c r="AL647" s="10" t="s">
        <v>1024</v>
      </c>
      <c r="AM647" s="40" t="s">
        <v>1325</v>
      </c>
      <c r="AN647" s="39" t="str">
        <f>データ!N647</f>
        <v>-</v>
      </c>
      <c r="AO647" s="10" t="s">
        <v>1113</v>
      </c>
      <c r="AP647" s="39" t="str">
        <f>データ!O647</f>
        <v>　</v>
      </c>
      <c r="AQ647" s="41" t="s">
        <v>1024</v>
      </c>
      <c r="AR647" s="40" t="s">
        <v>1324</v>
      </c>
      <c r="AS647" s="39" t="str">
        <f>データ!P647</f>
        <v>アクセラレーター／絶</v>
      </c>
      <c r="AT647" s="10" t="s">
        <v>1113</v>
      </c>
      <c r="AU647" s="39" t="str">
        <f>データ!Q647</f>
        <v>パーティ全体の速度が大UP(3分間)</v>
      </c>
      <c r="AV647" s="10" t="s">
        <v>1024</v>
      </c>
      <c r="AW647" s="40" t="s">
        <v>1324</v>
      </c>
      <c r="AX647" s="39" t="str">
        <f>データ!R647</f>
        <v>-</v>
      </c>
      <c r="AY647" s="10" t="s">
        <v>1113</v>
      </c>
      <c r="AZ647" s="39" t="str">
        <f>データ!S647</f>
        <v>　</v>
      </c>
      <c r="BA647" s="41" t="s">
        <v>1024</v>
      </c>
      <c r="BB647" s="40" t="s">
        <v>1319</v>
      </c>
      <c r="BC647" s="39" t="str">
        <f>データ!T647</f>
        <v>-</v>
      </c>
      <c r="BD647" s="41" t="s">
        <v>1024</v>
      </c>
      <c r="BE647" s="40" t="s">
        <v>1320</v>
      </c>
      <c r="BF647" s="39" t="str">
        <f>データ!U647</f>
        <v>-</v>
      </c>
      <c r="BG647" s="41" t="s">
        <v>1024</v>
      </c>
      <c r="BH647" s="40" t="s">
        <v>1319</v>
      </c>
      <c r="BI647" s="39" t="str">
        <f>データ!V647</f>
        <v>グラン</v>
      </c>
      <c r="BJ647" s="41" t="s">
        <v>1024</v>
      </c>
      <c r="BK647" s="10" t="s">
        <v>1019</v>
      </c>
    </row>
    <row r="648" spans="1:63" x14ac:dyDescent="0.15">
      <c r="A648" s="10" t="s">
        <v>1016</v>
      </c>
      <c r="B648" s="10" t="s">
        <v>1454</v>
      </c>
      <c r="C648" s="38" t="str">
        <f>"./images/thumbnail/"&amp;データ!B648&amp;".jpg"</f>
        <v>./images/thumbnail/2053.jpg</v>
      </c>
      <c r="D648" s="38" t="s">
        <v>1455</v>
      </c>
      <c r="E648" s="38" t="str">
        <f>"./images/thumbnail/"&amp;データ!B648&amp;".jpg"</f>
        <v>./images/thumbnail/2053.jpg</v>
      </c>
      <c r="F648" s="38" t="s">
        <v>1116</v>
      </c>
      <c r="G648" s="38" t="s">
        <v>1319</v>
      </c>
      <c r="H648" s="38" t="str">
        <f>データ!C648</f>
        <v>ソリン</v>
      </c>
      <c r="I648" s="38" t="s">
        <v>1024</v>
      </c>
      <c r="J648" s="38" t="s">
        <v>1320</v>
      </c>
      <c r="K648" s="38" t="str">
        <f>データ!D648</f>
        <v>UR</v>
      </c>
      <c r="L648" s="38" t="s">
        <v>1024</v>
      </c>
      <c r="M648" s="38" t="s">
        <v>1321</v>
      </c>
      <c r="N648" s="38">
        <f>データ!E648</f>
        <v>14</v>
      </c>
      <c r="O648" s="38" t="s">
        <v>1024</v>
      </c>
      <c r="P648" s="38" t="s">
        <v>1319</v>
      </c>
      <c r="Q648" s="38" t="str">
        <f>データ!F648</f>
        <v>斬</v>
      </c>
      <c r="R648" s="38" t="s">
        <v>1024</v>
      </c>
      <c r="S648" s="38" t="s">
        <v>1319</v>
      </c>
      <c r="T648" s="39">
        <f>データ!G648</f>
        <v>16865</v>
      </c>
      <c r="U648" s="40" t="s">
        <v>1024</v>
      </c>
      <c r="V648" s="40" t="s">
        <v>1319</v>
      </c>
      <c r="W648" s="39">
        <f>データ!H648</f>
        <v>8492</v>
      </c>
      <c r="X648" s="40" t="s">
        <v>1024</v>
      </c>
      <c r="Y648" s="40" t="s">
        <v>1319</v>
      </c>
      <c r="Z648" s="39">
        <f>データ!I648</f>
        <v>6335</v>
      </c>
      <c r="AA648" s="40" t="s">
        <v>1024</v>
      </c>
      <c r="AB648" s="40" t="s">
        <v>1322</v>
      </c>
      <c r="AC648" s="39" t="str">
        <f>データ!J648</f>
        <v>S</v>
      </c>
      <c r="AD648" s="38" t="s">
        <v>1024</v>
      </c>
      <c r="AE648" s="40" t="s">
        <v>1323</v>
      </c>
      <c r="AF648" s="39">
        <f>データ!K648</f>
        <v>31692</v>
      </c>
      <c r="AG648" s="40" t="s">
        <v>1024</v>
      </c>
      <c r="AH648" s="40" t="s">
        <v>1324</v>
      </c>
      <c r="AI648" s="39" t="str">
        <f>データ!L648</f>
        <v>魔幻の閃光／煌</v>
      </c>
      <c r="AJ648" s="10" t="s">
        <v>1113</v>
      </c>
      <c r="AK648" s="39" t="str">
        <f>データ!M648</f>
        <v>縦一列に攻撃[特大]</v>
      </c>
      <c r="AL648" s="38" t="s">
        <v>1024</v>
      </c>
      <c r="AM648" s="40" t="s">
        <v>1325</v>
      </c>
      <c r="AN648" s="39" t="str">
        <f>データ!N648</f>
        <v>-</v>
      </c>
      <c r="AO648" s="10" t="s">
        <v>1113</v>
      </c>
      <c r="AP648" s="39" t="str">
        <f>データ!O648</f>
        <v>　</v>
      </c>
      <c r="AQ648" s="41" t="s">
        <v>1024</v>
      </c>
      <c r="AR648" s="40" t="s">
        <v>1324</v>
      </c>
      <c r="AS648" s="39" t="str">
        <f>データ!P648</f>
        <v>ランページ／絶</v>
      </c>
      <c r="AT648" s="10" t="s">
        <v>1113</v>
      </c>
      <c r="AU648" s="39" t="str">
        <f>データ!Q648</f>
        <v>バトルで獲得する騎士団戦スコアが大アップ(3分間)</v>
      </c>
      <c r="AV648" s="10" t="s">
        <v>1024</v>
      </c>
      <c r="AW648" s="40" t="s">
        <v>1324</v>
      </c>
      <c r="AX648" s="39" t="str">
        <f>データ!R648</f>
        <v>-</v>
      </c>
      <c r="AY648" s="10" t="s">
        <v>1113</v>
      </c>
      <c r="AZ648" s="39" t="str">
        <f>データ!S648</f>
        <v>　</v>
      </c>
      <c r="BA648" s="41" t="s">
        <v>1024</v>
      </c>
      <c r="BB648" s="40" t="s">
        <v>1319</v>
      </c>
      <c r="BC648" s="39" t="str">
        <f>データ!T648</f>
        <v>-</v>
      </c>
      <c r="BD648" s="41" t="s">
        <v>1024</v>
      </c>
      <c r="BE648" s="40" t="s">
        <v>1320</v>
      </c>
      <c r="BF648" s="39" t="str">
        <f>データ!U648</f>
        <v>-</v>
      </c>
      <c r="BG648" s="41" t="s">
        <v>1024</v>
      </c>
      <c r="BH648" s="40" t="s">
        <v>1319</v>
      </c>
      <c r="BI648" s="39" t="str">
        <f>データ!V648</f>
        <v>誓いイベ</v>
      </c>
      <c r="BJ648" s="41" t="s">
        <v>1024</v>
      </c>
      <c r="BK648" s="10" t="s">
        <v>1019</v>
      </c>
    </row>
    <row r="649" spans="1:63" x14ac:dyDescent="0.15">
      <c r="A649" s="10" t="s">
        <v>1016</v>
      </c>
      <c r="B649" s="10" t="s">
        <v>1454</v>
      </c>
      <c r="C649" s="38" t="str">
        <f>"./images/thumbnail/"&amp;データ!B649&amp;".jpg"</f>
        <v>./images/thumbnail/2055.jpg</v>
      </c>
      <c r="D649" s="38" t="s">
        <v>1455</v>
      </c>
      <c r="E649" s="38" t="str">
        <f>"./images/thumbnail/"&amp;データ!B649&amp;".jpg"</f>
        <v>./images/thumbnail/2055.jpg</v>
      </c>
      <c r="F649" s="38" t="s">
        <v>1116</v>
      </c>
      <c r="G649" s="38" t="s">
        <v>1319</v>
      </c>
      <c r="H649" s="38" t="str">
        <f>データ!C649</f>
        <v>カルディナ</v>
      </c>
      <c r="I649" s="38" t="s">
        <v>1024</v>
      </c>
      <c r="J649" s="38" t="s">
        <v>1320</v>
      </c>
      <c r="K649" s="38" t="str">
        <f>データ!D649</f>
        <v>UR</v>
      </c>
      <c r="L649" s="38" t="s">
        <v>1024</v>
      </c>
      <c r="M649" s="38" t="s">
        <v>1321</v>
      </c>
      <c r="N649" s="38">
        <f>データ!E649</f>
        <v>15</v>
      </c>
      <c r="O649" s="38" t="s">
        <v>1024</v>
      </c>
      <c r="P649" s="38" t="s">
        <v>1319</v>
      </c>
      <c r="Q649" s="38" t="str">
        <f>データ!F649</f>
        <v>突</v>
      </c>
      <c r="R649" s="38" t="s">
        <v>1024</v>
      </c>
      <c r="S649" s="38" t="s">
        <v>1319</v>
      </c>
      <c r="T649" s="39">
        <f>データ!G649</f>
        <v>23741</v>
      </c>
      <c r="U649" s="40" t="s">
        <v>1024</v>
      </c>
      <c r="V649" s="40" t="s">
        <v>1319</v>
      </c>
      <c r="W649" s="39">
        <f>データ!H649</f>
        <v>6523</v>
      </c>
      <c r="X649" s="40" t="s">
        <v>1024</v>
      </c>
      <c r="Y649" s="40" t="s">
        <v>1319</v>
      </c>
      <c r="Z649" s="39">
        <f>データ!I649</f>
        <v>8393</v>
      </c>
      <c r="AA649" s="40" t="s">
        <v>1024</v>
      </c>
      <c r="AB649" s="40" t="s">
        <v>1322</v>
      </c>
      <c r="AC649" s="39" t="str">
        <f>データ!J649</f>
        <v>SS2</v>
      </c>
      <c r="AD649" s="38" t="s">
        <v>1024</v>
      </c>
      <c r="AE649" s="40" t="s">
        <v>1323</v>
      </c>
      <c r="AF649" s="39">
        <f>データ!K649</f>
        <v>38657</v>
      </c>
      <c r="AG649" s="40" t="s">
        <v>1024</v>
      </c>
      <c r="AH649" s="40" t="s">
        <v>1324</v>
      </c>
      <c r="AI649" s="39" t="str">
        <f>データ!L649</f>
        <v>魔幻の閃光／煌</v>
      </c>
      <c r="AJ649" s="10" t="s">
        <v>1113</v>
      </c>
      <c r="AK649" s="39" t="str">
        <f>データ!M649</f>
        <v>縦一列に攻撃[特大]</v>
      </c>
      <c r="AL649" s="10" t="s">
        <v>1024</v>
      </c>
      <c r="AM649" s="40" t="s">
        <v>1325</v>
      </c>
      <c r="AN649" s="39" t="str">
        <f>データ!N649</f>
        <v>-</v>
      </c>
      <c r="AO649" s="10" t="s">
        <v>1113</v>
      </c>
      <c r="AP649" s="39" t="str">
        <f>データ!O649</f>
        <v>　</v>
      </c>
      <c r="AQ649" s="41" t="s">
        <v>1024</v>
      </c>
      <c r="AR649" s="40" t="s">
        <v>1324</v>
      </c>
      <c r="AS649" s="39" t="str">
        <f>データ!P649</f>
        <v>ストリーム／絶</v>
      </c>
      <c r="AT649" s="10" t="s">
        <v>1113</v>
      </c>
      <c r="AU649" s="39" t="str">
        <f>データ!Q649</f>
        <v>パーティ全体の攻撃力・速度が大UP(3分間)</v>
      </c>
      <c r="AV649" s="10" t="s">
        <v>1024</v>
      </c>
      <c r="AW649" s="40" t="s">
        <v>1324</v>
      </c>
      <c r="AX649" s="39" t="str">
        <f>データ!R649</f>
        <v>ランページ／絶</v>
      </c>
      <c r="AY649" s="10" t="s">
        <v>1113</v>
      </c>
      <c r="AZ649" s="39" t="str">
        <f>データ!S649</f>
        <v>バトルで獲得する騎士団戦スコアが大アップ(3分間)</v>
      </c>
      <c r="BA649" s="41" t="s">
        <v>1024</v>
      </c>
      <c r="BB649" s="40" t="s">
        <v>1319</v>
      </c>
      <c r="BC649" s="39" t="str">
        <f>データ!T649</f>
        <v>-</v>
      </c>
      <c r="BD649" s="41" t="s">
        <v>1024</v>
      </c>
      <c r="BE649" s="40" t="s">
        <v>1320</v>
      </c>
      <c r="BF649" s="39" t="str">
        <f>データ!U649</f>
        <v>-</v>
      </c>
      <c r="BG649" s="41" t="s">
        <v>1024</v>
      </c>
      <c r="BH649" s="40" t="s">
        <v>1319</v>
      </c>
      <c r="BI649" s="39" t="str">
        <f>データ!V649</f>
        <v>ガチャイベ</v>
      </c>
      <c r="BJ649" s="41" t="s">
        <v>1024</v>
      </c>
      <c r="BK649" s="10" t="s">
        <v>1019</v>
      </c>
    </row>
    <row r="650" spans="1:63" x14ac:dyDescent="0.15">
      <c r="A650" s="10" t="s">
        <v>1016</v>
      </c>
      <c r="B650" s="10" t="s">
        <v>1454</v>
      </c>
      <c r="C650" s="38" t="str">
        <f>"./images/thumbnail/"&amp;データ!B650&amp;".jpg"</f>
        <v>./images/thumbnail/2057.jpg</v>
      </c>
      <c r="D650" s="38" t="s">
        <v>1455</v>
      </c>
      <c r="E650" s="38" t="str">
        <f>"./images/thumbnail/"&amp;データ!B650&amp;".jpg"</f>
        <v>./images/thumbnail/2057.jpg</v>
      </c>
      <c r="F650" s="38" t="s">
        <v>1116</v>
      </c>
      <c r="G650" s="38" t="s">
        <v>1319</v>
      </c>
      <c r="H650" s="38" t="str">
        <f>データ!C650</f>
        <v>メイリン</v>
      </c>
      <c r="I650" s="38" t="s">
        <v>1024</v>
      </c>
      <c r="J650" s="38" t="s">
        <v>1320</v>
      </c>
      <c r="K650" s="38" t="str">
        <f>データ!D650</f>
        <v>UR</v>
      </c>
      <c r="L650" s="38" t="s">
        <v>1024</v>
      </c>
      <c r="M650" s="38" t="s">
        <v>1321</v>
      </c>
      <c r="N650" s="38">
        <f>データ!E650</f>
        <v>15</v>
      </c>
      <c r="O650" s="38" t="s">
        <v>1024</v>
      </c>
      <c r="P650" s="38" t="s">
        <v>1319</v>
      </c>
      <c r="Q650" s="38" t="str">
        <f>データ!F650</f>
        <v>打</v>
      </c>
      <c r="R650" s="38" t="s">
        <v>1024</v>
      </c>
      <c r="S650" s="38" t="s">
        <v>1319</v>
      </c>
      <c r="T650" s="39">
        <f>データ!G650</f>
        <v>26875</v>
      </c>
      <c r="U650" s="40" t="s">
        <v>1024</v>
      </c>
      <c r="V650" s="40" t="s">
        <v>1319</v>
      </c>
      <c r="W650" s="39">
        <f>データ!H650</f>
        <v>7323</v>
      </c>
      <c r="X650" s="40" t="s">
        <v>1024</v>
      </c>
      <c r="Y650" s="40" t="s">
        <v>1319</v>
      </c>
      <c r="Z650" s="39">
        <f>データ!I650</f>
        <v>10411</v>
      </c>
      <c r="AA650" s="40" t="s">
        <v>1024</v>
      </c>
      <c r="AB650" s="40" t="s">
        <v>1322</v>
      </c>
      <c r="AC650" s="39" t="str">
        <f>データ!J650</f>
        <v>S</v>
      </c>
      <c r="AD650" s="38" t="s">
        <v>1024</v>
      </c>
      <c r="AE650" s="40" t="s">
        <v>1323</v>
      </c>
      <c r="AF650" s="39">
        <f>データ!K650</f>
        <v>44609</v>
      </c>
      <c r="AG650" s="40" t="s">
        <v>1024</v>
      </c>
      <c r="AH650" s="40" t="s">
        <v>1324</v>
      </c>
      <c r="AI650" s="39" t="str">
        <f>データ!L650</f>
        <v>幻光の交叉線／煌</v>
      </c>
      <c r="AJ650" s="10" t="s">
        <v>1113</v>
      </c>
      <c r="AK650" s="39" t="str">
        <f>データ!M650</f>
        <v>X字型に攻撃[特大]</v>
      </c>
      <c r="AL650" s="10" t="s">
        <v>1024</v>
      </c>
      <c r="AM650" s="40" t="s">
        <v>1325</v>
      </c>
      <c r="AN650" s="39" t="str">
        <f>データ!N650</f>
        <v>-</v>
      </c>
      <c r="AO650" s="10" t="s">
        <v>1113</v>
      </c>
      <c r="AP650" s="39" t="str">
        <f>データ!O650</f>
        <v>　</v>
      </c>
      <c r="AQ650" s="41" t="s">
        <v>1024</v>
      </c>
      <c r="AR650" s="40" t="s">
        <v>1324</v>
      </c>
      <c r="AS650" s="39" t="str">
        <f>データ!P650</f>
        <v>アサルト／煌</v>
      </c>
      <c r="AT650" s="10" t="s">
        <v>1113</v>
      </c>
      <c r="AU650" s="39" t="str">
        <f>データ!Q650</f>
        <v>パーティ全体の攻撃力が特大UP(3分間)</v>
      </c>
      <c r="AV650" s="10" t="s">
        <v>1024</v>
      </c>
      <c r="AW650" s="40" t="s">
        <v>1324</v>
      </c>
      <c r="AX650" s="39" t="str">
        <f>データ!R650</f>
        <v>フォートレスオーダー／真</v>
      </c>
      <c r="AY650" s="10" t="s">
        <v>1113</v>
      </c>
      <c r="AZ650" s="39" t="str">
        <f>データ!S650</f>
        <v>騎士団全体の防御力が中UP(3分間)</v>
      </c>
      <c r="BA650" s="41" t="s">
        <v>1024</v>
      </c>
      <c r="BB650" s="40" t="s">
        <v>1319</v>
      </c>
      <c r="BC650" s="39" t="str">
        <f>データ!T650</f>
        <v>-</v>
      </c>
      <c r="BD650" s="41" t="s">
        <v>1024</v>
      </c>
      <c r="BE650" s="40" t="s">
        <v>1320</v>
      </c>
      <c r="BF650" s="39" t="str">
        <f>データ!U650</f>
        <v>-</v>
      </c>
      <c r="BG650" s="41" t="s">
        <v>1024</v>
      </c>
      <c r="BH650" s="40" t="s">
        <v>1319</v>
      </c>
      <c r="BI650" s="39" t="str">
        <f>データ!V650</f>
        <v>ガチャイベ</v>
      </c>
      <c r="BJ650" s="41" t="s">
        <v>1024</v>
      </c>
      <c r="BK650" s="10" t="s">
        <v>1019</v>
      </c>
    </row>
    <row r="651" spans="1:63" x14ac:dyDescent="0.15">
      <c r="A651" s="10" t="s">
        <v>1016</v>
      </c>
      <c r="B651" s="10" t="s">
        <v>1454</v>
      </c>
      <c r="C651" s="38" t="str">
        <f>"./images/thumbnail/"&amp;データ!B651&amp;".jpg"</f>
        <v>./images/thumbnail/2058.jpg</v>
      </c>
      <c r="D651" s="38" t="s">
        <v>1455</v>
      </c>
      <c r="E651" s="38" t="str">
        <f>"./images/thumbnail/"&amp;データ!B651&amp;".jpg"</f>
        <v>./images/thumbnail/2058.jpg</v>
      </c>
      <c r="F651" s="38" t="s">
        <v>1116</v>
      </c>
      <c r="G651" s="38" t="s">
        <v>1319</v>
      </c>
      <c r="H651" s="38" t="str">
        <f>データ!C651</f>
        <v>キノ</v>
      </c>
      <c r="I651" s="38" t="s">
        <v>1024</v>
      </c>
      <c r="J651" s="38" t="s">
        <v>1320</v>
      </c>
      <c r="K651" s="38" t="str">
        <f>データ!D651</f>
        <v>UR</v>
      </c>
      <c r="L651" s="38" t="s">
        <v>1024</v>
      </c>
      <c r="M651" s="38" t="s">
        <v>1321</v>
      </c>
      <c r="N651" s="38">
        <f>データ!E651</f>
        <v>15</v>
      </c>
      <c r="O651" s="38" t="s">
        <v>1024</v>
      </c>
      <c r="P651" s="38" t="s">
        <v>1319</v>
      </c>
      <c r="Q651" s="38" t="str">
        <f>データ!F651</f>
        <v>遠</v>
      </c>
      <c r="R651" s="38" t="s">
        <v>1024</v>
      </c>
      <c r="S651" s="38" t="s">
        <v>1319</v>
      </c>
      <c r="T651" s="39">
        <f>データ!G651</f>
        <v>22964</v>
      </c>
      <c r="U651" s="40" t="s">
        <v>1024</v>
      </c>
      <c r="V651" s="40" t="s">
        <v>1319</v>
      </c>
      <c r="W651" s="39">
        <f>データ!H651</f>
        <v>7362</v>
      </c>
      <c r="X651" s="40" t="s">
        <v>1024</v>
      </c>
      <c r="Y651" s="40" t="s">
        <v>1319</v>
      </c>
      <c r="Z651" s="39">
        <f>データ!I651</f>
        <v>7227</v>
      </c>
      <c r="AA651" s="40" t="s">
        <v>1024</v>
      </c>
      <c r="AB651" s="40" t="s">
        <v>1322</v>
      </c>
      <c r="AC651" s="39" t="str">
        <f>データ!J651</f>
        <v>SS</v>
      </c>
      <c r="AD651" s="38" t="s">
        <v>1024</v>
      </c>
      <c r="AE651" s="40" t="s">
        <v>1323</v>
      </c>
      <c r="AF651" s="39">
        <f>データ!K651</f>
        <v>37553</v>
      </c>
      <c r="AG651" s="40" t="s">
        <v>1024</v>
      </c>
      <c r="AH651" s="40" t="s">
        <v>1324</v>
      </c>
      <c r="AI651" s="39" t="str">
        <f>データ!L651</f>
        <v>暗闇の言霊／煌</v>
      </c>
      <c r="AJ651" s="10" t="s">
        <v>1113</v>
      </c>
      <c r="AK651" s="39" t="str">
        <f>データ!M651</f>
        <v>一定確率で敵を暗闇状態にする[超高確率]</v>
      </c>
      <c r="AL651" s="10" t="s">
        <v>1024</v>
      </c>
      <c r="AM651" s="40" t="s">
        <v>1325</v>
      </c>
      <c r="AN651" s="39" t="str">
        <f>データ!N651</f>
        <v>-</v>
      </c>
      <c r="AO651" s="10" t="s">
        <v>1113</v>
      </c>
      <c r="AP651" s="39" t="str">
        <f>データ!O651</f>
        <v>　</v>
      </c>
      <c r="AQ651" s="41" t="s">
        <v>1024</v>
      </c>
      <c r="AR651" s="40" t="s">
        <v>1324</v>
      </c>
      <c r="AS651" s="39" t="str">
        <f>データ!P651</f>
        <v>スラッシャー／煌</v>
      </c>
      <c r="AT651" s="10" t="s">
        <v>1113</v>
      </c>
      <c r="AU651" s="39" t="str">
        <f>データ!Q651</f>
        <v>キリ番キャッスルブレイク時の獲得ポイント特大UP(3回)</v>
      </c>
      <c r="AV651" s="10" t="s">
        <v>1024</v>
      </c>
      <c r="AW651" s="40" t="s">
        <v>1324</v>
      </c>
      <c r="AX651" s="39" t="str">
        <f>データ!R651</f>
        <v>エッジノート／絶</v>
      </c>
      <c r="AY651" s="10" t="s">
        <v>1113</v>
      </c>
      <c r="AZ651" s="39" t="str">
        <f>データ!S651</f>
        <v>CB時に獲得ポイント大UP＆BPが大回復(3回)</v>
      </c>
      <c r="BA651" s="41" t="s">
        <v>1024</v>
      </c>
      <c r="BB651" s="40" t="s">
        <v>1319</v>
      </c>
      <c r="BC651" s="39" t="str">
        <f>データ!T651</f>
        <v>-</v>
      </c>
      <c r="BD651" s="41" t="s">
        <v>1024</v>
      </c>
      <c r="BE651" s="40" t="s">
        <v>1320</v>
      </c>
      <c r="BF651" s="39" t="str">
        <f>データ!U651</f>
        <v>-</v>
      </c>
      <c r="BG651" s="41" t="s">
        <v>1024</v>
      </c>
      <c r="BH651" s="40" t="s">
        <v>1319</v>
      </c>
      <c r="BI651" s="39" t="str">
        <f>データ!V651</f>
        <v>ポーカー</v>
      </c>
      <c r="BJ651" s="41" t="s">
        <v>1024</v>
      </c>
      <c r="BK651" s="10" t="s">
        <v>1019</v>
      </c>
    </row>
    <row r="652" spans="1:63" x14ac:dyDescent="0.15">
      <c r="A652" s="10" t="s">
        <v>1016</v>
      </c>
      <c r="B652" s="10" t="s">
        <v>1454</v>
      </c>
      <c r="C652" s="38" t="str">
        <f>"./images/thumbnail/"&amp;データ!B652&amp;".jpg"</f>
        <v>./images/thumbnail/2059.jpg</v>
      </c>
      <c r="D652" s="38" t="s">
        <v>1455</v>
      </c>
      <c r="E652" s="38" t="str">
        <f>"./images/thumbnail/"&amp;データ!B652&amp;".jpg"</f>
        <v>./images/thumbnail/2059.jpg</v>
      </c>
      <c r="F652" s="38" t="s">
        <v>1116</v>
      </c>
      <c r="G652" s="38" t="s">
        <v>1319</v>
      </c>
      <c r="H652" s="38" t="str">
        <f>データ!C652</f>
        <v>アスル</v>
      </c>
      <c r="I652" s="38" t="s">
        <v>1024</v>
      </c>
      <c r="J652" s="38" t="s">
        <v>1320</v>
      </c>
      <c r="K652" s="38" t="str">
        <f>データ!D652</f>
        <v>UR</v>
      </c>
      <c r="L652" s="38" t="s">
        <v>1024</v>
      </c>
      <c r="M652" s="38" t="s">
        <v>1321</v>
      </c>
      <c r="N652" s="38">
        <f>データ!E652</f>
        <v>15</v>
      </c>
      <c r="O652" s="38" t="s">
        <v>1024</v>
      </c>
      <c r="P652" s="38" t="s">
        <v>1319</v>
      </c>
      <c r="Q652" s="38" t="str">
        <f>データ!F652</f>
        <v>遠</v>
      </c>
      <c r="R652" s="38" t="s">
        <v>1024</v>
      </c>
      <c r="S652" s="38" t="s">
        <v>1319</v>
      </c>
      <c r="T652" s="39">
        <f>データ!G652</f>
        <v>27019</v>
      </c>
      <c r="U652" s="40" t="s">
        <v>1024</v>
      </c>
      <c r="V652" s="40" t="s">
        <v>1319</v>
      </c>
      <c r="W652" s="39">
        <f>データ!H652</f>
        <v>8319</v>
      </c>
      <c r="X652" s="40" t="s">
        <v>1024</v>
      </c>
      <c r="Y652" s="40" t="s">
        <v>1319</v>
      </c>
      <c r="Z652" s="39">
        <f>データ!I652</f>
        <v>7843</v>
      </c>
      <c r="AA652" s="40" t="s">
        <v>1024</v>
      </c>
      <c r="AB652" s="40" t="s">
        <v>1322</v>
      </c>
      <c r="AC652" s="39" t="str">
        <f>データ!J652</f>
        <v>SS</v>
      </c>
      <c r="AD652" s="38" t="s">
        <v>1024</v>
      </c>
      <c r="AE652" s="40" t="s">
        <v>1323</v>
      </c>
      <c r="AF652" s="39">
        <f>データ!K652</f>
        <v>43181</v>
      </c>
      <c r="AG652" s="40" t="s">
        <v>1024</v>
      </c>
      <c r="AH652" s="40" t="s">
        <v>1324</v>
      </c>
      <c r="AI652" s="39" t="str">
        <f>データ!L652</f>
        <v>灼</v>
      </c>
      <c r="AJ652" s="10" t="s">
        <v>1113</v>
      </c>
      <c r="AK652" s="39" t="str">
        <f>データ!M652</f>
        <v>敵全体に攻撃[極大]</v>
      </c>
      <c r="AL652" s="10" t="s">
        <v>1024</v>
      </c>
      <c r="AM652" s="40" t="s">
        <v>1325</v>
      </c>
      <c r="AN652" s="39" t="str">
        <f>データ!N652</f>
        <v>灼獄</v>
      </c>
      <c r="AO652" s="10" t="s">
        <v>1113</v>
      </c>
      <c r="AP652" s="39" t="str">
        <f>データ!O652</f>
        <v>敵全体攻撃[極大]ランダムで状態異常付加</v>
      </c>
      <c r="AQ652" s="41" t="s">
        <v>1024</v>
      </c>
      <c r="AR652" s="40" t="s">
        <v>1324</v>
      </c>
      <c r="AS652" s="39" t="str">
        <f>データ!P652</f>
        <v>ランページ／煌</v>
      </c>
      <c r="AT652" s="10" t="s">
        <v>1113</v>
      </c>
      <c r="AU652" s="39" t="str">
        <f>データ!Q652</f>
        <v>バトルで獲得する騎士団戦スコアが特大アップ(3分間)</v>
      </c>
      <c r="AV652" s="10" t="s">
        <v>1024</v>
      </c>
      <c r="AW652" s="40" t="s">
        <v>1324</v>
      </c>
      <c r="AX652" s="39" t="str">
        <f>データ!R652</f>
        <v>アサルトオーダー／真</v>
      </c>
      <c r="AY652" s="10" t="s">
        <v>1113</v>
      </c>
      <c r="AZ652" s="39" t="str">
        <f>データ!S652</f>
        <v>騎士団全体の攻撃力が中UP(3分間)</v>
      </c>
      <c r="BA652" s="41" t="s">
        <v>1024</v>
      </c>
      <c r="BB652" s="40" t="s">
        <v>1319</v>
      </c>
      <c r="BC652" s="39" t="str">
        <f>データ!T652</f>
        <v>-</v>
      </c>
      <c r="BD652" s="41" t="s">
        <v>1024</v>
      </c>
      <c r="BE652" s="40" t="s">
        <v>1320</v>
      </c>
      <c r="BF652" s="39" t="str">
        <f>データ!U652</f>
        <v>-</v>
      </c>
      <c r="BG652" s="41" t="s">
        <v>1024</v>
      </c>
      <c r="BH652" s="40" t="s">
        <v>1319</v>
      </c>
      <c r="BI652" s="39" t="str">
        <f>データ!V652</f>
        <v>ガチャイベ</v>
      </c>
      <c r="BJ652" s="41" t="s">
        <v>1024</v>
      </c>
      <c r="BK652" s="10" t="s">
        <v>1019</v>
      </c>
    </row>
    <row r="653" spans="1:63" x14ac:dyDescent="0.15">
      <c r="A653" s="10" t="s">
        <v>1016</v>
      </c>
      <c r="B653" s="10" t="s">
        <v>1454</v>
      </c>
      <c r="C653" s="38" t="str">
        <f>"./images/thumbnail/"&amp;データ!B653&amp;".jpg"</f>
        <v>./images/thumbnail/2060.jpg</v>
      </c>
      <c r="D653" s="38" t="s">
        <v>1455</v>
      </c>
      <c r="E653" s="38" t="str">
        <f>"./images/thumbnail/"&amp;データ!B653&amp;".jpg"</f>
        <v>./images/thumbnail/2060.jpg</v>
      </c>
      <c r="F653" s="38" t="s">
        <v>1116</v>
      </c>
      <c r="G653" s="38" t="s">
        <v>1319</v>
      </c>
      <c r="H653" s="38" t="str">
        <f>データ!C653</f>
        <v>ヴォール</v>
      </c>
      <c r="I653" s="38" t="s">
        <v>1024</v>
      </c>
      <c r="J653" s="38" t="s">
        <v>1320</v>
      </c>
      <c r="K653" s="38" t="str">
        <f>データ!D653</f>
        <v>UR</v>
      </c>
      <c r="L653" s="38" t="s">
        <v>1024</v>
      </c>
      <c r="M653" s="38" t="s">
        <v>1321</v>
      </c>
      <c r="N653" s="38">
        <f>データ!E653</f>
        <v>15</v>
      </c>
      <c r="O653" s="38" t="s">
        <v>1024</v>
      </c>
      <c r="P653" s="38" t="s">
        <v>1319</v>
      </c>
      <c r="Q653" s="38" t="str">
        <f>データ!F653</f>
        <v>斬</v>
      </c>
      <c r="R653" s="38" t="s">
        <v>1024</v>
      </c>
      <c r="S653" s="38" t="s">
        <v>1319</v>
      </c>
      <c r="T653" s="39">
        <f>データ!G653</f>
        <v>21064</v>
      </c>
      <c r="U653" s="40" t="s">
        <v>1024</v>
      </c>
      <c r="V653" s="40" t="s">
        <v>1319</v>
      </c>
      <c r="W653" s="39">
        <f>データ!H653</f>
        <v>9292</v>
      </c>
      <c r="X653" s="40" t="s">
        <v>1024</v>
      </c>
      <c r="Y653" s="40" t="s">
        <v>1319</v>
      </c>
      <c r="Z653" s="39">
        <f>データ!I653</f>
        <v>7356</v>
      </c>
      <c r="AA653" s="40" t="s">
        <v>1024</v>
      </c>
      <c r="AB653" s="40" t="s">
        <v>1322</v>
      </c>
      <c r="AC653" s="39" t="str">
        <f>データ!J653</f>
        <v>SS-</v>
      </c>
      <c r="AD653" s="38" t="s">
        <v>1024</v>
      </c>
      <c r="AE653" s="40" t="s">
        <v>1323</v>
      </c>
      <c r="AF653" s="39">
        <f>データ!K653</f>
        <v>37712</v>
      </c>
      <c r="AG653" s="40" t="s">
        <v>1024</v>
      </c>
      <c r="AH653" s="40" t="s">
        <v>1324</v>
      </c>
      <c r="AI653" s="39" t="str">
        <f>データ!L653</f>
        <v>焔幻の一閃／煌</v>
      </c>
      <c r="AJ653" s="10" t="s">
        <v>1113</v>
      </c>
      <c r="AK653" s="39" t="str">
        <f>データ!M653</f>
        <v>横一列に攻撃[特大]</v>
      </c>
      <c r="AL653" s="38" t="s">
        <v>1024</v>
      </c>
      <c r="AM653" s="40" t="s">
        <v>1325</v>
      </c>
      <c r="AN653" s="39" t="str">
        <f>データ!N653</f>
        <v>-</v>
      </c>
      <c r="AO653" s="10" t="s">
        <v>1113</v>
      </c>
      <c r="AP653" s="39" t="str">
        <f>データ!O653</f>
        <v>　</v>
      </c>
      <c r="AQ653" s="41" t="s">
        <v>1024</v>
      </c>
      <c r="AR653" s="40" t="s">
        <v>1324</v>
      </c>
      <c r="AS653" s="39" t="str">
        <f>データ!P653</f>
        <v>ブリッツ／真</v>
      </c>
      <c r="AT653" s="10" t="s">
        <v>1113</v>
      </c>
      <c r="AU653" s="39" t="str">
        <f>データ!Q653</f>
        <v>強襲CBの発生確率・強襲時獲得ポイント中UP(3分間)</v>
      </c>
      <c r="AV653" s="10" t="s">
        <v>1024</v>
      </c>
      <c r="AW653" s="40" t="s">
        <v>1324</v>
      </c>
      <c r="AX653" s="39" t="str">
        <f>データ!R653</f>
        <v>アサルト／絶</v>
      </c>
      <c r="AY653" s="10" t="s">
        <v>1113</v>
      </c>
      <c r="AZ653" s="39" t="str">
        <f>データ!S653</f>
        <v>パーティ全体の攻撃力が大UP(3分間)</v>
      </c>
      <c r="BA653" s="41" t="s">
        <v>1024</v>
      </c>
      <c r="BB653" s="40" t="s">
        <v>1319</v>
      </c>
      <c r="BC653" s="39" t="str">
        <f>データ!T653</f>
        <v>-</v>
      </c>
      <c r="BD653" s="41" t="s">
        <v>1024</v>
      </c>
      <c r="BE653" s="40" t="s">
        <v>1320</v>
      </c>
      <c r="BF653" s="39" t="str">
        <f>データ!U653</f>
        <v>-</v>
      </c>
      <c r="BG653" s="41" t="s">
        <v>1024</v>
      </c>
      <c r="BH653" s="40" t="s">
        <v>1319</v>
      </c>
      <c r="BI653" s="39" t="str">
        <f>データ!V653</f>
        <v>イリュミナシオン</v>
      </c>
      <c r="BJ653" s="41" t="s">
        <v>1024</v>
      </c>
      <c r="BK653" s="10" t="s">
        <v>1019</v>
      </c>
    </row>
    <row r="654" spans="1:63" x14ac:dyDescent="0.15">
      <c r="A654" s="10" t="s">
        <v>1016</v>
      </c>
      <c r="B654" s="10" t="s">
        <v>1454</v>
      </c>
      <c r="C654" s="38" t="str">
        <f>"./images/thumbnail/"&amp;データ!B654&amp;".jpg"</f>
        <v>./images/thumbnail/2062.jpg</v>
      </c>
      <c r="D654" s="38" t="s">
        <v>1455</v>
      </c>
      <c r="E654" s="38" t="str">
        <f>"./images/thumbnail/"&amp;データ!B654&amp;".jpg"</f>
        <v>./images/thumbnail/2062.jpg</v>
      </c>
      <c r="F654" s="38" t="s">
        <v>1116</v>
      </c>
      <c r="G654" s="38" t="s">
        <v>1319</v>
      </c>
      <c r="H654" s="38" t="str">
        <f>データ!C654</f>
        <v>ショーン</v>
      </c>
      <c r="I654" s="38" t="s">
        <v>1024</v>
      </c>
      <c r="J654" s="38" t="s">
        <v>1320</v>
      </c>
      <c r="K654" s="38" t="str">
        <f>データ!D654</f>
        <v>UR</v>
      </c>
      <c r="L654" s="38" t="s">
        <v>1024</v>
      </c>
      <c r="M654" s="38" t="s">
        <v>1321</v>
      </c>
      <c r="N654" s="38">
        <f>データ!E654</f>
        <v>14</v>
      </c>
      <c r="O654" s="38" t="s">
        <v>1024</v>
      </c>
      <c r="P654" s="38" t="s">
        <v>1319</v>
      </c>
      <c r="Q654" s="38" t="str">
        <f>データ!F654</f>
        <v>斬</v>
      </c>
      <c r="R654" s="38" t="s">
        <v>1024</v>
      </c>
      <c r="S654" s="38" t="s">
        <v>1319</v>
      </c>
      <c r="T654" s="39">
        <f>データ!G654</f>
        <v>18199</v>
      </c>
      <c r="U654" s="40" t="s">
        <v>1024</v>
      </c>
      <c r="V654" s="40" t="s">
        <v>1319</v>
      </c>
      <c r="W654" s="39">
        <f>データ!H654</f>
        <v>8574</v>
      </c>
      <c r="X654" s="40" t="s">
        <v>1024</v>
      </c>
      <c r="Y654" s="40" t="s">
        <v>1319</v>
      </c>
      <c r="Z654" s="39">
        <f>データ!I654</f>
        <v>6793</v>
      </c>
      <c r="AA654" s="40" t="s">
        <v>1024</v>
      </c>
      <c r="AB654" s="40" t="s">
        <v>1322</v>
      </c>
      <c r="AC654" s="39" t="str">
        <f>データ!J654</f>
        <v>S</v>
      </c>
      <c r="AD654" s="38" t="s">
        <v>1024</v>
      </c>
      <c r="AE654" s="40" t="s">
        <v>1323</v>
      </c>
      <c r="AF654" s="39">
        <f>データ!K654</f>
        <v>33566</v>
      </c>
      <c r="AG654" s="40" t="s">
        <v>1024</v>
      </c>
      <c r="AH654" s="40" t="s">
        <v>1324</v>
      </c>
      <c r="AI654" s="39" t="str">
        <f>データ!L654</f>
        <v>斬紅の神護</v>
      </c>
      <c r="AJ654" s="10" t="s">
        <v>1113</v>
      </c>
      <c r="AK654" s="39" t="str">
        <f>データ!M654</f>
        <v>味方斬属性の防御力をUP[特大]</v>
      </c>
      <c r="AL654" s="10" t="s">
        <v>1024</v>
      </c>
      <c r="AM654" s="40" t="s">
        <v>1325</v>
      </c>
      <c r="AN654" s="39" t="str">
        <f>データ!N654</f>
        <v>-</v>
      </c>
      <c r="AO654" s="10" t="s">
        <v>1113</v>
      </c>
      <c r="AP654" s="39" t="str">
        <f>データ!O654</f>
        <v>　</v>
      </c>
      <c r="AQ654" s="41" t="s">
        <v>1024</v>
      </c>
      <c r="AR654" s="40" t="s">
        <v>1324</v>
      </c>
      <c r="AS654" s="39" t="str">
        <f>データ!P654</f>
        <v>メナス／真</v>
      </c>
      <c r="AT654" s="10" t="s">
        <v>1113</v>
      </c>
      <c r="AU654" s="39" t="str">
        <f>データ!Q654</f>
        <v>対戦騎士団全体の防御力が中DOWN(3分間)</v>
      </c>
      <c r="AV654" s="43" t="s">
        <v>1024</v>
      </c>
      <c r="AW654" s="40" t="s">
        <v>1324</v>
      </c>
      <c r="AX654" s="39" t="str">
        <f>データ!R654</f>
        <v>-</v>
      </c>
      <c r="AY654" s="10" t="s">
        <v>1113</v>
      </c>
      <c r="AZ654" s="39" t="str">
        <f>データ!S654</f>
        <v>　</v>
      </c>
      <c r="BA654" s="41" t="s">
        <v>1024</v>
      </c>
      <c r="BB654" s="40" t="s">
        <v>1319</v>
      </c>
      <c r="BC654" s="39" t="str">
        <f>データ!T654</f>
        <v>-</v>
      </c>
      <c r="BD654" s="41" t="s">
        <v>1024</v>
      </c>
      <c r="BE654" s="40" t="s">
        <v>1320</v>
      </c>
      <c r="BF654" s="39" t="str">
        <f>データ!U654</f>
        <v>-</v>
      </c>
      <c r="BG654" s="41" t="s">
        <v>1024</v>
      </c>
      <c r="BH654" s="40" t="s">
        <v>1319</v>
      </c>
      <c r="BI654" s="39" t="str">
        <f>データ!V654</f>
        <v>常設</v>
      </c>
      <c r="BJ654" s="41" t="s">
        <v>1024</v>
      </c>
      <c r="BK654" s="10" t="s">
        <v>1019</v>
      </c>
    </row>
    <row r="655" spans="1:63" x14ac:dyDescent="0.15">
      <c r="A655" s="10" t="s">
        <v>1016</v>
      </c>
      <c r="B655" s="10" t="s">
        <v>1454</v>
      </c>
      <c r="C655" s="38" t="str">
        <f>"./images/thumbnail/"&amp;データ!B655&amp;".jpg"</f>
        <v>./images/thumbnail/2064.jpg</v>
      </c>
      <c r="D655" s="38" t="s">
        <v>1455</v>
      </c>
      <c r="E655" s="38" t="str">
        <f>"./images/thumbnail/"&amp;データ!B655&amp;".jpg"</f>
        <v>./images/thumbnail/2064.jpg</v>
      </c>
      <c r="F655" s="38" t="s">
        <v>1116</v>
      </c>
      <c r="G655" s="38" t="s">
        <v>1319</v>
      </c>
      <c r="H655" s="38" t="str">
        <f>データ!C655</f>
        <v>フレーゲル</v>
      </c>
      <c r="I655" s="38" t="s">
        <v>1024</v>
      </c>
      <c r="J655" s="38" t="s">
        <v>1320</v>
      </c>
      <c r="K655" s="38" t="str">
        <f>データ!D655</f>
        <v>UR</v>
      </c>
      <c r="L655" s="38" t="s">
        <v>1024</v>
      </c>
      <c r="M655" s="38" t="s">
        <v>1321</v>
      </c>
      <c r="N655" s="38">
        <f>データ!E655</f>
        <v>15</v>
      </c>
      <c r="O655" s="38" t="s">
        <v>1024</v>
      </c>
      <c r="P655" s="38" t="s">
        <v>1319</v>
      </c>
      <c r="Q655" s="38" t="str">
        <f>データ!F655</f>
        <v>突</v>
      </c>
      <c r="R655" s="38" t="s">
        <v>1024</v>
      </c>
      <c r="S655" s="38" t="s">
        <v>1319</v>
      </c>
      <c r="T655" s="39">
        <f>データ!G655</f>
        <v>22799</v>
      </c>
      <c r="U655" s="40" t="s">
        <v>1024</v>
      </c>
      <c r="V655" s="40" t="s">
        <v>1319</v>
      </c>
      <c r="W655" s="39">
        <f>データ!H655</f>
        <v>6404</v>
      </c>
      <c r="X655" s="40" t="s">
        <v>1024</v>
      </c>
      <c r="Y655" s="40" t="s">
        <v>1319</v>
      </c>
      <c r="Z655" s="39">
        <f>データ!I655</f>
        <v>8406</v>
      </c>
      <c r="AA655" s="40" t="s">
        <v>1024</v>
      </c>
      <c r="AB655" s="40" t="s">
        <v>1322</v>
      </c>
      <c r="AC655" s="39" t="str">
        <f>データ!J655</f>
        <v>SS2</v>
      </c>
      <c r="AD655" s="38" t="s">
        <v>1024</v>
      </c>
      <c r="AE655" s="40" t="s">
        <v>1323</v>
      </c>
      <c r="AF655" s="39">
        <f>データ!K655</f>
        <v>37609</v>
      </c>
      <c r="AG655" s="40" t="s">
        <v>1024</v>
      </c>
      <c r="AH655" s="40" t="s">
        <v>1324</v>
      </c>
      <c r="AI655" s="39" t="str">
        <f>データ!L655</f>
        <v>孤撃の言霊／煌</v>
      </c>
      <c r="AJ655" s="10" t="s">
        <v>1113</v>
      </c>
      <c r="AK655" s="39" t="str">
        <f>データ!M655</f>
        <v>一定確率で敵を範囲不可にする[超高確率]</v>
      </c>
      <c r="AL655" s="38" t="s">
        <v>1024</v>
      </c>
      <c r="AM655" s="40" t="s">
        <v>1325</v>
      </c>
      <c r="AN655" s="39" t="str">
        <f>データ!N655</f>
        <v>-</v>
      </c>
      <c r="AO655" s="10" t="s">
        <v>1113</v>
      </c>
      <c r="AP655" s="39" t="str">
        <f>データ!O655</f>
        <v>　</v>
      </c>
      <c r="AQ655" s="41" t="s">
        <v>1024</v>
      </c>
      <c r="AR655" s="40" t="s">
        <v>1324</v>
      </c>
      <c r="AS655" s="39" t="str">
        <f>データ!P655</f>
        <v>レクトノート／絶</v>
      </c>
      <c r="AT655" s="10" t="s">
        <v>1113</v>
      </c>
      <c r="AU655" s="39" t="str">
        <f>データ!Q655</f>
        <v>バトルで敵を全滅するとBPが大回復(3分間)</v>
      </c>
      <c r="AV655" s="10" t="s">
        <v>1024</v>
      </c>
      <c r="AW655" s="40" t="s">
        <v>1324</v>
      </c>
      <c r="AX655" s="39" t="str">
        <f>データ!R655</f>
        <v>キャッスルヴェール／真</v>
      </c>
      <c r="AY655" s="10" t="s">
        <v>1113</v>
      </c>
      <c r="AZ655" s="39" t="str">
        <f>データ!S655</f>
        <v>城の強度Lvが中UP(3分間)</v>
      </c>
      <c r="BA655" s="41" t="s">
        <v>1024</v>
      </c>
      <c r="BB655" s="40" t="s">
        <v>1319</v>
      </c>
      <c r="BC655" s="39" t="str">
        <f>データ!T655</f>
        <v>-</v>
      </c>
      <c r="BD655" s="41" t="s">
        <v>1024</v>
      </c>
      <c r="BE655" s="40" t="s">
        <v>1320</v>
      </c>
      <c r="BF655" s="39" t="str">
        <f>データ!U655</f>
        <v>-</v>
      </c>
      <c r="BG655" s="41" t="s">
        <v>1024</v>
      </c>
      <c r="BH655" s="40" t="s">
        <v>1319</v>
      </c>
      <c r="BI655" s="39" t="str">
        <f>データ!V655</f>
        <v>常設</v>
      </c>
      <c r="BJ655" s="41" t="s">
        <v>1024</v>
      </c>
      <c r="BK655" s="10" t="s">
        <v>1019</v>
      </c>
    </row>
    <row r="656" spans="1:63" x14ac:dyDescent="0.15">
      <c r="A656" s="10" t="s">
        <v>1016</v>
      </c>
      <c r="B656" s="10" t="s">
        <v>1454</v>
      </c>
      <c r="C656" s="38" t="str">
        <f>"./images/thumbnail/"&amp;データ!B656&amp;".jpg"</f>
        <v>./images/thumbnail/2066.jpg</v>
      </c>
      <c r="D656" s="38" t="s">
        <v>1455</v>
      </c>
      <c r="E656" s="38" t="str">
        <f>"./images/thumbnail/"&amp;データ!B656&amp;".jpg"</f>
        <v>./images/thumbnail/2066.jpg</v>
      </c>
      <c r="F656" s="38" t="s">
        <v>1116</v>
      </c>
      <c r="G656" s="38" t="s">
        <v>1319</v>
      </c>
      <c r="H656" s="38" t="str">
        <f>データ!C656</f>
        <v>カリーネ</v>
      </c>
      <c r="I656" s="38" t="s">
        <v>1024</v>
      </c>
      <c r="J656" s="38" t="s">
        <v>1320</v>
      </c>
      <c r="K656" s="38" t="str">
        <f>データ!D656</f>
        <v>UR</v>
      </c>
      <c r="L656" s="38" t="s">
        <v>1024</v>
      </c>
      <c r="M656" s="38" t="s">
        <v>1321</v>
      </c>
      <c r="N656" s="38">
        <f>データ!E656</f>
        <v>15</v>
      </c>
      <c r="O656" s="38" t="s">
        <v>1024</v>
      </c>
      <c r="P656" s="38" t="s">
        <v>1319</v>
      </c>
      <c r="Q656" s="38" t="str">
        <f>データ!F656</f>
        <v>打</v>
      </c>
      <c r="R656" s="38" t="s">
        <v>1024</v>
      </c>
      <c r="S656" s="38" t="s">
        <v>1319</v>
      </c>
      <c r="T656" s="39">
        <f>データ!G656</f>
        <v>28466</v>
      </c>
      <c r="U656" s="40" t="s">
        <v>1024</v>
      </c>
      <c r="V656" s="40" t="s">
        <v>1319</v>
      </c>
      <c r="W656" s="39">
        <f>データ!H656</f>
        <v>7551</v>
      </c>
      <c r="X656" s="40" t="s">
        <v>1024</v>
      </c>
      <c r="Y656" s="40" t="s">
        <v>1319</v>
      </c>
      <c r="Z656" s="39">
        <f>データ!I656</f>
        <v>10675</v>
      </c>
      <c r="AA656" s="38" t="s">
        <v>1024</v>
      </c>
      <c r="AB656" s="40" t="s">
        <v>1322</v>
      </c>
      <c r="AC656" s="39" t="str">
        <f>データ!J656</f>
        <v>S</v>
      </c>
      <c r="AD656" s="38" t="s">
        <v>1024</v>
      </c>
      <c r="AE656" s="40" t="s">
        <v>1323</v>
      </c>
      <c r="AF656" s="39">
        <f>データ!K656</f>
        <v>46692</v>
      </c>
      <c r="AG656" s="40" t="s">
        <v>1024</v>
      </c>
      <c r="AH656" s="40" t="s">
        <v>1324</v>
      </c>
      <c r="AI656" s="39" t="str">
        <f>データ!L656</f>
        <v>天魔幻の閃光／煌</v>
      </c>
      <c r="AJ656" s="10" t="s">
        <v>1113</v>
      </c>
      <c r="AK656" s="39" t="str">
        <f>データ!M656</f>
        <v>縦一列攻撃[特大]自分の攻撃力UP[特大]</v>
      </c>
      <c r="AL656" s="10" t="s">
        <v>1024</v>
      </c>
      <c r="AM656" s="40" t="s">
        <v>1325</v>
      </c>
      <c r="AN656" s="39" t="str">
        <f>データ!N656</f>
        <v>-</v>
      </c>
      <c r="AO656" s="10" t="s">
        <v>1113</v>
      </c>
      <c r="AP656" s="39" t="str">
        <f>データ!O656</f>
        <v>　</v>
      </c>
      <c r="AQ656" s="41" t="s">
        <v>1024</v>
      </c>
      <c r="AR656" s="40" t="s">
        <v>1324</v>
      </c>
      <c r="AS656" s="39" t="str">
        <f>データ!P656</f>
        <v>グラビティアサルト／煌</v>
      </c>
      <c r="AT656" s="10" t="s">
        <v>1113</v>
      </c>
      <c r="AU656" s="39" t="str">
        <f>データ!Q656</f>
        <v>パーティ全体の攻撃力特大UP・速度大DOWN(3分間)</v>
      </c>
      <c r="AV656" s="10" t="s">
        <v>1024</v>
      </c>
      <c r="AW656" s="40" t="s">
        <v>1324</v>
      </c>
      <c r="AX656" s="39" t="str">
        <f>データ!R656</f>
        <v>ブリッツ</v>
      </c>
      <c r="AY656" s="10" t="s">
        <v>1113</v>
      </c>
      <c r="AZ656" s="39" t="str">
        <f>データ!S656</f>
        <v>強襲CBの発生確率・強襲時獲得ポイントUP(3分間)</v>
      </c>
      <c r="BA656" s="41" t="s">
        <v>1024</v>
      </c>
      <c r="BB656" s="40" t="s">
        <v>1319</v>
      </c>
      <c r="BC656" s="39" t="str">
        <f>データ!T656</f>
        <v>-</v>
      </c>
      <c r="BD656" s="41" t="s">
        <v>1024</v>
      </c>
      <c r="BE656" s="40" t="s">
        <v>1320</v>
      </c>
      <c r="BF656" s="39" t="str">
        <f>データ!U656</f>
        <v>-</v>
      </c>
      <c r="BG656" s="41" t="s">
        <v>1024</v>
      </c>
      <c r="BH656" s="40" t="s">
        <v>1319</v>
      </c>
      <c r="BI656" s="39" t="str">
        <f>データ!V656</f>
        <v>ガチャイベ</v>
      </c>
      <c r="BJ656" s="41" t="s">
        <v>1024</v>
      </c>
      <c r="BK656" s="10" t="s">
        <v>1019</v>
      </c>
    </row>
    <row r="657" spans="1:63" x14ac:dyDescent="0.15">
      <c r="A657" s="10" t="s">
        <v>1016</v>
      </c>
      <c r="B657" s="10" t="s">
        <v>1454</v>
      </c>
      <c r="C657" s="38" t="str">
        <f>"./images/thumbnail/"&amp;データ!B657&amp;".jpg"</f>
        <v>./images/thumbnail/2068.jpg</v>
      </c>
      <c r="D657" s="38" t="s">
        <v>1455</v>
      </c>
      <c r="E657" s="38" t="str">
        <f>"./images/thumbnail/"&amp;データ!B657&amp;".jpg"</f>
        <v>./images/thumbnail/2068.jpg</v>
      </c>
      <c r="F657" s="38" t="s">
        <v>1116</v>
      </c>
      <c r="G657" s="38" t="s">
        <v>1319</v>
      </c>
      <c r="H657" s="38" t="str">
        <f>データ!C657</f>
        <v>ヴェラ</v>
      </c>
      <c r="I657" s="38" t="s">
        <v>1024</v>
      </c>
      <c r="J657" s="38" t="s">
        <v>1320</v>
      </c>
      <c r="K657" s="38" t="str">
        <f>データ!D657</f>
        <v>UR</v>
      </c>
      <c r="L657" s="38" t="s">
        <v>1024</v>
      </c>
      <c r="M657" s="38" t="s">
        <v>1321</v>
      </c>
      <c r="N657" s="38">
        <f>データ!E657</f>
        <v>15</v>
      </c>
      <c r="O657" s="38" t="s">
        <v>1024</v>
      </c>
      <c r="P657" s="38" t="s">
        <v>1319</v>
      </c>
      <c r="Q657" s="38" t="str">
        <f>データ!F657</f>
        <v>遠</v>
      </c>
      <c r="R657" s="38" t="s">
        <v>1024</v>
      </c>
      <c r="S657" s="38" t="s">
        <v>1319</v>
      </c>
      <c r="T657" s="39">
        <f>データ!G657</f>
        <v>22618</v>
      </c>
      <c r="U657" s="40" t="s">
        <v>1024</v>
      </c>
      <c r="V657" s="40" t="s">
        <v>1319</v>
      </c>
      <c r="W657" s="39">
        <f>データ!H657</f>
        <v>7372</v>
      </c>
      <c r="X657" s="40" t="s">
        <v>1024</v>
      </c>
      <c r="Y657" s="40" t="s">
        <v>1319</v>
      </c>
      <c r="Z657" s="39">
        <f>データ!I657</f>
        <v>7342</v>
      </c>
      <c r="AA657" s="40" t="s">
        <v>1024</v>
      </c>
      <c r="AB657" s="40" t="s">
        <v>1322</v>
      </c>
      <c r="AC657" s="39" t="str">
        <f>データ!J657</f>
        <v>SS</v>
      </c>
      <c r="AD657" s="38" t="s">
        <v>1024</v>
      </c>
      <c r="AE657" s="40" t="s">
        <v>1323</v>
      </c>
      <c r="AF657" s="39">
        <f>データ!K657</f>
        <v>37332</v>
      </c>
      <c r="AG657" s="40" t="s">
        <v>1024</v>
      </c>
      <c r="AH657" s="40" t="s">
        <v>1324</v>
      </c>
      <c r="AI657" s="39" t="str">
        <f>データ!L657</f>
        <v>遠翠の天威</v>
      </c>
      <c r="AJ657" s="10" t="s">
        <v>1113</v>
      </c>
      <c r="AK657" s="39" t="str">
        <f>データ!M657</f>
        <v>味方遠属性の攻撃力をUP[極大]</v>
      </c>
      <c r="AL657" s="38" t="s">
        <v>1024</v>
      </c>
      <c r="AM657" s="40" t="s">
        <v>1325</v>
      </c>
      <c r="AN657" s="39" t="str">
        <f>データ!N657</f>
        <v>-</v>
      </c>
      <c r="AO657" s="10" t="s">
        <v>1113</v>
      </c>
      <c r="AP657" s="39" t="str">
        <f>データ!O657</f>
        <v>　</v>
      </c>
      <c r="AQ657" s="41" t="s">
        <v>1024</v>
      </c>
      <c r="AR657" s="40" t="s">
        <v>1324</v>
      </c>
      <c r="AS657" s="39" t="str">
        <f>データ!P657</f>
        <v>フォースオブウィッシュ／絶</v>
      </c>
      <c r="AT657" s="10" t="s">
        <v>1113</v>
      </c>
      <c r="AU657" s="39" t="str">
        <f>データ!Q657</f>
        <v>騎士団全員のBPを大回復</v>
      </c>
      <c r="AV657" s="10" t="s">
        <v>1024</v>
      </c>
      <c r="AW657" s="40" t="s">
        <v>1324</v>
      </c>
      <c r="AX657" s="39" t="str">
        <f>データ!R657</f>
        <v>オラクル／絶</v>
      </c>
      <c r="AY657" s="10" t="s">
        <v>1113</v>
      </c>
      <c r="AZ657" s="39" t="str">
        <f>データ!S657</f>
        <v>パーティ全体のスキル発動率が大UP(3分間)</v>
      </c>
      <c r="BA657" s="41" t="s">
        <v>1024</v>
      </c>
      <c r="BB657" s="40" t="s">
        <v>1319</v>
      </c>
      <c r="BC657" s="39" t="str">
        <f>データ!T657</f>
        <v>-</v>
      </c>
      <c r="BD657" s="41" t="s">
        <v>1024</v>
      </c>
      <c r="BE657" s="40" t="s">
        <v>1320</v>
      </c>
      <c r="BF657" s="39" t="str">
        <f>データ!U657</f>
        <v>-</v>
      </c>
      <c r="BG657" s="41" t="s">
        <v>1024</v>
      </c>
      <c r="BH657" s="40" t="s">
        <v>1319</v>
      </c>
      <c r="BI657" s="39" t="str">
        <f>データ!V657</f>
        <v>ガチャイベ</v>
      </c>
      <c r="BJ657" s="41" t="s">
        <v>1024</v>
      </c>
      <c r="BK657" s="10" t="s">
        <v>1019</v>
      </c>
    </row>
    <row r="658" spans="1:63" x14ac:dyDescent="0.15">
      <c r="A658" s="10" t="s">
        <v>1016</v>
      </c>
      <c r="B658" s="10" t="s">
        <v>1454</v>
      </c>
      <c r="C658" s="38" t="str">
        <f>"./images/thumbnail/"&amp;データ!B658&amp;".jpg"</f>
        <v>./images/thumbnail/2069.jpg</v>
      </c>
      <c r="D658" s="38" t="s">
        <v>1455</v>
      </c>
      <c r="E658" s="38" t="str">
        <f>"./images/thumbnail/"&amp;データ!B658&amp;".jpg"</f>
        <v>./images/thumbnail/2069.jpg</v>
      </c>
      <c r="F658" s="38" t="s">
        <v>1116</v>
      </c>
      <c r="G658" s="38" t="s">
        <v>1319</v>
      </c>
      <c r="H658" s="38" t="str">
        <f>データ!C658</f>
        <v>アーデルハイド</v>
      </c>
      <c r="I658" s="38" t="s">
        <v>1024</v>
      </c>
      <c r="J658" s="38" t="s">
        <v>1320</v>
      </c>
      <c r="K658" s="38" t="str">
        <f>データ!D658</f>
        <v>UR</v>
      </c>
      <c r="L658" s="38" t="s">
        <v>1024</v>
      </c>
      <c r="M658" s="38" t="s">
        <v>1321</v>
      </c>
      <c r="N658" s="38">
        <f>データ!E658</f>
        <v>15</v>
      </c>
      <c r="O658" s="38" t="s">
        <v>1024</v>
      </c>
      <c r="P658" s="38" t="s">
        <v>1319</v>
      </c>
      <c r="Q658" s="38" t="str">
        <f>データ!F658</f>
        <v>突</v>
      </c>
      <c r="R658" s="38" t="s">
        <v>1024</v>
      </c>
      <c r="S658" s="38" t="s">
        <v>1319</v>
      </c>
      <c r="T658" s="39">
        <f>データ!G658</f>
        <v>22972</v>
      </c>
      <c r="U658" s="40" t="s">
        <v>1024</v>
      </c>
      <c r="V658" s="40" t="s">
        <v>1319</v>
      </c>
      <c r="W658" s="39">
        <f>データ!H658</f>
        <v>6517</v>
      </c>
      <c r="X658" s="40" t="s">
        <v>1024</v>
      </c>
      <c r="Y658" s="40" t="s">
        <v>1319</v>
      </c>
      <c r="Z658" s="39">
        <f>データ!I658</f>
        <v>8478</v>
      </c>
      <c r="AA658" s="40" t="s">
        <v>1024</v>
      </c>
      <c r="AB658" s="40" t="s">
        <v>1322</v>
      </c>
      <c r="AC658" s="39" t="str">
        <f>データ!J658</f>
        <v>SS5</v>
      </c>
      <c r="AD658" s="38" t="s">
        <v>1024</v>
      </c>
      <c r="AE658" s="40" t="s">
        <v>1323</v>
      </c>
      <c r="AF658" s="39">
        <f>データ!K658</f>
        <v>37967</v>
      </c>
      <c r="AG658" s="40" t="s">
        <v>1024</v>
      </c>
      <c r="AH658" s="40" t="s">
        <v>1324</v>
      </c>
      <c r="AI658" s="39" t="str">
        <f>データ!L658</f>
        <v>幻槍の包囲陣／鳳</v>
      </c>
      <c r="AJ658" s="10" t="s">
        <v>1113</v>
      </c>
      <c r="AK658" s="39" t="str">
        <f>データ!M658</f>
        <v>敵全体に攻撃[極大]</v>
      </c>
      <c r="AL658" s="10" t="s">
        <v>1024</v>
      </c>
      <c r="AM658" s="40" t="s">
        <v>1325</v>
      </c>
      <c r="AN658" s="39" t="str">
        <f>データ!N658</f>
        <v>-</v>
      </c>
      <c r="AO658" s="10" t="s">
        <v>1113</v>
      </c>
      <c r="AP658" s="39" t="str">
        <f>データ!O658</f>
        <v>　</v>
      </c>
      <c r="AQ658" s="41" t="s">
        <v>1024</v>
      </c>
      <c r="AR658" s="40" t="s">
        <v>1324</v>
      </c>
      <c r="AS658" s="39" t="str">
        <f>データ!P658</f>
        <v>アサルト／煌</v>
      </c>
      <c r="AT658" s="10" t="s">
        <v>1113</v>
      </c>
      <c r="AU658" s="39" t="str">
        <f>データ!Q658</f>
        <v>パーティ全体の攻撃力が特大UP(3分間)</v>
      </c>
      <c r="AV658" s="10" t="s">
        <v>1024</v>
      </c>
      <c r="AW658" s="40" t="s">
        <v>1324</v>
      </c>
      <c r="AX658" s="39" t="str">
        <f>データ!R658</f>
        <v>エースオーダー／真</v>
      </c>
      <c r="AY658" s="10" t="s">
        <v>1113</v>
      </c>
      <c r="AZ658" s="39" t="str">
        <f>データ!S658</f>
        <v>騎士団全体の攻・防が中UP(3分間)</v>
      </c>
      <c r="BA658" s="41" t="s">
        <v>1024</v>
      </c>
      <c r="BB658" s="40" t="s">
        <v>1319</v>
      </c>
      <c r="BC658" s="39" t="str">
        <f>データ!T658</f>
        <v>-</v>
      </c>
      <c r="BD658" s="41" t="s">
        <v>1024</v>
      </c>
      <c r="BE658" s="40" t="s">
        <v>1320</v>
      </c>
      <c r="BF658" s="39" t="str">
        <f>データ!U658</f>
        <v>-</v>
      </c>
      <c r="BG658" s="41" t="s">
        <v>1024</v>
      </c>
      <c r="BH658" s="40" t="s">
        <v>1319</v>
      </c>
      <c r="BI658" s="39" t="str">
        <f>データ!V658</f>
        <v>ガチャイベ</v>
      </c>
      <c r="BJ658" s="41" t="s">
        <v>1024</v>
      </c>
      <c r="BK658" s="10" t="s">
        <v>1019</v>
      </c>
    </row>
    <row r="659" spans="1:63" x14ac:dyDescent="0.15">
      <c r="A659" s="10" t="s">
        <v>1016</v>
      </c>
      <c r="B659" s="10" t="s">
        <v>1454</v>
      </c>
      <c r="C659" s="38" t="str">
        <f>"./images/thumbnail/"&amp;データ!B659&amp;".jpg"</f>
        <v>./images/thumbnail/2070.jpg</v>
      </c>
      <c r="D659" s="38" t="s">
        <v>1455</v>
      </c>
      <c r="E659" s="38" t="str">
        <f>"./images/thumbnail/"&amp;データ!B659&amp;".jpg"</f>
        <v>./images/thumbnail/2070.jpg</v>
      </c>
      <c r="F659" s="38" t="s">
        <v>1116</v>
      </c>
      <c r="G659" s="38" t="s">
        <v>1319</v>
      </c>
      <c r="H659" s="38" t="str">
        <f>データ!C659</f>
        <v>ジョエル</v>
      </c>
      <c r="I659" s="38" t="s">
        <v>1024</v>
      </c>
      <c r="J659" s="38" t="s">
        <v>1320</v>
      </c>
      <c r="K659" s="38" t="str">
        <f>データ!D659</f>
        <v>UR</v>
      </c>
      <c r="L659" s="38" t="s">
        <v>1024</v>
      </c>
      <c r="M659" s="38" t="s">
        <v>1321</v>
      </c>
      <c r="N659" s="38">
        <f>データ!E659</f>
        <v>14</v>
      </c>
      <c r="O659" s="38" t="s">
        <v>1024</v>
      </c>
      <c r="P659" s="38" t="s">
        <v>1319</v>
      </c>
      <c r="Q659" s="38" t="str">
        <f>データ!F659</f>
        <v>遠</v>
      </c>
      <c r="R659" s="38" t="s">
        <v>1024</v>
      </c>
      <c r="S659" s="38" t="s">
        <v>1319</v>
      </c>
      <c r="T659" s="39">
        <f>データ!G659</f>
        <v>19638</v>
      </c>
      <c r="U659" s="40" t="s">
        <v>1024</v>
      </c>
      <c r="V659" s="40" t="s">
        <v>1319</v>
      </c>
      <c r="W659" s="39">
        <f>データ!H659</f>
        <v>6746</v>
      </c>
      <c r="X659" s="40" t="s">
        <v>1024</v>
      </c>
      <c r="Y659" s="40" t="s">
        <v>1319</v>
      </c>
      <c r="Z659" s="39">
        <f>データ!I659</f>
        <v>5768</v>
      </c>
      <c r="AA659" s="40" t="s">
        <v>1024</v>
      </c>
      <c r="AB659" s="40" t="s">
        <v>1322</v>
      </c>
      <c r="AC659" s="39" t="str">
        <f>データ!J659</f>
        <v>S+</v>
      </c>
      <c r="AD659" s="38" t="s">
        <v>1024</v>
      </c>
      <c r="AE659" s="40" t="s">
        <v>1323</v>
      </c>
      <c r="AF659" s="39">
        <f>データ!K659</f>
        <v>32152</v>
      </c>
      <c r="AG659" s="40" t="s">
        <v>1024</v>
      </c>
      <c r="AH659" s="40" t="s">
        <v>1324</v>
      </c>
      <c r="AI659" s="39" t="str">
        <f>データ!L659</f>
        <v>対翠の突風／絶</v>
      </c>
      <c r="AJ659" s="10" t="s">
        <v>1113</v>
      </c>
      <c r="AK659" s="39" t="str">
        <f>データ!M659</f>
        <v>遠に強く打に弱い縦一列攻撃[大]</v>
      </c>
      <c r="AL659" s="10" t="s">
        <v>1024</v>
      </c>
      <c r="AM659" s="40" t="s">
        <v>1325</v>
      </c>
      <c r="AN659" s="39" t="str">
        <f>データ!N659</f>
        <v>-</v>
      </c>
      <c r="AO659" s="10" t="s">
        <v>1113</v>
      </c>
      <c r="AP659" s="39" t="str">
        <f>データ!O659</f>
        <v>　</v>
      </c>
      <c r="AQ659" s="41" t="s">
        <v>1024</v>
      </c>
      <c r="AR659" s="40" t="s">
        <v>1324</v>
      </c>
      <c r="AS659" s="39" t="str">
        <f>データ!P659</f>
        <v>アクセラレーター／絶</v>
      </c>
      <c r="AT659" s="10" t="s">
        <v>1113</v>
      </c>
      <c r="AU659" s="39" t="str">
        <f>データ!Q659</f>
        <v>パーティ全体の速度が大UP(3分間)</v>
      </c>
      <c r="AV659" s="10" t="s">
        <v>1024</v>
      </c>
      <c r="AW659" s="40" t="s">
        <v>1324</v>
      </c>
      <c r="AX659" s="39" t="str">
        <f>データ!R659</f>
        <v>-</v>
      </c>
      <c r="AY659" s="10" t="s">
        <v>1113</v>
      </c>
      <c r="AZ659" s="39" t="str">
        <f>データ!S659</f>
        <v>　</v>
      </c>
      <c r="BA659" s="41" t="s">
        <v>1024</v>
      </c>
      <c r="BB659" s="40" t="s">
        <v>1319</v>
      </c>
      <c r="BC659" s="39" t="str">
        <f>データ!T659</f>
        <v>-</v>
      </c>
      <c r="BD659" s="41" t="s">
        <v>1024</v>
      </c>
      <c r="BE659" s="40" t="s">
        <v>1320</v>
      </c>
      <c r="BF659" s="39" t="str">
        <f>データ!U659</f>
        <v>-</v>
      </c>
      <c r="BG659" s="41" t="s">
        <v>1024</v>
      </c>
      <c r="BH659" s="40" t="s">
        <v>1319</v>
      </c>
      <c r="BI659" s="39" t="str">
        <f>データ!V659</f>
        <v>魔女の追憶イベ</v>
      </c>
      <c r="BJ659" s="41" t="s">
        <v>1024</v>
      </c>
      <c r="BK659" s="10" t="s">
        <v>1019</v>
      </c>
    </row>
    <row r="660" spans="1:63" x14ac:dyDescent="0.15">
      <c r="A660" s="10" t="s">
        <v>1016</v>
      </c>
      <c r="B660" s="10" t="s">
        <v>1454</v>
      </c>
      <c r="C660" s="38" t="str">
        <f>"./images/thumbnail/"&amp;データ!B660&amp;".jpg"</f>
        <v>./images/thumbnail/2072.jpg</v>
      </c>
      <c r="D660" s="38" t="s">
        <v>1455</v>
      </c>
      <c r="E660" s="38" t="str">
        <f>"./images/thumbnail/"&amp;データ!B660&amp;".jpg"</f>
        <v>./images/thumbnail/2072.jpg</v>
      </c>
      <c r="F660" s="38" t="s">
        <v>1116</v>
      </c>
      <c r="G660" s="38" t="s">
        <v>1319</v>
      </c>
      <c r="H660" s="38" t="str">
        <f>データ!C660</f>
        <v>アリア</v>
      </c>
      <c r="I660" s="38" t="s">
        <v>1024</v>
      </c>
      <c r="J660" s="38" t="s">
        <v>1320</v>
      </c>
      <c r="K660" s="38" t="str">
        <f>データ!D660</f>
        <v>UR</v>
      </c>
      <c r="L660" s="38" t="s">
        <v>1024</v>
      </c>
      <c r="M660" s="38" t="s">
        <v>1321</v>
      </c>
      <c r="N660" s="38">
        <f>データ!E660</f>
        <v>15</v>
      </c>
      <c r="O660" s="38" t="s">
        <v>1024</v>
      </c>
      <c r="P660" s="38" t="s">
        <v>1319</v>
      </c>
      <c r="Q660" s="38" t="str">
        <f>データ!F660</f>
        <v>斬</v>
      </c>
      <c r="R660" s="38" t="s">
        <v>1024</v>
      </c>
      <c r="S660" s="38" t="s">
        <v>1319</v>
      </c>
      <c r="T660" s="39">
        <f>データ!G660</f>
        <v>20938</v>
      </c>
      <c r="U660" s="40" t="s">
        <v>1024</v>
      </c>
      <c r="V660" s="40" t="s">
        <v>1319</v>
      </c>
      <c r="W660" s="39">
        <f>データ!H660</f>
        <v>9391</v>
      </c>
      <c r="X660" s="40" t="s">
        <v>1024</v>
      </c>
      <c r="Y660" s="40" t="s">
        <v>1319</v>
      </c>
      <c r="Z660" s="39">
        <f>データ!I660</f>
        <v>7487</v>
      </c>
      <c r="AA660" s="40" t="s">
        <v>1024</v>
      </c>
      <c r="AB660" s="40" t="s">
        <v>1322</v>
      </c>
      <c r="AC660" s="39" t="str">
        <f>データ!J660</f>
        <v>SS-</v>
      </c>
      <c r="AD660" s="38" t="s">
        <v>1024</v>
      </c>
      <c r="AE660" s="40" t="s">
        <v>1323</v>
      </c>
      <c r="AF660" s="39">
        <f>データ!K660</f>
        <v>37816</v>
      </c>
      <c r="AG660" s="40" t="s">
        <v>1024</v>
      </c>
      <c r="AH660" s="40" t="s">
        <v>1324</v>
      </c>
      <c r="AI660" s="39" t="str">
        <f>データ!L660</f>
        <v xml:space="preserve">斬紅の英傑 </v>
      </c>
      <c r="AJ660" s="10" t="s">
        <v>1113</v>
      </c>
      <c r="AK660" s="39" t="str">
        <f>データ!M660</f>
        <v>味方斬属性の攻撃力と防御力をUP[特大]</v>
      </c>
      <c r="AL660" s="10" t="s">
        <v>1024</v>
      </c>
      <c r="AM660" s="40" t="s">
        <v>1325</v>
      </c>
      <c r="AN660" s="39" t="str">
        <f>データ!N660</f>
        <v>-</v>
      </c>
      <c r="AO660" s="10" t="s">
        <v>1113</v>
      </c>
      <c r="AP660" s="39" t="str">
        <f>データ!O660</f>
        <v>　</v>
      </c>
      <c r="AQ660" s="41" t="s">
        <v>1024</v>
      </c>
      <c r="AR660" s="40" t="s">
        <v>1324</v>
      </c>
      <c r="AS660" s="39" t="str">
        <f>データ!P660</f>
        <v>ランページ／煌</v>
      </c>
      <c r="AT660" s="10" t="s">
        <v>1113</v>
      </c>
      <c r="AU660" s="39" t="str">
        <f>データ!Q660</f>
        <v>バトルで獲得する騎士団戦スコアが特大アップ(3分間)</v>
      </c>
      <c r="AV660" s="10" t="s">
        <v>1024</v>
      </c>
      <c r="AW660" s="40" t="s">
        <v>1324</v>
      </c>
      <c r="AX660" s="39" t="str">
        <f>データ!R660</f>
        <v>フォートレスオーダー／真</v>
      </c>
      <c r="AY660" s="10" t="s">
        <v>1113</v>
      </c>
      <c r="AZ660" s="39" t="str">
        <f>データ!S660</f>
        <v>騎士団全体の防御力が中UP(3分間)</v>
      </c>
      <c r="BA660" s="41" t="s">
        <v>1024</v>
      </c>
      <c r="BB660" s="40" t="s">
        <v>1319</v>
      </c>
      <c r="BC660" s="39" t="str">
        <f>データ!T660</f>
        <v>-</v>
      </c>
      <c r="BD660" s="41" t="s">
        <v>1024</v>
      </c>
      <c r="BE660" s="40" t="s">
        <v>1320</v>
      </c>
      <c r="BF660" s="39" t="str">
        <f>データ!U660</f>
        <v>-</v>
      </c>
      <c r="BG660" s="41" t="s">
        <v>1024</v>
      </c>
      <c r="BH660" s="40" t="s">
        <v>1319</v>
      </c>
      <c r="BI660" s="39" t="str">
        <f>データ!V660</f>
        <v>ガチャイベ</v>
      </c>
      <c r="BJ660" s="41" t="s">
        <v>1024</v>
      </c>
      <c r="BK660" s="10" t="s">
        <v>1019</v>
      </c>
    </row>
    <row r="661" spans="1:63" x14ac:dyDescent="0.15">
      <c r="A661" s="10" t="s">
        <v>1016</v>
      </c>
      <c r="B661" s="10" t="s">
        <v>1454</v>
      </c>
      <c r="C661" s="38" t="str">
        <f>"./images/thumbnail/"&amp;データ!B661&amp;".jpg"</f>
        <v>./images/thumbnail/2074.jpg</v>
      </c>
      <c r="D661" s="38" t="s">
        <v>1455</v>
      </c>
      <c r="E661" s="38" t="str">
        <f>"./images/thumbnail/"&amp;データ!B661&amp;".jpg"</f>
        <v>./images/thumbnail/2074.jpg</v>
      </c>
      <c r="F661" s="38" t="s">
        <v>1116</v>
      </c>
      <c r="G661" s="38" t="s">
        <v>1319</v>
      </c>
      <c r="H661" s="38" t="str">
        <f>データ!C661</f>
        <v>ユージーン</v>
      </c>
      <c r="I661" s="38" t="s">
        <v>1024</v>
      </c>
      <c r="J661" s="38" t="s">
        <v>1320</v>
      </c>
      <c r="K661" s="38" t="str">
        <f>データ!D661</f>
        <v>UR</v>
      </c>
      <c r="L661" s="38" t="s">
        <v>1024</v>
      </c>
      <c r="M661" s="38" t="s">
        <v>1321</v>
      </c>
      <c r="N661" s="38">
        <f>データ!E661</f>
        <v>15</v>
      </c>
      <c r="O661" s="38" t="s">
        <v>1024</v>
      </c>
      <c r="P661" s="38" t="s">
        <v>1319</v>
      </c>
      <c r="Q661" s="38" t="str">
        <f>データ!F661</f>
        <v>突</v>
      </c>
      <c r="R661" s="38" t="s">
        <v>1024</v>
      </c>
      <c r="S661" s="38" t="s">
        <v>1319</v>
      </c>
      <c r="T661" s="39">
        <f>データ!G661</f>
        <v>24790</v>
      </c>
      <c r="U661" s="40" t="s">
        <v>1024</v>
      </c>
      <c r="V661" s="40" t="s">
        <v>1319</v>
      </c>
      <c r="W661" s="39">
        <f>データ!H661</f>
        <v>6648</v>
      </c>
      <c r="X661" s="40" t="s">
        <v>1024</v>
      </c>
      <c r="Y661" s="40" t="s">
        <v>1319</v>
      </c>
      <c r="Z661" s="39">
        <f>データ!I661</f>
        <v>8479</v>
      </c>
      <c r="AA661" s="40" t="s">
        <v>1024</v>
      </c>
      <c r="AB661" s="40" t="s">
        <v>1322</v>
      </c>
      <c r="AC661" s="39" t="str">
        <f>データ!J661</f>
        <v>SS2</v>
      </c>
      <c r="AD661" s="38" t="s">
        <v>1024</v>
      </c>
      <c r="AE661" s="40" t="s">
        <v>1323</v>
      </c>
      <c r="AF661" s="39">
        <f>データ!K661</f>
        <v>39917</v>
      </c>
      <c r="AG661" s="40" t="s">
        <v>1024</v>
      </c>
      <c r="AH661" s="40" t="s">
        <v>1324</v>
      </c>
      <c r="AI661" s="39" t="str">
        <f>データ!L661</f>
        <v>幻神の六連撃／真</v>
      </c>
      <c r="AJ661" s="10" t="s">
        <v>1113</v>
      </c>
      <c r="AK661" s="39" t="str">
        <f>データ!M661</f>
        <v>ランダムで6連続攻撃[中]</v>
      </c>
      <c r="AL661" s="10" t="s">
        <v>1024</v>
      </c>
      <c r="AM661" s="40" t="s">
        <v>1325</v>
      </c>
      <c r="AN661" s="39" t="str">
        <f>データ!N661</f>
        <v>-</v>
      </c>
      <c r="AO661" s="10" t="s">
        <v>1113</v>
      </c>
      <c r="AP661" s="39" t="str">
        <f>データ!O661</f>
        <v>　</v>
      </c>
      <c r="AQ661" s="41" t="s">
        <v>1024</v>
      </c>
      <c r="AR661" s="40" t="s">
        <v>1324</v>
      </c>
      <c r="AS661" s="39" t="str">
        <f>データ!P661</f>
        <v>オラトリオ／煌</v>
      </c>
      <c r="AT661" s="10" t="s">
        <v>1113</v>
      </c>
      <c r="AU661" s="39" t="str">
        <f>データ!Q661</f>
        <v>強襲無効、攻撃力・スキル発動率特大UP(3分間)</v>
      </c>
      <c r="AV661" s="10" t="s">
        <v>1024</v>
      </c>
      <c r="AW661" s="40" t="s">
        <v>1324</v>
      </c>
      <c r="AX661" s="39" t="str">
        <f>データ!R661</f>
        <v>ランページ／絶</v>
      </c>
      <c r="AY661" s="10" t="s">
        <v>1113</v>
      </c>
      <c r="AZ661" s="39" t="str">
        <f>データ!S661</f>
        <v>バトルで獲得する騎士団戦スコアが大アップ(3分間)</v>
      </c>
      <c r="BA661" s="41" t="s">
        <v>1024</v>
      </c>
      <c r="BB661" s="40" t="s">
        <v>1319</v>
      </c>
      <c r="BC661" s="39" t="str">
        <f>データ!T661</f>
        <v>-</v>
      </c>
      <c r="BD661" s="41" t="s">
        <v>1024</v>
      </c>
      <c r="BE661" s="40" t="s">
        <v>1320</v>
      </c>
      <c r="BF661" s="39" t="str">
        <f>データ!U661</f>
        <v>-</v>
      </c>
      <c r="BG661" s="41" t="s">
        <v>1024</v>
      </c>
      <c r="BH661" s="40" t="s">
        <v>1319</v>
      </c>
      <c r="BI661" s="39" t="str">
        <f>データ!V661</f>
        <v>ガチャイベ</v>
      </c>
      <c r="BJ661" s="41" t="s">
        <v>1024</v>
      </c>
      <c r="BK661" s="10" t="s">
        <v>1019</v>
      </c>
    </row>
    <row r="662" spans="1:63" x14ac:dyDescent="0.15">
      <c r="A662" s="10" t="s">
        <v>1016</v>
      </c>
      <c r="B662" s="10" t="s">
        <v>1454</v>
      </c>
      <c r="C662" s="38" t="str">
        <f>"./images/thumbnail/"&amp;データ!B662&amp;".jpg"</f>
        <v>./images/thumbnail/2080.jpg</v>
      </c>
      <c r="D662" s="38" t="s">
        <v>1455</v>
      </c>
      <c r="E662" s="38" t="str">
        <f>"./images/thumbnail/"&amp;データ!B662&amp;".jpg"</f>
        <v>./images/thumbnail/2080.jpg</v>
      </c>
      <c r="F662" s="38" t="s">
        <v>1116</v>
      </c>
      <c r="G662" s="38" t="s">
        <v>1319</v>
      </c>
      <c r="H662" s="38" t="str">
        <f>データ!C662</f>
        <v>シルヴィ</v>
      </c>
      <c r="I662" s="38" t="s">
        <v>1024</v>
      </c>
      <c r="J662" s="38" t="s">
        <v>1320</v>
      </c>
      <c r="K662" s="38" t="str">
        <f>データ!D662</f>
        <v>UR</v>
      </c>
      <c r="L662" s="38" t="s">
        <v>1024</v>
      </c>
      <c r="M662" s="38" t="s">
        <v>1321</v>
      </c>
      <c r="N662" s="38">
        <f>データ!E662</f>
        <v>15</v>
      </c>
      <c r="O662" s="38" t="s">
        <v>1024</v>
      </c>
      <c r="P662" s="38" t="s">
        <v>1319</v>
      </c>
      <c r="Q662" s="38" t="str">
        <f>データ!F662</f>
        <v>突</v>
      </c>
      <c r="R662" s="38" t="s">
        <v>1024</v>
      </c>
      <c r="S662" s="38" t="s">
        <v>1319</v>
      </c>
      <c r="T662" s="39">
        <f>データ!G662</f>
        <v>24197</v>
      </c>
      <c r="U662" s="40" t="s">
        <v>1024</v>
      </c>
      <c r="V662" s="40" t="s">
        <v>1319</v>
      </c>
      <c r="W662" s="39">
        <f>データ!H662</f>
        <v>6748</v>
      </c>
      <c r="X662" s="40" t="s">
        <v>1024</v>
      </c>
      <c r="Y662" s="40" t="s">
        <v>1319</v>
      </c>
      <c r="Z662" s="39">
        <f>データ!I662</f>
        <v>8122</v>
      </c>
      <c r="AA662" s="40" t="s">
        <v>1024</v>
      </c>
      <c r="AB662" s="40" t="s">
        <v>1322</v>
      </c>
      <c r="AC662" s="39" t="str">
        <f>データ!J662</f>
        <v>SS2</v>
      </c>
      <c r="AD662" s="38" t="s">
        <v>1024</v>
      </c>
      <c r="AE662" s="40" t="s">
        <v>1323</v>
      </c>
      <c r="AF662" s="39">
        <f>データ!K662</f>
        <v>39067</v>
      </c>
      <c r="AG662" s="40" t="s">
        <v>1024</v>
      </c>
      <c r="AH662" s="40" t="s">
        <v>1324</v>
      </c>
      <c r="AI662" s="39" t="str">
        <f>データ!L662</f>
        <v>蒼突の天威</v>
      </c>
      <c r="AJ662" s="10" t="s">
        <v>1113</v>
      </c>
      <c r="AK662" s="39" t="str">
        <f>データ!M662</f>
        <v>味方突属性の攻撃力をUP[極大]</v>
      </c>
      <c r="AL662" s="10" t="s">
        <v>1024</v>
      </c>
      <c r="AM662" s="40" t="s">
        <v>1325</v>
      </c>
      <c r="AN662" s="39" t="str">
        <f>データ!N662</f>
        <v>-</v>
      </c>
      <c r="AO662" s="10" t="s">
        <v>1113</v>
      </c>
      <c r="AP662" s="39" t="str">
        <f>データ!O662</f>
        <v>　</v>
      </c>
      <c r="AQ662" s="41" t="s">
        <v>1024</v>
      </c>
      <c r="AR662" s="40" t="s">
        <v>1324</v>
      </c>
      <c r="AS662" s="39" t="str">
        <f>データ!P662</f>
        <v>アサルト／煌</v>
      </c>
      <c r="AT662" s="10" t="s">
        <v>1113</v>
      </c>
      <c r="AU662" s="39" t="str">
        <f>データ!Q662</f>
        <v>パーティ全体の攻撃力が特大UP(3分間)</v>
      </c>
      <c r="AV662" s="10" t="s">
        <v>1024</v>
      </c>
      <c r="AW662" s="40" t="s">
        <v>1324</v>
      </c>
      <c r="AX662" s="39" t="str">
        <f>データ!R662</f>
        <v>エースオーダー／真</v>
      </c>
      <c r="AY662" s="10" t="s">
        <v>1113</v>
      </c>
      <c r="AZ662" s="39" t="str">
        <f>データ!S662</f>
        <v>騎士団全体の攻・防が中UP(3分間)</v>
      </c>
      <c r="BA662" s="41" t="s">
        <v>1024</v>
      </c>
      <c r="BB662" s="40" t="s">
        <v>1319</v>
      </c>
      <c r="BC662" s="39" t="str">
        <f>データ!T662</f>
        <v>-</v>
      </c>
      <c r="BD662" s="41" t="s">
        <v>1024</v>
      </c>
      <c r="BE662" s="40" t="s">
        <v>1320</v>
      </c>
      <c r="BF662" s="39" t="str">
        <f>データ!U662</f>
        <v>-</v>
      </c>
      <c r="BG662" s="41" t="s">
        <v>1024</v>
      </c>
      <c r="BH662" s="40" t="s">
        <v>1319</v>
      </c>
      <c r="BI662" s="39" t="str">
        <f>データ!V662</f>
        <v>ガチャイベ</v>
      </c>
      <c r="BJ662" s="41" t="s">
        <v>1024</v>
      </c>
      <c r="BK662" s="10" t="s">
        <v>1019</v>
      </c>
    </row>
    <row r="663" spans="1:63" x14ac:dyDescent="0.15">
      <c r="A663" s="10" t="s">
        <v>1016</v>
      </c>
      <c r="B663" s="10" t="s">
        <v>1454</v>
      </c>
      <c r="C663" s="38" t="str">
        <f>"./images/thumbnail/"&amp;データ!B663&amp;".jpg"</f>
        <v>./images/thumbnail/2082.jpg</v>
      </c>
      <c r="D663" s="38" t="s">
        <v>1455</v>
      </c>
      <c r="E663" s="38" t="str">
        <f>"./images/thumbnail/"&amp;データ!B663&amp;".jpg"</f>
        <v>./images/thumbnail/2082.jpg</v>
      </c>
      <c r="F663" s="38" t="s">
        <v>1116</v>
      </c>
      <c r="G663" s="38" t="s">
        <v>1319</v>
      </c>
      <c r="H663" s="38" t="str">
        <f>データ!C663</f>
        <v>ラウジー</v>
      </c>
      <c r="I663" s="38" t="s">
        <v>1024</v>
      </c>
      <c r="J663" s="38" t="s">
        <v>1320</v>
      </c>
      <c r="K663" s="38" t="str">
        <f>データ!D663</f>
        <v>UR</v>
      </c>
      <c r="L663" s="38" t="s">
        <v>1024</v>
      </c>
      <c r="M663" s="38" t="s">
        <v>1321</v>
      </c>
      <c r="N663" s="38">
        <f>データ!E663</f>
        <v>15</v>
      </c>
      <c r="O663" s="38" t="s">
        <v>1024</v>
      </c>
      <c r="P663" s="38" t="s">
        <v>1319</v>
      </c>
      <c r="Q663" s="38" t="str">
        <f>データ!F663</f>
        <v>打</v>
      </c>
      <c r="R663" s="38" t="s">
        <v>1024</v>
      </c>
      <c r="S663" s="38" t="s">
        <v>1319</v>
      </c>
      <c r="T663" s="39">
        <f>データ!G663</f>
        <v>27942</v>
      </c>
      <c r="U663" s="40" t="s">
        <v>1024</v>
      </c>
      <c r="V663" s="40" t="s">
        <v>1319</v>
      </c>
      <c r="W663" s="39">
        <f>データ!H663</f>
        <v>7418</v>
      </c>
      <c r="X663" s="40" t="s">
        <v>1024</v>
      </c>
      <c r="Y663" s="40" t="s">
        <v>1319</v>
      </c>
      <c r="Z663" s="39">
        <f>データ!I663</f>
        <v>10892</v>
      </c>
      <c r="AA663" s="40" t="s">
        <v>1024</v>
      </c>
      <c r="AB663" s="40" t="s">
        <v>1322</v>
      </c>
      <c r="AC663" s="39" t="str">
        <f>データ!J663</f>
        <v>S</v>
      </c>
      <c r="AD663" s="38" t="s">
        <v>1024</v>
      </c>
      <c r="AE663" s="40" t="s">
        <v>1323</v>
      </c>
      <c r="AF663" s="39">
        <f>データ!K663</f>
        <v>46252</v>
      </c>
      <c r="AG663" s="40" t="s">
        <v>1024</v>
      </c>
      <c r="AH663" s="40" t="s">
        <v>1324</v>
      </c>
      <c r="AI663" s="39" t="str">
        <f>データ!L663</f>
        <v>地幻光の交叉線／煌</v>
      </c>
      <c r="AJ663" s="10" t="s">
        <v>1113</v>
      </c>
      <c r="AK663" s="39" t="str">
        <f>データ!M663</f>
        <v>X字型攻撃[特大]自分の防御力UP[特大]</v>
      </c>
      <c r="AL663" s="38" t="s">
        <v>1024</v>
      </c>
      <c r="AM663" s="40" t="s">
        <v>1325</v>
      </c>
      <c r="AN663" s="39" t="str">
        <f>データ!N663</f>
        <v>-</v>
      </c>
      <c r="AO663" s="10" t="s">
        <v>1113</v>
      </c>
      <c r="AP663" s="39" t="str">
        <f>データ!O663</f>
        <v>　</v>
      </c>
      <c r="AQ663" s="41" t="s">
        <v>1024</v>
      </c>
      <c r="AR663" s="40" t="s">
        <v>1324</v>
      </c>
      <c r="AS663" s="39" t="str">
        <f>データ!P663</f>
        <v>エクスドライブ／煌</v>
      </c>
      <c r="AT663" s="10" t="s">
        <v>1113</v>
      </c>
      <c r="AU663" s="39" t="str">
        <f>データ!Q663</f>
        <v>キリ番CB時の獲得ポイント特大UP(3分間)</v>
      </c>
      <c r="AV663" s="10" t="s">
        <v>1024</v>
      </c>
      <c r="AW663" s="40" t="s">
        <v>1324</v>
      </c>
      <c r="AX663" s="39" t="str">
        <f>データ!R663</f>
        <v>エース／絶</v>
      </c>
      <c r="AY663" s="10" t="s">
        <v>1113</v>
      </c>
      <c r="AZ663" s="39" t="str">
        <f>データ!S663</f>
        <v>パーティ全体の攻・防が大UP(3分間)</v>
      </c>
      <c r="BA663" s="41" t="s">
        <v>1024</v>
      </c>
      <c r="BB663" s="40" t="s">
        <v>1319</v>
      </c>
      <c r="BC663" s="39" t="str">
        <f>データ!T663</f>
        <v>-</v>
      </c>
      <c r="BD663" s="41" t="s">
        <v>1024</v>
      </c>
      <c r="BE663" s="40" t="s">
        <v>1320</v>
      </c>
      <c r="BF663" s="39" t="str">
        <f>データ!U663</f>
        <v>-</v>
      </c>
      <c r="BG663" s="41" t="s">
        <v>1024</v>
      </c>
      <c r="BH663" s="40" t="s">
        <v>1319</v>
      </c>
      <c r="BI663" s="39" t="str">
        <f>データ!V663</f>
        <v>ガチャイベ</v>
      </c>
      <c r="BJ663" s="41" t="s">
        <v>1024</v>
      </c>
      <c r="BK663" s="10" t="s">
        <v>1019</v>
      </c>
    </row>
    <row r="664" spans="1:63" x14ac:dyDescent="0.15">
      <c r="A664" s="10" t="s">
        <v>1016</v>
      </c>
      <c r="B664" s="10" t="s">
        <v>1454</v>
      </c>
      <c r="C664" s="38" t="str">
        <f>"./images/thumbnail/"&amp;データ!B664&amp;".jpg"</f>
        <v>./images/thumbnail/2083.jpg</v>
      </c>
      <c r="D664" s="38" t="s">
        <v>1455</v>
      </c>
      <c r="E664" s="38" t="str">
        <f>"./images/thumbnail/"&amp;データ!B664&amp;".jpg"</f>
        <v>./images/thumbnail/2083.jpg</v>
      </c>
      <c r="F664" s="38" t="s">
        <v>1116</v>
      </c>
      <c r="G664" s="38" t="s">
        <v>1319</v>
      </c>
      <c r="H664" s="38" t="str">
        <f>データ!C664</f>
        <v>ナディア</v>
      </c>
      <c r="I664" s="38" t="s">
        <v>1024</v>
      </c>
      <c r="J664" s="38" t="s">
        <v>1320</v>
      </c>
      <c r="K664" s="38" t="str">
        <f>データ!D664</f>
        <v>SSR</v>
      </c>
      <c r="L664" s="38" t="s">
        <v>1024</v>
      </c>
      <c r="M664" s="38" t="s">
        <v>1321</v>
      </c>
      <c r="N664" s="38">
        <f>データ!E664</f>
        <v>13</v>
      </c>
      <c r="O664" s="38" t="s">
        <v>1024</v>
      </c>
      <c r="P664" s="38" t="s">
        <v>1319</v>
      </c>
      <c r="Q664" s="38" t="str">
        <f>データ!F664</f>
        <v>打</v>
      </c>
      <c r="R664" s="38" t="s">
        <v>1024</v>
      </c>
      <c r="S664" s="38" t="s">
        <v>1319</v>
      </c>
      <c r="T664" s="39">
        <f>データ!G664</f>
        <v>19367</v>
      </c>
      <c r="U664" s="40" t="s">
        <v>1024</v>
      </c>
      <c r="V664" s="40" t="s">
        <v>1319</v>
      </c>
      <c r="W664" s="39">
        <f>データ!H664</f>
        <v>6270</v>
      </c>
      <c r="X664" s="40" t="s">
        <v>1024</v>
      </c>
      <c r="Y664" s="40" t="s">
        <v>1319</v>
      </c>
      <c r="Z664" s="39">
        <f>データ!I664</f>
        <v>6918</v>
      </c>
      <c r="AA664" s="40" t="s">
        <v>1024</v>
      </c>
      <c r="AB664" s="40" t="s">
        <v>1322</v>
      </c>
      <c r="AC664" s="39" t="str">
        <f>データ!J664</f>
        <v>S-</v>
      </c>
      <c r="AD664" s="38" t="s">
        <v>1024</v>
      </c>
      <c r="AE664" s="40" t="s">
        <v>1323</v>
      </c>
      <c r="AF664" s="39">
        <f>データ!K664</f>
        <v>32555</v>
      </c>
      <c r="AG664" s="40" t="s">
        <v>1024</v>
      </c>
      <c r="AH664" s="40" t="s">
        <v>1324</v>
      </c>
      <c r="AI664" s="39" t="str">
        <f>データ!L664</f>
        <v>幻氷の縦十字／絶</v>
      </c>
      <c r="AJ664" s="10" t="s">
        <v>1113</v>
      </c>
      <c r="AK664" s="39" t="str">
        <f>データ!M664</f>
        <v>十字型に攻撃[大]</v>
      </c>
      <c r="AL664" s="10" t="s">
        <v>1024</v>
      </c>
      <c r="AM664" s="40" t="s">
        <v>1325</v>
      </c>
      <c r="AN664" s="39" t="str">
        <f>データ!N664</f>
        <v>-</v>
      </c>
      <c r="AO664" s="10" t="s">
        <v>1113</v>
      </c>
      <c r="AP664" s="39" t="str">
        <f>データ!O664</f>
        <v>　</v>
      </c>
      <c r="AQ664" s="41" t="s">
        <v>1024</v>
      </c>
      <c r="AR664" s="40" t="s">
        <v>1324</v>
      </c>
      <c r="AS664" s="39" t="str">
        <f>データ!P664</f>
        <v>ポイントライズ／真</v>
      </c>
      <c r="AT664" s="10" t="s">
        <v>1113</v>
      </c>
      <c r="AU664" s="39" t="str">
        <f>データ!Q664</f>
        <v>獲得する騎士団戦スコアが中アップ(バトル3回)</v>
      </c>
      <c r="AV664" s="10" t="s">
        <v>1024</v>
      </c>
      <c r="AW664" s="40" t="s">
        <v>1324</v>
      </c>
      <c r="AX664" s="39" t="str">
        <f>データ!R664</f>
        <v>-</v>
      </c>
      <c r="AY664" s="10" t="s">
        <v>1113</v>
      </c>
      <c r="AZ664" s="39" t="str">
        <f>データ!S664</f>
        <v>　</v>
      </c>
      <c r="BA664" s="41" t="s">
        <v>1024</v>
      </c>
      <c r="BB664" s="40" t="s">
        <v>1319</v>
      </c>
      <c r="BC664" s="39" t="str">
        <f>データ!T664</f>
        <v>-</v>
      </c>
      <c r="BD664" s="41" t="s">
        <v>1024</v>
      </c>
      <c r="BE664" s="40" t="s">
        <v>1320</v>
      </c>
      <c r="BF664" s="39" t="str">
        <f>データ!U664</f>
        <v>-</v>
      </c>
      <c r="BG664" s="41" t="s">
        <v>1024</v>
      </c>
      <c r="BH664" s="40" t="s">
        <v>1319</v>
      </c>
      <c r="BI664" s="39" t="str">
        <f>データ!V664</f>
        <v>メダル</v>
      </c>
      <c r="BJ664" s="41" t="s">
        <v>1024</v>
      </c>
      <c r="BK664" s="10" t="s">
        <v>1019</v>
      </c>
    </row>
    <row r="665" spans="1:63" x14ac:dyDescent="0.15">
      <c r="A665" s="10" t="s">
        <v>1016</v>
      </c>
      <c r="B665" s="10" t="s">
        <v>1454</v>
      </c>
      <c r="C665" s="38" t="str">
        <f>"./images/thumbnail/"&amp;データ!B665&amp;".jpg"</f>
        <v>./images/thumbnail/2087.jpg</v>
      </c>
      <c r="D665" s="38" t="s">
        <v>1455</v>
      </c>
      <c r="E665" s="38" t="str">
        <f>"./images/thumbnail/"&amp;データ!B665&amp;".jpg"</f>
        <v>./images/thumbnail/2087.jpg</v>
      </c>
      <c r="F665" s="38" t="s">
        <v>1116</v>
      </c>
      <c r="G665" s="38" t="s">
        <v>1319</v>
      </c>
      <c r="H665" s="38" t="str">
        <f>データ!C665</f>
        <v>クロエ</v>
      </c>
      <c r="I665" s="38" t="s">
        <v>1024</v>
      </c>
      <c r="J665" s="38" t="s">
        <v>1320</v>
      </c>
      <c r="K665" s="38" t="str">
        <f>データ!D665</f>
        <v>SSR</v>
      </c>
      <c r="L665" s="38" t="s">
        <v>1024</v>
      </c>
      <c r="M665" s="38" t="s">
        <v>1321</v>
      </c>
      <c r="N665" s="38">
        <f>データ!E665</f>
        <v>13</v>
      </c>
      <c r="O665" s="38" t="s">
        <v>1024</v>
      </c>
      <c r="P665" s="38" t="s">
        <v>1319</v>
      </c>
      <c r="Q665" s="38" t="str">
        <f>データ!F665</f>
        <v>打</v>
      </c>
      <c r="R665" s="38" t="s">
        <v>1024</v>
      </c>
      <c r="S665" s="38" t="s">
        <v>1319</v>
      </c>
      <c r="T665" s="39">
        <f>データ!G665</f>
        <v>20983</v>
      </c>
      <c r="U665" s="40" t="s">
        <v>1024</v>
      </c>
      <c r="V665" s="40" t="s">
        <v>1319</v>
      </c>
      <c r="W665" s="39">
        <f>データ!H665</f>
        <v>5860</v>
      </c>
      <c r="X665" s="40" t="s">
        <v>1024</v>
      </c>
      <c r="Y665" s="40" t="s">
        <v>1319</v>
      </c>
      <c r="Z665" s="39">
        <f>データ!I665</f>
        <v>7913</v>
      </c>
      <c r="AA665" s="40" t="s">
        <v>1024</v>
      </c>
      <c r="AB665" s="40" t="s">
        <v>1322</v>
      </c>
      <c r="AC665" s="39" t="str">
        <f>データ!J665</f>
        <v>A-</v>
      </c>
      <c r="AD665" s="38" t="s">
        <v>1024</v>
      </c>
      <c r="AE665" s="40" t="s">
        <v>1323</v>
      </c>
      <c r="AF665" s="39">
        <f>データ!K665</f>
        <v>34756</v>
      </c>
      <c r="AG665" s="40" t="s">
        <v>1024</v>
      </c>
      <c r="AH665" s="40" t="s">
        <v>1324</v>
      </c>
      <c r="AI665" s="39" t="str">
        <f>データ!L665</f>
        <v>幻光の交叉線／絶</v>
      </c>
      <c r="AJ665" s="10" t="s">
        <v>1113</v>
      </c>
      <c r="AK665" s="39" t="str">
        <f>データ!M665</f>
        <v>X字型に攻撃[大]</v>
      </c>
      <c r="AL665" s="10" t="s">
        <v>1024</v>
      </c>
      <c r="AM665" s="40" t="s">
        <v>1325</v>
      </c>
      <c r="AN665" s="39" t="str">
        <f>データ!N665</f>
        <v>-</v>
      </c>
      <c r="AO665" s="10" t="s">
        <v>1113</v>
      </c>
      <c r="AP665" s="39" t="str">
        <f>データ!O665</f>
        <v>　</v>
      </c>
      <c r="AQ665" s="41" t="s">
        <v>1024</v>
      </c>
      <c r="AR665" s="40" t="s">
        <v>1324</v>
      </c>
      <c r="AS665" s="39" t="str">
        <f>データ!P665</f>
        <v>フォースオブウィッシュ／真</v>
      </c>
      <c r="AT665" s="10" t="s">
        <v>1113</v>
      </c>
      <c r="AU665" s="39" t="str">
        <f>データ!Q665</f>
        <v>騎士団全員のBPを中回復</v>
      </c>
      <c r="AV665" s="10" t="s">
        <v>1024</v>
      </c>
      <c r="AW665" s="40" t="s">
        <v>1324</v>
      </c>
      <c r="AX665" s="39" t="str">
        <f>データ!R665</f>
        <v>-</v>
      </c>
      <c r="AY665" s="10" t="s">
        <v>1113</v>
      </c>
      <c r="AZ665" s="39" t="str">
        <f>データ!S665</f>
        <v>　</v>
      </c>
      <c r="BA665" s="41" t="s">
        <v>1024</v>
      </c>
      <c r="BB665" s="40" t="s">
        <v>1319</v>
      </c>
      <c r="BC665" s="39" t="str">
        <f>データ!T665</f>
        <v>-</v>
      </c>
      <c r="BD665" s="41" t="s">
        <v>1024</v>
      </c>
      <c r="BE665" s="40" t="s">
        <v>1320</v>
      </c>
      <c r="BF665" s="39" t="str">
        <f>データ!U665</f>
        <v>-</v>
      </c>
      <c r="BG665" s="41" t="s">
        <v>1024</v>
      </c>
      <c r="BH665" s="40" t="s">
        <v>1319</v>
      </c>
      <c r="BI665" s="39" t="str">
        <f>データ!V665</f>
        <v>マゴニア</v>
      </c>
      <c r="BJ665" s="41" t="s">
        <v>1024</v>
      </c>
      <c r="BK665" s="10" t="s">
        <v>1019</v>
      </c>
    </row>
    <row r="666" spans="1:63" x14ac:dyDescent="0.15">
      <c r="A666" s="10" t="s">
        <v>1016</v>
      </c>
      <c r="B666" s="10" t="s">
        <v>1454</v>
      </c>
      <c r="C666" s="38" t="str">
        <f>"./images/thumbnail/"&amp;データ!B666&amp;".jpg"</f>
        <v>./images/thumbnail/2088.jpg</v>
      </c>
      <c r="D666" s="38" t="s">
        <v>1455</v>
      </c>
      <c r="E666" s="38" t="str">
        <f>"./images/thumbnail/"&amp;データ!B666&amp;".jpg"</f>
        <v>./images/thumbnail/2088.jpg</v>
      </c>
      <c r="F666" s="38" t="s">
        <v>1116</v>
      </c>
      <c r="G666" s="38" t="s">
        <v>1319</v>
      </c>
      <c r="H666" s="38" t="str">
        <f>データ!C666</f>
        <v>メリル</v>
      </c>
      <c r="I666" s="38" t="s">
        <v>1024</v>
      </c>
      <c r="J666" s="38" t="s">
        <v>1320</v>
      </c>
      <c r="K666" s="38" t="str">
        <f>データ!D666</f>
        <v>UR</v>
      </c>
      <c r="L666" s="38" t="s">
        <v>1024</v>
      </c>
      <c r="M666" s="38" t="s">
        <v>1321</v>
      </c>
      <c r="N666" s="38">
        <f>データ!E666</f>
        <v>15</v>
      </c>
      <c r="O666" s="38" t="s">
        <v>1024</v>
      </c>
      <c r="P666" s="38" t="s">
        <v>1319</v>
      </c>
      <c r="Q666" s="38" t="str">
        <f>データ!F666</f>
        <v>遠</v>
      </c>
      <c r="R666" s="38" t="s">
        <v>1024</v>
      </c>
      <c r="S666" s="38" t="s">
        <v>1319</v>
      </c>
      <c r="T666" s="39">
        <f>データ!G666</f>
        <v>20978</v>
      </c>
      <c r="U666" s="40" t="s">
        <v>1024</v>
      </c>
      <c r="V666" s="40" t="s">
        <v>1319</v>
      </c>
      <c r="W666" s="39">
        <f>データ!H666</f>
        <v>7056</v>
      </c>
      <c r="X666" s="40" t="s">
        <v>1024</v>
      </c>
      <c r="Y666" s="40" t="s">
        <v>1319</v>
      </c>
      <c r="Z666" s="39">
        <f>データ!I666</f>
        <v>7036</v>
      </c>
      <c r="AA666" s="40" t="s">
        <v>1024</v>
      </c>
      <c r="AB666" s="40" t="s">
        <v>1322</v>
      </c>
      <c r="AC666" s="39" t="str">
        <f>データ!J666</f>
        <v>SS</v>
      </c>
      <c r="AD666" s="38" t="s">
        <v>1024</v>
      </c>
      <c r="AE666" s="40" t="s">
        <v>1323</v>
      </c>
      <c r="AF666" s="39">
        <f>データ!K666</f>
        <v>35070</v>
      </c>
      <c r="AG666" s="40" t="s">
        <v>1024</v>
      </c>
      <c r="AH666" s="40" t="s">
        <v>1324</v>
      </c>
      <c r="AI666" s="39" t="str">
        <f>データ!L666</f>
        <v>対紫の薙風／煌</v>
      </c>
      <c r="AJ666" s="10" t="s">
        <v>1113</v>
      </c>
      <c r="AK666" s="39" t="str">
        <f>データ!M666</f>
        <v>打に強く遠に弱い横一列攻撃[特大]</v>
      </c>
      <c r="AL666" s="10" t="s">
        <v>1024</v>
      </c>
      <c r="AM666" s="40" t="s">
        <v>1325</v>
      </c>
      <c r="AN666" s="39" t="str">
        <f>データ!N666</f>
        <v>-</v>
      </c>
      <c r="AO666" s="10" t="s">
        <v>1113</v>
      </c>
      <c r="AP666" s="39" t="str">
        <f>データ!O666</f>
        <v>　</v>
      </c>
      <c r="AQ666" s="41" t="s">
        <v>1024</v>
      </c>
      <c r="AR666" s="40" t="s">
        <v>1324</v>
      </c>
      <c r="AS666" s="39" t="str">
        <f>データ!P666</f>
        <v>エッジノート／煌</v>
      </c>
      <c r="AT666" s="10" t="s">
        <v>1113</v>
      </c>
      <c r="AU666" s="39" t="str">
        <f>データ!Q666</f>
        <v>CB時に獲得ポイント特大UP＆BPが特大回復(3回)</v>
      </c>
      <c r="AV666" s="10" t="s">
        <v>1024</v>
      </c>
      <c r="AW666" s="40" t="s">
        <v>1324</v>
      </c>
      <c r="AX666" s="39" t="str">
        <f>データ!R666</f>
        <v>アサルト／絶</v>
      </c>
      <c r="AY666" s="10" t="s">
        <v>1113</v>
      </c>
      <c r="AZ666" s="39" t="str">
        <f>データ!S666</f>
        <v>パーティ全体の攻撃力が大UP(3分間)</v>
      </c>
      <c r="BA666" s="41" t="s">
        <v>1024</v>
      </c>
      <c r="BB666" s="40" t="s">
        <v>1319</v>
      </c>
      <c r="BC666" s="39" t="str">
        <f>データ!T666</f>
        <v>-</v>
      </c>
      <c r="BD666" s="41" t="s">
        <v>1024</v>
      </c>
      <c r="BE666" s="40" t="s">
        <v>1320</v>
      </c>
      <c r="BF666" s="39" t="str">
        <f>データ!U666</f>
        <v>-</v>
      </c>
      <c r="BG666" s="41" t="s">
        <v>1024</v>
      </c>
      <c r="BH666" s="40" t="s">
        <v>1319</v>
      </c>
      <c r="BI666" s="39" t="str">
        <f>データ!V666</f>
        <v>マゴニア</v>
      </c>
      <c r="BJ666" s="41" t="s">
        <v>1024</v>
      </c>
      <c r="BK666" s="10" t="s">
        <v>1019</v>
      </c>
    </row>
    <row r="667" spans="1:63" x14ac:dyDescent="0.15">
      <c r="A667" s="10" t="s">
        <v>1016</v>
      </c>
      <c r="B667" s="10" t="s">
        <v>1454</v>
      </c>
      <c r="C667" s="38" t="str">
        <f>"./images/thumbnail/"&amp;データ!B667&amp;".jpg"</f>
        <v>./images/thumbnail/2090.jpg</v>
      </c>
      <c r="D667" s="38" t="s">
        <v>1455</v>
      </c>
      <c r="E667" s="38" t="str">
        <f>"./images/thumbnail/"&amp;データ!B667&amp;".jpg"</f>
        <v>./images/thumbnail/2090.jpg</v>
      </c>
      <c r="F667" s="38" t="s">
        <v>1116</v>
      </c>
      <c r="G667" s="38" t="s">
        <v>1319</v>
      </c>
      <c r="H667" s="38" t="str">
        <f>データ!C667</f>
        <v>ジナーチェ</v>
      </c>
      <c r="I667" s="38" t="s">
        <v>1024</v>
      </c>
      <c r="J667" s="38" t="s">
        <v>1320</v>
      </c>
      <c r="K667" s="38" t="str">
        <f>データ!D667</f>
        <v>UR</v>
      </c>
      <c r="L667" s="38" t="s">
        <v>1024</v>
      </c>
      <c r="M667" s="38" t="s">
        <v>1321</v>
      </c>
      <c r="N667" s="38">
        <f>データ!E667</f>
        <v>14</v>
      </c>
      <c r="O667" s="38" t="s">
        <v>1024</v>
      </c>
      <c r="P667" s="38" t="s">
        <v>1319</v>
      </c>
      <c r="Q667" s="38" t="str">
        <f>データ!F667</f>
        <v>斬</v>
      </c>
      <c r="R667" s="38" t="s">
        <v>1024</v>
      </c>
      <c r="S667" s="38" t="s">
        <v>1319</v>
      </c>
      <c r="T667" s="39">
        <f>データ!G667</f>
        <v>18495</v>
      </c>
      <c r="U667" s="40" t="s">
        <v>1024</v>
      </c>
      <c r="V667" s="40" t="s">
        <v>1319</v>
      </c>
      <c r="W667" s="39">
        <f>データ!H667</f>
        <v>8637</v>
      </c>
      <c r="X667" s="40" t="s">
        <v>1024</v>
      </c>
      <c r="Y667" s="40" t="s">
        <v>1319</v>
      </c>
      <c r="Z667" s="39">
        <f>データ!I667</f>
        <v>6536</v>
      </c>
      <c r="AA667" s="40" t="s">
        <v>1024</v>
      </c>
      <c r="AB667" s="40" t="s">
        <v>1322</v>
      </c>
      <c r="AC667" s="39" t="str">
        <f>データ!J667</f>
        <v>S</v>
      </c>
      <c r="AD667" s="38" t="s">
        <v>1024</v>
      </c>
      <c r="AE667" s="40" t="s">
        <v>1323</v>
      </c>
      <c r="AF667" s="39">
        <f>データ!K667</f>
        <v>33668</v>
      </c>
      <c r="AG667" s="40" t="s">
        <v>1024</v>
      </c>
      <c r="AH667" s="40" t="s">
        <v>1324</v>
      </c>
      <c r="AI667" s="39" t="str">
        <f>データ!L667</f>
        <v>焔幻の一閃／煌</v>
      </c>
      <c r="AJ667" s="10" t="s">
        <v>1113</v>
      </c>
      <c r="AK667" s="39" t="str">
        <f>データ!M667</f>
        <v>横一列に攻撃[特大]</v>
      </c>
      <c r="AL667" s="10" t="s">
        <v>1024</v>
      </c>
      <c r="AM667" s="40" t="s">
        <v>1325</v>
      </c>
      <c r="AN667" s="39" t="str">
        <f>データ!N667</f>
        <v>-</v>
      </c>
      <c r="AO667" s="10" t="s">
        <v>1113</v>
      </c>
      <c r="AP667" s="39" t="str">
        <f>データ!O667</f>
        <v>　</v>
      </c>
      <c r="AQ667" s="41" t="s">
        <v>1024</v>
      </c>
      <c r="AR667" s="40" t="s">
        <v>1324</v>
      </c>
      <c r="AS667" s="39" t="str">
        <f>データ!P667</f>
        <v>エクスドライブ／絶</v>
      </c>
      <c r="AT667" s="10" t="s">
        <v>1113</v>
      </c>
      <c r="AU667" s="39" t="str">
        <f>データ!Q667</f>
        <v>キリ番CB時の獲得ポイント大UP(3分間)</v>
      </c>
      <c r="AV667" s="10" t="s">
        <v>1024</v>
      </c>
      <c r="AW667" s="40" t="s">
        <v>1324</v>
      </c>
      <c r="AX667" s="39" t="str">
        <f>データ!R667</f>
        <v>-</v>
      </c>
      <c r="AY667" s="10" t="s">
        <v>1113</v>
      </c>
      <c r="AZ667" s="39" t="str">
        <f>データ!S667</f>
        <v>　</v>
      </c>
      <c r="BA667" s="41" t="s">
        <v>1024</v>
      </c>
      <c r="BB667" s="40" t="s">
        <v>1319</v>
      </c>
      <c r="BC667" s="39" t="str">
        <f>データ!T667</f>
        <v>-</v>
      </c>
      <c r="BD667" s="41" t="s">
        <v>1024</v>
      </c>
      <c r="BE667" s="40" t="s">
        <v>1320</v>
      </c>
      <c r="BF667" s="39" t="str">
        <f>データ!U667</f>
        <v>-</v>
      </c>
      <c r="BG667" s="41" t="s">
        <v>1024</v>
      </c>
      <c r="BH667" s="40" t="s">
        <v>1319</v>
      </c>
      <c r="BI667" s="39" t="str">
        <f>データ!V667</f>
        <v>常設</v>
      </c>
      <c r="BJ667" s="41" t="s">
        <v>1024</v>
      </c>
      <c r="BK667" s="10" t="s">
        <v>1019</v>
      </c>
    </row>
    <row r="668" spans="1:63" x14ac:dyDescent="0.15">
      <c r="A668" s="10" t="s">
        <v>1016</v>
      </c>
      <c r="B668" s="10" t="s">
        <v>1454</v>
      </c>
      <c r="C668" s="38" t="str">
        <f>"./images/thumbnail/"&amp;データ!B668&amp;".jpg"</f>
        <v>./images/thumbnail/2092.jpg</v>
      </c>
      <c r="D668" s="38" t="s">
        <v>1455</v>
      </c>
      <c r="E668" s="38" t="str">
        <f>"./images/thumbnail/"&amp;データ!B668&amp;".jpg"</f>
        <v>./images/thumbnail/2092.jpg</v>
      </c>
      <c r="F668" s="38" t="s">
        <v>1116</v>
      </c>
      <c r="G668" s="38" t="s">
        <v>1319</v>
      </c>
      <c r="H668" s="38" t="str">
        <f>データ!C668</f>
        <v>オルタンス</v>
      </c>
      <c r="I668" s="38" t="s">
        <v>1024</v>
      </c>
      <c r="J668" s="38" t="s">
        <v>1320</v>
      </c>
      <c r="K668" s="38" t="str">
        <f>データ!D668</f>
        <v>UR</v>
      </c>
      <c r="L668" s="38" t="s">
        <v>1024</v>
      </c>
      <c r="M668" s="38" t="s">
        <v>1321</v>
      </c>
      <c r="N668" s="38">
        <f>データ!E668</f>
        <v>15</v>
      </c>
      <c r="O668" s="38" t="s">
        <v>1024</v>
      </c>
      <c r="P668" s="38" t="s">
        <v>1319</v>
      </c>
      <c r="Q668" s="38" t="str">
        <f>データ!F668</f>
        <v>遠</v>
      </c>
      <c r="R668" s="38" t="s">
        <v>1024</v>
      </c>
      <c r="S668" s="38" t="s">
        <v>1319</v>
      </c>
      <c r="T668" s="39">
        <f>データ!G668</f>
        <v>22881</v>
      </c>
      <c r="U668" s="40" t="s">
        <v>1024</v>
      </c>
      <c r="V668" s="40" t="s">
        <v>1319</v>
      </c>
      <c r="W668" s="39">
        <f>データ!H668</f>
        <v>7336</v>
      </c>
      <c r="X668" s="40" t="s">
        <v>1024</v>
      </c>
      <c r="Y668" s="40" t="s">
        <v>1319</v>
      </c>
      <c r="Z668" s="39">
        <f>データ!I668</f>
        <v>7010</v>
      </c>
      <c r="AA668" s="40" t="s">
        <v>1024</v>
      </c>
      <c r="AB668" s="40" t="s">
        <v>1322</v>
      </c>
      <c r="AC668" s="39" t="str">
        <f>データ!J668</f>
        <v>SS</v>
      </c>
      <c r="AD668" s="38" t="s">
        <v>1024</v>
      </c>
      <c r="AE668" s="40" t="s">
        <v>1323</v>
      </c>
      <c r="AF668" s="39">
        <f>データ!K668</f>
        <v>37227</v>
      </c>
      <c r="AG668" s="40" t="s">
        <v>1024</v>
      </c>
      <c r="AH668" s="40" t="s">
        <v>1324</v>
      </c>
      <c r="AI668" s="39" t="str">
        <f>データ!L668</f>
        <v>天使の微笑／絶</v>
      </c>
      <c r="AJ668" s="10" t="s">
        <v>1113</v>
      </c>
      <c r="AK668" s="39" t="str">
        <f>データ!M668</f>
        <v>味方全員のHPを回復[大]</v>
      </c>
      <c r="AL668" s="38" t="s">
        <v>1024</v>
      </c>
      <c r="AM668" s="40" t="s">
        <v>1325</v>
      </c>
      <c r="AN668" s="39" t="str">
        <f>データ!N668</f>
        <v>-</v>
      </c>
      <c r="AO668" s="10" t="s">
        <v>1113</v>
      </c>
      <c r="AP668" s="39" t="str">
        <f>データ!O668</f>
        <v>　</v>
      </c>
      <c r="AQ668" s="41" t="s">
        <v>1024</v>
      </c>
      <c r="AR668" s="40" t="s">
        <v>1324</v>
      </c>
      <c r="AS668" s="39" t="str">
        <f>データ!P668</f>
        <v>エース／煌</v>
      </c>
      <c r="AT668" s="10" t="s">
        <v>1113</v>
      </c>
      <c r="AU668" s="39" t="str">
        <f>データ!Q668</f>
        <v>パーティ全体の攻・防が特大UP(3分間)</v>
      </c>
      <c r="AV668" s="10" t="s">
        <v>1024</v>
      </c>
      <c r="AW668" s="40" t="s">
        <v>1324</v>
      </c>
      <c r="AX668" s="39" t="str">
        <f>データ!R668</f>
        <v>レクトノート／真</v>
      </c>
      <c r="AY668" s="10" t="s">
        <v>1113</v>
      </c>
      <c r="AZ668" s="39" t="str">
        <f>データ!S668</f>
        <v>中確率でパーティ全員を復帰(全滅時のみ使用可)</v>
      </c>
      <c r="BA668" s="41" t="s">
        <v>1024</v>
      </c>
      <c r="BB668" s="40" t="s">
        <v>1319</v>
      </c>
      <c r="BC668" s="39" t="str">
        <f>データ!T668</f>
        <v>-</v>
      </c>
      <c r="BD668" s="41" t="s">
        <v>1024</v>
      </c>
      <c r="BE668" s="40" t="s">
        <v>1320</v>
      </c>
      <c r="BF668" s="39" t="str">
        <f>データ!U668</f>
        <v>-</v>
      </c>
      <c r="BG668" s="41" t="s">
        <v>1024</v>
      </c>
      <c r="BH668" s="40" t="s">
        <v>1319</v>
      </c>
      <c r="BI668" s="39" t="str">
        <f>データ!V668</f>
        <v>常設</v>
      </c>
      <c r="BJ668" s="41" t="s">
        <v>1024</v>
      </c>
      <c r="BK668" s="10" t="s">
        <v>1019</v>
      </c>
    </row>
    <row r="669" spans="1:63" x14ac:dyDescent="0.15">
      <c r="A669" s="10" t="s">
        <v>1016</v>
      </c>
      <c r="B669" s="10" t="s">
        <v>1454</v>
      </c>
      <c r="C669" s="38" t="str">
        <f>"./images/thumbnail/"&amp;データ!B669&amp;".jpg"</f>
        <v>./images/thumbnail/2093.jpg</v>
      </c>
      <c r="D669" s="38" t="s">
        <v>1455</v>
      </c>
      <c r="E669" s="38" t="str">
        <f>"./images/thumbnail/"&amp;データ!B669&amp;".jpg"</f>
        <v>./images/thumbnail/2093.jpg</v>
      </c>
      <c r="F669" s="38" t="s">
        <v>1116</v>
      </c>
      <c r="G669" s="38" t="s">
        <v>1319</v>
      </c>
      <c r="H669" s="38" t="str">
        <f>データ!C669</f>
        <v>テレジア</v>
      </c>
      <c r="I669" s="38" t="s">
        <v>1024</v>
      </c>
      <c r="J669" s="38" t="s">
        <v>1320</v>
      </c>
      <c r="K669" s="38" t="str">
        <f>データ!D669</f>
        <v>UR</v>
      </c>
      <c r="L669" s="38" t="s">
        <v>1024</v>
      </c>
      <c r="M669" s="38" t="s">
        <v>1321</v>
      </c>
      <c r="N669" s="38">
        <f>データ!E669</f>
        <v>0</v>
      </c>
      <c r="O669" s="38" t="s">
        <v>1024</v>
      </c>
      <c r="P669" s="38" t="s">
        <v>1319</v>
      </c>
      <c r="Q669" s="38" t="str">
        <f>データ!F669</f>
        <v>突</v>
      </c>
      <c r="R669" s="38" t="s">
        <v>1024</v>
      </c>
      <c r="S669" s="38" t="s">
        <v>1319</v>
      </c>
      <c r="T669" s="39">
        <f>データ!G669</f>
        <v>21818</v>
      </c>
      <c r="U669" s="40" t="s">
        <v>1024</v>
      </c>
      <c r="V669" s="40" t="s">
        <v>1319</v>
      </c>
      <c r="W669" s="39">
        <f>データ!H669</f>
        <v>6025</v>
      </c>
      <c r="X669" s="40" t="s">
        <v>1024</v>
      </c>
      <c r="Y669" s="40" t="s">
        <v>1319</v>
      </c>
      <c r="Z669" s="39">
        <f>データ!I669</f>
        <v>7356</v>
      </c>
      <c r="AA669" s="40" t="s">
        <v>1024</v>
      </c>
      <c r="AB669" s="40" t="s">
        <v>1322</v>
      </c>
      <c r="AC669" s="39" t="str">
        <f>データ!J669</f>
        <v>SS+</v>
      </c>
      <c r="AD669" s="38" t="s">
        <v>1024</v>
      </c>
      <c r="AE669" s="40" t="s">
        <v>1323</v>
      </c>
      <c r="AF669" s="39">
        <f>データ!K669</f>
        <v>35199</v>
      </c>
      <c r="AG669" s="40" t="s">
        <v>1024</v>
      </c>
      <c r="AH669" s="40" t="s">
        <v>1324</v>
      </c>
      <c r="AI669" s="39" t="str">
        <f>データ!L669</f>
        <v>覆滅の焔</v>
      </c>
      <c r="AJ669" s="10" t="s">
        <v>1113</v>
      </c>
      <c r="AK669" s="39" t="str">
        <f>データ!M669</f>
        <v>敵全体に攻撃[特大]</v>
      </c>
      <c r="AL669" s="10" t="s">
        <v>1024</v>
      </c>
      <c r="AM669" s="40" t="s">
        <v>1325</v>
      </c>
      <c r="AN669" s="39" t="str">
        <f>データ!N669</f>
        <v>-</v>
      </c>
      <c r="AO669" s="10" t="s">
        <v>1113</v>
      </c>
      <c r="AP669" s="39" t="str">
        <f>データ!O669</f>
        <v>　</v>
      </c>
      <c r="AQ669" s="41" t="s">
        <v>1024</v>
      </c>
      <c r="AR669" s="40" t="s">
        <v>1324</v>
      </c>
      <c r="AS669" s="39" t="str">
        <f>データ!P669</f>
        <v>フォースオブプレイ</v>
      </c>
      <c r="AT669" s="10" t="s">
        <v>1113</v>
      </c>
      <c r="AU669" s="39" t="str">
        <f>データ!Q669</f>
        <v>騎士団員のTPを小アップ(自分を除く)</v>
      </c>
      <c r="AV669" s="10" t="s">
        <v>1024</v>
      </c>
      <c r="AW669" s="40" t="s">
        <v>1324</v>
      </c>
      <c r="AX669" s="39" t="str">
        <f>データ!R669</f>
        <v>-</v>
      </c>
      <c r="AY669" s="10" t="s">
        <v>1113</v>
      </c>
      <c r="AZ669" s="39" t="str">
        <f>データ!S669</f>
        <v>　</v>
      </c>
      <c r="BA669" s="41" t="s">
        <v>1024</v>
      </c>
      <c r="BB669" s="40" t="s">
        <v>1319</v>
      </c>
      <c r="BC669" s="39" t="str">
        <f>データ!T669</f>
        <v>-</v>
      </c>
      <c r="BD669" s="41" t="s">
        <v>1024</v>
      </c>
      <c r="BE669" s="40" t="s">
        <v>1320</v>
      </c>
      <c r="BF669" s="39" t="str">
        <f>データ!U669</f>
        <v>-</v>
      </c>
      <c r="BG669" s="41" t="s">
        <v>1024</v>
      </c>
      <c r="BH669" s="40" t="s">
        <v>1319</v>
      </c>
      <c r="BI669" s="39" t="str">
        <f>データ!V669</f>
        <v>オルタンシア伝ゼロ報酬</v>
      </c>
      <c r="BJ669" s="41" t="s">
        <v>1024</v>
      </c>
      <c r="BK669" s="10" t="s">
        <v>1019</v>
      </c>
    </row>
    <row r="670" spans="1:63" x14ac:dyDescent="0.15">
      <c r="A670" s="10" t="s">
        <v>1016</v>
      </c>
      <c r="B670" s="10" t="s">
        <v>1454</v>
      </c>
      <c r="C670" s="38" t="str">
        <f>"./images/thumbnail/"&amp;データ!B670&amp;".jpg"</f>
        <v>./images/thumbnail/2094.jpg</v>
      </c>
      <c r="D670" s="38" t="s">
        <v>1455</v>
      </c>
      <c r="E670" s="38" t="str">
        <f>"./images/thumbnail/"&amp;データ!B670&amp;".jpg"</f>
        <v>./images/thumbnail/2094.jpg</v>
      </c>
      <c r="F670" s="38" t="s">
        <v>1116</v>
      </c>
      <c r="G670" s="38" t="s">
        <v>1319</v>
      </c>
      <c r="H670" s="38" t="str">
        <f>データ!C670</f>
        <v>エメーリエ</v>
      </c>
      <c r="I670" s="38" t="s">
        <v>1024</v>
      </c>
      <c r="J670" s="38" t="s">
        <v>1320</v>
      </c>
      <c r="K670" s="38" t="str">
        <f>データ!D670</f>
        <v>UR</v>
      </c>
      <c r="L670" s="38" t="s">
        <v>1024</v>
      </c>
      <c r="M670" s="38" t="s">
        <v>1321</v>
      </c>
      <c r="N670" s="38">
        <f>データ!E670</f>
        <v>15</v>
      </c>
      <c r="O670" s="38" t="s">
        <v>1024</v>
      </c>
      <c r="P670" s="38" t="s">
        <v>1319</v>
      </c>
      <c r="Q670" s="38" t="str">
        <f>データ!F670</f>
        <v>斬</v>
      </c>
      <c r="R670" s="38" t="s">
        <v>1024</v>
      </c>
      <c r="S670" s="38" t="s">
        <v>1319</v>
      </c>
      <c r="T670" s="39">
        <f>データ!G670</f>
        <v>21076</v>
      </c>
      <c r="U670" s="40" t="s">
        <v>1024</v>
      </c>
      <c r="V670" s="40" t="s">
        <v>1319</v>
      </c>
      <c r="W670" s="39">
        <f>データ!H670</f>
        <v>9615</v>
      </c>
      <c r="X670" s="40" t="s">
        <v>1024</v>
      </c>
      <c r="Y670" s="40" t="s">
        <v>1319</v>
      </c>
      <c r="Z670" s="39">
        <f>データ!I670</f>
        <v>7249</v>
      </c>
      <c r="AA670" s="40" t="s">
        <v>1024</v>
      </c>
      <c r="AB670" s="40" t="s">
        <v>1322</v>
      </c>
      <c r="AC670" s="39" t="str">
        <f>データ!J670</f>
        <v>SS-</v>
      </c>
      <c r="AD670" s="38" t="s">
        <v>1024</v>
      </c>
      <c r="AE670" s="40" t="s">
        <v>1323</v>
      </c>
      <c r="AF670" s="39">
        <f>データ!K670</f>
        <v>37940</v>
      </c>
      <c r="AG670" s="40" t="s">
        <v>1024</v>
      </c>
      <c r="AH670" s="40" t="s">
        <v>1324</v>
      </c>
      <c r="AI670" s="39" t="str">
        <f>データ!L670</f>
        <v>天幻氷の縦十字／煌</v>
      </c>
      <c r="AJ670" s="10" t="s">
        <v>1113</v>
      </c>
      <c r="AK670" s="39" t="str">
        <f>データ!M670</f>
        <v>十字型攻撃[特大]自分の攻撃力UP[特大]</v>
      </c>
      <c r="AL670" s="10" t="s">
        <v>1024</v>
      </c>
      <c r="AM670" s="40" t="s">
        <v>1325</v>
      </c>
      <c r="AN670" s="39" t="str">
        <f>データ!N670</f>
        <v>-</v>
      </c>
      <c r="AO670" s="10" t="s">
        <v>1113</v>
      </c>
      <c r="AP670" s="39" t="str">
        <f>データ!O670</f>
        <v>　</v>
      </c>
      <c r="AQ670" s="41" t="s">
        <v>1024</v>
      </c>
      <c r="AR670" s="40" t="s">
        <v>1324</v>
      </c>
      <c r="AS670" s="39" t="str">
        <f>データ!P670</f>
        <v>エクスターライズ／絶</v>
      </c>
      <c r="AT670" s="10" t="s">
        <v>1113</v>
      </c>
      <c r="AU670" s="39" t="str">
        <f>データ!Q670</f>
        <v>攻撃回数が多いほどバトル獲得スコアが大UP(3分間)</v>
      </c>
      <c r="AV670" s="10" t="s">
        <v>1024</v>
      </c>
      <c r="AW670" s="40" t="s">
        <v>1324</v>
      </c>
      <c r="AX670" s="39" t="str">
        <f>データ!R670</f>
        <v>アクセラレーター／絶</v>
      </c>
      <c r="AY670" s="10" t="s">
        <v>1113</v>
      </c>
      <c r="AZ670" s="39" t="str">
        <f>データ!S670</f>
        <v>パーティ全体の速度が大UP(3分間)</v>
      </c>
      <c r="BA670" s="41" t="s">
        <v>1024</v>
      </c>
      <c r="BB670" s="40" t="s">
        <v>1319</v>
      </c>
      <c r="BC670" s="39" t="str">
        <f>データ!T670</f>
        <v>-</v>
      </c>
      <c r="BD670" s="41" t="s">
        <v>1024</v>
      </c>
      <c r="BE670" s="40" t="s">
        <v>1320</v>
      </c>
      <c r="BF670" s="39" t="str">
        <f>データ!U670</f>
        <v>-</v>
      </c>
      <c r="BG670" s="41" t="s">
        <v>1024</v>
      </c>
      <c r="BH670" s="40" t="s">
        <v>1319</v>
      </c>
      <c r="BI670" s="39" t="str">
        <f>データ!V670</f>
        <v>ガチャイベ</v>
      </c>
      <c r="BJ670" s="41" t="s">
        <v>1024</v>
      </c>
      <c r="BK670" s="10" t="s">
        <v>1019</v>
      </c>
    </row>
    <row r="671" spans="1:63" x14ac:dyDescent="0.15">
      <c r="A671" s="10" t="s">
        <v>1016</v>
      </c>
      <c r="B671" s="10" t="s">
        <v>1454</v>
      </c>
      <c r="C671" s="38" t="str">
        <f>"./images/thumbnail/"&amp;データ!B671&amp;".jpg"</f>
        <v>./images/thumbnail/2096.jpg</v>
      </c>
      <c r="D671" s="38" t="s">
        <v>1455</v>
      </c>
      <c r="E671" s="38" t="str">
        <f>"./images/thumbnail/"&amp;データ!B671&amp;".jpg"</f>
        <v>./images/thumbnail/2096.jpg</v>
      </c>
      <c r="F671" s="38" t="s">
        <v>1116</v>
      </c>
      <c r="G671" s="38" t="s">
        <v>1319</v>
      </c>
      <c r="H671" s="38" t="str">
        <f>データ!C671</f>
        <v>シグマ</v>
      </c>
      <c r="I671" s="38" t="s">
        <v>1024</v>
      </c>
      <c r="J671" s="38" t="s">
        <v>1320</v>
      </c>
      <c r="K671" s="38" t="str">
        <f>データ!D671</f>
        <v>UR</v>
      </c>
      <c r="L671" s="38" t="s">
        <v>1024</v>
      </c>
      <c r="M671" s="38" t="s">
        <v>1321</v>
      </c>
      <c r="N671" s="38">
        <f>データ!E671</f>
        <v>15</v>
      </c>
      <c r="O671" s="38" t="s">
        <v>1024</v>
      </c>
      <c r="P671" s="38" t="s">
        <v>1319</v>
      </c>
      <c r="Q671" s="38" t="str">
        <f>データ!F671</f>
        <v>突</v>
      </c>
      <c r="R671" s="38" t="s">
        <v>1024</v>
      </c>
      <c r="S671" s="38" t="s">
        <v>1319</v>
      </c>
      <c r="T671" s="39">
        <f>データ!G671</f>
        <v>23815</v>
      </c>
      <c r="U671" s="40" t="s">
        <v>1024</v>
      </c>
      <c r="V671" s="40" t="s">
        <v>1319</v>
      </c>
      <c r="W671" s="39">
        <f>データ!H671</f>
        <v>6616</v>
      </c>
      <c r="X671" s="40" t="s">
        <v>1024</v>
      </c>
      <c r="Y671" s="40" t="s">
        <v>1319</v>
      </c>
      <c r="Z671" s="39">
        <f>データ!I671</f>
        <v>9012</v>
      </c>
      <c r="AA671" s="40" t="s">
        <v>1024</v>
      </c>
      <c r="AB671" s="40" t="s">
        <v>1322</v>
      </c>
      <c r="AC671" s="39" t="str">
        <f>データ!J671</f>
        <v>SS2</v>
      </c>
      <c r="AD671" s="38" t="s">
        <v>1024</v>
      </c>
      <c r="AE671" s="40" t="s">
        <v>1323</v>
      </c>
      <c r="AF671" s="39">
        <f>データ!K671</f>
        <v>39443</v>
      </c>
      <c r="AG671" s="40" t="s">
        <v>1024</v>
      </c>
      <c r="AH671" s="40" t="s">
        <v>1324</v>
      </c>
      <c r="AI671" s="39" t="str">
        <f>データ!L671</f>
        <v>焔幻の一閃／煌</v>
      </c>
      <c r="AJ671" s="10" t="s">
        <v>1113</v>
      </c>
      <c r="AK671" s="39" t="str">
        <f>データ!M671</f>
        <v>横一列に攻撃[特大]</v>
      </c>
      <c r="AL671" s="10" t="s">
        <v>1024</v>
      </c>
      <c r="AM671" s="40" t="s">
        <v>1325</v>
      </c>
      <c r="AN671" s="39" t="str">
        <f>データ!N671</f>
        <v>-</v>
      </c>
      <c r="AO671" s="10" t="s">
        <v>1113</v>
      </c>
      <c r="AP671" s="39" t="str">
        <f>データ!O671</f>
        <v>　</v>
      </c>
      <c r="AQ671" s="41" t="s">
        <v>1024</v>
      </c>
      <c r="AR671" s="40" t="s">
        <v>1324</v>
      </c>
      <c r="AS671" s="39" t="str">
        <f>データ!P671</f>
        <v>バーサク／絶</v>
      </c>
      <c r="AT671" s="10" t="s">
        <v>1113</v>
      </c>
      <c r="AU671" s="39" t="str">
        <f>データ!Q671</f>
        <v>強襲が発生無効、バトル時に攻・防大UP(3分間)</v>
      </c>
      <c r="AV671" s="10" t="s">
        <v>1024</v>
      </c>
      <c r="AW671" s="40" t="s">
        <v>1324</v>
      </c>
      <c r="AX671" s="39" t="str">
        <f>データ!R671</f>
        <v>ランページ／絶</v>
      </c>
      <c r="AY671" s="10" t="s">
        <v>1113</v>
      </c>
      <c r="AZ671" s="39" t="str">
        <f>データ!S671</f>
        <v>バトルで獲得する騎士団戦スコアが大アップ(3分間)</v>
      </c>
      <c r="BA671" s="41" t="s">
        <v>1024</v>
      </c>
      <c r="BB671" s="40" t="s">
        <v>1319</v>
      </c>
      <c r="BC671" s="39" t="str">
        <f>データ!T671</f>
        <v>-</v>
      </c>
      <c r="BD671" s="41" t="s">
        <v>1024</v>
      </c>
      <c r="BE671" s="40" t="s">
        <v>1320</v>
      </c>
      <c r="BF671" s="39" t="str">
        <f>データ!U671</f>
        <v>-</v>
      </c>
      <c r="BG671" s="41" t="s">
        <v>1024</v>
      </c>
      <c r="BH671" s="40" t="s">
        <v>1319</v>
      </c>
      <c r="BI671" s="39" t="str">
        <f>データ!V671</f>
        <v>覇者の塔</v>
      </c>
      <c r="BJ671" s="41" t="s">
        <v>1024</v>
      </c>
      <c r="BK671" s="10" t="s">
        <v>1019</v>
      </c>
    </row>
    <row r="672" spans="1:63" x14ac:dyDescent="0.15">
      <c r="A672" s="10" t="s">
        <v>1016</v>
      </c>
      <c r="B672" s="10" t="s">
        <v>1454</v>
      </c>
      <c r="C672" s="38" t="str">
        <f>"./images/thumbnail/"&amp;データ!B672&amp;".jpg"</f>
        <v>./images/thumbnail/2097.jpg</v>
      </c>
      <c r="D672" s="38" t="s">
        <v>1455</v>
      </c>
      <c r="E672" s="38" t="str">
        <f>"./images/thumbnail/"&amp;データ!B672&amp;".jpg"</f>
        <v>./images/thumbnail/2097.jpg</v>
      </c>
      <c r="F672" s="38" t="s">
        <v>1116</v>
      </c>
      <c r="G672" s="38" t="s">
        <v>1319</v>
      </c>
      <c r="H672" s="38" t="str">
        <f>データ!C672</f>
        <v>テレジア</v>
      </c>
      <c r="I672" s="38" t="s">
        <v>1024</v>
      </c>
      <c r="J672" s="38" t="s">
        <v>1320</v>
      </c>
      <c r="K672" s="38" t="str">
        <f>データ!D672</f>
        <v>SSR</v>
      </c>
      <c r="L672" s="38" t="s">
        <v>1024</v>
      </c>
      <c r="M672" s="38" t="s">
        <v>1321</v>
      </c>
      <c r="N672" s="38">
        <f>データ!E672</f>
        <v>12</v>
      </c>
      <c r="O672" s="38" t="s">
        <v>1024</v>
      </c>
      <c r="P672" s="38" t="s">
        <v>1319</v>
      </c>
      <c r="Q672" s="38" t="str">
        <f>データ!F672</f>
        <v>突</v>
      </c>
      <c r="R672" s="38" t="s">
        <v>1024</v>
      </c>
      <c r="S672" s="38" t="s">
        <v>1319</v>
      </c>
      <c r="T672" s="39">
        <f>データ!G672</f>
        <v>17251</v>
      </c>
      <c r="U672" s="40" t="s">
        <v>1024</v>
      </c>
      <c r="V672" s="40" t="s">
        <v>1319</v>
      </c>
      <c r="W672" s="39">
        <f>データ!H672</f>
        <v>5136</v>
      </c>
      <c r="X672" s="40" t="s">
        <v>1024</v>
      </c>
      <c r="Y672" s="40" t="s">
        <v>1319</v>
      </c>
      <c r="Z672" s="39">
        <f>データ!I672</f>
        <v>5377</v>
      </c>
      <c r="AA672" s="40" t="s">
        <v>1024</v>
      </c>
      <c r="AB672" s="40" t="s">
        <v>1322</v>
      </c>
      <c r="AC672" s="39" t="str">
        <f>データ!J672</f>
        <v>SS-</v>
      </c>
      <c r="AD672" s="38" t="s">
        <v>1024</v>
      </c>
      <c r="AE672" s="40" t="s">
        <v>1323</v>
      </c>
      <c r="AF672" s="39">
        <f>データ!K672</f>
        <v>27764</v>
      </c>
      <c r="AG672" s="40" t="s">
        <v>1024</v>
      </c>
      <c r="AH672" s="40" t="s">
        <v>1324</v>
      </c>
      <c r="AI672" s="39" t="str">
        <f>データ!L672</f>
        <v>魔幻の閃光／絶</v>
      </c>
      <c r="AJ672" s="10" t="s">
        <v>1113</v>
      </c>
      <c r="AK672" s="39" t="str">
        <f>データ!M672</f>
        <v>縦一列に攻撃[大]</v>
      </c>
      <c r="AL672" s="10" t="s">
        <v>1024</v>
      </c>
      <c r="AM672" s="40" t="s">
        <v>1325</v>
      </c>
      <c r="AN672" s="39" t="str">
        <f>データ!N672</f>
        <v>-</v>
      </c>
      <c r="AO672" s="10" t="s">
        <v>1113</v>
      </c>
      <c r="AP672" s="39" t="str">
        <f>データ!O672</f>
        <v>　</v>
      </c>
      <c r="AQ672" s="41" t="s">
        <v>1024</v>
      </c>
      <c r="AR672" s="40" t="s">
        <v>1324</v>
      </c>
      <c r="AS672" s="39" t="str">
        <f>データ!P672</f>
        <v>ランページ／真</v>
      </c>
      <c r="AT672" s="10" t="s">
        <v>1113</v>
      </c>
      <c r="AU672" s="39" t="str">
        <f>データ!Q672</f>
        <v>バトルで獲得する騎士団戦スコアが中アップ(3分間)</v>
      </c>
      <c r="AV672" s="10" t="s">
        <v>1024</v>
      </c>
      <c r="AW672" s="40" t="s">
        <v>1324</v>
      </c>
      <c r="AX672" s="39" t="str">
        <f>データ!R672</f>
        <v>-</v>
      </c>
      <c r="AY672" s="10" t="s">
        <v>1113</v>
      </c>
      <c r="AZ672" s="39" t="str">
        <f>データ!S672</f>
        <v>　</v>
      </c>
      <c r="BA672" s="41" t="s">
        <v>1024</v>
      </c>
      <c r="BB672" s="40" t="s">
        <v>1319</v>
      </c>
      <c r="BC672" s="39" t="str">
        <f>データ!T672</f>
        <v>-</v>
      </c>
      <c r="BD672" s="41" t="s">
        <v>1024</v>
      </c>
      <c r="BE672" s="40" t="s">
        <v>1320</v>
      </c>
      <c r="BF672" s="39" t="str">
        <f>データ!U672</f>
        <v>-</v>
      </c>
      <c r="BG672" s="41" t="s">
        <v>1024</v>
      </c>
      <c r="BH672" s="40" t="s">
        <v>1319</v>
      </c>
      <c r="BI672" s="39" t="str">
        <f>データ!V672</f>
        <v>第16回統一報酬</v>
      </c>
      <c r="BJ672" s="41" t="s">
        <v>1024</v>
      </c>
      <c r="BK672" s="10" t="s">
        <v>1019</v>
      </c>
    </row>
    <row r="673" spans="1:63" x14ac:dyDescent="0.15">
      <c r="A673" s="10" t="s">
        <v>1016</v>
      </c>
      <c r="B673" s="10" t="s">
        <v>1454</v>
      </c>
      <c r="C673" s="38" t="str">
        <f>"./images/thumbnail/"&amp;データ!B673&amp;".jpg"</f>
        <v>./images/thumbnail/2098.jpg</v>
      </c>
      <c r="D673" s="38" t="s">
        <v>1455</v>
      </c>
      <c r="E673" s="38" t="str">
        <f>"./images/thumbnail/"&amp;データ!B673&amp;".jpg"</f>
        <v>./images/thumbnail/2098.jpg</v>
      </c>
      <c r="F673" s="38" t="s">
        <v>1116</v>
      </c>
      <c r="G673" s="38" t="s">
        <v>1319</v>
      </c>
      <c r="H673" s="38" t="str">
        <f>データ!C673</f>
        <v>テレジア</v>
      </c>
      <c r="I673" s="38" t="s">
        <v>1024</v>
      </c>
      <c r="J673" s="38" t="s">
        <v>1320</v>
      </c>
      <c r="K673" s="38" t="str">
        <f>データ!D673</f>
        <v>SSR</v>
      </c>
      <c r="L673" s="38" t="s">
        <v>1024</v>
      </c>
      <c r="M673" s="38" t="s">
        <v>1321</v>
      </c>
      <c r="N673" s="38">
        <f>データ!E673</f>
        <v>13</v>
      </c>
      <c r="O673" s="38" t="s">
        <v>1024</v>
      </c>
      <c r="P673" s="38" t="s">
        <v>1319</v>
      </c>
      <c r="Q673" s="38" t="str">
        <f>データ!F673</f>
        <v>突</v>
      </c>
      <c r="R673" s="38" t="s">
        <v>1024</v>
      </c>
      <c r="S673" s="38" t="s">
        <v>1319</v>
      </c>
      <c r="T673" s="39">
        <f>データ!G673</f>
        <v>18498</v>
      </c>
      <c r="U673" s="40" t="s">
        <v>1024</v>
      </c>
      <c r="V673" s="40" t="s">
        <v>1319</v>
      </c>
      <c r="W673" s="39">
        <f>データ!H673</f>
        <v>5423</v>
      </c>
      <c r="X673" s="40" t="s">
        <v>1024</v>
      </c>
      <c r="Y673" s="40" t="s">
        <v>1319</v>
      </c>
      <c r="Z673" s="39">
        <f>データ!I673</f>
        <v>5617</v>
      </c>
      <c r="AA673" s="40" t="s">
        <v>1024</v>
      </c>
      <c r="AB673" s="40" t="s">
        <v>1322</v>
      </c>
      <c r="AC673" s="39" t="str">
        <f>データ!J673</f>
        <v>SS-</v>
      </c>
      <c r="AD673" s="38" t="s">
        <v>1024</v>
      </c>
      <c r="AE673" s="40" t="s">
        <v>1323</v>
      </c>
      <c r="AF673" s="39">
        <f>データ!K673</f>
        <v>29538</v>
      </c>
      <c r="AG673" s="40" t="s">
        <v>1024</v>
      </c>
      <c r="AH673" s="40" t="s">
        <v>1324</v>
      </c>
      <c r="AI673" s="39" t="str">
        <f>データ!L673</f>
        <v>魔幻の閃光／絶</v>
      </c>
      <c r="AJ673" s="10" t="s">
        <v>1113</v>
      </c>
      <c r="AK673" s="39" t="str">
        <f>データ!M673</f>
        <v>縦一列に攻撃[大]</v>
      </c>
      <c r="AL673" s="10" t="s">
        <v>1024</v>
      </c>
      <c r="AM673" s="40" t="s">
        <v>1325</v>
      </c>
      <c r="AN673" s="39" t="str">
        <f>データ!N673</f>
        <v>-</v>
      </c>
      <c r="AO673" s="10" t="s">
        <v>1113</v>
      </c>
      <c r="AP673" s="39" t="str">
        <f>データ!O673</f>
        <v>　</v>
      </c>
      <c r="AQ673" s="41" t="s">
        <v>1024</v>
      </c>
      <c r="AR673" s="40" t="s">
        <v>1324</v>
      </c>
      <c r="AS673" s="39" t="str">
        <f>データ!P673</f>
        <v>ランページ／真</v>
      </c>
      <c r="AT673" s="10" t="s">
        <v>1113</v>
      </c>
      <c r="AU673" s="39" t="str">
        <f>データ!Q673</f>
        <v>バトルで獲得する騎士団戦スコアが中アップ(3分間)</v>
      </c>
      <c r="AV673" s="10" t="s">
        <v>1024</v>
      </c>
      <c r="AW673" s="40" t="s">
        <v>1324</v>
      </c>
      <c r="AX673" s="39" t="str">
        <f>データ!R673</f>
        <v>-</v>
      </c>
      <c r="AY673" s="10" t="s">
        <v>1113</v>
      </c>
      <c r="AZ673" s="39" t="str">
        <f>データ!S673</f>
        <v>　</v>
      </c>
      <c r="BA673" s="41" t="s">
        <v>1024</v>
      </c>
      <c r="BB673" s="40" t="s">
        <v>1319</v>
      </c>
      <c r="BC673" s="39" t="str">
        <f>データ!T673</f>
        <v>-</v>
      </c>
      <c r="BD673" s="41" t="s">
        <v>1024</v>
      </c>
      <c r="BE673" s="40" t="s">
        <v>1320</v>
      </c>
      <c r="BF673" s="39" t="str">
        <f>データ!U673</f>
        <v>-</v>
      </c>
      <c r="BG673" s="41" t="s">
        <v>1024</v>
      </c>
      <c r="BH673" s="40" t="s">
        <v>1319</v>
      </c>
      <c r="BI673" s="39" t="str">
        <f>データ!V673</f>
        <v>第16回統一報酬</v>
      </c>
      <c r="BJ673" s="41" t="s">
        <v>1024</v>
      </c>
      <c r="BK673" s="10" t="s">
        <v>1019</v>
      </c>
    </row>
    <row r="674" spans="1:63" x14ac:dyDescent="0.15">
      <c r="A674" s="10" t="s">
        <v>1016</v>
      </c>
      <c r="B674" s="10" t="s">
        <v>1454</v>
      </c>
      <c r="C674" s="38" t="str">
        <f>"./images/thumbnail/"&amp;データ!B674&amp;".jpg"</f>
        <v>./images/thumbnail/2099.jpg</v>
      </c>
      <c r="D674" s="38" t="s">
        <v>1455</v>
      </c>
      <c r="E674" s="38" t="str">
        <f>"./images/thumbnail/"&amp;データ!B674&amp;".jpg"</f>
        <v>./images/thumbnail/2099.jpg</v>
      </c>
      <c r="F674" s="38" t="s">
        <v>1116</v>
      </c>
      <c r="G674" s="38" t="s">
        <v>1319</v>
      </c>
      <c r="H674" s="38" t="str">
        <f>データ!C674</f>
        <v>テレジア</v>
      </c>
      <c r="I674" s="38" t="s">
        <v>1024</v>
      </c>
      <c r="J674" s="38" t="s">
        <v>1320</v>
      </c>
      <c r="K674" s="38" t="str">
        <f>データ!D674</f>
        <v>UR</v>
      </c>
      <c r="L674" s="38" t="s">
        <v>1024</v>
      </c>
      <c r="M674" s="38" t="s">
        <v>1321</v>
      </c>
      <c r="N674" s="38">
        <f>データ!E674</f>
        <v>14</v>
      </c>
      <c r="O674" s="38" t="s">
        <v>1024</v>
      </c>
      <c r="P674" s="38" t="s">
        <v>1319</v>
      </c>
      <c r="Q674" s="38" t="str">
        <f>データ!F674</f>
        <v>突</v>
      </c>
      <c r="R674" s="38" t="s">
        <v>1024</v>
      </c>
      <c r="S674" s="38" t="s">
        <v>1319</v>
      </c>
      <c r="T674" s="39">
        <f>データ!G674</f>
        <v>22121</v>
      </c>
      <c r="U674" s="40" t="s">
        <v>1024</v>
      </c>
      <c r="V674" s="40" t="s">
        <v>1319</v>
      </c>
      <c r="W674" s="39">
        <f>データ!H674</f>
        <v>6127</v>
      </c>
      <c r="X674" s="40" t="s">
        <v>1024</v>
      </c>
      <c r="Y674" s="40" t="s">
        <v>1319</v>
      </c>
      <c r="Z674" s="39">
        <f>データ!I674</f>
        <v>7464</v>
      </c>
      <c r="AA674" s="40" t="s">
        <v>1024</v>
      </c>
      <c r="AB674" s="40" t="s">
        <v>1322</v>
      </c>
      <c r="AC674" s="39" t="str">
        <f>データ!J674</f>
        <v>SS+</v>
      </c>
      <c r="AD674" s="38" t="s">
        <v>1024</v>
      </c>
      <c r="AE674" s="40" t="s">
        <v>1323</v>
      </c>
      <c r="AF674" s="39">
        <f>データ!K674</f>
        <v>35712</v>
      </c>
      <c r="AG674" s="40" t="s">
        <v>1024</v>
      </c>
      <c r="AH674" s="40" t="s">
        <v>1324</v>
      </c>
      <c r="AI674" s="39" t="str">
        <f>データ!L674</f>
        <v>覆滅の焔</v>
      </c>
      <c r="AJ674" s="10" t="s">
        <v>1113</v>
      </c>
      <c r="AK674" s="39" t="str">
        <f>データ!M674</f>
        <v>敵全体に攻撃[特大]</v>
      </c>
      <c r="AL674" s="10" t="s">
        <v>1024</v>
      </c>
      <c r="AM674" s="40" t="s">
        <v>1325</v>
      </c>
      <c r="AN674" s="39" t="str">
        <f>データ!N674</f>
        <v>-</v>
      </c>
      <c r="AO674" s="10" t="s">
        <v>1113</v>
      </c>
      <c r="AP674" s="39" t="str">
        <f>データ!O674</f>
        <v>　</v>
      </c>
      <c r="AQ674" s="41" t="s">
        <v>1024</v>
      </c>
      <c r="AR674" s="40" t="s">
        <v>1324</v>
      </c>
      <c r="AS674" s="39" t="str">
        <f>データ!P674</f>
        <v>ランページ／絶</v>
      </c>
      <c r="AT674" s="10" t="s">
        <v>1113</v>
      </c>
      <c r="AU674" s="39" t="str">
        <f>データ!Q674</f>
        <v>バトルで獲得する騎士団戦スコアが大アップ(3分間)</v>
      </c>
      <c r="AV674" s="10" t="s">
        <v>1024</v>
      </c>
      <c r="AW674" s="40" t="s">
        <v>1324</v>
      </c>
      <c r="AX674" s="39" t="str">
        <f>データ!R674</f>
        <v>-</v>
      </c>
      <c r="AY674" s="10" t="s">
        <v>1113</v>
      </c>
      <c r="AZ674" s="39" t="str">
        <f>データ!S674</f>
        <v>　</v>
      </c>
      <c r="BA674" s="41" t="s">
        <v>1024</v>
      </c>
      <c r="BB674" s="40" t="s">
        <v>1319</v>
      </c>
      <c r="BC674" s="39" t="str">
        <f>データ!T674</f>
        <v>-</v>
      </c>
      <c r="BD674" s="41" t="s">
        <v>1024</v>
      </c>
      <c r="BE674" s="40" t="s">
        <v>1320</v>
      </c>
      <c r="BF674" s="39" t="str">
        <f>データ!U674</f>
        <v>-</v>
      </c>
      <c r="BG674" s="41" t="s">
        <v>1024</v>
      </c>
      <c r="BH674" s="40" t="s">
        <v>1319</v>
      </c>
      <c r="BI674" s="39" t="str">
        <f>データ!V674</f>
        <v>第16回統一報酬</v>
      </c>
      <c r="BJ674" s="41" t="s">
        <v>1024</v>
      </c>
      <c r="BK674" s="10" t="s">
        <v>1019</v>
      </c>
    </row>
    <row r="675" spans="1:63" x14ac:dyDescent="0.15">
      <c r="A675" s="10" t="s">
        <v>1016</v>
      </c>
      <c r="B675" s="10" t="s">
        <v>1454</v>
      </c>
      <c r="C675" s="38" t="str">
        <f>"./images/thumbnail/"&amp;データ!B675&amp;".jpg"</f>
        <v>./images/thumbnail/2100.jpg</v>
      </c>
      <c r="D675" s="38" t="s">
        <v>1455</v>
      </c>
      <c r="E675" s="38" t="str">
        <f>"./images/thumbnail/"&amp;データ!B675&amp;".jpg"</f>
        <v>./images/thumbnail/2100.jpg</v>
      </c>
      <c r="F675" s="38" t="s">
        <v>1116</v>
      </c>
      <c r="G675" s="38" t="s">
        <v>1319</v>
      </c>
      <c r="H675" s="38" t="str">
        <f>データ!C675</f>
        <v>テレジア</v>
      </c>
      <c r="I675" s="38" t="s">
        <v>1024</v>
      </c>
      <c r="J675" s="38" t="s">
        <v>1320</v>
      </c>
      <c r="K675" s="38" t="str">
        <f>データ!D675</f>
        <v>UR</v>
      </c>
      <c r="L675" s="38" t="s">
        <v>1024</v>
      </c>
      <c r="M675" s="38" t="s">
        <v>1321</v>
      </c>
      <c r="N675" s="38">
        <f>データ!E675</f>
        <v>15</v>
      </c>
      <c r="O675" s="38" t="s">
        <v>1024</v>
      </c>
      <c r="P675" s="38" t="s">
        <v>1319</v>
      </c>
      <c r="Q675" s="38" t="str">
        <f>データ!F675</f>
        <v>突</v>
      </c>
      <c r="R675" s="38" t="s">
        <v>1024</v>
      </c>
      <c r="S675" s="38" t="s">
        <v>1319</v>
      </c>
      <c r="T675" s="39">
        <f>データ!G675</f>
        <v>24218</v>
      </c>
      <c r="U675" s="40" t="s">
        <v>1024</v>
      </c>
      <c r="V675" s="40" t="s">
        <v>1319</v>
      </c>
      <c r="W675" s="39">
        <f>データ!H675</f>
        <v>6579</v>
      </c>
      <c r="X675" s="40" t="s">
        <v>1024</v>
      </c>
      <c r="Y675" s="40" t="s">
        <v>1319</v>
      </c>
      <c r="Z675" s="39">
        <f>データ!I675</f>
        <v>8735</v>
      </c>
      <c r="AA675" s="40" t="s">
        <v>1024</v>
      </c>
      <c r="AB675" s="40" t="s">
        <v>1322</v>
      </c>
      <c r="AC675" s="39" t="str">
        <f>データ!J675</f>
        <v>SS2</v>
      </c>
      <c r="AD675" s="38" t="s">
        <v>1024</v>
      </c>
      <c r="AE675" s="40" t="s">
        <v>1323</v>
      </c>
      <c r="AF675" s="39">
        <f>データ!K675</f>
        <v>39532</v>
      </c>
      <c r="AG675" s="40" t="s">
        <v>1024</v>
      </c>
      <c r="AH675" s="40" t="s">
        <v>1324</v>
      </c>
      <c r="AI675" s="39" t="str">
        <f>データ!L675</f>
        <v>覆滅の焔</v>
      </c>
      <c r="AJ675" s="10" t="s">
        <v>1113</v>
      </c>
      <c r="AK675" s="39" t="str">
        <f>データ!M675</f>
        <v>敵全体に攻撃[特大]</v>
      </c>
      <c r="AL675" s="10" t="s">
        <v>1024</v>
      </c>
      <c r="AM675" s="40" t="s">
        <v>1325</v>
      </c>
      <c r="AN675" s="39" t="str">
        <f>データ!N675</f>
        <v>-</v>
      </c>
      <c r="AO675" s="10" t="s">
        <v>1113</v>
      </c>
      <c r="AP675" s="39" t="str">
        <f>データ!O675</f>
        <v>　</v>
      </c>
      <c r="AQ675" s="41" t="s">
        <v>1024</v>
      </c>
      <c r="AR675" s="40" t="s">
        <v>1324</v>
      </c>
      <c r="AS675" s="39" t="str">
        <f>データ!P675</f>
        <v>ランページ／煌</v>
      </c>
      <c r="AT675" s="10" t="s">
        <v>1113</v>
      </c>
      <c r="AU675" s="39" t="str">
        <f>データ!Q675</f>
        <v>バトルで獲得する騎士団戦スコアが特大アップ(3分間)</v>
      </c>
      <c r="AV675" s="10" t="s">
        <v>1024</v>
      </c>
      <c r="AW675" s="40" t="s">
        <v>1324</v>
      </c>
      <c r="AX675" s="39" t="str">
        <f>データ!R675</f>
        <v>グラビティアサルト／絶</v>
      </c>
      <c r="AY675" s="10" t="s">
        <v>1113</v>
      </c>
      <c r="AZ675" s="39" t="str">
        <f>データ!S675</f>
        <v>パーティ全体の攻撃力大UP・速度大DOWN(3分間)</v>
      </c>
      <c r="BA675" s="41" t="s">
        <v>1024</v>
      </c>
      <c r="BB675" s="40" t="s">
        <v>1319</v>
      </c>
      <c r="BC675" s="39" t="str">
        <f>データ!T675</f>
        <v>-</v>
      </c>
      <c r="BD675" s="41" t="s">
        <v>1024</v>
      </c>
      <c r="BE675" s="40" t="s">
        <v>1320</v>
      </c>
      <c r="BF675" s="39" t="str">
        <f>データ!U675</f>
        <v>-</v>
      </c>
      <c r="BG675" s="41" t="s">
        <v>1024</v>
      </c>
      <c r="BH675" s="40" t="s">
        <v>1319</v>
      </c>
      <c r="BI675" s="39" t="str">
        <f>データ!V675</f>
        <v>第16回統一報酬</v>
      </c>
      <c r="BJ675" s="41" t="s">
        <v>1024</v>
      </c>
      <c r="BK675" s="10" t="s">
        <v>1019</v>
      </c>
    </row>
    <row r="676" spans="1:63" x14ac:dyDescent="0.15">
      <c r="A676" s="10" t="s">
        <v>1016</v>
      </c>
      <c r="B676" s="10" t="s">
        <v>1454</v>
      </c>
      <c r="C676" s="38" t="str">
        <f>"./images/thumbnail/"&amp;データ!B676&amp;".jpg"</f>
        <v>./images/thumbnail/2101.jpg</v>
      </c>
      <c r="D676" s="38" t="s">
        <v>1455</v>
      </c>
      <c r="E676" s="38" t="str">
        <f>"./images/thumbnail/"&amp;データ!B676&amp;".jpg"</f>
        <v>./images/thumbnail/2101.jpg</v>
      </c>
      <c r="F676" s="38" t="s">
        <v>1116</v>
      </c>
      <c r="G676" s="38" t="s">
        <v>1319</v>
      </c>
      <c r="H676" s="38" t="str">
        <f>データ!C676</f>
        <v>コレット</v>
      </c>
      <c r="I676" s="38" t="s">
        <v>1024</v>
      </c>
      <c r="J676" s="38" t="s">
        <v>1320</v>
      </c>
      <c r="K676" s="38" t="str">
        <f>データ!D676</f>
        <v>UR</v>
      </c>
      <c r="L676" s="38" t="s">
        <v>1024</v>
      </c>
      <c r="M676" s="38" t="s">
        <v>1321</v>
      </c>
      <c r="N676" s="38">
        <f>データ!E676</f>
        <v>15</v>
      </c>
      <c r="O676" s="38" t="s">
        <v>1024</v>
      </c>
      <c r="P676" s="38" t="s">
        <v>1319</v>
      </c>
      <c r="Q676" s="38" t="str">
        <f>データ!F676</f>
        <v>突</v>
      </c>
      <c r="R676" s="38" t="s">
        <v>1024</v>
      </c>
      <c r="S676" s="38" t="s">
        <v>1319</v>
      </c>
      <c r="T676" s="39">
        <f>データ!G676</f>
        <v>21634</v>
      </c>
      <c r="U676" s="40" t="s">
        <v>1024</v>
      </c>
      <c r="V676" s="40" t="s">
        <v>1319</v>
      </c>
      <c r="W676" s="39">
        <f>データ!H676</f>
        <v>6287</v>
      </c>
      <c r="X676" s="40" t="s">
        <v>1024</v>
      </c>
      <c r="Y676" s="40" t="s">
        <v>1319</v>
      </c>
      <c r="Z676" s="39">
        <f>データ!I676</f>
        <v>7945</v>
      </c>
      <c r="AA676" s="40" t="s">
        <v>1024</v>
      </c>
      <c r="AB676" s="40" t="s">
        <v>1322</v>
      </c>
      <c r="AC676" s="39" t="str">
        <f>データ!J676</f>
        <v>SS2</v>
      </c>
      <c r="AD676" s="38" t="s">
        <v>1024</v>
      </c>
      <c r="AE676" s="40" t="s">
        <v>1323</v>
      </c>
      <c r="AF676" s="39">
        <f>データ!K676</f>
        <v>35866</v>
      </c>
      <c r="AG676" s="40" t="s">
        <v>1024</v>
      </c>
      <c r="AH676" s="40" t="s">
        <v>1324</v>
      </c>
      <c r="AI676" s="39" t="str">
        <f>データ!L676</f>
        <v>焔幻の一閃／煌</v>
      </c>
      <c r="AJ676" s="10" t="s">
        <v>1113</v>
      </c>
      <c r="AK676" s="39" t="str">
        <f>データ!M676</f>
        <v>横一列に攻撃[特大]</v>
      </c>
      <c r="AL676" s="10" t="s">
        <v>1024</v>
      </c>
      <c r="AM676" s="40" t="s">
        <v>1325</v>
      </c>
      <c r="AN676" s="39" t="str">
        <f>データ!N676</f>
        <v>-</v>
      </c>
      <c r="AO676" s="10" t="s">
        <v>1113</v>
      </c>
      <c r="AP676" s="39" t="str">
        <f>データ!O676</f>
        <v>　</v>
      </c>
      <c r="AQ676" s="41" t="s">
        <v>1024</v>
      </c>
      <c r="AR676" s="40" t="s">
        <v>1324</v>
      </c>
      <c r="AS676" s="39" t="str">
        <f>データ!P676</f>
        <v>アサルト／煌</v>
      </c>
      <c r="AT676" s="10" t="s">
        <v>1113</v>
      </c>
      <c r="AU676" s="39" t="str">
        <f>データ!Q676</f>
        <v>パーティ全体の攻撃力が特大UP(3分間)</v>
      </c>
      <c r="AV676" s="10" t="s">
        <v>1024</v>
      </c>
      <c r="AW676" s="40" t="s">
        <v>1324</v>
      </c>
      <c r="AX676" s="39" t="str">
        <f>データ!R676</f>
        <v>ジャガーノート／絶</v>
      </c>
      <c r="AY676" s="10" t="s">
        <v>1113</v>
      </c>
      <c r="AZ676" s="39" t="str">
        <f>データ!S676</f>
        <v>バトルで敵を全滅するとBPが大回復(バトル3回)</v>
      </c>
      <c r="BA676" s="41" t="s">
        <v>1024</v>
      </c>
      <c r="BB676" s="40" t="s">
        <v>1319</v>
      </c>
      <c r="BC676" s="39" t="str">
        <f>データ!T676</f>
        <v>-</v>
      </c>
      <c r="BD676" s="41" t="s">
        <v>1024</v>
      </c>
      <c r="BE676" s="40" t="s">
        <v>1320</v>
      </c>
      <c r="BF676" s="39" t="str">
        <f>データ!U676</f>
        <v>-</v>
      </c>
      <c r="BG676" s="41" t="s">
        <v>1024</v>
      </c>
      <c r="BH676" s="40" t="s">
        <v>1319</v>
      </c>
      <c r="BI676" s="39" t="str">
        <f>データ!V676</f>
        <v>新騎士任務</v>
      </c>
      <c r="BJ676" s="41" t="s">
        <v>1024</v>
      </c>
      <c r="BK676" s="10" t="s">
        <v>1019</v>
      </c>
    </row>
    <row r="677" spans="1:63" x14ac:dyDescent="0.15">
      <c r="A677" s="10" t="s">
        <v>1016</v>
      </c>
      <c r="B677" s="10" t="s">
        <v>1454</v>
      </c>
      <c r="C677" s="38" t="str">
        <f>"./images/thumbnail/"&amp;データ!B677&amp;".jpg"</f>
        <v>./images/thumbnail/2103.jpg</v>
      </c>
      <c r="D677" s="38" t="s">
        <v>1455</v>
      </c>
      <c r="E677" s="38" t="str">
        <f>"./images/thumbnail/"&amp;データ!B677&amp;".jpg"</f>
        <v>./images/thumbnail/2103.jpg</v>
      </c>
      <c r="F677" s="38" t="s">
        <v>1116</v>
      </c>
      <c r="G677" s="38" t="s">
        <v>1319</v>
      </c>
      <c r="H677" s="38" t="str">
        <f>データ!C677</f>
        <v>アルベリク</v>
      </c>
      <c r="I677" s="38" t="s">
        <v>1024</v>
      </c>
      <c r="J677" s="38" t="s">
        <v>1320</v>
      </c>
      <c r="K677" s="38" t="str">
        <f>データ!D677</f>
        <v>UR</v>
      </c>
      <c r="L677" s="38" t="s">
        <v>1024</v>
      </c>
      <c r="M677" s="38" t="s">
        <v>1321</v>
      </c>
      <c r="N677" s="38">
        <f>データ!E677</f>
        <v>15</v>
      </c>
      <c r="O677" s="38" t="s">
        <v>1024</v>
      </c>
      <c r="P677" s="38" t="s">
        <v>1319</v>
      </c>
      <c r="Q677" s="38" t="str">
        <f>データ!F677</f>
        <v>斬</v>
      </c>
      <c r="R677" s="38" t="s">
        <v>1024</v>
      </c>
      <c r="S677" s="38" t="s">
        <v>1319</v>
      </c>
      <c r="T677" s="39">
        <f>データ!G677</f>
        <v>20471</v>
      </c>
      <c r="U677" s="40" t="s">
        <v>1024</v>
      </c>
      <c r="V677" s="40" t="s">
        <v>1319</v>
      </c>
      <c r="W677" s="39">
        <f>データ!H677</f>
        <v>9374</v>
      </c>
      <c r="X677" s="40" t="s">
        <v>1024</v>
      </c>
      <c r="Y677" s="40" t="s">
        <v>1319</v>
      </c>
      <c r="Z677" s="39">
        <f>データ!I677</f>
        <v>6977</v>
      </c>
      <c r="AA677" s="40" t="s">
        <v>1024</v>
      </c>
      <c r="AB677" s="40" t="s">
        <v>1322</v>
      </c>
      <c r="AC677" s="39" t="str">
        <f>データ!J677</f>
        <v>SS-</v>
      </c>
      <c r="AD677" s="38" t="s">
        <v>1024</v>
      </c>
      <c r="AE677" s="40" t="s">
        <v>1323</v>
      </c>
      <c r="AF677" s="39">
        <f>データ!K677</f>
        <v>36822</v>
      </c>
      <c r="AG677" s="40" t="s">
        <v>1024</v>
      </c>
      <c r="AH677" s="40" t="s">
        <v>1324</v>
      </c>
      <c r="AI677" s="39" t="str">
        <f>データ!L677</f>
        <v>魔幻の閃光／煌</v>
      </c>
      <c r="AJ677" s="10" t="s">
        <v>1113</v>
      </c>
      <c r="AK677" s="39" t="str">
        <f>データ!M677</f>
        <v>縦一列に攻撃[特大]</v>
      </c>
      <c r="AL677" s="10" t="s">
        <v>1024</v>
      </c>
      <c r="AM677" s="40" t="s">
        <v>1325</v>
      </c>
      <c r="AN677" s="39" t="str">
        <f>データ!N677</f>
        <v>-</v>
      </c>
      <c r="AO677" s="10" t="s">
        <v>1113</v>
      </c>
      <c r="AP677" s="39" t="str">
        <f>データ!O677</f>
        <v>　</v>
      </c>
      <c r="AQ677" s="41" t="s">
        <v>1024</v>
      </c>
      <c r="AR677" s="40" t="s">
        <v>1324</v>
      </c>
      <c r="AS677" s="39" t="str">
        <f>データ!P677</f>
        <v>グラビティアサルト／煌</v>
      </c>
      <c r="AT677" s="10" t="s">
        <v>1113</v>
      </c>
      <c r="AU677" s="39" t="str">
        <f>データ!Q677</f>
        <v>パーティ全体の攻撃力特大UP・速度大DOWN(3分間)</v>
      </c>
      <c r="AV677" s="10" t="s">
        <v>1024</v>
      </c>
      <c r="AW677" s="40" t="s">
        <v>1324</v>
      </c>
      <c r="AX677" s="39" t="str">
        <f>データ!R677</f>
        <v>ポイントライズ／絶</v>
      </c>
      <c r="AY677" s="10" t="s">
        <v>1113</v>
      </c>
      <c r="AZ677" s="39" t="str">
        <f>データ!S677</f>
        <v>獲得する騎士団戦スコアが大アップ(バトル3回)</v>
      </c>
      <c r="BA677" s="41" t="s">
        <v>1024</v>
      </c>
      <c r="BB677" s="40" t="s">
        <v>1319</v>
      </c>
      <c r="BC677" s="39" t="str">
        <f>データ!T677</f>
        <v>-</v>
      </c>
      <c r="BD677" s="41" t="s">
        <v>1024</v>
      </c>
      <c r="BE677" s="40" t="s">
        <v>1320</v>
      </c>
      <c r="BF677" s="39" t="str">
        <f>データ!U677</f>
        <v>-</v>
      </c>
      <c r="BG677" s="41" t="s">
        <v>1024</v>
      </c>
      <c r="BH677" s="40" t="s">
        <v>1319</v>
      </c>
      <c r="BI677" s="39" t="str">
        <f>データ!V677</f>
        <v>常設</v>
      </c>
      <c r="BJ677" s="41" t="s">
        <v>1024</v>
      </c>
      <c r="BK677" s="10" t="s">
        <v>1019</v>
      </c>
    </row>
    <row r="678" spans="1:63" x14ac:dyDescent="0.15">
      <c r="A678" s="10" t="s">
        <v>1016</v>
      </c>
      <c r="B678" s="10" t="s">
        <v>1454</v>
      </c>
      <c r="C678" s="38" t="str">
        <f>"./images/thumbnail/"&amp;データ!B678&amp;".jpg"</f>
        <v>./images/thumbnail/2105.jpg</v>
      </c>
      <c r="D678" s="38" t="s">
        <v>1455</v>
      </c>
      <c r="E678" s="38" t="str">
        <f>"./images/thumbnail/"&amp;データ!B678&amp;".jpg"</f>
        <v>./images/thumbnail/2105.jpg</v>
      </c>
      <c r="F678" s="38" t="s">
        <v>1116</v>
      </c>
      <c r="G678" s="38" t="s">
        <v>1319</v>
      </c>
      <c r="H678" s="38" t="str">
        <f>データ!C678</f>
        <v>フォルク</v>
      </c>
      <c r="I678" s="38" t="s">
        <v>1024</v>
      </c>
      <c r="J678" s="38" t="s">
        <v>1320</v>
      </c>
      <c r="K678" s="38" t="str">
        <f>データ!D678</f>
        <v>UR</v>
      </c>
      <c r="L678" s="38" t="s">
        <v>1024</v>
      </c>
      <c r="M678" s="38" t="s">
        <v>1321</v>
      </c>
      <c r="N678" s="38">
        <f>データ!E678</f>
        <v>15</v>
      </c>
      <c r="O678" s="38" t="s">
        <v>1024</v>
      </c>
      <c r="P678" s="38" t="s">
        <v>1319</v>
      </c>
      <c r="Q678" s="38" t="str">
        <f>データ!F678</f>
        <v>遠</v>
      </c>
      <c r="R678" s="38" t="s">
        <v>1024</v>
      </c>
      <c r="S678" s="38" t="s">
        <v>1319</v>
      </c>
      <c r="T678" s="39">
        <f>データ!G678</f>
        <v>22917</v>
      </c>
      <c r="U678" s="40" t="s">
        <v>1024</v>
      </c>
      <c r="V678" s="40" t="s">
        <v>1319</v>
      </c>
      <c r="W678" s="39">
        <f>データ!H678</f>
        <v>7395</v>
      </c>
      <c r="X678" s="40" t="s">
        <v>1024</v>
      </c>
      <c r="Y678" s="40" t="s">
        <v>1319</v>
      </c>
      <c r="Z678" s="39">
        <f>データ!I678</f>
        <v>7286</v>
      </c>
      <c r="AA678" s="40" t="s">
        <v>1024</v>
      </c>
      <c r="AB678" s="40" t="s">
        <v>1322</v>
      </c>
      <c r="AC678" s="39" t="str">
        <f>データ!J678</f>
        <v>SS</v>
      </c>
      <c r="AD678" s="38" t="s">
        <v>1024</v>
      </c>
      <c r="AE678" s="40" t="s">
        <v>1323</v>
      </c>
      <c r="AF678" s="39">
        <f>データ!K678</f>
        <v>37598</v>
      </c>
      <c r="AG678" s="40" t="s">
        <v>1024</v>
      </c>
      <c r="AH678" s="40" t="s">
        <v>1324</v>
      </c>
      <c r="AI678" s="39" t="str">
        <f>データ!L678</f>
        <v xml:space="preserve">光芒の神護 </v>
      </c>
      <c r="AJ678" s="10" t="s">
        <v>1113</v>
      </c>
      <c r="AK678" s="39" t="str">
        <f>データ!M678</f>
        <v>味方全体の防御力をUP[特大]</v>
      </c>
      <c r="AL678" s="10" t="s">
        <v>1024</v>
      </c>
      <c r="AM678" s="40" t="s">
        <v>1325</v>
      </c>
      <c r="AN678" s="39" t="str">
        <f>データ!N678</f>
        <v>-</v>
      </c>
      <c r="AO678" s="10" t="s">
        <v>1113</v>
      </c>
      <c r="AP678" s="39" t="str">
        <f>データ!O678</f>
        <v>　</v>
      </c>
      <c r="AQ678" s="41" t="s">
        <v>1024</v>
      </c>
      <c r="AR678" s="40" t="s">
        <v>1324</v>
      </c>
      <c r="AS678" s="39" t="str">
        <f>データ!P678</f>
        <v>エース／煌</v>
      </c>
      <c r="AT678" s="10" t="s">
        <v>1113</v>
      </c>
      <c r="AU678" s="39" t="str">
        <f>データ!Q678</f>
        <v>パーティ全体の攻・防が特大UP(3分間)</v>
      </c>
      <c r="AV678" s="10" t="s">
        <v>1024</v>
      </c>
      <c r="AW678" s="40" t="s">
        <v>1324</v>
      </c>
      <c r="AX678" s="39" t="str">
        <f>データ!R678</f>
        <v>ストリーム／真</v>
      </c>
      <c r="AY678" s="10" t="s">
        <v>1113</v>
      </c>
      <c r="AZ678" s="39" t="str">
        <f>データ!S678</f>
        <v>パーティ全体の攻撃力・速度が中UP(3分間)</v>
      </c>
      <c r="BA678" s="41" t="s">
        <v>1024</v>
      </c>
      <c r="BB678" s="40" t="s">
        <v>1319</v>
      </c>
      <c r="BC678" s="39" t="str">
        <f>データ!T678</f>
        <v>-</v>
      </c>
      <c r="BD678" s="41" t="s">
        <v>1024</v>
      </c>
      <c r="BE678" s="40" t="s">
        <v>1320</v>
      </c>
      <c r="BF678" s="39" t="str">
        <f>データ!U678</f>
        <v>-</v>
      </c>
      <c r="BG678" s="41" t="s">
        <v>1024</v>
      </c>
      <c r="BH678" s="40" t="s">
        <v>1319</v>
      </c>
      <c r="BI678" s="39" t="str">
        <f>データ!V678</f>
        <v>常設</v>
      </c>
      <c r="BJ678" s="41" t="s">
        <v>1024</v>
      </c>
      <c r="BK678" s="10" t="s">
        <v>1019</v>
      </c>
    </row>
    <row r="679" spans="1:63" x14ac:dyDescent="0.15">
      <c r="A679" s="10" t="s">
        <v>1016</v>
      </c>
      <c r="B679" s="10" t="s">
        <v>1454</v>
      </c>
      <c r="C679" s="38" t="str">
        <f>"./images/thumbnail/"&amp;データ!B679&amp;".jpg"</f>
        <v>./images/thumbnail/2106.jpg</v>
      </c>
      <c r="D679" s="38" t="s">
        <v>1455</v>
      </c>
      <c r="E679" s="38" t="str">
        <f>"./images/thumbnail/"&amp;データ!B679&amp;".jpg"</f>
        <v>./images/thumbnail/2106.jpg</v>
      </c>
      <c r="F679" s="38" t="s">
        <v>1116</v>
      </c>
      <c r="G679" s="38" t="s">
        <v>1319</v>
      </c>
      <c r="H679" s="38" t="str">
        <f>データ!C679</f>
        <v>エリス</v>
      </c>
      <c r="I679" s="38" t="s">
        <v>1024</v>
      </c>
      <c r="J679" s="38" t="s">
        <v>1320</v>
      </c>
      <c r="K679" s="38" t="str">
        <f>データ!D679</f>
        <v>UR</v>
      </c>
      <c r="L679" s="38" t="s">
        <v>1024</v>
      </c>
      <c r="M679" s="38" t="s">
        <v>1321</v>
      </c>
      <c r="N679" s="38">
        <f>データ!E679</f>
        <v>15</v>
      </c>
      <c r="O679" s="38" t="s">
        <v>1024</v>
      </c>
      <c r="P679" s="38" t="s">
        <v>1319</v>
      </c>
      <c r="Q679" s="38" t="str">
        <f>データ!F679</f>
        <v>突</v>
      </c>
      <c r="R679" s="38" t="s">
        <v>1024</v>
      </c>
      <c r="S679" s="38" t="s">
        <v>1319</v>
      </c>
      <c r="T679" s="39">
        <f>データ!G679</f>
        <v>23181</v>
      </c>
      <c r="U679" s="40" t="s">
        <v>1024</v>
      </c>
      <c r="V679" s="40" t="s">
        <v>1319</v>
      </c>
      <c r="W679" s="39">
        <f>データ!H679</f>
        <v>6542</v>
      </c>
      <c r="X679" s="40" t="s">
        <v>1024</v>
      </c>
      <c r="Y679" s="40" t="s">
        <v>1319</v>
      </c>
      <c r="Z679" s="39">
        <f>データ!I679</f>
        <v>8419</v>
      </c>
      <c r="AA679" s="40" t="s">
        <v>1024</v>
      </c>
      <c r="AB679" s="40" t="s">
        <v>1322</v>
      </c>
      <c r="AC679" s="39" t="str">
        <f>データ!J679</f>
        <v>SS2</v>
      </c>
      <c r="AD679" s="38" t="s">
        <v>1024</v>
      </c>
      <c r="AE679" s="40" t="s">
        <v>1323</v>
      </c>
      <c r="AF679" s="39">
        <f>データ!K679</f>
        <v>38142</v>
      </c>
      <c r="AG679" s="40" t="s">
        <v>1024</v>
      </c>
      <c r="AH679" s="40" t="s">
        <v>1324</v>
      </c>
      <c r="AI679" s="39" t="str">
        <f>データ!L679</f>
        <v>対紫の突風／煌</v>
      </c>
      <c r="AJ679" s="10" t="s">
        <v>1113</v>
      </c>
      <c r="AK679" s="39" t="str">
        <f>データ!M679</f>
        <v>打に強く遠に弱い縦一列攻撃[特大]</v>
      </c>
      <c r="AL679" s="10" t="s">
        <v>1024</v>
      </c>
      <c r="AM679" s="40" t="s">
        <v>1325</v>
      </c>
      <c r="AN679" s="39" t="str">
        <f>データ!N679</f>
        <v>-</v>
      </c>
      <c r="AO679" s="10" t="s">
        <v>1113</v>
      </c>
      <c r="AP679" s="39" t="str">
        <f>データ!O679</f>
        <v>　</v>
      </c>
      <c r="AQ679" s="41" t="s">
        <v>1024</v>
      </c>
      <c r="AR679" s="40" t="s">
        <v>1324</v>
      </c>
      <c r="AS679" s="39" t="str">
        <f>データ!P679</f>
        <v>ファランクス／絶</v>
      </c>
      <c r="AT679" s="10" t="s">
        <v>1113</v>
      </c>
      <c r="AU679" s="39" t="str">
        <f>データ!Q679</f>
        <v>騎士団全体の強襲率大DOWN・防御力大UP(3分間)</v>
      </c>
      <c r="AV679" s="10" t="s">
        <v>1024</v>
      </c>
      <c r="AW679" s="40" t="s">
        <v>1324</v>
      </c>
      <c r="AX679" s="39" t="str">
        <f>データ!R679</f>
        <v>アクセラレーター／絶</v>
      </c>
      <c r="AY679" s="10" t="s">
        <v>1113</v>
      </c>
      <c r="AZ679" s="39" t="str">
        <f>データ!S679</f>
        <v>パーティ全体の速度が大UP(3分間)</v>
      </c>
      <c r="BA679" s="41" t="s">
        <v>1024</v>
      </c>
      <c r="BB679" s="40" t="s">
        <v>1319</v>
      </c>
      <c r="BC679" s="39" t="str">
        <f>データ!T679</f>
        <v>-</v>
      </c>
      <c r="BD679" s="41" t="s">
        <v>1024</v>
      </c>
      <c r="BE679" s="40" t="s">
        <v>1320</v>
      </c>
      <c r="BF679" s="39" t="str">
        <f>データ!U679</f>
        <v>-</v>
      </c>
      <c r="BG679" s="41" t="s">
        <v>1024</v>
      </c>
      <c r="BH679" s="40" t="s">
        <v>1319</v>
      </c>
      <c r="BI679" s="39" t="str">
        <f>データ!V679</f>
        <v>ポーカー</v>
      </c>
      <c r="BJ679" s="41" t="s">
        <v>1024</v>
      </c>
      <c r="BK679" s="10" t="s">
        <v>1019</v>
      </c>
    </row>
    <row r="680" spans="1:63" x14ac:dyDescent="0.15">
      <c r="A680" s="10" t="s">
        <v>1016</v>
      </c>
      <c r="B680" s="10" t="s">
        <v>1454</v>
      </c>
      <c r="C680" s="38" t="str">
        <f>"./images/thumbnail/"&amp;データ!B680&amp;".jpg"</f>
        <v>./images/thumbnail/2108.jpg</v>
      </c>
      <c r="D680" s="38" t="s">
        <v>1455</v>
      </c>
      <c r="E680" s="38" t="str">
        <f>"./images/thumbnail/"&amp;データ!B680&amp;".jpg"</f>
        <v>./images/thumbnail/2108.jpg</v>
      </c>
      <c r="F680" s="38" t="s">
        <v>1116</v>
      </c>
      <c r="G680" s="38" t="s">
        <v>1319</v>
      </c>
      <c r="H680" s="38" t="str">
        <f>データ!C680</f>
        <v>シュエット</v>
      </c>
      <c r="I680" s="38" t="s">
        <v>1024</v>
      </c>
      <c r="J680" s="38" t="s">
        <v>1320</v>
      </c>
      <c r="K680" s="38" t="str">
        <f>データ!D680</f>
        <v>UR</v>
      </c>
      <c r="L680" s="38" t="s">
        <v>1024</v>
      </c>
      <c r="M680" s="38" t="s">
        <v>1321</v>
      </c>
      <c r="N680" s="38">
        <f>データ!E680</f>
        <v>15</v>
      </c>
      <c r="O680" s="38" t="s">
        <v>1024</v>
      </c>
      <c r="P680" s="38" t="s">
        <v>1319</v>
      </c>
      <c r="Q680" s="38" t="str">
        <f>データ!F680</f>
        <v>斬</v>
      </c>
      <c r="R680" s="38" t="s">
        <v>1024</v>
      </c>
      <c r="S680" s="38" t="s">
        <v>1319</v>
      </c>
      <c r="T680" s="39">
        <f>データ!G680</f>
        <v>21735</v>
      </c>
      <c r="U680" s="40" t="s">
        <v>1024</v>
      </c>
      <c r="V680" s="40" t="s">
        <v>1319</v>
      </c>
      <c r="W680" s="39">
        <f>データ!H680</f>
        <v>9321</v>
      </c>
      <c r="X680" s="40" t="s">
        <v>1024</v>
      </c>
      <c r="Y680" s="40" t="s">
        <v>1319</v>
      </c>
      <c r="Z680" s="39">
        <f>データ!I680</f>
        <v>7767</v>
      </c>
      <c r="AA680" s="40" t="s">
        <v>1024</v>
      </c>
      <c r="AB680" s="40" t="s">
        <v>1322</v>
      </c>
      <c r="AC680" s="39" t="str">
        <f>データ!J680</f>
        <v>SS-</v>
      </c>
      <c r="AD680" s="38" t="s">
        <v>1024</v>
      </c>
      <c r="AE680" s="40" t="s">
        <v>1323</v>
      </c>
      <c r="AF680" s="39">
        <f>データ!K680</f>
        <v>38823</v>
      </c>
      <c r="AG680" s="40" t="s">
        <v>1024</v>
      </c>
      <c r="AH680" s="40" t="s">
        <v>1324</v>
      </c>
      <c r="AI680" s="39" t="str">
        <f>データ!L680</f>
        <v>焔幻の一閃／煌</v>
      </c>
      <c r="AJ680" s="10" t="s">
        <v>1113</v>
      </c>
      <c r="AK680" s="39" t="str">
        <f>データ!M680</f>
        <v>横一列に攻撃[特大]</v>
      </c>
      <c r="AL680" s="10" t="s">
        <v>1024</v>
      </c>
      <c r="AM680" s="40" t="s">
        <v>1325</v>
      </c>
      <c r="AN680" s="39" t="str">
        <f>データ!N680</f>
        <v>-</v>
      </c>
      <c r="AO680" s="10" t="s">
        <v>1113</v>
      </c>
      <c r="AP680" s="39" t="str">
        <f>データ!O680</f>
        <v>　</v>
      </c>
      <c r="AQ680" s="41" t="s">
        <v>1024</v>
      </c>
      <c r="AR680" s="40" t="s">
        <v>1324</v>
      </c>
      <c r="AS680" s="39" t="str">
        <f>データ!P680</f>
        <v>バーサク／絶</v>
      </c>
      <c r="AT680" s="10" t="s">
        <v>1113</v>
      </c>
      <c r="AU680" s="39" t="str">
        <f>データ!Q680</f>
        <v>強襲が発生無効、バトル時に攻・防大UP(3分間)</v>
      </c>
      <c r="AV680" s="10" t="s">
        <v>1024</v>
      </c>
      <c r="AW680" s="40" t="s">
        <v>1324</v>
      </c>
      <c r="AX680" s="39" t="str">
        <f>データ!R680</f>
        <v>アサルトオーダー／真</v>
      </c>
      <c r="AY680" s="10" t="s">
        <v>1113</v>
      </c>
      <c r="AZ680" s="39" t="str">
        <f>データ!S680</f>
        <v>騎士団全体の攻撃力が中UP(3分間)</v>
      </c>
      <c r="BA680" s="41" t="s">
        <v>1024</v>
      </c>
      <c r="BB680" s="40" t="s">
        <v>1319</v>
      </c>
      <c r="BC680" s="39" t="str">
        <f>データ!T680</f>
        <v>-</v>
      </c>
      <c r="BD680" s="41" t="s">
        <v>1024</v>
      </c>
      <c r="BE680" s="40" t="s">
        <v>1320</v>
      </c>
      <c r="BF680" s="39" t="str">
        <f>データ!U680</f>
        <v>-</v>
      </c>
      <c r="BG680" s="41" t="s">
        <v>1024</v>
      </c>
      <c r="BH680" s="40" t="s">
        <v>1319</v>
      </c>
      <c r="BI680" s="39" t="str">
        <f>データ!V680</f>
        <v>ガチャイベ</v>
      </c>
      <c r="BJ680" s="41" t="s">
        <v>1024</v>
      </c>
      <c r="BK680" s="10" t="s">
        <v>1019</v>
      </c>
    </row>
    <row r="681" spans="1:63" x14ac:dyDescent="0.15">
      <c r="A681" s="10" t="s">
        <v>1016</v>
      </c>
      <c r="B681" s="10" t="s">
        <v>1454</v>
      </c>
      <c r="C681" s="38" t="str">
        <f>"./images/thumbnail/"&amp;データ!B681&amp;".jpg"</f>
        <v>./images/thumbnail/2110.jpg</v>
      </c>
      <c r="D681" s="38" t="s">
        <v>1455</v>
      </c>
      <c r="E681" s="38" t="str">
        <f>"./images/thumbnail/"&amp;データ!B681&amp;".jpg"</f>
        <v>./images/thumbnail/2110.jpg</v>
      </c>
      <c r="F681" s="38" t="s">
        <v>1116</v>
      </c>
      <c r="G681" s="38" t="s">
        <v>1319</v>
      </c>
      <c r="H681" s="38" t="str">
        <f>データ!C681</f>
        <v>トルテ</v>
      </c>
      <c r="I681" s="38" t="s">
        <v>1024</v>
      </c>
      <c r="J681" s="38" t="s">
        <v>1320</v>
      </c>
      <c r="K681" s="38" t="str">
        <f>データ!D681</f>
        <v>UR</v>
      </c>
      <c r="L681" s="38" t="s">
        <v>1024</v>
      </c>
      <c r="M681" s="38" t="s">
        <v>1321</v>
      </c>
      <c r="N681" s="38">
        <f>データ!E681</f>
        <v>15</v>
      </c>
      <c r="O681" s="38" t="s">
        <v>1024</v>
      </c>
      <c r="P681" s="38" t="s">
        <v>1319</v>
      </c>
      <c r="Q681" s="38" t="str">
        <f>データ!F681</f>
        <v>遠</v>
      </c>
      <c r="R681" s="38" t="s">
        <v>1024</v>
      </c>
      <c r="S681" s="38" t="s">
        <v>1319</v>
      </c>
      <c r="T681" s="39">
        <f>データ!G681</f>
        <v>23474</v>
      </c>
      <c r="U681" s="40" t="s">
        <v>1024</v>
      </c>
      <c r="V681" s="40" t="s">
        <v>1319</v>
      </c>
      <c r="W681" s="39">
        <f>データ!H681</f>
        <v>7537</v>
      </c>
      <c r="X681" s="40" t="s">
        <v>1024</v>
      </c>
      <c r="Y681" s="40" t="s">
        <v>1319</v>
      </c>
      <c r="Z681" s="39">
        <f>データ!I681</f>
        <v>7053</v>
      </c>
      <c r="AA681" s="40" t="s">
        <v>1024</v>
      </c>
      <c r="AB681" s="40" t="s">
        <v>1322</v>
      </c>
      <c r="AC681" s="39" t="str">
        <f>データ!J681</f>
        <v>SS</v>
      </c>
      <c r="AD681" s="38" t="s">
        <v>1024</v>
      </c>
      <c r="AE681" s="40" t="s">
        <v>1323</v>
      </c>
      <c r="AF681" s="39">
        <f>データ!K681</f>
        <v>38064</v>
      </c>
      <c r="AG681" s="40" t="s">
        <v>1024</v>
      </c>
      <c r="AH681" s="40" t="s">
        <v>1324</v>
      </c>
      <c r="AI681" s="39" t="str">
        <f>データ!L681</f>
        <v>幻射の六連撃／真</v>
      </c>
      <c r="AJ681" s="10" t="s">
        <v>1113</v>
      </c>
      <c r="AK681" s="39" t="str">
        <f>データ!M681</f>
        <v>ランダムで6連続攻撃[中]</v>
      </c>
      <c r="AL681" s="38" t="s">
        <v>1024</v>
      </c>
      <c r="AM681" s="40" t="s">
        <v>1325</v>
      </c>
      <c r="AN681" s="39" t="str">
        <f>データ!N681</f>
        <v>-</v>
      </c>
      <c r="AO681" s="10" t="s">
        <v>1113</v>
      </c>
      <c r="AP681" s="39" t="str">
        <f>データ!O681</f>
        <v>　</v>
      </c>
      <c r="AQ681" s="41" t="s">
        <v>1024</v>
      </c>
      <c r="AR681" s="40" t="s">
        <v>1324</v>
      </c>
      <c r="AS681" s="39" t="str">
        <f>データ!P681</f>
        <v>エンダーブレイク／煌</v>
      </c>
      <c r="AT681" s="10" t="s">
        <v>1113</v>
      </c>
      <c r="AU681" s="39" t="str">
        <f>データ!Q681</f>
        <v>騎士団スコア特大UP・キリ番CB最大値UP(3回)</v>
      </c>
      <c r="AV681" s="10" t="s">
        <v>1024</v>
      </c>
      <c r="AW681" s="40" t="s">
        <v>1324</v>
      </c>
      <c r="AX681" s="39" t="str">
        <f>データ!R681</f>
        <v>オラクル／絶</v>
      </c>
      <c r="AY681" s="10" t="s">
        <v>1113</v>
      </c>
      <c r="AZ681" s="39" t="str">
        <f>データ!S681</f>
        <v>パーティ全体のスキル発動率が大UP(3分間)</v>
      </c>
      <c r="BA681" s="41" t="s">
        <v>1024</v>
      </c>
      <c r="BB681" s="40" t="s">
        <v>1319</v>
      </c>
      <c r="BC681" s="39" t="str">
        <f>データ!T681</f>
        <v>-</v>
      </c>
      <c r="BD681" s="41" t="s">
        <v>1024</v>
      </c>
      <c r="BE681" s="40" t="s">
        <v>1320</v>
      </c>
      <c r="BF681" s="39" t="str">
        <f>データ!U681</f>
        <v>-</v>
      </c>
      <c r="BG681" s="41" t="s">
        <v>1024</v>
      </c>
      <c r="BH681" s="40" t="s">
        <v>1319</v>
      </c>
      <c r="BI681" s="39" t="str">
        <f>データ!V681</f>
        <v>ガチャイベ</v>
      </c>
      <c r="BJ681" s="41" t="s">
        <v>1024</v>
      </c>
      <c r="BK681" s="10" t="s">
        <v>1019</v>
      </c>
    </row>
    <row r="682" spans="1:63" x14ac:dyDescent="0.15">
      <c r="A682" s="10" t="s">
        <v>1016</v>
      </c>
      <c r="B682" s="10" t="s">
        <v>1454</v>
      </c>
      <c r="C682" s="38" t="str">
        <f>"./images/thumbnail/"&amp;データ!B682&amp;".jpg"</f>
        <v>./images/thumbnail/2112.jpg</v>
      </c>
      <c r="D682" s="38" t="s">
        <v>1455</v>
      </c>
      <c r="E682" s="38" t="str">
        <f>"./images/thumbnail/"&amp;データ!B682&amp;".jpg"</f>
        <v>./images/thumbnail/2112.jpg</v>
      </c>
      <c r="F682" s="38" t="s">
        <v>1116</v>
      </c>
      <c r="G682" s="38" t="s">
        <v>1319</v>
      </c>
      <c r="H682" s="38" t="str">
        <f>データ!C682</f>
        <v>クー･モリモル</v>
      </c>
      <c r="I682" s="38" t="s">
        <v>1024</v>
      </c>
      <c r="J682" s="38" t="s">
        <v>1320</v>
      </c>
      <c r="K682" s="38" t="str">
        <f>データ!D682</f>
        <v>UR</v>
      </c>
      <c r="L682" s="38" t="s">
        <v>1024</v>
      </c>
      <c r="M682" s="38" t="s">
        <v>1321</v>
      </c>
      <c r="N682" s="38">
        <f>データ!E682</f>
        <v>15</v>
      </c>
      <c r="O682" s="38" t="s">
        <v>1024</v>
      </c>
      <c r="P682" s="38" t="s">
        <v>1319</v>
      </c>
      <c r="Q682" s="38" t="str">
        <f>データ!F682</f>
        <v>遠</v>
      </c>
      <c r="R682" s="38" t="s">
        <v>1024</v>
      </c>
      <c r="S682" s="38" t="s">
        <v>1319</v>
      </c>
      <c r="T682" s="39">
        <f>データ!G682</f>
        <v>23994</v>
      </c>
      <c r="U682" s="40" t="s">
        <v>1024</v>
      </c>
      <c r="V682" s="40" t="s">
        <v>1319</v>
      </c>
      <c r="W682" s="39">
        <f>データ!H682</f>
        <v>7021</v>
      </c>
      <c r="X682" s="40" t="s">
        <v>1024</v>
      </c>
      <c r="Y682" s="40" t="s">
        <v>1319</v>
      </c>
      <c r="Z682" s="39">
        <f>データ!I682</f>
        <v>7012</v>
      </c>
      <c r="AA682" s="40" t="s">
        <v>1024</v>
      </c>
      <c r="AB682" s="40" t="s">
        <v>1322</v>
      </c>
      <c r="AC682" s="39" t="str">
        <f>データ!J682</f>
        <v>SS2</v>
      </c>
      <c r="AD682" s="38" t="s">
        <v>1024</v>
      </c>
      <c r="AE682" s="40" t="s">
        <v>1323</v>
      </c>
      <c r="AF682" s="39">
        <f>データ!K682</f>
        <v>38027</v>
      </c>
      <c r="AG682" s="40" t="s">
        <v>1024</v>
      </c>
      <c r="AH682" s="40" t="s">
        <v>1324</v>
      </c>
      <c r="AI682" s="39" t="str">
        <f>データ!L682</f>
        <v>光芒の英傑</v>
      </c>
      <c r="AJ682" s="10" t="s">
        <v>1113</v>
      </c>
      <c r="AK682" s="39" t="str">
        <f>データ!M682</f>
        <v>味方全体の攻撃力と防御力をUP[特大]</v>
      </c>
      <c r="AL682" s="10" t="s">
        <v>1024</v>
      </c>
      <c r="AM682" s="40" t="s">
        <v>1325</v>
      </c>
      <c r="AN682" s="39" t="str">
        <f>データ!N682</f>
        <v>-</v>
      </c>
      <c r="AO682" s="10" t="s">
        <v>1113</v>
      </c>
      <c r="AP682" s="39" t="str">
        <f>データ!O682</f>
        <v>　</v>
      </c>
      <c r="AQ682" s="41" t="s">
        <v>1024</v>
      </c>
      <c r="AR682" s="40" t="s">
        <v>1324</v>
      </c>
      <c r="AS682" s="39" t="str">
        <f>データ!P682</f>
        <v>オラトリオ／煌</v>
      </c>
      <c r="AT682" s="10" t="s">
        <v>1113</v>
      </c>
      <c r="AU682" s="39" t="str">
        <f>データ!Q682</f>
        <v>強襲無効、攻撃力・スキル発動率特大UP(3分間)</v>
      </c>
      <c r="AV682" s="10" t="s">
        <v>1024</v>
      </c>
      <c r="AW682" s="40" t="s">
        <v>1324</v>
      </c>
      <c r="AX682" s="39" t="str">
        <f>データ!R682</f>
        <v>フォースオブウィッシュ／真</v>
      </c>
      <c r="AY682" s="10" t="s">
        <v>1113</v>
      </c>
      <c r="AZ682" s="39" t="str">
        <f>データ!S682</f>
        <v>騎士団全員のBPを中回復</v>
      </c>
      <c r="BA682" s="41" t="s">
        <v>1024</v>
      </c>
      <c r="BB682" s="40" t="s">
        <v>1319</v>
      </c>
      <c r="BC682" s="39" t="str">
        <f>データ!T682</f>
        <v>-</v>
      </c>
      <c r="BD682" s="41" t="s">
        <v>1024</v>
      </c>
      <c r="BE682" s="40" t="s">
        <v>1320</v>
      </c>
      <c r="BF682" s="39" t="str">
        <f>データ!U682</f>
        <v>-</v>
      </c>
      <c r="BG682" s="41" t="s">
        <v>1024</v>
      </c>
      <c r="BH682" s="40" t="s">
        <v>1319</v>
      </c>
      <c r="BI682" s="39" t="str">
        <f>データ!V682</f>
        <v>ガチャイベ</v>
      </c>
      <c r="BJ682" s="41" t="s">
        <v>1024</v>
      </c>
      <c r="BK682" s="10" t="s">
        <v>1019</v>
      </c>
    </row>
    <row r="683" spans="1:63" x14ac:dyDescent="0.15">
      <c r="A683" s="10" t="s">
        <v>1016</v>
      </c>
      <c r="B683" s="10" t="s">
        <v>1454</v>
      </c>
      <c r="C683" s="38" t="str">
        <f>"./images/thumbnail/"&amp;データ!B683&amp;".jpg"</f>
        <v>./images/thumbnail/2113.jpg</v>
      </c>
      <c r="D683" s="38" t="s">
        <v>1455</v>
      </c>
      <c r="E683" s="38" t="str">
        <f>"./images/thumbnail/"&amp;データ!B683&amp;".jpg"</f>
        <v>./images/thumbnail/2113.jpg</v>
      </c>
      <c r="F683" s="38" t="s">
        <v>1116</v>
      </c>
      <c r="G683" s="38" t="s">
        <v>1319</v>
      </c>
      <c r="H683" s="38" t="str">
        <f>データ!C683</f>
        <v>グレン</v>
      </c>
      <c r="I683" s="38" t="s">
        <v>1024</v>
      </c>
      <c r="J683" s="38" t="s">
        <v>1320</v>
      </c>
      <c r="K683" s="38" t="str">
        <f>データ!D683</f>
        <v>UR</v>
      </c>
      <c r="L683" s="38" t="s">
        <v>1024</v>
      </c>
      <c r="M683" s="38" t="s">
        <v>1321</v>
      </c>
      <c r="N683" s="38">
        <f>データ!E683</f>
        <v>15</v>
      </c>
      <c r="O683" s="38" t="s">
        <v>1024</v>
      </c>
      <c r="P683" s="38" t="s">
        <v>1319</v>
      </c>
      <c r="Q683" s="38" t="str">
        <f>データ!F683</f>
        <v>斬</v>
      </c>
      <c r="R683" s="38" t="s">
        <v>1024</v>
      </c>
      <c r="S683" s="38" t="s">
        <v>1319</v>
      </c>
      <c r="T683" s="39">
        <f>データ!G683</f>
        <v>20043</v>
      </c>
      <c r="U683" s="40" t="s">
        <v>1024</v>
      </c>
      <c r="V683" s="40" t="s">
        <v>1319</v>
      </c>
      <c r="W683" s="39">
        <f>データ!H683</f>
        <v>9183</v>
      </c>
      <c r="X683" s="40" t="s">
        <v>1024</v>
      </c>
      <c r="Y683" s="40" t="s">
        <v>1319</v>
      </c>
      <c r="Z683" s="39">
        <f>データ!I683</f>
        <v>6924</v>
      </c>
      <c r="AA683" s="40" t="s">
        <v>1024</v>
      </c>
      <c r="AB683" s="40" t="s">
        <v>1322</v>
      </c>
      <c r="AC683" s="39" t="str">
        <f>データ!J683</f>
        <v>SS-</v>
      </c>
      <c r="AD683" s="38" t="s">
        <v>1024</v>
      </c>
      <c r="AE683" s="40" t="s">
        <v>1323</v>
      </c>
      <c r="AF683" s="39">
        <f>データ!K683</f>
        <v>36150</v>
      </c>
      <c r="AG683" s="40" t="s">
        <v>1024</v>
      </c>
      <c r="AH683" s="40" t="s">
        <v>1324</v>
      </c>
      <c r="AI683" s="39" t="str">
        <f>データ!L683</f>
        <v>斬紅の業火／絶</v>
      </c>
      <c r="AJ683" s="10" t="s">
        <v>1113</v>
      </c>
      <c r="AK683" s="39" t="str">
        <f>データ!M683</f>
        <v>次の攻撃でダメージが上昇する[大]</v>
      </c>
      <c r="AL683" s="10" t="s">
        <v>1024</v>
      </c>
      <c r="AM683" s="40" t="s">
        <v>1325</v>
      </c>
      <c r="AN683" s="39" t="str">
        <f>データ!N683</f>
        <v>-</v>
      </c>
      <c r="AO683" s="10" t="s">
        <v>1113</v>
      </c>
      <c r="AP683" s="39" t="str">
        <f>データ!O683</f>
        <v>　</v>
      </c>
      <c r="AQ683" s="41" t="s">
        <v>1024</v>
      </c>
      <c r="AR683" s="40" t="s">
        <v>1324</v>
      </c>
      <c r="AS683" s="39" t="str">
        <f>データ!P683</f>
        <v>アサルト／煌</v>
      </c>
      <c r="AT683" s="10" t="s">
        <v>1113</v>
      </c>
      <c r="AU683" s="39" t="str">
        <f>データ!Q683</f>
        <v>パーティ全体の攻撃力が特大UP(3分間)</v>
      </c>
      <c r="AV683" s="10" t="s">
        <v>1024</v>
      </c>
      <c r="AW683" s="40" t="s">
        <v>1324</v>
      </c>
      <c r="AX683" s="39" t="str">
        <f>データ!R683</f>
        <v>ジャガーノート／絶</v>
      </c>
      <c r="AY683" s="10" t="s">
        <v>1113</v>
      </c>
      <c r="AZ683" s="39" t="str">
        <f>データ!S683</f>
        <v>バトルで敵を全滅するとBPが大回復(バトル3回)</v>
      </c>
      <c r="BA683" s="41" t="s">
        <v>1024</v>
      </c>
      <c r="BB683" s="40" t="s">
        <v>1319</v>
      </c>
      <c r="BC683" s="39" t="str">
        <f>データ!T683</f>
        <v>-</v>
      </c>
      <c r="BD683" s="41" t="s">
        <v>1024</v>
      </c>
      <c r="BE683" s="40" t="s">
        <v>1320</v>
      </c>
      <c r="BF683" s="39" t="str">
        <f>データ!U683</f>
        <v>-</v>
      </c>
      <c r="BG683" s="41" t="s">
        <v>1024</v>
      </c>
      <c r="BH683" s="40" t="s">
        <v>1319</v>
      </c>
      <c r="BI683" s="39" t="str">
        <f>データ!V683</f>
        <v>誓いイベ</v>
      </c>
      <c r="BJ683" s="41" t="s">
        <v>1024</v>
      </c>
      <c r="BK683" s="10" t="s">
        <v>1019</v>
      </c>
    </row>
    <row r="684" spans="1:63" x14ac:dyDescent="0.15">
      <c r="A684" s="10" t="s">
        <v>1016</v>
      </c>
      <c r="B684" s="10" t="s">
        <v>1454</v>
      </c>
      <c r="C684" s="38" t="str">
        <f>"./images/thumbnail/"&amp;データ!B684&amp;".jpg"</f>
        <v>./images/thumbnail/2114.jpg</v>
      </c>
      <c r="D684" s="38" t="s">
        <v>1455</v>
      </c>
      <c r="E684" s="38" t="str">
        <f>"./images/thumbnail/"&amp;データ!B684&amp;".jpg"</f>
        <v>./images/thumbnail/2114.jpg</v>
      </c>
      <c r="F684" s="38" t="s">
        <v>1116</v>
      </c>
      <c r="G684" s="38" t="s">
        <v>1319</v>
      </c>
      <c r="H684" s="38" t="str">
        <f>データ!C684</f>
        <v>イネス</v>
      </c>
      <c r="I684" s="38" t="s">
        <v>1024</v>
      </c>
      <c r="J684" s="38" t="s">
        <v>1320</v>
      </c>
      <c r="K684" s="38" t="str">
        <f>データ!D684</f>
        <v>UR</v>
      </c>
      <c r="L684" s="38" t="s">
        <v>1024</v>
      </c>
      <c r="M684" s="38" t="s">
        <v>1321</v>
      </c>
      <c r="N684" s="38">
        <f>データ!E684</f>
        <v>15</v>
      </c>
      <c r="O684" s="38" t="s">
        <v>1024</v>
      </c>
      <c r="P684" s="38" t="s">
        <v>1319</v>
      </c>
      <c r="Q684" s="38" t="str">
        <f>データ!F684</f>
        <v>打</v>
      </c>
      <c r="R684" s="38" t="s">
        <v>1024</v>
      </c>
      <c r="S684" s="38" t="s">
        <v>1319</v>
      </c>
      <c r="T684" s="39">
        <f>データ!G684</f>
        <v>27205</v>
      </c>
      <c r="U684" s="40" t="s">
        <v>1024</v>
      </c>
      <c r="V684" s="40" t="s">
        <v>1319</v>
      </c>
      <c r="W684" s="39">
        <f>データ!H684</f>
        <v>7385</v>
      </c>
      <c r="X684" s="40" t="s">
        <v>1024</v>
      </c>
      <c r="Y684" s="40" t="s">
        <v>1319</v>
      </c>
      <c r="Z684" s="39">
        <f>データ!I684</f>
        <v>10642</v>
      </c>
      <c r="AA684" s="40" t="s">
        <v>1024</v>
      </c>
      <c r="AB684" s="40" t="s">
        <v>1322</v>
      </c>
      <c r="AC684" s="39" t="str">
        <f>データ!J684</f>
        <v>S</v>
      </c>
      <c r="AD684" s="38" t="s">
        <v>1024</v>
      </c>
      <c r="AE684" s="40" t="s">
        <v>1323</v>
      </c>
      <c r="AF684" s="39">
        <f>データ!K684</f>
        <v>45232</v>
      </c>
      <c r="AG684" s="40" t="s">
        <v>1024</v>
      </c>
      <c r="AH684" s="40" t="s">
        <v>1324</v>
      </c>
      <c r="AI684" s="39" t="str">
        <f>データ!L684</f>
        <v>打鋭の六連天</v>
      </c>
      <c r="AJ684" s="10" t="s">
        <v>1113</v>
      </c>
      <c r="AK684" s="39" t="str">
        <f>データ!M684</f>
        <v>ランダムで3～6連撃。攻撃毎に与ダメ2倍[低確率]</v>
      </c>
      <c r="AL684" s="10" t="s">
        <v>1024</v>
      </c>
      <c r="AM684" s="40" t="s">
        <v>1325</v>
      </c>
      <c r="AN684" s="39" t="str">
        <f>データ!N684</f>
        <v>-</v>
      </c>
      <c r="AO684" s="10" t="s">
        <v>1113</v>
      </c>
      <c r="AP684" s="39" t="str">
        <f>データ!O684</f>
        <v>　</v>
      </c>
      <c r="AQ684" s="41" t="s">
        <v>1024</v>
      </c>
      <c r="AR684" s="40" t="s">
        <v>1324</v>
      </c>
      <c r="AS684" s="39" t="str">
        <f>データ!P684</f>
        <v>グラビティアサルト／煌</v>
      </c>
      <c r="AT684" s="10" t="s">
        <v>1113</v>
      </c>
      <c r="AU684" s="39" t="str">
        <f>データ!Q684</f>
        <v>パーティ全体の攻撃力特大UP・速度大DOWN(3分間)</v>
      </c>
      <c r="AV684" s="10" t="s">
        <v>1024</v>
      </c>
      <c r="AW684" s="40" t="s">
        <v>1324</v>
      </c>
      <c r="AX684" s="39" t="str">
        <f>データ!R684</f>
        <v>メナス／真</v>
      </c>
      <c r="AY684" s="10" t="s">
        <v>1113</v>
      </c>
      <c r="AZ684" s="39" t="str">
        <f>データ!S684</f>
        <v>対戦騎士団全体の防御力が中DOWN(3分間)</v>
      </c>
      <c r="BA684" s="41" t="s">
        <v>1024</v>
      </c>
      <c r="BB684" s="40" t="s">
        <v>1319</v>
      </c>
      <c r="BC684" s="39" t="str">
        <f>データ!T684</f>
        <v>-</v>
      </c>
      <c r="BD684" s="41" t="s">
        <v>1024</v>
      </c>
      <c r="BE684" s="40" t="s">
        <v>1320</v>
      </c>
      <c r="BF684" s="39" t="str">
        <f>データ!U684</f>
        <v>-</v>
      </c>
      <c r="BG684" s="41" t="s">
        <v>1024</v>
      </c>
      <c r="BH684" s="40" t="s">
        <v>1319</v>
      </c>
      <c r="BI684" s="39" t="str">
        <f>データ!V684</f>
        <v>ガチャイベ</v>
      </c>
      <c r="BJ684" s="41" t="s">
        <v>1024</v>
      </c>
      <c r="BK684" s="10" t="s">
        <v>1019</v>
      </c>
    </row>
    <row r="685" spans="1:63" x14ac:dyDescent="0.15">
      <c r="A685" s="10" t="s">
        <v>1016</v>
      </c>
      <c r="B685" s="10" t="s">
        <v>1454</v>
      </c>
      <c r="C685" s="38" t="str">
        <f>"./images/thumbnail/"&amp;データ!B685&amp;".jpg"</f>
        <v>./images/thumbnail/2115.jpg</v>
      </c>
      <c r="D685" s="38" t="s">
        <v>1455</v>
      </c>
      <c r="E685" s="38" t="str">
        <f>"./images/thumbnail/"&amp;データ!B685&amp;".jpg"</f>
        <v>./images/thumbnail/2115.jpg</v>
      </c>
      <c r="F685" s="38" t="s">
        <v>1116</v>
      </c>
      <c r="G685" s="38" t="s">
        <v>1319</v>
      </c>
      <c r="H685" s="38" t="str">
        <f>データ!C685</f>
        <v>セレスト</v>
      </c>
      <c r="I685" s="38" t="s">
        <v>1024</v>
      </c>
      <c r="J685" s="38" t="s">
        <v>1320</v>
      </c>
      <c r="K685" s="38" t="str">
        <f>データ!D685</f>
        <v>UR</v>
      </c>
      <c r="L685" s="38" t="s">
        <v>1024</v>
      </c>
      <c r="M685" s="38" t="s">
        <v>1321</v>
      </c>
      <c r="N685" s="38">
        <f>データ!E685</f>
        <v>14</v>
      </c>
      <c r="O685" s="38" t="s">
        <v>1024</v>
      </c>
      <c r="P685" s="38" t="s">
        <v>1319</v>
      </c>
      <c r="Q685" s="38" t="str">
        <f>データ!F685</f>
        <v>突</v>
      </c>
      <c r="R685" s="38" t="s">
        <v>1024</v>
      </c>
      <c r="S685" s="38" t="s">
        <v>1319</v>
      </c>
      <c r="T685" s="39">
        <f>データ!G685</f>
        <v>20471</v>
      </c>
      <c r="U685" s="40" t="s">
        <v>1024</v>
      </c>
      <c r="V685" s="40" t="s">
        <v>1319</v>
      </c>
      <c r="W685" s="39">
        <f>データ!H685</f>
        <v>6147</v>
      </c>
      <c r="X685" s="40" t="s">
        <v>1024</v>
      </c>
      <c r="Y685" s="40" t="s">
        <v>1319</v>
      </c>
      <c r="Z685" s="39">
        <f>データ!I685</f>
        <v>7066</v>
      </c>
      <c r="AA685" s="40" t="s">
        <v>1024</v>
      </c>
      <c r="AB685" s="40" t="s">
        <v>1322</v>
      </c>
      <c r="AC685" s="39" t="str">
        <f>データ!J685</f>
        <v>SS+</v>
      </c>
      <c r="AD685" s="38" t="s">
        <v>1024</v>
      </c>
      <c r="AE685" s="40" t="s">
        <v>1323</v>
      </c>
      <c r="AF685" s="39">
        <f>データ!K685</f>
        <v>33684</v>
      </c>
      <c r="AG685" s="40" t="s">
        <v>1024</v>
      </c>
      <c r="AH685" s="40" t="s">
        <v>1324</v>
      </c>
      <c r="AI685" s="39" t="str">
        <f>データ!L685</f>
        <v>蒼突の神護</v>
      </c>
      <c r="AJ685" s="10" t="s">
        <v>1113</v>
      </c>
      <c r="AK685" s="39" t="str">
        <f>データ!M685</f>
        <v>味方突属性の防御力をUP[特大]</v>
      </c>
      <c r="AL685" s="10" t="s">
        <v>1024</v>
      </c>
      <c r="AM685" s="40" t="s">
        <v>1325</v>
      </c>
      <c r="AN685" s="39" t="str">
        <f>データ!N685</f>
        <v>-</v>
      </c>
      <c r="AO685" s="10" t="s">
        <v>1113</v>
      </c>
      <c r="AP685" s="39" t="str">
        <f>データ!O685</f>
        <v>　</v>
      </c>
      <c r="AQ685" s="41" t="s">
        <v>1024</v>
      </c>
      <c r="AR685" s="40" t="s">
        <v>1324</v>
      </c>
      <c r="AS685" s="39" t="str">
        <f>データ!P685</f>
        <v>メナス／真</v>
      </c>
      <c r="AT685" s="10" t="s">
        <v>1113</v>
      </c>
      <c r="AU685" s="39" t="str">
        <f>データ!Q685</f>
        <v>対戦騎士団全体の防御力が中DOWN(3分間)</v>
      </c>
      <c r="AV685" s="10" t="s">
        <v>1024</v>
      </c>
      <c r="AW685" s="40" t="s">
        <v>1324</v>
      </c>
      <c r="AX685" s="39" t="str">
        <f>データ!R685</f>
        <v>-</v>
      </c>
      <c r="AY685" s="10" t="s">
        <v>1113</v>
      </c>
      <c r="AZ685" s="39" t="str">
        <f>データ!S685</f>
        <v>　</v>
      </c>
      <c r="BA685" s="41" t="s">
        <v>1024</v>
      </c>
      <c r="BB685" s="40" t="s">
        <v>1319</v>
      </c>
      <c r="BC685" s="39" t="str">
        <f>データ!T685</f>
        <v>-</v>
      </c>
      <c r="BD685" s="41" t="s">
        <v>1024</v>
      </c>
      <c r="BE685" s="40" t="s">
        <v>1320</v>
      </c>
      <c r="BF685" s="39" t="str">
        <f>データ!U685</f>
        <v>-</v>
      </c>
      <c r="BG685" s="41" t="s">
        <v>1024</v>
      </c>
      <c r="BH685" s="40" t="s">
        <v>1319</v>
      </c>
      <c r="BI685" s="39" t="str">
        <f>データ!V685</f>
        <v>グラン</v>
      </c>
      <c r="BJ685" s="41" t="s">
        <v>1024</v>
      </c>
      <c r="BK685" s="10" t="s">
        <v>1019</v>
      </c>
    </row>
    <row r="686" spans="1:63" x14ac:dyDescent="0.15">
      <c r="A686" s="10" t="s">
        <v>1016</v>
      </c>
      <c r="B686" s="10" t="s">
        <v>1454</v>
      </c>
      <c r="C686" s="38" t="str">
        <f>"./images/thumbnail/"&amp;データ!B686&amp;".jpg"</f>
        <v>./images/thumbnail/2117.jpg</v>
      </c>
      <c r="D686" s="38" t="s">
        <v>1455</v>
      </c>
      <c r="E686" s="38" t="str">
        <f>"./images/thumbnail/"&amp;データ!B686&amp;".jpg"</f>
        <v>./images/thumbnail/2117.jpg</v>
      </c>
      <c r="F686" s="38" t="s">
        <v>1116</v>
      </c>
      <c r="G686" s="38" t="s">
        <v>1319</v>
      </c>
      <c r="H686" s="38" t="str">
        <f>データ!C686</f>
        <v>キリネ</v>
      </c>
      <c r="I686" s="38" t="s">
        <v>1024</v>
      </c>
      <c r="J686" s="38" t="s">
        <v>1320</v>
      </c>
      <c r="K686" s="38" t="str">
        <f>データ!D686</f>
        <v>UR</v>
      </c>
      <c r="L686" s="38" t="s">
        <v>1024</v>
      </c>
      <c r="M686" s="38" t="s">
        <v>1321</v>
      </c>
      <c r="N686" s="38">
        <f>データ!E686</f>
        <v>15</v>
      </c>
      <c r="O686" s="38" t="s">
        <v>1024</v>
      </c>
      <c r="P686" s="38" t="s">
        <v>1319</v>
      </c>
      <c r="Q686" s="38" t="str">
        <f>データ!F686</f>
        <v>斬</v>
      </c>
      <c r="R686" s="38" t="s">
        <v>1024</v>
      </c>
      <c r="S686" s="38" t="s">
        <v>1319</v>
      </c>
      <c r="T686" s="39">
        <f>データ!G686</f>
        <v>20188</v>
      </c>
      <c r="U686" s="40" t="s">
        <v>1024</v>
      </c>
      <c r="V686" s="40" t="s">
        <v>1319</v>
      </c>
      <c r="W686" s="39">
        <f>データ!H686</f>
        <v>9279</v>
      </c>
      <c r="X686" s="40" t="s">
        <v>1024</v>
      </c>
      <c r="Y686" s="40" t="s">
        <v>1319</v>
      </c>
      <c r="Z686" s="39">
        <f>データ!I686</f>
        <v>7293</v>
      </c>
      <c r="AA686" s="40" t="s">
        <v>1024</v>
      </c>
      <c r="AB686" s="40" t="s">
        <v>1322</v>
      </c>
      <c r="AC686" s="39" t="str">
        <f>データ!J686</f>
        <v>SS-</v>
      </c>
      <c r="AD686" s="38" t="s">
        <v>1024</v>
      </c>
      <c r="AE686" s="40" t="s">
        <v>1323</v>
      </c>
      <c r="AF686" s="39">
        <f>データ!K686</f>
        <v>36760</v>
      </c>
      <c r="AG686" s="40" t="s">
        <v>1024</v>
      </c>
      <c r="AH686" s="40" t="s">
        <v>1324</v>
      </c>
      <c r="AI686" s="39" t="str">
        <f>データ!L686</f>
        <v>対蒼の薙風／煌</v>
      </c>
      <c r="AJ686" s="10" t="s">
        <v>1113</v>
      </c>
      <c r="AK686" s="39" t="str">
        <f>データ!M686</f>
        <v>突に強く斬に弱い横一列攻撃[特大]</v>
      </c>
      <c r="AL686" s="10" t="s">
        <v>1024</v>
      </c>
      <c r="AM686" s="40" t="s">
        <v>1325</v>
      </c>
      <c r="AN686" s="39" t="str">
        <f>データ!N686</f>
        <v>-</v>
      </c>
      <c r="AO686" s="10" t="s">
        <v>1113</v>
      </c>
      <c r="AP686" s="39" t="str">
        <f>データ!O686</f>
        <v>　</v>
      </c>
      <c r="AQ686" s="41" t="s">
        <v>1024</v>
      </c>
      <c r="AR686" s="40" t="s">
        <v>1324</v>
      </c>
      <c r="AS686" s="39" t="str">
        <f>データ!P686</f>
        <v>アサルト／煌</v>
      </c>
      <c r="AT686" s="10" t="s">
        <v>1113</v>
      </c>
      <c r="AU686" s="39" t="str">
        <f>データ!Q686</f>
        <v>パーティ全体の攻撃力が特大UP(3分間)</v>
      </c>
      <c r="AV686" s="10" t="s">
        <v>1024</v>
      </c>
      <c r="AW686" s="40" t="s">
        <v>1324</v>
      </c>
      <c r="AX686" s="39" t="str">
        <f>データ!R686</f>
        <v>エッジノート／絶</v>
      </c>
      <c r="AY686" s="10" t="s">
        <v>1113</v>
      </c>
      <c r="AZ686" s="39" t="str">
        <f>データ!S686</f>
        <v>CB時に獲得ポイント大UP＆BPが大回復(3回)</v>
      </c>
      <c r="BA686" s="41" t="s">
        <v>1024</v>
      </c>
      <c r="BB686" s="40" t="s">
        <v>1319</v>
      </c>
      <c r="BC686" s="39" t="str">
        <f>データ!T686</f>
        <v>-</v>
      </c>
      <c r="BD686" s="41" t="s">
        <v>1024</v>
      </c>
      <c r="BE686" s="40" t="s">
        <v>1320</v>
      </c>
      <c r="BF686" s="39" t="str">
        <f>データ!U686</f>
        <v>-</v>
      </c>
      <c r="BG686" s="41" t="s">
        <v>1024</v>
      </c>
      <c r="BH686" s="40" t="s">
        <v>1319</v>
      </c>
      <c r="BI686" s="39" t="str">
        <f>データ!V686</f>
        <v>常設</v>
      </c>
      <c r="BJ686" s="41" t="s">
        <v>1024</v>
      </c>
      <c r="BK686" s="10" t="s">
        <v>1019</v>
      </c>
    </row>
    <row r="687" spans="1:63" x14ac:dyDescent="0.15">
      <c r="A687" s="10" t="s">
        <v>1016</v>
      </c>
      <c r="B687" s="10" t="s">
        <v>1454</v>
      </c>
      <c r="C687" s="38" t="str">
        <f>"./images/thumbnail/"&amp;データ!B687&amp;".jpg"</f>
        <v>./images/thumbnail/2119.jpg</v>
      </c>
      <c r="D687" s="38" t="s">
        <v>1455</v>
      </c>
      <c r="E687" s="38" t="str">
        <f>"./images/thumbnail/"&amp;データ!B687&amp;".jpg"</f>
        <v>./images/thumbnail/2119.jpg</v>
      </c>
      <c r="F687" s="38" t="s">
        <v>1116</v>
      </c>
      <c r="G687" s="38" t="s">
        <v>1319</v>
      </c>
      <c r="H687" s="38" t="str">
        <f>データ!C687</f>
        <v>ルアン</v>
      </c>
      <c r="I687" s="38" t="s">
        <v>1024</v>
      </c>
      <c r="J687" s="38" t="s">
        <v>1320</v>
      </c>
      <c r="K687" s="38" t="str">
        <f>データ!D687</f>
        <v>UR</v>
      </c>
      <c r="L687" s="38" t="s">
        <v>1024</v>
      </c>
      <c r="M687" s="38" t="s">
        <v>1321</v>
      </c>
      <c r="N687" s="38">
        <f>データ!E687</f>
        <v>15</v>
      </c>
      <c r="O687" s="38" t="s">
        <v>1024</v>
      </c>
      <c r="P687" s="38" t="s">
        <v>1319</v>
      </c>
      <c r="Q687" s="38" t="str">
        <f>データ!F687</f>
        <v>打</v>
      </c>
      <c r="R687" s="38" t="s">
        <v>1024</v>
      </c>
      <c r="S687" s="38" t="s">
        <v>1319</v>
      </c>
      <c r="T687" s="39">
        <f>データ!G687</f>
        <v>25275</v>
      </c>
      <c r="U687" s="40" t="s">
        <v>1024</v>
      </c>
      <c r="V687" s="40" t="s">
        <v>1319</v>
      </c>
      <c r="W687" s="39">
        <f>データ!H687</f>
        <v>7194</v>
      </c>
      <c r="X687" s="40" t="s">
        <v>1024</v>
      </c>
      <c r="Y687" s="40" t="s">
        <v>1319</v>
      </c>
      <c r="Z687" s="39">
        <f>データ!I687</f>
        <v>10616</v>
      </c>
      <c r="AA687" s="40" t="s">
        <v>1024</v>
      </c>
      <c r="AB687" s="40" t="s">
        <v>1322</v>
      </c>
      <c r="AC687" s="39" t="str">
        <f>データ!J687</f>
        <v>S</v>
      </c>
      <c r="AD687" s="38" t="s">
        <v>1024</v>
      </c>
      <c r="AE687" s="40" t="s">
        <v>1323</v>
      </c>
      <c r="AF687" s="39">
        <f>データ!K687</f>
        <v>43085</v>
      </c>
      <c r="AG687" s="40" t="s">
        <v>1024</v>
      </c>
      <c r="AH687" s="40" t="s">
        <v>1324</v>
      </c>
      <c r="AI687" s="39" t="str">
        <f>データ!L687</f>
        <v xml:space="preserve">天護 </v>
      </c>
      <c r="AJ687" s="10" t="s">
        <v>1113</v>
      </c>
      <c r="AK687" s="39" t="str">
        <f>データ!M687</f>
        <v>自分の防御力をUP[極大]</v>
      </c>
      <c r="AL687" s="10" t="s">
        <v>1024</v>
      </c>
      <c r="AM687" s="40" t="s">
        <v>1325</v>
      </c>
      <c r="AN687" s="39" t="str">
        <f>データ!N687</f>
        <v>-</v>
      </c>
      <c r="AO687" s="10" t="s">
        <v>1113</v>
      </c>
      <c r="AP687" s="39" t="str">
        <f>データ!O687</f>
        <v>　</v>
      </c>
      <c r="AQ687" s="41" t="s">
        <v>1024</v>
      </c>
      <c r="AR687" s="40" t="s">
        <v>1324</v>
      </c>
      <c r="AS687" s="39" t="str">
        <f>データ!P687</f>
        <v>スラッシャー／煌</v>
      </c>
      <c r="AT687" s="10" t="s">
        <v>1113</v>
      </c>
      <c r="AU687" s="39" t="str">
        <f>データ!Q687</f>
        <v>キリ番キャッスルブレイク時の獲得ポイント特大UP(3回)</v>
      </c>
      <c r="AV687" s="10" t="s">
        <v>1024</v>
      </c>
      <c r="AW687" s="40" t="s">
        <v>1324</v>
      </c>
      <c r="AX687" s="39" t="str">
        <f>データ!R687</f>
        <v>ポイントライズ／絶</v>
      </c>
      <c r="AY687" s="10" t="s">
        <v>1113</v>
      </c>
      <c r="AZ687" s="39" t="str">
        <f>データ!S687</f>
        <v>獲得する騎士団戦スコアが大アップ(バトル3回)</v>
      </c>
      <c r="BA687" s="41" t="s">
        <v>1024</v>
      </c>
      <c r="BB687" s="40" t="s">
        <v>1319</v>
      </c>
      <c r="BC687" s="39" t="str">
        <f>データ!T687</f>
        <v>-</v>
      </c>
      <c r="BD687" s="41" t="s">
        <v>1024</v>
      </c>
      <c r="BE687" s="40" t="s">
        <v>1320</v>
      </c>
      <c r="BF687" s="39" t="str">
        <f>データ!U687</f>
        <v>-</v>
      </c>
      <c r="BG687" s="41" t="s">
        <v>1024</v>
      </c>
      <c r="BH687" s="40" t="s">
        <v>1319</v>
      </c>
      <c r="BI687" s="39" t="str">
        <f>データ!V687</f>
        <v>常設</v>
      </c>
      <c r="BJ687" s="41" t="s">
        <v>1024</v>
      </c>
      <c r="BK687" s="10" t="s">
        <v>1019</v>
      </c>
    </row>
    <row r="688" spans="1:63" x14ac:dyDescent="0.15">
      <c r="A688" s="10" t="s">
        <v>1016</v>
      </c>
      <c r="B688" s="10" t="s">
        <v>1454</v>
      </c>
      <c r="C688" s="38" t="str">
        <f>"./images/thumbnail/"&amp;データ!B688&amp;".jpg"</f>
        <v>./images/thumbnail/2120.jpg</v>
      </c>
      <c r="D688" s="38" t="s">
        <v>1455</v>
      </c>
      <c r="E688" s="38" t="str">
        <f>"./images/thumbnail/"&amp;データ!B688&amp;".jpg"</f>
        <v>./images/thumbnail/2120.jpg</v>
      </c>
      <c r="F688" s="38" t="s">
        <v>1116</v>
      </c>
      <c r="G688" s="38" t="s">
        <v>1319</v>
      </c>
      <c r="H688" s="38" t="str">
        <f>データ!C688</f>
        <v>リューネ</v>
      </c>
      <c r="I688" s="38" t="s">
        <v>1024</v>
      </c>
      <c r="J688" s="38" t="s">
        <v>1320</v>
      </c>
      <c r="K688" s="38" t="str">
        <f>データ!D688</f>
        <v>UR</v>
      </c>
      <c r="L688" s="38" t="s">
        <v>1024</v>
      </c>
      <c r="M688" s="38" t="s">
        <v>1321</v>
      </c>
      <c r="N688" s="38">
        <f>データ!E688</f>
        <v>15</v>
      </c>
      <c r="O688" s="38" t="s">
        <v>1024</v>
      </c>
      <c r="P688" s="38" t="s">
        <v>1319</v>
      </c>
      <c r="Q688" s="38" t="str">
        <f>データ!F688</f>
        <v>打</v>
      </c>
      <c r="R688" s="38" t="s">
        <v>1024</v>
      </c>
      <c r="S688" s="38" t="s">
        <v>1319</v>
      </c>
      <c r="T688" s="39">
        <f>データ!G688</f>
        <v>26632</v>
      </c>
      <c r="U688" s="40" t="s">
        <v>1024</v>
      </c>
      <c r="V688" s="40" t="s">
        <v>1319</v>
      </c>
      <c r="W688" s="39">
        <f>データ!H688</f>
        <v>7286</v>
      </c>
      <c r="X688" s="40" t="s">
        <v>1024</v>
      </c>
      <c r="Y688" s="40" t="s">
        <v>1319</v>
      </c>
      <c r="Z688" s="39">
        <f>データ!I688</f>
        <v>10467</v>
      </c>
      <c r="AA688" s="40" t="s">
        <v>1024</v>
      </c>
      <c r="AB688" s="40" t="s">
        <v>1322</v>
      </c>
      <c r="AC688" s="39" t="str">
        <f>データ!J688</f>
        <v>S</v>
      </c>
      <c r="AD688" s="38" t="s">
        <v>1024</v>
      </c>
      <c r="AE688" s="40" t="s">
        <v>1323</v>
      </c>
      <c r="AF688" s="39">
        <f>データ!K688</f>
        <v>44385</v>
      </c>
      <c r="AG688" s="40" t="s">
        <v>1024</v>
      </c>
      <c r="AH688" s="40" t="s">
        <v>1324</v>
      </c>
      <c r="AI688" s="39" t="str">
        <f>データ!L688</f>
        <v>幻光の交叉線／煌</v>
      </c>
      <c r="AJ688" s="10" t="s">
        <v>1113</v>
      </c>
      <c r="AK688" s="39" t="str">
        <f>データ!M688</f>
        <v>X字型に攻撃[特大]</v>
      </c>
      <c r="AL688" s="10" t="s">
        <v>1024</v>
      </c>
      <c r="AM688" s="40" t="s">
        <v>1325</v>
      </c>
      <c r="AN688" s="39" t="str">
        <f>データ!N688</f>
        <v>-</v>
      </c>
      <c r="AO688" s="10" t="s">
        <v>1113</v>
      </c>
      <c r="AP688" s="39" t="str">
        <f>データ!O688</f>
        <v>　</v>
      </c>
      <c r="AQ688" s="41" t="s">
        <v>1024</v>
      </c>
      <c r="AR688" s="40" t="s">
        <v>1324</v>
      </c>
      <c r="AS688" s="39" t="str">
        <f>データ!P688</f>
        <v>フォートレス／煌</v>
      </c>
      <c r="AT688" s="10" t="s">
        <v>1113</v>
      </c>
      <c r="AU688" s="39" t="str">
        <f>データ!Q688</f>
        <v>パーティ全体の防御力が特大UP(3分間)</v>
      </c>
      <c r="AV688" s="10" t="s">
        <v>1024</v>
      </c>
      <c r="AW688" s="40" t="s">
        <v>1324</v>
      </c>
      <c r="AX688" s="39" t="str">
        <f>データ!R688</f>
        <v>キャッスルヴェール／真</v>
      </c>
      <c r="AY688" s="10" t="s">
        <v>1113</v>
      </c>
      <c r="AZ688" s="39" t="str">
        <f>データ!S688</f>
        <v>城の強度Lvが中UP(3分間)</v>
      </c>
      <c r="BA688" s="41" t="s">
        <v>1024</v>
      </c>
      <c r="BB688" s="40" t="s">
        <v>1319</v>
      </c>
      <c r="BC688" s="39" t="str">
        <f>データ!T688</f>
        <v>-</v>
      </c>
      <c r="BD688" s="41" t="s">
        <v>1024</v>
      </c>
      <c r="BE688" s="40" t="s">
        <v>1320</v>
      </c>
      <c r="BF688" s="39" t="str">
        <f>データ!U688</f>
        <v>-</v>
      </c>
      <c r="BG688" s="41" t="s">
        <v>1024</v>
      </c>
      <c r="BH688" s="40" t="s">
        <v>1319</v>
      </c>
      <c r="BI688" s="39" t="str">
        <f>データ!V688</f>
        <v>魔女の追憶イベ</v>
      </c>
      <c r="BJ688" s="41" t="s">
        <v>1024</v>
      </c>
      <c r="BK688" s="10" t="s">
        <v>1019</v>
      </c>
    </row>
    <row r="689" spans="1:63" x14ac:dyDescent="0.15">
      <c r="A689" s="10" t="s">
        <v>1016</v>
      </c>
      <c r="B689" s="10" t="s">
        <v>1454</v>
      </c>
      <c r="C689" s="38" t="str">
        <f>"./images/thumbnail/"&amp;データ!B689&amp;".jpg"</f>
        <v>./images/thumbnail/2122.jpg</v>
      </c>
      <c r="D689" s="38" t="s">
        <v>1455</v>
      </c>
      <c r="E689" s="38" t="str">
        <f>"./images/thumbnail/"&amp;データ!B689&amp;".jpg"</f>
        <v>./images/thumbnail/2122.jpg</v>
      </c>
      <c r="F689" s="38" t="s">
        <v>1116</v>
      </c>
      <c r="G689" s="38" t="s">
        <v>1319</v>
      </c>
      <c r="H689" s="38" t="str">
        <f>データ!C689</f>
        <v>イルメリ</v>
      </c>
      <c r="I689" s="38" t="s">
        <v>1024</v>
      </c>
      <c r="J689" s="38" t="s">
        <v>1320</v>
      </c>
      <c r="K689" s="38" t="str">
        <f>データ!D689</f>
        <v>UR</v>
      </c>
      <c r="L689" s="38" t="s">
        <v>1024</v>
      </c>
      <c r="M689" s="38" t="s">
        <v>1321</v>
      </c>
      <c r="N689" s="38">
        <f>データ!E689</f>
        <v>15</v>
      </c>
      <c r="O689" s="38" t="s">
        <v>1024</v>
      </c>
      <c r="P689" s="38" t="s">
        <v>1319</v>
      </c>
      <c r="Q689" s="38" t="str">
        <f>データ!F689</f>
        <v>斬</v>
      </c>
      <c r="R689" s="38" t="s">
        <v>1024</v>
      </c>
      <c r="S689" s="38" t="s">
        <v>1319</v>
      </c>
      <c r="T689" s="39">
        <f>データ!G689</f>
        <v>21271</v>
      </c>
      <c r="U689" s="40" t="s">
        <v>1024</v>
      </c>
      <c r="V689" s="40" t="s">
        <v>1319</v>
      </c>
      <c r="W689" s="39">
        <f>データ!H689</f>
        <v>9377</v>
      </c>
      <c r="X689" s="40" t="s">
        <v>1024</v>
      </c>
      <c r="Y689" s="40" t="s">
        <v>1319</v>
      </c>
      <c r="Z689" s="39">
        <f>データ!I689</f>
        <v>7438</v>
      </c>
      <c r="AA689" s="40" t="s">
        <v>1024</v>
      </c>
      <c r="AB689" s="40" t="s">
        <v>1322</v>
      </c>
      <c r="AC689" s="39" t="str">
        <f>データ!J689</f>
        <v>SS-</v>
      </c>
      <c r="AD689" s="38" t="s">
        <v>1024</v>
      </c>
      <c r="AE689" s="40" t="s">
        <v>1323</v>
      </c>
      <c r="AF689" s="39">
        <f>データ!K689</f>
        <v>38086</v>
      </c>
      <c r="AG689" s="40" t="s">
        <v>1024</v>
      </c>
      <c r="AH689" s="40" t="s">
        <v>1324</v>
      </c>
      <c r="AI689" s="39" t="str">
        <f>データ!L689</f>
        <v>対紫の突風／煌</v>
      </c>
      <c r="AJ689" s="10" t="s">
        <v>1113</v>
      </c>
      <c r="AK689" s="39" t="str">
        <f>データ!M689</f>
        <v>打に強く遠に弱い縦一列攻撃[特大]</v>
      </c>
      <c r="AL689" s="10" t="s">
        <v>1024</v>
      </c>
      <c r="AM689" s="40" t="s">
        <v>1325</v>
      </c>
      <c r="AN689" s="39" t="str">
        <f>データ!N689</f>
        <v>-</v>
      </c>
      <c r="AO689" s="10" t="s">
        <v>1113</v>
      </c>
      <c r="AP689" s="39" t="str">
        <f>データ!O689</f>
        <v>　</v>
      </c>
      <c r="AQ689" s="41" t="s">
        <v>1024</v>
      </c>
      <c r="AR689" s="40" t="s">
        <v>1324</v>
      </c>
      <c r="AS689" s="39" t="str">
        <f>データ!P689</f>
        <v>アサルト／煌</v>
      </c>
      <c r="AT689" s="10" t="s">
        <v>1113</v>
      </c>
      <c r="AU689" s="39" t="str">
        <f>データ!Q689</f>
        <v>パーティ全体の攻撃力が特大UP(3分間)</v>
      </c>
      <c r="AV689" s="10" t="s">
        <v>1024</v>
      </c>
      <c r="AW689" s="40" t="s">
        <v>1324</v>
      </c>
      <c r="AX689" s="39" t="str">
        <f>データ!R689</f>
        <v>メナス／真</v>
      </c>
      <c r="AY689" s="10" t="s">
        <v>1113</v>
      </c>
      <c r="AZ689" s="39" t="str">
        <f>データ!S689</f>
        <v>対戦騎士団全体の防御力が中DOWN(3分間)</v>
      </c>
      <c r="BA689" s="41" t="s">
        <v>1024</v>
      </c>
      <c r="BB689" s="40" t="s">
        <v>1319</v>
      </c>
      <c r="BC689" s="39" t="str">
        <f>データ!T689</f>
        <v>-</v>
      </c>
      <c r="BD689" s="41" t="s">
        <v>1024</v>
      </c>
      <c r="BE689" s="40" t="s">
        <v>1320</v>
      </c>
      <c r="BF689" s="39" t="str">
        <f>データ!U689</f>
        <v>-</v>
      </c>
      <c r="BG689" s="41" t="s">
        <v>1024</v>
      </c>
      <c r="BH689" s="40" t="s">
        <v>1319</v>
      </c>
      <c r="BI689" s="39" t="str">
        <f>データ!V689</f>
        <v>ガチャイベ</v>
      </c>
      <c r="BJ689" s="41" t="s">
        <v>1024</v>
      </c>
      <c r="BK689" s="10" t="s">
        <v>1019</v>
      </c>
    </row>
    <row r="690" spans="1:63" x14ac:dyDescent="0.15">
      <c r="A690" s="10" t="s">
        <v>1016</v>
      </c>
      <c r="B690" s="10" t="s">
        <v>1454</v>
      </c>
      <c r="C690" s="38" t="str">
        <f>"./images/thumbnail/"&amp;データ!B690&amp;".jpg"</f>
        <v>./images/thumbnail/2124.jpg</v>
      </c>
      <c r="D690" s="38" t="s">
        <v>1455</v>
      </c>
      <c r="E690" s="38" t="str">
        <f>"./images/thumbnail/"&amp;データ!B690&amp;".jpg"</f>
        <v>./images/thumbnail/2124.jpg</v>
      </c>
      <c r="F690" s="38" t="s">
        <v>1116</v>
      </c>
      <c r="G690" s="38" t="s">
        <v>1319</v>
      </c>
      <c r="H690" s="38" t="str">
        <f>データ!C690</f>
        <v>ルイーゼ</v>
      </c>
      <c r="I690" s="38" t="s">
        <v>1024</v>
      </c>
      <c r="J690" s="38" t="s">
        <v>1320</v>
      </c>
      <c r="K690" s="38" t="str">
        <f>データ!D690</f>
        <v>UR</v>
      </c>
      <c r="L690" s="38" t="s">
        <v>1024</v>
      </c>
      <c r="M690" s="38" t="s">
        <v>1321</v>
      </c>
      <c r="N690" s="38">
        <f>データ!E690</f>
        <v>15</v>
      </c>
      <c r="O690" s="38" t="s">
        <v>1024</v>
      </c>
      <c r="P690" s="38" t="s">
        <v>1319</v>
      </c>
      <c r="Q690" s="38" t="str">
        <f>データ!F690</f>
        <v>打</v>
      </c>
      <c r="R690" s="38" t="s">
        <v>1024</v>
      </c>
      <c r="S690" s="38" t="s">
        <v>1319</v>
      </c>
      <c r="T690" s="39">
        <f>データ!G690</f>
        <v>27165</v>
      </c>
      <c r="U690" s="40" t="s">
        <v>1024</v>
      </c>
      <c r="V690" s="40" t="s">
        <v>1319</v>
      </c>
      <c r="W690" s="39">
        <f>データ!H690</f>
        <v>7454</v>
      </c>
      <c r="X690" s="40" t="s">
        <v>1024</v>
      </c>
      <c r="Y690" s="40" t="s">
        <v>1319</v>
      </c>
      <c r="Z690" s="39">
        <f>データ!I690</f>
        <v>10671</v>
      </c>
      <c r="AA690" s="40" t="s">
        <v>1024</v>
      </c>
      <c r="AB690" s="40" t="s">
        <v>1322</v>
      </c>
      <c r="AC690" s="39" t="str">
        <f>データ!J690</f>
        <v>S</v>
      </c>
      <c r="AD690" s="38" t="s">
        <v>1024</v>
      </c>
      <c r="AE690" s="40" t="s">
        <v>1323</v>
      </c>
      <c r="AF690" s="39">
        <f>データ!K690</f>
        <v>45290</v>
      </c>
      <c r="AG690" s="40" t="s">
        <v>1024</v>
      </c>
      <c r="AH690" s="40" t="s">
        <v>1324</v>
      </c>
      <c r="AI690" s="39" t="str">
        <f>データ!L690</f>
        <v>地幻光の交叉線／煌</v>
      </c>
      <c r="AJ690" s="10" t="s">
        <v>1113</v>
      </c>
      <c r="AK690" s="39" t="str">
        <f>データ!M690</f>
        <v>X字型攻撃[特大]自分の防御力UP[特大]</v>
      </c>
      <c r="AL690" s="10" t="s">
        <v>1024</v>
      </c>
      <c r="AM690" s="40" t="s">
        <v>1325</v>
      </c>
      <c r="AN690" s="39" t="str">
        <f>データ!N690</f>
        <v>-</v>
      </c>
      <c r="AO690" s="10" t="s">
        <v>1113</v>
      </c>
      <c r="AP690" s="39" t="str">
        <f>データ!O690</f>
        <v>　</v>
      </c>
      <c r="AQ690" s="41" t="s">
        <v>1024</v>
      </c>
      <c r="AR690" s="40" t="s">
        <v>1324</v>
      </c>
      <c r="AS690" s="39" t="str">
        <f>データ!P690</f>
        <v>エクスドライブ／煌</v>
      </c>
      <c r="AT690" s="10" t="s">
        <v>1113</v>
      </c>
      <c r="AU690" s="39" t="str">
        <f>データ!Q690</f>
        <v>キリ番CB時の獲得ポイント特大UP(3分間)</v>
      </c>
      <c r="AV690" s="10" t="s">
        <v>1024</v>
      </c>
      <c r="AW690" s="40" t="s">
        <v>1324</v>
      </c>
      <c r="AX690" s="39" t="str">
        <f>データ!R690</f>
        <v>スラッシャー／絶</v>
      </c>
      <c r="AY690" s="10" t="s">
        <v>1113</v>
      </c>
      <c r="AZ690" s="39" t="str">
        <f>データ!S690</f>
        <v>キリ番キャッスルブレイク時の獲得ポイントUP(3回)</v>
      </c>
      <c r="BA690" s="41" t="s">
        <v>1024</v>
      </c>
      <c r="BB690" s="40" t="s">
        <v>1319</v>
      </c>
      <c r="BC690" s="39" t="str">
        <f>データ!T690</f>
        <v>-</v>
      </c>
      <c r="BD690" s="41" t="s">
        <v>1024</v>
      </c>
      <c r="BE690" s="40" t="s">
        <v>1320</v>
      </c>
      <c r="BF690" s="39" t="str">
        <f>データ!U690</f>
        <v>-</v>
      </c>
      <c r="BG690" s="41" t="s">
        <v>1024</v>
      </c>
      <c r="BH690" s="40" t="s">
        <v>1319</v>
      </c>
      <c r="BI690" s="39" t="str">
        <f>データ!V690</f>
        <v>ガチャイベ</v>
      </c>
      <c r="BJ690" s="41" t="s">
        <v>1024</v>
      </c>
      <c r="BK690" s="10" t="s">
        <v>1019</v>
      </c>
    </row>
    <row r="691" spans="1:63" x14ac:dyDescent="0.15">
      <c r="A691" s="10" t="s">
        <v>1016</v>
      </c>
      <c r="B691" s="10" t="s">
        <v>1454</v>
      </c>
      <c r="C691" s="38" t="str">
        <f>"./images/thumbnail/"&amp;データ!B691&amp;".jpg"</f>
        <v>./images/thumbnail/2125.jpg</v>
      </c>
      <c r="D691" s="38" t="s">
        <v>1455</v>
      </c>
      <c r="E691" s="38" t="str">
        <f>"./images/thumbnail/"&amp;データ!B691&amp;".jpg"</f>
        <v>./images/thumbnail/2125.jpg</v>
      </c>
      <c r="F691" s="38" t="s">
        <v>1116</v>
      </c>
      <c r="G691" s="38" t="s">
        <v>1319</v>
      </c>
      <c r="H691" s="38" t="str">
        <f>データ!C691</f>
        <v>ウィル</v>
      </c>
      <c r="I691" s="38" t="s">
        <v>1024</v>
      </c>
      <c r="J691" s="38" t="s">
        <v>1320</v>
      </c>
      <c r="K691" s="38" t="str">
        <f>データ!D691</f>
        <v>UR</v>
      </c>
      <c r="L691" s="38" t="s">
        <v>1024</v>
      </c>
      <c r="M691" s="38" t="s">
        <v>1321</v>
      </c>
      <c r="N691" s="38">
        <f>データ!E691</f>
        <v>15</v>
      </c>
      <c r="O691" s="38" t="s">
        <v>1024</v>
      </c>
      <c r="P691" s="38" t="s">
        <v>1319</v>
      </c>
      <c r="Q691" s="38" t="str">
        <f>データ!F691</f>
        <v>遠</v>
      </c>
      <c r="R691" s="38" t="s">
        <v>1024</v>
      </c>
      <c r="S691" s="38" t="s">
        <v>1319</v>
      </c>
      <c r="T691" s="39">
        <f>データ!G691</f>
        <v>21788</v>
      </c>
      <c r="U691" s="40" t="s">
        <v>1024</v>
      </c>
      <c r="V691" s="40" t="s">
        <v>1319</v>
      </c>
      <c r="W691" s="39">
        <f>データ!H691</f>
        <v>7109</v>
      </c>
      <c r="X691" s="40" t="s">
        <v>1024</v>
      </c>
      <c r="Y691" s="40" t="s">
        <v>1319</v>
      </c>
      <c r="Z691" s="39">
        <f>データ!I691</f>
        <v>7329</v>
      </c>
      <c r="AA691" s="40" t="s">
        <v>1024</v>
      </c>
      <c r="AB691" s="40" t="s">
        <v>1322</v>
      </c>
      <c r="AC691" s="39" t="str">
        <f>データ!J691</f>
        <v>SS</v>
      </c>
      <c r="AD691" s="38" t="s">
        <v>1024</v>
      </c>
      <c r="AE691" s="40" t="s">
        <v>1323</v>
      </c>
      <c r="AF691" s="39">
        <f>データ!K691</f>
        <v>36226</v>
      </c>
      <c r="AG691" s="40" t="s">
        <v>1024</v>
      </c>
      <c r="AH691" s="40" t="s">
        <v>1324</v>
      </c>
      <c r="AI691" s="39" t="str">
        <f>データ!L691</f>
        <v>遠翠の天護</v>
      </c>
      <c r="AJ691" s="10" t="s">
        <v>1113</v>
      </c>
      <c r="AK691" s="39" t="str">
        <f>データ!M691</f>
        <v>味方遠属性の防御力をUP[極大]</v>
      </c>
      <c r="AL691" s="10" t="s">
        <v>1024</v>
      </c>
      <c r="AM691" s="40" t="s">
        <v>1325</v>
      </c>
      <c r="AN691" s="39" t="str">
        <f>データ!N691</f>
        <v>-</v>
      </c>
      <c r="AO691" s="10" t="s">
        <v>1113</v>
      </c>
      <c r="AP691" s="39" t="str">
        <f>データ!O691</f>
        <v>　</v>
      </c>
      <c r="AQ691" s="41" t="s">
        <v>1024</v>
      </c>
      <c r="AR691" s="40" t="s">
        <v>1324</v>
      </c>
      <c r="AS691" s="39" t="str">
        <f>データ!P691</f>
        <v>オラクル／煌</v>
      </c>
      <c r="AT691" s="10" t="s">
        <v>1113</v>
      </c>
      <c r="AU691" s="39" t="str">
        <f>データ!Q691</f>
        <v>パーティ全体のスキル発動率が特大UP(3分間)</v>
      </c>
      <c r="AV691" s="10" t="s">
        <v>1024</v>
      </c>
      <c r="AW691" s="40" t="s">
        <v>1324</v>
      </c>
      <c r="AX691" s="39" t="str">
        <f>データ!R691</f>
        <v>フォートレス／絶</v>
      </c>
      <c r="AY691" s="10" t="s">
        <v>1113</v>
      </c>
      <c r="AZ691" s="39" t="str">
        <f>データ!S691</f>
        <v>パーティ全体の防御力が大UP(3分間)</v>
      </c>
      <c r="BA691" s="41" t="s">
        <v>1024</v>
      </c>
      <c r="BB691" s="40" t="s">
        <v>1319</v>
      </c>
      <c r="BC691" s="39" t="str">
        <f>データ!T691</f>
        <v>-</v>
      </c>
      <c r="BD691" s="41" t="s">
        <v>1024</v>
      </c>
      <c r="BE691" s="40" t="s">
        <v>1320</v>
      </c>
      <c r="BF691" s="39" t="str">
        <f>データ!U691</f>
        <v>-</v>
      </c>
      <c r="BG691" s="41" t="s">
        <v>1024</v>
      </c>
      <c r="BH691" s="40" t="s">
        <v>1319</v>
      </c>
      <c r="BI691" s="39" t="str">
        <f>データ!V691</f>
        <v>マゴニア</v>
      </c>
      <c r="BJ691" s="41" t="s">
        <v>1024</v>
      </c>
      <c r="BK691" s="10" t="s">
        <v>1019</v>
      </c>
    </row>
    <row r="692" spans="1:63" x14ac:dyDescent="0.15">
      <c r="A692" s="10" t="s">
        <v>1016</v>
      </c>
      <c r="B692" s="10" t="s">
        <v>1454</v>
      </c>
      <c r="C692" s="38" t="str">
        <f>"./images/thumbnail/"&amp;データ!B692&amp;".jpg"</f>
        <v>./images/thumbnail/2126.jpg</v>
      </c>
      <c r="D692" s="38" t="s">
        <v>1455</v>
      </c>
      <c r="E692" s="38" t="str">
        <f>"./images/thumbnail/"&amp;データ!B692&amp;".jpg"</f>
        <v>./images/thumbnail/2126.jpg</v>
      </c>
      <c r="F692" s="38" t="s">
        <v>1116</v>
      </c>
      <c r="G692" s="38" t="s">
        <v>1319</v>
      </c>
      <c r="H692" s="38" t="str">
        <f>データ!C692</f>
        <v>レティシア</v>
      </c>
      <c r="I692" s="38" t="s">
        <v>1024</v>
      </c>
      <c r="J692" s="38" t="s">
        <v>1320</v>
      </c>
      <c r="K692" s="38" t="str">
        <f>データ!D692</f>
        <v>UR</v>
      </c>
      <c r="L692" s="38" t="s">
        <v>1024</v>
      </c>
      <c r="M692" s="38" t="s">
        <v>1321</v>
      </c>
      <c r="N692" s="38">
        <f>データ!E692</f>
        <v>15</v>
      </c>
      <c r="O692" s="38" t="s">
        <v>1024</v>
      </c>
      <c r="P692" s="38" t="s">
        <v>1319</v>
      </c>
      <c r="Q692" s="38" t="str">
        <f>データ!F692</f>
        <v>突</v>
      </c>
      <c r="R692" s="38" t="s">
        <v>1024</v>
      </c>
      <c r="S692" s="38" t="s">
        <v>1319</v>
      </c>
      <c r="T692" s="39">
        <f>データ!G692</f>
        <v>21935</v>
      </c>
      <c r="U692" s="40" t="s">
        <v>1024</v>
      </c>
      <c r="V692" s="40" t="s">
        <v>1319</v>
      </c>
      <c r="W692" s="39">
        <f>データ!H692</f>
        <v>6613</v>
      </c>
      <c r="X692" s="40" t="s">
        <v>1024</v>
      </c>
      <c r="Y692" s="40" t="s">
        <v>1319</v>
      </c>
      <c r="Z692" s="39">
        <f>データ!I692</f>
        <v>8067</v>
      </c>
      <c r="AA692" s="40" t="s">
        <v>1024</v>
      </c>
      <c r="AB692" s="40" t="s">
        <v>1322</v>
      </c>
      <c r="AC692" s="39" t="str">
        <f>データ!J692</f>
        <v>SS5</v>
      </c>
      <c r="AD692" s="38" t="s">
        <v>1024</v>
      </c>
      <c r="AE692" s="40" t="s">
        <v>1323</v>
      </c>
      <c r="AF692" s="39">
        <f>データ!K692</f>
        <v>36615</v>
      </c>
      <c r="AG692" s="40" t="s">
        <v>1024</v>
      </c>
      <c r="AH692" s="40" t="s">
        <v>1324</v>
      </c>
      <c r="AI692" s="39" t="str">
        <f>データ!L692</f>
        <v>天幻神の六連撃／真</v>
      </c>
      <c r="AJ692" s="10" t="s">
        <v>1113</v>
      </c>
      <c r="AK692" s="39" t="str">
        <f>データ!M692</f>
        <v>ランダム6連続攻撃[中]自分の攻撃力UP[中]</v>
      </c>
      <c r="AL692" s="10" t="s">
        <v>1024</v>
      </c>
      <c r="AM692" s="40" t="s">
        <v>1325</v>
      </c>
      <c r="AN692" s="39" t="str">
        <f>データ!N692</f>
        <v>-</v>
      </c>
      <c r="AO692" s="10" t="s">
        <v>1113</v>
      </c>
      <c r="AP692" s="39" t="str">
        <f>データ!O692</f>
        <v>　</v>
      </c>
      <c r="AQ692" s="41" t="s">
        <v>1024</v>
      </c>
      <c r="AR692" s="40" t="s">
        <v>1324</v>
      </c>
      <c r="AS692" s="39" t="str">
        <f>データ!P692</f>
        <v>ランページ／煌</v>
      </c>
      <c r="AT692" s="10" t="s">
        <v>1113</v>
      </c>
      <c r="AU692" s="39" t="str">
        <f>データ!Q692</f>
        <v>バトルで獲得する騎士団戦スコアが特大アップ(3分間)</v>
      </c>
      <c r="AV692" s="10" t="s">
        <v>1024</v>
      </c>
      <c r="AW692" s="40" t="s">
        <v>1324</v>
      </c>
      <c r="AX692" s="39" t="str">
        <f>データ!R692</f>
        <v>アサルトオーダー／真</v>
      </c>
      <c r="AY692" s="10" t="s">
        <v>1113</v>
      </c>
      <c r="AZ692" s="39" t="str">
        <f>データ!S692</f>
        <v>騎士団全体の攻撃力が中UP(3分間)</v>
      </c>
      <c r="BA692" s="41" t="s">
        <v>1024</v>
      </c>
      <c r="BB692" s="40" t="s">
        <v>1319</v>
      </c>
      <c r="BC692" s="39" t="str">
        <f>データ!T692</f>
        <v>-</v>
      </c>
      <c r="BD692" s="41" t="s">
        <v>1024</v>
      </c>
      <c r="BE692" s="40" t="s">
        <v>1320</v>
      </c>
      <c r="BF692" s="39" t="str">
        <f>データ!U692</f>
        <v>-</v>
      </c>
      <c r="BG692" s="41" t="s">
        <v>1024</v>
      </c>
      <c r="BH692" s="40" t="s">
        <v>1319</v>
      </c>
      <c r="BI692" s="39" t="str">
        <f>データ!V692</f>
        <v>ガチャイベ</v>
      </c>
      <c r="BJ692" s="41" t="s">
        <v>1024</v>
      </c>
      <c r="BK692" s="10" t="s">
        <v>1019</v>
      </c>
    </row>
    <row r="693" spans="1:63" x14ac:dyDescent="0.15">
      <c r="A693" s="10" t="s">
        <v>1016</v>
      </c>
      <c r="B693" s="10" t="s">
        <v>1454</v>
      </c>
      <c r="C693" s="38" t="str">
        <f>"./images/thumbnail/"&amp;データ!B693&amp;".jpg"</f>
        <v>./images/thumbnail/2128.jpg</v>
      </c>
      <c r="D693" s="38" t="s">
        <v>1455</v>
      </c>
      <c r="E693" s="38" t="str">
        <f>"./images/thumbnail/"&amp;データ!B693&amp;".jpg"</f>
        <v>./images/thumbnail/2128.jpg</v>
      </c>
      <c r="F693" s="38" t="s">
        <v>1116</v>
      </c>
      <c r="G693" s="38" t="s">
        <v>1319</v>
      </c>
      <c r="H693" s="38" t="str">
        <f>データ!C693</f>
        <v>ヴィルヘルム</v>
      </c>
      <c r="I693" s="38" t="s">
        <v>1024</v>
      </c>
      <c r="J693" s="38" t="s">
        <v>1320</v>
      </c>
      <c r="K693" s="38" t="str">
        <f>データ!D693</f>
        <v>UR</v>
      </c>
      <c r="L693" s="38" t="s">
        <v>1024</v>
      </c>
      <c r="M693" s="38" t="s">
        <v>1321</v>
      </c>
      <c r="N693" s="38">
        <f>データ!E693</f>
        <v>15</v>
      </c>
      <c r="O693" s="38" t="s">
        <v>1024</v>
      </c>
      <c r="P693" s="38" t="s">
        <v>1319</v>
      </c>
      <c r="Q693" s="38" t="str">
        <f>データ!F693</f>
        <v>打</v>
      </c>
      <c r="R693" s="38" t="s">
        <v>1024</v>
      </c>
      <c r="S693" s="38" t="s">
        <v>1319</v>
      </c>
      <c r="T693" s="39">
        <f>データ!G693</f>
        <v>24475</v>
      </c>
      <c r="U693" s="40" t="s">
        <v>1024</v>
      </c>
      <c r="V693" s="40" t="s">
        <v>1319</v>
      </c>
      <c r="W693" s="39">
        <f>データ!H693</f>
        <v>7273</v>
      </c>
      <c r="X693" s="40" t="s">
        <v>1024</v>
      </c>
      <c r="Y693" s="40" t="s">
        <v>1319</v>
      </c>
      <c r="Z693" s="39">
        <f>データ!I693</f>
        <v>10517</v>
      </c>
      <c r="AA693" s="40" t="s">
        <v>1024</v>
      </c>
      <c r="AB693" s="40" t="s">
        <v>1322</v>
      </c>
      <c r="AC693" s="39" t="str">
        <f>データ!J693</f>
        <v>S</v>
      </c>
      <c r="AD693" s="38" t="s">
        <v>1024</v>
      </c>
      <c r="AE693" s="40" t="s">
        <v>1323</v>
      </c>
      <c r="AF693" s="39">
        <f>データ!K693</f>
        <v>42265</v>
      </c>
      <c r="AG693" s="40" t="s">
        <v>1024</v>
      </c>
      <c r="AH693" s="40" t="s">
        <v>1324</v>
      </c>
      <c r="AI693" s="39" t="str">
        <f>データ!L693</f>
        <v>焔幻の一閃／煌</v>
      </c>
      <c r="AJ693" s="10" t="s">
        <v>1113</v>
      </c>
      <c r="AK693" s="39" t="str">
        <f>データ!M693</f>
        <v>横一列に攻撃[特大]</v>
      </c>
      <c r="AL693" s="10" t="s">
        <v>1024</v>
      </c>
      <c r="AM693" s="40" t="s">
        <v>1325</v>
      </c>
      <c r="AN693" s="39" t="str">
        <f>データ!N693</f>
        <v>-</v>
      </c>
      <c r="AO693" s="10" t="s">
        <v>1113</v>
      </c>
      <c r="AP693" s="39" t="str">
        <f>データ!O693</f>
        <v>　</v>
      </c>
      <c r="AQ693" s="41" t="s">
        <v>1024</v>
      </c>
      <c r="AR693" s="40" t="s">
        <v>1324</v>
      </c>
      <c r="AS693" s="39" t="str">
        <f>データ!P693</f>
        <v>ファランクス／絶</v>
      </c>
      <c r="AT693" s="10" t="s">
        <v>1113</v>
      </c>
      <c r="AU693" s="39" t="str">
        <f>データ!Q693</f>
        <v>騎士団全体の強襲率大DOWN・防御力大UP(3分間)</v>
      </c>
      <c r="AV693" s="10" t="s">
        <v>1024</v>
      </c>
      <c r="AW693" s="40" t="s">
        <v>1324</v>
      </c>
      <c r="AX693" s="39" t="str">
        <f>データ!R693</f>
        <v>ポイントライズ／絶</v>
      </c>
      <c r="AY693" s="10" t="s">
        <v>1113</v>
      </c>
      <c r="AZ693" s="39" t="str">
        <f>データ!S693</f>
        <v>獲得する騎士団戦スコアが大アップ(バトル3回)</v>
      </c>
      <c r="BA693" s="41" t="s">
        <v>1024</v>
      </c>
      <c r="BB693" s="40" t="s">
        <v>1319</v>
      </c>
      <c r="BC693" s="39" t="str">
        <f>データ!T693</f>
        <v>-</v>
      </c>
      <c r="BD693" s="41" t="s">
        <v>1024</v>
      </c>
      <c r="BE693" s="40" t="s">
        <v>1320</v>
      </c>
      <c r="BF693" s="39" t="str">
        <f>データ!U693</f>
        <v>-</v>
      </c>
      <c r="BG693" s="41" t="s">
        <v>1024</v>
      </c>
      <c r="BH693" s="40" t="s">
        <v>1319</v>
      </c>
      <c r="BI693" s="39" t="str">
        <f>データ!V693</f>
        <v>常設</v>
      </c>
      <c r="BJ693" s="41" t="s">
        <v>1024</v>
      </c>
      <c r="BK693" s="10" t="s">
        <v>1019</v>
      </c>
    </row>
    <row r="694" spans="1:63" x14ac:dyDescent="0.15">
      <c r="A694" s="10" t="s">
        <v>1016</v>
      </c>
      <c r="B694" s="10" t="s">
        <v>1454</v>
      </c>
      <c r="C694" s="38" t="str">
        <f>"./images/thumbnail/"&amp;データ!B694&amp;".jpg"</f>
        <v>./images/thumbnail/2130.jpg</v>
      </c>
      <c r="D694" s="38" t="s">
        <v>1455</v>
      </c>
      <c r="E694" s="38" t="str">
        <f>"./images/thumbnail/"&amp;データ!B694&amp;".jpg"</f>
        <v>./images/thumbnail/2130.jpg</v>
      </c>
      <c r="F694" s="38" t="s">
        <v>1116</v>
      </c>
      <c r="G694" s="38" t="s">
        <v>1319</v>
      </c>
      <c r="H694" s="38" t="str">
        <f>データ!C694</f>
        <v>ココ</v>
      </c>
      <c r="I694" s="38" t="s">
        <v>1024</v>
      </c>
      <c r="J694" s="38" t="s">
        <v>1320</v>
      </c>
      <c r="K694" s="38" t="str">
        <f>データ!D694</f>
        <v>UR</v>
      </c>
      <c r="L694" s="38" t="s">
        <v>1024</v>
      </c>
      <c r="M694" s="38" t="s">
        <v>1321</v>
      </c>
      <c r="N694" s="38">
        <f>データ!E694</f>
        <v>15</v>
      </c>
      <c r="O694" s="38" t="s">
        <v>1024</v>
      </c>
      <c r="P694" s="38" t="s">
        <v>1319</v>
      </c>
      <c r="Q694" s="38" t="str">
        <f>データ!F694</f>
        <v>突</v>
      </c>
      <c r="R694" s="38" t="s">
        <v>1024</v>
      </c>
      <c r="S694" s="38" t="s">
        <v>1319</v>
      </c>
      <c r="T694" s="39">
        <f>データ!G694</f>
        <v>23062</v>
      </c>
      <c r="U694" s="40" t="s">
        <v>1024</v>
      </c>
      <c r="V694" s="40" t="s">
        <v>1319</v>
      </c>
      <c r="W694" s="39">
        <f>データ!H694</f>
        <v>6328</v>
      </c>
      <c r="X694" s="40" t="s">
        <v>1024</v>
      </c>
      <c r="Y694" s="40" t="s">
        <v>1319</v>
      </c>
      <c r="Z694" s="39">
        <f>データ!I694</f>
        <v>8581</v>
      </c>
      <c r="AA694" s="40" t="s">
        <v>1024</v>
      </c>
      <c r="AB694" s="40" t="s">
        <v>1322</v>
      </c>
      <c r="AC694" s="39" t="str">
        <f>データ!J694</f>
        <v>SS2</v>
      </c>
      <c r="AD694" s="38" t="s">
        <v>1024</v>
      </c>
      <c r="AE694" s="40" t="s">
        <v>1323</v>
      </c>
      <c r="AF694" s="39">
        <f>データ!K694</f>
        <v>37971</v>
      </c>
      <c r="AG694" s="40" t="s">
        <v>1024</v>
      </c>
      <c r="AH694" s="40" t="s">
        <v>1324</v>
      </c>
      <c r="AI694" s="39" t="str">
        <f>データ!L694</f>
        <v>孤撃の言霊／煌</v>
      </c>
      <c r="AJ694" s="10" t="s">
        <v>1113</v>
      </c>
      <c r="AK694" s="39" t="str">
        <f>データ!M694</f>
        <v>一定確率で敵を範囲不可にする[超高確率]</v>
      </c>
      <c r="AL694" s="10" t="s">
        <v>1024</v>
      </c>
      <c r="AM694" s="40" t="s">
        <v>1325</v>
      </c>
      <c r="AN694" s="39" t="str">
        <f>データ!N694</f>
        <v>-</v>
      </c>
      <c r="AO694" s="10" t="s">
        <v>1113</v>
      </c>
      <c r="AP694" s="39" t="str">
        <f>データ!O694</f>
        <v>　</v>
      </c>
      <c r="AQ694" s="41" t="s">
        <v>1024</v>
      </c>
      <c r="AR694" s="40" t="s">
        <v>1324</v>
      </c>
      <c r="AS694" s="39" t="str">
        <f>データ!P694</f>
        <v>フォートレス／煌</v>
      </c>
      <c r="AT694" s="10" t="s">
        <v>1113</v>
      </c>
      <c r="AU694" s="39" t="str">
        <f>データ!Q694</f>
        <v>パーティ全体の防御力が特大UP(3分間)</v>
      </c>
      <c r="AV694" s="10" t="s">
        <v>1024</v>
      </c>
      <c r="AW694" s="40" t="s">
        <v>1324</v>
      </c>
      <c r="AX694" s="39" t="str">
        <f>データ!R694</f>
        <v>ランページ／絶</v>
      </c>
      <c r="AY694" s="10" t="s">
        <v>1113</v>
      </c>
      <c r="AZ694" s="39" t="str">
        <f>データ!S694</f>
        <v>バトルで獲得する騎士団戦スコアが大アップ(3分間)</v>
      </c>
      <c r="BA694" s="41" t="s">
        <v>1024</v>
      </c>
      <c r="BB694" s="40" t="s">
        <v>1319</v>
      </c>
      <c r="BC694" s="39" t="str">
        <f>データ!T694</f>
        <v>-</v>
      </c>
      <c r="BD694" s="41" t="s">
        <v>1024</v>
      </c>
      <c r="BE694" s="40" t="s">
        <v>1320</v>
      </c>
      <c r="BF694" s="39" t="str">
        <f>データ!U694</f>
        <v>-</v>
      </c>
      <c r="BG694" s="41" t="s">
        <v>1024</v>
      </c>
      <c r="BH694" s="40" t="s">
        <v>1319</v>
      </c>
      <c r="BI694" s="39" t="str">
        <f>データ!V694</f>
        <v>常設</v>
      </c>
      <c r="BJ694" s="41" t="s">
        <v>1024</v>
      </c>
      <c r="BK694" s="10" t="s">
        <v>1019</v>
      </c>
    </row>
    <row r="695" spans="1:63" x14ac:dyDescent="0.15">
      <c r="A695" s="10" t="s">
        <v>1016</v>
      </c>
      <c r="B695" s="10" t="s">
        <v>1454</v>
      </c>
      <c r="C695" s="38" t="str">
        <f>"./images/thumbnail/"&amp;データ!B695&amp;".jpg"</f>
        <v>./images/thumbnail/2131.jpg</v>
      </c>
      <c r="D695" s="38" t="s">
        <v>1455</v>
      </c>
      <c r="E695" s="38" t="str">
        <f>"./images/thumbnail/"&amp;データ!B695&amp;".jpg"</f>
        <v>./images/thumbnail/2131.jpg</v>
      </c>
      <c r="F695" s="38" t="s">
        <v>1116</v>
      </c>
      <c r="G695" s="38" t="s">
        <v>1319</v>
      </c>
      <c r="H695" s="38" t="str">
        <f>データ!C695</f>
        <v>スティアン</v>
      </c>
      <c r="I695" s="38" t="s">
        <v>1024</v>
      </c>
      <c r="J695" s="38" t="s">
        <v>1320</v>
      </c>
      <c r="K695" s="38" t="str">
        <f>データ!D695</f>
        <v>UR</v>
      </c>
      <c r="L695" s="38" t="s">
        <v>1024</v>
      </c>
      <c r="M695" s="38" t="s">
        <v>1321</v>
      </c>
      <c r="N695" s="38">
        <f>データ!E695</f>
        <v>15</v>
      </c>
      <c r="O695" s="38" t="s">
        <v>1024</v>
      </c>
      <c r="P695" s="38" t="s">
        <v>1319</v>
      </c>
      <c r="Q695" s="38" t="str">
        <f>データ!F695</f>
        <v>打</v>
      </c>
      <c r="R695" s="38" t="s">
        <v>1024</v>
      </c>
      <c r="S695" s="38" t="s">
        <v>1319</v>
      </c>
      <c r="T695" s="39">
        <f>データ!G695</f>
        <v>27280</v>
      </c>
      <c r="U695" s="40" t="s">
        <v>1024</v>
      </c>
      <c r="V695" s="40" t="s">
        <v>1319</v>
      </c>
      <c r="W695" s="39">
        <f>データ!H695</f>
        <v>7477</v>
      </c>
      <c r="X695" s="40" t="s">
        <v>1024</v>
      </c>
      <c r="Y695" s="40" t="s">
        <v>1319</v>
      </c>
      <c r="Z695" s="39">
        <f>データ!I695</f>
        <v>10434</v>
      </c>
      <c r="AA695" s="40" t="s">
        <v>1024</v>
      </c>
      <c r="AB695" s="40" t="s">
        <v>1322</v>
      </c>
      <c r="AC695" s="39" t="str">
        <f>データ!J695</f>
        <v>S</v>
      </c>
      <c r="AD695" s="38" t="s">
        <v>1024</v>
      </c>
      <c r="AE695" s="40" t="s">
        <v>1323</v>
      </c>
      <c r="AF695" s="39">
        <f>データ!K695</f>
        <v>45191</v>
      </c>
      <c r="AG695" s="40" t="s">
        <v>1024</v>
      </c>
      <c r="AH695" s="40" t="s">
        <v>1324</v>
      </c>
      <c r="AI695" s="39" t="str">
        <f>データ!L695</f>
        <v>幻光の交叉線／煌</v>
      </c>
      <c r="AJ695" s="10" t="s">
        <v>1113</v>
      </c>
      <c r="AK695" s="39" t="str">
        <f>データ!M695</f>
        <v>X字型に攻撃[特大]</v>
      </c>
      <c r="AL695" s="10" t="s">
        <v>1024</v>
      </c>
      <c r="AM695" s="40" t="s">
        <v>1325</v>
      </c>
      <c r="AN695" s="39" t="str">
        <f>データ!N695</f>
        <v>-</v>
      </c>
      <c r="AO695" s="10" t="s">
        <v>1113</v>
      </c>
      <c r="AP695" s="39" t="str">
        <f>データ!O695</f>
        <v>　</v>
      </c>
      <c r="AQ695" s="41" t="s">
        <v>1024</v>
      </c>
      <c r="AR695" s="40" t="s">
        <v>1324</v>
      </c>
      <c r="AS695" s="39" t="str">
        <f>データ!P695</f>
        <v>オラトリオ／煌</v>
      </c>
      <c r="AT695" s="10" t="s">
        <v>1113</v>
      </c>
      <c r="AU695" s="39" t="str">
        <f>データ!Q695</f>
        <v>強襲無効、攻撃力・スキル発動率特大UP(3分間)</v>
      </c>
      <c r="AV695" s="10" t="s">
        <v>1024</v>
      </c>
      <c r="AW695" s="40" t="s">
        <v>1324</v>
      </c>
      <c r="AX695" s="39" t="str">
        <f>データ!R695</f>
        <v>エースオーダー／真</v>
      </c>
      <c r="AY695" s="10" t="s">
        <v>1113</v>
      </c>
      <c r="AZ695" s="39" t="str">
        <f>データ!S695</f>
        <v>騎士団全体の攻・防が中UP(3分間)</v>
      </c>
      <c r="BA695" s="41" t="s">
        <v>1024</v>
      </c>
      <c r="BB695" s="40" t="s">
        <v>1319</v>
      </c>
      <c r="BC695" s="39" t="str">
        <f>データ!T695</f>
        <v>-</v>
      </c>
      <c r="BD695" s="41" t="s">
        <v>1024</v>
      </c>
      <c r="BE695" s="40" t="s">
        <v>1320</v>
      </c>
      <c r="BF695" s="39" t="str">
        <f>データ!U695</f>
        <v>-</v>
      </c>
      <c r="BG695" s="41" t="s">
        <v>1024</v>
      </c>
      <c r="BH695" s="40" t="s">
        <v>1319</v>
      </c>
      <c r="BI695" s="39" t="str">
        <f>データ!V695</f>
        <v>イリュミナシオン</v>
      </c>
      <c r="BJ695" s="41" t="s">
        <v>1024</v>
      </c>
      <c r="BK695" s="10" t="s">
        <v>1019</v>
      </c>
    </row>
    <row r="696" spans="1:63" x14ac:dyDescent="0.15">
      <c r="A696" s="10" t="s">
        <v>1016</v>
      </c>
      <c r="B696" s="10" t="s">
        <v>1454</v>
      </c>
      <c r="C696" s="38" t="str">
        <f>"./images/thumbnail/"&amp;データ!B696&amp;".jpg"</f>
        <v>./images/thumbnail/2133.jpg</v>
      </c>
      <c r="D696" s="38" t="s">
        <v>1455</v>
      </c>
      <c r="E696" s="38" t="str">
        <f>"./images/thumbnail/"&amp;データ!B696&amp;".jpg"</f>
        <v>./images/thumbnail/2133.jpg</v>
      </c>
      <c r="F696" s="38" t="s">
        <v>1116</v>
      </c>
      <c r="G696" s="38" t="s">
        <v>1319</v>
      </c>
      <c r="H696" s="38" t="str">
        <f>データ!C696</f>
        <v>ヴェロニク</v>
      </c>
      <c r="I696" s="38" t="s">
        <v>1024</v>
      </c>
      <c r="J696" s="38" t="s">
        <v>1320</v>
      </c>
      <c r="K696" s="38" t="str">
        <f>データ!D696</f>
        <v>UR</v>
      </c>
      <c r="L696" s="38" t="s">
        <v>1024</v>
      </c>
      <c r="M696" s="38" t="s">
        <v>1321</v>
      </c>
      <c r="N696" s="38">
        <f>データ!E696</f>
        <v>15</v>
      </c>
      <c r="O696" s="38" t="s">
        <v>1024</v>
      </c>
      <c r="P696" s="38" t="s">
        <v>1319</v>
      </c>
      <c r="Q696" s="38" t="str">
        <f>データ!F696</f>
        <v>突</v>
      </c>
      <c r="R696" s="38" t="s">
        <v>1024</v>
      </c>
      <c r="S696" s="38" t="s">
        <v>1319</v>
      </c>
      <c r="T696" s="39">
        <f>データ!G696</f>
        <v>24241</v>
      </c>
      <c r="U696" s="40" t="s">
        <v>1024</v>
      </c>
      <c r="V696" s="40" t="s">
        <v>1319</v>
      </c>
      <c r="W696" s="39">
        <f>データ!H696</f>
        <v>6681</v>
      </c>
      <c r="X696" s="40" t="s">
        <v>1024</v>
      </c>
      <c r="Y696" s="40" t="s">
        <v>1319</v>
      </c>
      <c r="Z696" s="39">
        <f>データ!I696</f>
        <v>8719</v>
      </c>
      <c r="AA696" s="40" t="s">
        <v>1024</v>
      </c>
      <c r="AB696" s="40" t="s">
        <v>1322</v>
      </c>
      <c r="AC696" s="39" t="str">
        <f>データ!J696</f>
        <v>SS2</v>
      </c>
      <c r="AD696" s="38" t="s">
        <v>1024</v>
      </c>
      <c r="AE696" s="40" t="s">
        <v>1323</v>
      </c>
      <c r="AF696" s="39">
        <f>データ!K696</f>
        <v>39641</v>
      </c>
      <c r="AG696" s="40" t="s">
        <v>1024</v>
      </c>
      <c r="AH696" s="40" t="s">
        <v>1324</v>
      </c>
      <c r="AI696" s="39" t="str">
        <f>データ!L696</f>
        <v>幻神の六連撃／真</v>
      </c>
      <c r="AJ696" s="10" t="s">
        <v>1113</v>
      </c>
      <c r="AK696" s="39" t="str">
        <f>データ!M696</f>
        <v>ランダムで6連続攻撃[中]</v>
      </c>
      <c r="AL696" s="10" t="s">
        <v>1024</v>
      </c>
      <c r="AM696" s="40" t="s">
        <v>1325</v>
      </c>
      <c r="AN696" s="39" t="str">
        <f>データ!N696</f>
        <v>-</v>
      </c>
      <c r="AO696" s="10" t="s">
        <v>1113</v>
      </c>
      <c r="AP696" s="39" t="str">
        <f>データ!O696</f>
        <v>　</v>
      </c>
      <c r="AQ696" s="41" t="s">
        <v>1024</v>
      </c>
      <c r="AR696" s="40" t="s">
        <v>1324</v>
      </c>
      <c r="AS696" s="39" t="str">
        <f>データ!P696</f>
        <v>フォースオブウィッシュ／絶</v>
      </c>
      <c r="AT696" s="10" t="s">
        <v>1113</v>
      </c>
      <c r="AU696" s="39" t="str">
        <f>データ!Q696</f>
        <v>騎士団全員のBPを大回復</v>
      </c>
      <c r="AV696" s="10" t="s">
        <v>1024</v>
      </c>
      <c r="AW696" s="40" t="s">
        <v>1324</v>
      </c>
      <c r="AX696" s="39" t="str">
        <f>データ!R696</f>
        <v>ランページ／絶</v>
      </c>
      <c r="AY696" s="10" t="s">
        <v>1113</v>
      </c>
      <c r="AZ696" s="39" t="str">
        <f>データ!S696</f>
        <v>バトルで獲得する騎士団戦スコアが大アップ(3分間)</v>
      </c>
      <c r="BA696" s="41" t="s">
        <v>1024</v>
      </c>
      <c r="BB696" s="40" t="s">
        <v>1319</v>
      </c>
      <c r="BC696" s="39" t="str">
        <f>データ!T696</f>
        <v>-</v>
      </c>
      <c r="BD696" s="41" t="s">
        <v>1024</v>
      </c>
      <c r="BE696" s="40" t="s">
        <v>1320</v>
      </c>
      <c r="BF696" s="39" t="str">
        <f>データ!U696</f>
        <v>-</v>
      </c>
      <c r="BG696" s="41" t="s">
        <v>1024</v>
      </c>
      <c r="BH696" s="40" t="s">
        <v>1319</v>
      </c>
      <c r="BI696" s="39" t="str">
        <f>データ!V696</f>
        <v>ガチャイベ</v>
      </c>
      <c r="BJ696" s="41" t="s">
        <v>1024</v>
      </c>
      <c r="BK696" s="10" t="s">
        <v>1019</v>
      </c>
    </row>
    <row r="697" spans="1:63" x14ac:dyDescent="0.15">
      <c r="A697" s="10" t="s">
        <v>1016</v>
      </c>
      <c r="B697" s="10" t="s">
        <v>1454</v>
      </c>
      <c r="C697" s="38" t="str">
        <f>"./images/thumbnail/"&amp;データ!B697&amp;".jpg"</f>
        <v>./images/thumbnail/2135.jpg</v>
      </c>
      <c r="D697" s="38" t="s">
        <v>1455</v>
      </c>
      <c r="E697" s="38" t="str">
        <f>"./images/thumbnail/"&amp;データ!B697&amp;".jpg"</f>
        <v>./images/thumbnail/2135.jpg</v>
      </c>
      <c r="F697" s="38" t="s">
        <v>1116</v>
      </c>
      <c r="G697" s="38" t="s">
        <v>1319</v>
      </c>
      <c r="H697" s="38" t="str">
        <f>データ!C697</f>
        <v>カオル</v>
      </c>
      <c r="I697" s="38" t="s">
        <v>1024</v>
      </c>
      <c r="J697" s="38" t="s">
        <v>1320</v>
      </c>
      <c r="K697" s="38" t="str">
        <f>データ!D697</f>
        <v>UR</v>
      </c>
      <c r="L697" s="38" t="s">
        <v>1024</v>
      </c>
      <c r="M697" s="38" t="s">
        <v>1321</v>
      </c>
      <c r="N697" s="38">
        <f>データ!E697</f>
        <v>15</v>
      </c>
      <c r="O697" s="38" t="s">
        <v>1024</v>
      </c>
      <c r="P697" s="38" t="s">
        <v>1319</v>
      </c>
      <c r="Q697" s="38" t="str">
        <f>データ!F697</f>
        <v>遠</v>
      </c>
      <c r="R697" s="38" t="s">
        <v>1024</v>
      </c>
      <c r="S697" s="38" t="s">
        <v>1319</v>
      </c>
      <c r="T697" s="39">
        <f>データ!G697</f>
        <v>23984</v>
      </c>
      <c r="U697" s="40" t="s">
        <v>1024</v>
      </c>
      <c r="V697" s="40" t="s">
        <v>1319</v>
      </c>
      <c r="W697" s="39">
        <f>データ!H697</f>
        <v>7586</v>
      </c>
      <c r="X697" s="40" t="s">
        <v>1024</v>
      </c>
      <c r="Y697" s="40" t="s">
        <v>1319</v>
      </c>
      <c r="Z697" s="39">
        <f>データ!I697</f>
        <v>7398</v>
      </c>
      <c r="AA697" s="40" t="s">
        <v>1024</v>
      </c>
      <c r="AB697" s="40" t="s">
        <v>1322</v>
      </c>
      <c r="AC697" s="39" t="str">
        <f>データ!J697</f>
        <v>SS</v>
      </c>
      <c r="AD697" s="38" t="s">
        <v>1024</v>
      </c>
      <c r="AE697" s="40" t="s">
        <v>1323</v>
      </c>
      <c r="AF697" s="39">
        <f>データ!K697</f>
        <v>38968</v>
      </c>
      <c r="AG697" s="40" t="s">
        <v>1024</v>
      </c>
      <c r="AH697" s="40" t="s">
        <v>1324</v>
      </c>
      <c r="AI697" s="39" t="str">
        <f>データ!L697</f>
        <v>対紅の薙風／煌</v>
      </c>
      <c r="AJ697" s="10" t="s">
        <v>1113</v>
      </c>
      <c r="AK697" s="39" t="str">
        <f>データ!M697</f>
        <v>斬に強く突に弱い横一列攻撃[特大]</v>
      </c>
      <c r="AL697" s="10" t="s">
        <v>1024</v>
      </c>
      <c r="AM697" s="40" t="s">
        <v>1325</v>
      </c>
      <c r="AN697" s="39" t="str">
        <f>データ!N697</f>
        <v>-</v>
      </c>
      <c r="AO697" s="10" t="s">
        <v>1113</v>
      </c>
      <c r="AP697" s="39" t="str">
        <f>データ!O697</f>
        <v>　</v>
      </c>
      <c r="AQ697" s="41" t="s">
        <v>1024</v>
      </c>
      <c r="AR697" s="40" t="s">
        <v>1324</v>
      </c>
      <c r="AS697" s="39" t="str">
        <f>データ!P697</f>
        <v>ブリッツ／真</v>
      </c>
      <c r="AT697" s="10" t="s">
        <v>1113</v>
      </c>
      <c r="AU697" s="39" t="str">
        <f>データ!Q697</f>
        <v>強襲CBの発生確率・強襲時獲得ポイント中UP(3分間)</v>
      </c>
      <c r="AV697" s="10" t="s">
        <v>1024</v>
      </c>
      <c r="AW697" s="40" t="s">
        <v>1324</v>
      </c>
      <c r="AX697" s="39" t="str">
        <f>データ!R697</f>
        <v>シャドウオーダー</v>
      </c>
      <c r="AY697" s="10" t="s">
        <v>1113</v>
      </c>
      <c r="AZ697" s="39" t="str">
        <f>データ!S697</f>
        <v>騎士団全体の強襲CB率が小UP(3分間)</v>
      </c>
      <c r="BA697" s="41" t="s">
        <v>1024</v>
      </c>
      <c r="BB697" s="40" t="s">
        <v>1319</v>
      </c>
      <c r="BC697" s="39" t="str">
        <f>データ!T697</f>
        <v>-</v>
      </c>
      <c r="BD697" s="41" t="s">
        <v>1024</v>
      </c>
      <c r="BE697" s="40" t="s">
        <v>1320</v>
      </c>
      <c r="BF697" s="39" t="str">
        <f>データ!U697</f>
        <v>-</v>
      </c>
      <c r="BG697" s="41" t="s">
        <v>1024</v>
      </c>
      <c r="BH697" s="40" t="s">
        <v>1319</v>
      </c>
      <c r="BI697" s="39" t="str">
        <f>データ!V697</f>
        <v>ガチャイベ</v>
      </c>
      <c r="BJ697" s="41" t="s">
        <v>1024</v>
      </c>
      <c r="BK697" s="10" t="s">
        <v>1019</v>
      </c>
    </row>
    <row r="698" spans="1:63" x14ac:dyDescent="0.15">
      <c r="A698" s="10" t="s">
        <v>1016</v>
      </c>
      <c r="B698" s="10" t="s">
        <v>1454</v>
      </c>
      <c r="C698" s="38" t="str">
        <f>"./images/thumbnail/"&amp;データ!B698&amp;".jpg"</f>
        <v>./images/thumbnail/2136.jpg</v>
      </c>
      <c r="D698" s="38" t="s">
        <v>1455</v>
      </c>
      <c r="E698" s="38" t="str">
        <f>"./images/thumbnail/"&amp;データ!B698&amp;".jpg"</f>
        <v>./images/thumbnail/2136.jpg</v>
      </c>
      <c r="F698" s="38" t="s">
        <v>1116</v>
      </c>
      <c r="G698" s="38" t="s">
        <v>1319</v>
      </c>
      <c r="H698" s="38" t="str">
        <f>データ!C698</f>
        <v>シャルロ</v>
      </c>
      <c r="I698" s="38" t="s">
        <v>1024</v>
      </c>
      <c r="J698" s="38" t="s">
        <v>1320</v>
      </c>
      <c r="K698" s="38" t="str">
        <f>データ!D698</f>
        <v>UR</v>
      </c>
      <c r="L698" s="38" t="s">
        <v>1024</v>
      </c>
      <c r="M698" s="38" t="s">
        <v>1321</v>
      </c>
      <c r="N698" s="38">
        <f>データ!E698</f>
        <v>15</v>
      </c>
      <c r="O698" s="38" t="s">
        <v>1024</v>
      </c>
      <c r="P698" s="38" t="s">
        <v>1319</v>
      </c>
      <c r="Q698" s="38" t="str">
        <f>データ!F698</f>
        <v>斬</v>
      </c>
      <c r="R698" s="38" t="s">
        <v>1024</v>
      </c>
      <c r="S698" s="38" t="s">
        <v>1319</v>
      </c>
      <c r="T698" s="39">
        <f>データ!G698</f>
        <v>20998</v>
      </c>
      <c r="U698" s="40" t="s">
        <v>1024</v>
      </c>
      <c r="V698" s="40" t="s">
        <v>1319</v>
      </c>
      <c r="W698" s="39">
        <f>データ!H698</f>
        <v>9213</v>
      </c>
      <c r="X698" s="40" t="s">
        <v>1024</v>
      </c>
      <c r="Y698" s="40" t="s">
        <v>1319</v>
      </c>
      <c r="Z698" s="39">
        <f>データ!I698</f>
        <v>7194</v>
      </c>
      <c r="AA698" s="40" t="s">
        <v>1024</v>
      </c>
      <c r="AB698" s="40" t="s">
        <v>1322</v>
      </c>
      <c r="AC698" s="39" t="str">
        <f>データ!J698</f>
        <v>SS-</v>
      </c>
      <c r="AD698" s="38" t="s">
        <v>1024</v>
      </c>
      <c r="AE698" s="40" t="s">
        <v>1323</v>
      </c>
      <c r="AF698" s="39">
        <f>データ!K698</f>
        <v>37405</v>
      </c>
      <c r="AG698" s="40" t="s">
        <v>1024</v>
      </c>
      <c r="AH698" s="40" t="s">
        <v>1324</v>
      </c>
      <c r="AI698" s="39" t="str">
        <f>データ!L698</f>
        <v xml:space="preserve">天護 </v>
      </c>
      <c r="AJ698" s="10" t="s">
        <v>1113</v>
      </c>
      <c r="AK698" s="39" t="str">
        <f>データ!M698</f>
        <v>自分の防御力をUP[極大]</v>
      </c>
      <c r="AL698" s="10" t="s">
        <v>1024</v>
      </c>
      <c r="AM698" s="40" t="s">
        <v>1325</v>
      </c>
      <c r="AN698" s="39" t="str">
        <f>データ!N698</f>
        <v>-</v>
      </c>
      <c r="AO698" s="10" t="s">
        <v>1113</v>
      </c>
      <c r="AP698" s="39" t="str">
        <f>データ!O698</f>
        <v>　</v>
      </c>
      <c r="AQ698" s="41" t="s">
        <v>1024</v>
      </c>
      <c r="AR698" s="40" t="s">
        <v>1324</v>
      </c>
      <c r="AS698" s="39" t="str">
        <f>データ!P698</f>
        <v>アサルト／煌</v>
      </c>
      <c r="AT698" s="10" t="s">
        <v>1113</v>
      </c>
      <c r="AU698" s="39" t="str">
        <f>データ!Q698</f>
        <v>パーティ全体の攻撃力が特大UP(3分間)</v>
      </c>
      <c r="AV698" s="10" t="s">
        <v>1024</v>
      </c>
      <c r="AW698" s="40" t="s">
        <v>1324</v>
      </c>
      <c r="AX698" s="39" t="str">
        <f>データ!R698</f>
        <v>エース／絶</v>
      </c>
      <c r="AY698" s="10" t="s">
        <v>1113</v>
      </c>
      <c r="AZ698" s="39" t="str">
        <f>データ!S698</f>
        <v>パーティ全体の攻・防が大UP(3分間)</v>
      </c>
      <c r="BA698" s="41" t="s">
        <v>1024</v>
      </c>
      <c r="BB698" s="40" t="s">
        <v>1319</v>
      </c>
      <c r="BC698" s="39" t="str">
        <f>データ!T698</f>
        <v>-</v>
      </c>
      <c r="BD698" s="41" t="s">
        <v>1024</v>
      </c>
      <c r="BE698" s="40" t="s">
        <v>1320</v>
      </c>
      <c r="BF698" s="39" t="str">
        <f>データ!U698</f>
        <v>-</v>
      </c>
      <c r="BG698" s="41" t="s">
        <v>1024</v>
      </c>
      <c r="BH698" s="40" t="s">
        <v>1319</v>
      </c>
      <c r="BI698" s="39" t="str">
        <f>データ!V698</f>
        <v>誓いイベ</v>
      </c>
      <c r="BJ698" s="41" t="s">
        <v>1024</v>
      </c>
      <c r="BK698" s="10" t="s">
        <v>1019</v>
      </c>
    </row>
    <row r="699" spans="1:63" x14ac:dyDescent="0.15">
      <c r="A699" s="10" t="s">
        <v>1016</v>
      </c>
      <c r="B699" s="10" t="s">
        <v>1454</v>
      </c>
      <c r="C699" s="38" t="str">
        <f>"./images/thumbnail/"&amp;データ!B699&amp;".jpg"</f>
        <v>./images/thumbnail/2137.jpg</v>
      </c>
      <c r="D699" s="38" t="s">
        <v>1455</v>
      </c>
      <c r="E699" s="38" t="str">
        <f>"./images/thumbnail/"&amp;データ!B699&amp;".jpg"</f>
        <v>./images/thumbnail/2137.jpg</v>
      </c>
      <c r="F699" s="38" t="s">
        <v>1116</v>
      </c>
      <c r="G699" s="38" t="s">
        <v>1319</v>
      </c>
      <c r="H699" s="38" t="str">
        <f>データ!C699</f>
        <v>マリユス</v>
      </c>
      <c r="I699" s="38" t="s">
        <v>1024</v>
      </c>
      <c r="J699" s="38" t="s">
        <v>1320</v>
      </c>
      <c r="K699" s="38" t="str">
        <f>データ!D699</f>
        <v>UR</v>
      </c>
      <c r="L699" s="38" t="s">
        <v>1024</v>
      </c>
      <c r="M699" s="38" t="s">
        <v>1321</v>
      </c>
      <c r="N699" s="38">
        <f>データ!E699</f>
        <v>15</v>
      </c>
      <c r="O699" s="38" t="s">
        <v>1024</v>
      </c>
      <c r="P699" s="38" t="s">
        <v>1319</v>
      </c>
      <c r="Q699" s="38" t="str">
        <f>データ!F699</f>
        <v>斬</v>
      </c>
      <c r="R699" s="38" t="s">
        <v>1024</v>
      </c>
      <c r="S699" s="38" t="s">
        <v>1319</v>
      </c>
      <c r="T699" s="39">
        <f>データ!G699</f>
        <v>20123</v>
      </c>
      <c r="U699" s="40" t="s">
        <v>1024</v>
      </c>
      <c r="V699" s="40" t="s">
        <v>1319</v>
      </c>
      <c r="W699" s="39">
        <f>データ!H699</f>
        <v>9305</v>
      </c>
      <c r="X699" s="40" t="s">
        <v>1024</v>
      </c>
      <c r="Y699" s="40" t="s">
        <v>1319</v>
      </c>
      <c r="Z699" s="39">
        <f>データ!I699</f>
        <v>7419</v>
      </c>
      <c r="AA699" s="40" t="s">
        <v>1024</v>
      </c>
      <c r="AB699" s="40" t="s">
        <v>1322</v>
      </c>
      <c r="AC699" s="39" t="str">
        <f>データ!J699</f>
        <v>SS1</v>
      </c>
      <c r="AD699" s="38" t="s">
        <v>1024</v>
      </c>
      <c r="AE699" s="40" t="s">
        <v>1323</v>
      </c>
      <c r="AF699" s="39">
        <f>データ!K699</f>
        <v>36847</v>
      </c>
      <c r="AG699" s="40" t="s">
        <v>1024</v>
      </c>
      <c r="AH699" s="40" t="s">
        <v>1324</v>
      </c>
      <c r="AI699" s="39" t="str">
        <f>データ!L699</f>
        <v xml:space="preserve">天幻氷の縦十字／煌 </v>
      </c>
      <c r="AJ699" s="10" t="s">
        <v>1113</v>
      </c>
      <c r="AK699" s="39" t="str">
        <f>データ!M699</f>
        <v>十字型攻撃[特大]自分の攻撃力UP[特大]</v>
      </c>
      <c r="AL699" s="10" t="s">
        <v>1024</v>
      </c>
      <c r="AM699" s="40" t="s">
        <v>1325</v>
      </c>
      <c r="AN699" s="39" t="str">
        <f>データ!N699</f>
        <v>-</v>
      </c>
      <c r="AO699" s="10" t="s">
        <v>1113</v>
      </c>
      <c r="AP699" s="39" t="str">
        <f>データ!O699</f>
        <v>　</v>
      </c>
      <c r="AQ699" s="41" t="s">
        <v>1024</v>
      </c>
      <c r="AR699" s="40" t="s">
        <v>1324</v>
      </c>
      <c r="AS699" s="39" t="str">
        <f>データ!P699</f>
        <v>ランページ／煌</v>
      </c>
      <c r="AT699" s="10" t="s">
        <v>1113</v>
      </c>
      <c r="AU699" s="39" t="str">
        <f>データ!Q699</f>
        <v>バトルで獲得する騎士団戦スコアが特大アップ(3分間)</v>
      </c>
      <c r="AV699" s="10" t="s">
        <v>1024</v>
      </c>
      <c r="AW699" s="40" t="s">
        <v>1324</v>
      </c>
      <c r="AX699" s="39" t="str">
        <f>データ!R699</f>
        <v>メナス／真</v>
      </c>
      <c r="AY699" s="10" t="s">
        <v>1113</v>
      </c>
      <c r="AZ699" s="39" t="str">
        <f>データ!S699</f>
        <v>対戦騎士団全体の防御力が中DOWN(3分間)</v>
      </c>
      <c r="BA699" s="41" t="s">
        <v>1024</v>
      </c>
      <c r="BB699" s="40" t="s">
        <v>1319</v>
      </c>
      <c r="BC699" s="39" t="str">
        <f>データ!T699</f>
        <v>-</v>
      </c>
      <c r="BD699" s="41" t="s">
        <v>1024</v>
      </c>
      <c r="BE699" s="40" t="s">
        <v>1320</v>
      </c>
      <c r="BF699" s="39" t="str">
        <f>データ!U699</f>
        <v>-</v>
      </c>
      <c r="BG699" s="41" t="s">
        <v>1024</v>
      </c>
      <c r="BH699" s="40" t="s">
        <v>1319</v>
      </c>
      <c r="BI699" s="39" t="str">
        <f>データ!V699</f>
        <v>ガチャイベ</v>
      </c>
      <c r="BJ699" s="41" t="s">
        <v>1024</v>
      </c>
      <c r="BK699" s="10" t="s">
        <v>1019</v>
      </c>
    </row>
    <row r="700" spans="1:63" x14ac:dyDescent="0.15">
      <c r="A700" s="10" t="s">
        <v>1016</v>
      </c>
      <c r="B700" s="10" t="s">
        <v>1454</v>
      </c>
      <c r="C700" s="38" t="str">
        <f>"./images/thumbnail/"&amp;データ!B700&amp;".jpg"</f>
        <v>./images/thumbnail/2139.jpg</v>
      </c>
      <c r="D700" s="38" t="s">
        <v>1455</v>
      </c>
      <c r="E700" s="38" t="str">
        <f>"./images/thumbnail/"&amp;データ!B700&amp;".jpg"</f>
        <v>./images/thumbnail/2139.jpg</v>
      </c>
      <c r="F700" s="38" t="s">
        <v>1116</v>
      </c>
      <c r="G700" s="38" t="s">
        <v>1319</v>
      </c>
      <c r="H700" s="38" t="str">
        <f>データ!C700</f>
        <v>スレヴィ</v>
      </c>
      <c r="I700" s="38" t="s">
        <v>1024</v>
      </c>
      <c r="J700" s="38" t="s">
        <v>1320</v>
      </c>
      <c r="K700" s="38" t="str">
        <f>データ!D700</f>
        <v>UR</v>
      </c>
      <c r="L700" s="38" t="s">
        <v>1024</v>
      </c>
      <c r="M700" s="38" t="s">
        <v>1321</v>
      </c>
      <c r="N700" s="38">
        <f>データ!E700</f>
        <v>15</v>
      </c>
      <c r="O700" s="38" t="s">
        <v>1024</v>
      </c>
      <c r="P700" s="38" t="s">
        <v>1319</v>
      </c>
      <c r="Q700" s="38" t="str">
        <f>データ!F700</f>
        <v>突</v>
      </c>
      <c r="R700" s="38" t="s">
        <v>1024</v>
      </c>
      <c r="S700" s="38" t="s">
        <v>1319</v>
      </c>
      <c r="T700" s="39">
        <f>データ!G700</f>
        <v>23596</v>
      </c>
      <c r="U700" s="40" t="s">
        <v>1024</v>
      </c>
      <c r="V700" s="40" t="s">
        <v>1319</v>
      </c>
      <c r="W700" s="39">
        <f>データ!H700</f>
        <v>6936</v>
      </c>
      <c r="X700" s="40" t="s">
        <v>1024</v>
      </c>
      <c r="Y700" s="40" t="s">
        <v>1319</v>
      </c>
      <c r="Z700" s="39">
        <f>データ!I700</f>
        <v>8206</v>
      </c>
      <c r="AA700" s="40" t="s">
        <v>1024</v>
      </c>
      <c r="AB700" s="40" t="s">
        <v>1322</v>
      </c>
      <c r="AC700" s="39" t="str">
        <f>データ!J700</f>
        <v>SS2</v>
      </c>
      <c r="AD700" s="38" t="s">
        <v>1024</v>
      </c>
      <c r="AE700" s="40" t="s">
        <v>1323</v>
      </c>
      <c r="AF700" s="39">
        <f>データ!K700</f>
        <v>38738</v>
      </c>
      <c r="AG700" s="40" t="s">
        <v>1024</v>
      </c>
      <c r="AH700" s="40" t="s">
        <v>1324</v>
      </c>
      <c r="AI700" s="39" t="str">
        <f>データ!L700</f>
        <v>天覇消滅／光芒</v>
      </c>
      <c r="AJ700" s="10" t="s">
        <v>1113</v>
      </c>
      <c r="AK700" s="39" t="str">
        <f>データ!M700</f>
        <v>敵全体の攻撃力をDOWN[極大]</v>
      </c>
      <c r="AL700" s="10" t="s">
        <v>1024</v>
      </c>
      <c r="AM700" s="40" t="s">
        <v>1325</v>
      </c>
      <c r="AN700" s="39" t="str">
        <f>データ!N700</f>
        <v>-</v>
      </c>
      <c r="AO700" s="10" t="s">
        <v>1113</v>
      </c>
      <c r="AP700" s="39" t="str">
        <f>データ!O700</f>
        <v>　</v>
      </c>
      <c r="AQ700" s="41" t="s">
        <v>1024</v>
      </c>
      <c r="AR700" s="40" t="s">
        <v>1324</v>
      </c>
      <c r="AS700" s="39" t="str">
        <f>データ!P700</f>
        <v>ストリーム／絶</v>
      </c>
      <c r="AT700" s="10" t="s">
        <v>1113</v>
      </c>
      <c r="AU700" s="39" t="str">
        <f>データ!Q700</f>
        <v>パーティ全体の攻撃力・速度が大UP(3分間)</v>
      </c>
      <c r="AV700" s="10" t="s">
        <v>1024</v>
      </c>
      <c r="AW700" s="40" t="s">
        <v>1324</v>
      </c>
      <c r="AX700" s="39" t="str">
        <f>データ!R700</f>
        <v>メナス／真</v>
      </c>
      <c r="AY700" s="10" t="s">
        <v>1113</v>
      </c>
      <c r="AZ700" s="39" t="str">
        <f>データ!S700</f>
        <v>対戦騎士団全体の防御力が中DOWN(3分間)</v>
      </c>
      <c r="BA700" s="41" t="s">
        <v>1024</v>
      </c>
      <c r="BB700" s="40" t="s">
        <v>1319</v>
      </c>
      <c r="BC700" s="39" t="str">
        <f>データ!T700</f>
        <v>-</v>
      </c>
      <c r="BD700" s="41" t="s">
        <v>1024</v>
      </c>
      <c r="BE700" s="40" t="s">
        <v>1320</v>
      </c>
      <c r="BF700" s="39" t="str">
        <f>データ!U700</f>
        <v>-</v>
      </c>
      <c r="BG700" s="41" t="s">
        <v>1024</v>
      </c>
      <c r="BH700" s="40" t="s">
        <v>1319</v>
      </c>
      <c r="BI700" s="39" t="str">
        <f>データ!V700</f>
        <v>ガチャイベ</v>
      </c>
      <c r="BJ700" s="41" t="s">
        <v>1024</v>
      </c>
      <c r="BK700" s="10" t="s">
        <v>1019</v>
      </c>
    </row>
    <row r="701" spans="1:63" x14ac:dyDescent="0.15">
      <c r="A701" s="10" t="s">
        <v>1016</v>
      </c>
      <c r="B701" s="10" t="s">
        <v>1454</v>
      </c>
      <c r="C701" s="38" t="str">
        <f>"./images/thumbnail/"&amp;データ!B701&amp;".jpg"</f>
        <v>./images/thumbnail/2141.jpg</v>
      </c>
      <c r="D701" s="38" t="s">
        <v>1455</v>
      </c>
      <c r="E701" s="38" t="str">
        <f>"./images/thumbnail/"&amp;データ!B701&amp;".jpg"</f>
        <v>./images/thumbnail/2141.jpg</v>
      </c>
      <c r="F701" s="38" t="s">
        <v>1116</v>
      </c>
      <c r="G701" s="38" t="s">
        <v>1319</v>
      </c>
      <c r="H701" s="38" t="str">
        <f>データ!C701</f>
        <v>マリー</v>
      </c>
      <c r="I701" s="38" t="s">
        <v>1024</v>
      </c>
      <c r="J701" s="38" t="s">
        <v>1320</v>
      </c>
      <c r="K701" s="38" t="str">
        <f>データ!D701</f>
        <v>UR</v>
      </c>
      <c r="L701" s="38" t="s">
        <v>1024</v>
      </c>
      <c r="M701" s="38" t="s">
        <v>1321</v>
      </c>
      <c r="N701" s="38">
        <f>データ!E701</f>
        <v>15</v>
      </c>
      <c r="O701" s="38" t="s">
        <v>1024</v>
      </c>
      <c r="P701" s="38" t="s">
        <v>1319</v>
      </c>
      <c r="Q701" s="38" t="str">
        <f>データ!F701</f>
        <v>打</v>
      </c>
      <c r="R701" s="38" t="s">
        <v>1024</v>
      </c>
      <c r="S701" s="38" t="s">
        <v>1319</v>
      </c>
      <c r="T701" s="39">
        <f>データ!G701</f>
        <v>26909</v>
      </c>
      <c r="U701" s="40" t="s">
        <v>1024</v>
      </c>
      <c r="V701" s="40" t="s">
        <v>1319</v>
      </c>
      <c r="W701" s="39">
        <f>データ!H701</f>
        <v>7674</v>
      </c>
      <c r="X701" s="40" t="s">
        <v>1024</v>
      </c>
      <c r="Y701" s="40" t="s">
        <v>1319</v>
      </c>
      <c r="Z701" s="39">
        <f>データ!I701</f>
        <v>10598</v>
      </c>
      <c r="AA701" s="40" t="s">
        <v>1024</v>
      </c>
      <c r="AB701" s="40" t="s">
        <v>1322</v>
      </c>
      <c r="AC701" s="39" t="str">
        <f>データ!J701</f>
        <v>S</v>
      </c>
      <c r="AD701" s="38" t="s">
        <v>1024</v>
      </c>
      <c r="AE701" s="40" t="s">
        <v>1323</v>
      </c>
      <c r="AF701" s="39">
        <f>データ!K701</f>
        <v>45181</v>
      </c>
      <c r="AG701" s="40" t="s">
        <v>1024</v>
      </c>
      <c r="AH701" s="40" t="s">
        <v>1324</v>
      </c>
      <c r="AI701" s="39" t="str">
        <f>データ!L701</f>
        <v>天幻光の交叉線／煌</v>
      </c>
      <c r="AJ701" s="10" t="s">
        <v>1113</v>
      </c>
      <c r="AK701" s="39" t="str">
        <f>データ!M701</f>
        <v>X字型攻撃[特大]自分の攻撃力UP[特大]</v>
      </c>
      <c r="AL701" s="10" t="s">
        <v>1024</v>
      </c>
      <c r="AM701" s="40" t="s">
        <v>1325</v>
      </c>
      <c r="AN701" s="39" t="str">
        <f>データ!N701</f>
        <v>-</v>
      </c>
      <c r="AO701" s="10" t="s">
        <v>1113</v>
      </c>
      <c r="AP701" s="39" t="str">
        <f>データ!O701</f>
        <v>　</v>
      </c>
      <c r="AQ701" s="41" t="s">
        <v>1024</v>
      </c>
      <c r="AR701" s="40" t="s">
        <v>1324</v>
      </c>
      <c r="AS701" s="39" t="str">
        <f>データ!P701</f>
        <v>エクスドライブ／煌</v>
      </c>
      <c r="AT701" s="10" t="s">
        <v>1113</v>
      </c>
      <c r="AU701" s="39" t="str">
        <f>データ!Q701</f>
        <v>キリ番CB時の獲得ポイント特大UP(3分間)</v>
      </c>
      <c r="AV701" s="10" t="s">
        <v>1024</v>
      </c>
      <c r="AW701" s="40" t="s">
        <v>1324</v>
      </c>
      <c r="AX701" s="39" t="str">
        <f>データ!R701</f>
        <v>アサルト／絶</v>
      </c>
      <c r="AY701" s="10" t="s">
        <v>1113</v>
      </c>
      <c r="AZ701" s="39" t="str">
        <f>データ!S701</f>
        <v>パーティ全体の攻撃力が大UP(3分間)</v>
      </c>
      <c r="BA701" s="41" t="s">
        <v>1024</v>
      </c>
      <c r="BB701" s="40" t="s">
        <v>1319</v>
      </c>
      <c r="BC701" s="39" t="str">
        <f>データ!T701</f>
        <v>-</v>
      </c>
      <c r="BD701" s="41" t="s">
        <v>1024</v>
      </c>
      <c r="BE701" s="40" t="s">
        <v>1320</v>
      </c>
      <c r="BF701" s="39" t="str">
        <f>データ!U701</f>
        <v>-</v>
      </c>
      <c r="BG701" s="41" t="s">
        <v>1024</v>
      </c>
      <c r="BH701" s="40" t="s">
        <v>1319</v>
      </c>
      <c r="BI701" s="39" t="str">
        <f>データ!V701</f>
        <v>ガチャイベ</v>
      </c>
      <c r="BJ701" s="41" t="s">
        <v>1024</v>
      </c>
      <c r="BK701" s="10" t="s">
        <v>1019</v>
      </c>
    </row>
    <row r="702" spans="1:63" x14ac:dyDescent="0.15">
      <c r="A702" s="10" t="s">
        <v>1016</v>
      </c>
      <c r="B702" s="10" t="s">
        <v>1454</v>
      </c>
      <c r="C702" s="38" t="str">
        <f>"./images/thumbnail/"&amp;データ!B702&amp;".jpg"</f>
        <v>./images/thumbnail/2143.jpg</v>
      </c>
      <c r="D702" s="38" t="s">
        <v>1455</v>
      </c>
      <c r="E702" s="38" t="str">
        <f>"./images/thumbnail/"&amp;データ!B702&amp;".jpg"</f>
        <v>./images/thumbnail/2143.jpg</v>
      </c>
      <c r="F702" s="38" t="s">
        <v>1116</v>
      </c>
      <c r="G702" s="38" t="s">
        <v>1319</v>
      </c>
      <c r="H702" s="38" t="str">
        <f>データ!C702</f>
        <v>ヒルダ</v>
      </c>
      <c r="I702" s="38" t="s">
        <v>1024</v>
      </c>
      <c r="J702" s="38" t="s">
        <v>1320</v>
      </c>
      <c r="K702" s="38" t="str">
        <f>データ!D702</f>
        <v>UR</v>
      </c>
      <c r="L702" s="38" t="s">
        <v>1024</v>
      </c>
      <c r="M702" s="38" t="s">
        <v>1321</v>
      </c>
      <c r="N702" s="38">
        <f>データ!E702</f>
        <v>15</v>
      </c>
      <c r="O702" s="38" t="s">
        <v>1024</v>
      </c>
      <c r="P702" s="38" t="s">
        <v>1319</v>
      </c>
      <c r="Q702" s="38" t="str">
        <f>データ!F702</f>
        <v>遠</v>
      </c>
      <c r="R702" s="38" t="s">
        <v>1024</v>
      </c>
      <c r="S702" s="38" t="s">
        <v>1319</v>
      </c>
      <c r="T702" s="39">
        <f>データ!G702</f>
        <v>23579</v>
      </c>
      <c r="U702" s="40" t="s">
        <v>1024</v>
      </c>
      <c r="V702" s="40" t="s">
        <v>1319</v>
      </c>
      <c r="W702" s="39">
        <f>データ!H702</f>
        <v>7520</v>
      </c>
      <c r="X702" s="40" t="s">
        <v>1024</v>
      </c>
      <c r="Y702" s="40" t="s">
        <v>1319</v>
      </c>
      <c r="Z702" s="39">
        <f>データ!I702</f>
        <v>7859</v>
      </c>
      <c r="AA702" s="40" t="s">
        <v>1024</v>
      </c>
      <c r="AB702" s="40" t="s">
        <v>1322</v>
      </c>
      <c r="AC702" s="39" t="str">
        <f>データ!J702</f>
        <v>SS</v>
      </c>
      <c r="AD702" s="38" t="s">
        <v>1024</v>
      </c>
      <c r="AE702" s="40" t="s">
        <v>1323</v>
      </c>
      <c r="AF702" s="39">
        <f>データ!K702</f>
        <v>38958</v>
      </c>
      <c r="AG702" s="40" t="s">
        <v>1024</v>
      </c>
      <c r="AH702" s="40" t="s">
        <v>1324</v>
      </c>
      <c r="AI702" s="39" t="str">
        <f>データ!L702</f>
        <v>天焔幻の一閃／煌</v>
      </c>
      <c r="AJ702" s="10" t="s">
        <v>1113</v>
      </c>
      <c r="AK702" s="39" t="str">
        <f>データ!M702</f>
        <v>横一列攻撃[特大]自分の攻撃力UP[特大]</v>
      </c>
      <c r="AL702" s="10" t="s">
        <v>1024</v>
      </c>
      <c r="AM702" s="40" t="s">
        <v>1325</v>
      </c>
      <c r="AN702" s="39" t="str">
        <f>データ!N702</f>
        <v>-</v>
      </c>
      <c r="AO702" s="10" t="s">
        <v>1113</v>
      </c>
      <c r="AP702" s="39" t="str">
        <f>データ!O702</f>
        <v>　</v>
      </c>
      <c r="AQ702" s="41" t="s">
        <v>1024</v>
      </c>
      <c r="AR702" s="40" t="s">
        <v>1324</v>
      </c>
      <c r="AS702" s="39" t="str">
        <f>データ!P702</f>
        <v>ランページ／煌</v>
      </c>
      <c r="AT702" s="10" t="s">
        <v>1113</v>
      </c>
      <c r="AU702" s="39" t="str">
        <f>データ!Q702</f>
        <v>バトルで獲得する騎士団戦スコアが特大アップ(3分間)</v>
      </c>
      <c r="AV702" s="10" t="s">
        <v>1024</v>
      </c>
      <c r="AW702" s="40" t="s">
        <v>1324</v>
      </c>
      <c r="AX702" s="39" t="str">
        <f>データ!R702</f>
        <v>ランページ／絶</v>
      </c>
      <c r="AY702" s="10" t="s">
        <v>1113</v>
      </c>
      <c r="AZ702" s="39" t="str">
        <f>データ!S702</f>
        <v>バトルで獲得する騎士団戦スコアが大アップ(3分間)</v>
      </c>
      <c r="BA702" s="41" t="s">
        <v>1024</v>
      </c>
      <c r="BB702" s="40" t="s">
        <v>1319</v>
      </c>
      <c r="BC702" s="39" t="str">
        <f>データ!T702</f>
        <v>-</v>
      </c>
      <c r="BD702" s="41" t="s">
        <v>1024</v>
      </c>
      <c r="BE702" s="40" t="s">
        <v>1320</v>
      </c>
      <c r="BF702" s="39" t="str">
        <f>データ!U702</f>
        <v>-</v>
      </c>
      <c r="BG702" s="41" t="s">
        <v>1024</v>
      </c>
      <c r="BH702" s="40" t="s">
        <v>1319</v>
      </c>
      <c r="BI702" s="39" t="str">
        <f>データ!V702</f>
        <v>ガチャイベ</v>
      </c>
      <c r="BJ702" s="41" t="s">
        <v>1024</v>
      </c>
      <c r="BK702" s="10" t="s">
        <v>1019</v>
      </c>
    </row>
    <row r="703" spans="1:63" x14ac:dyDescent="0.15">
      <c r="A703" s="10" t="s">
        <v>1016</v>
      </c>
      <c r="B703" s="10" t="s">
        <v>1454</v>
      </c>
      <c r="C703" s="38" t="str">
        <f>"./images/thumbnail/"&amp;データ!B703&amp;".jpg"</f>
        <v>./images/thumbnail/2145.jpg</v>
      </c>
      <c r="D703" s="38" t="s">
        <v>1455</v>
      </c>
      <c r="E703" s="38" t="str">
        <f>"./images/thumbnail/"&amp;データ!B703&amp;".jpg"</f>
        <v>./images/thumbnail/2145.jpg</v>
      </c>
      <c r="F703" s="38" t="s">
        <v>1116</v>
      </c>
      <c r="G703" s="38" t="s">
        <v>1319</v>
      </c>
      <c r="H703" s="38" t="str">
        <f>データ!C703</f>
        <v>ミネット</v>
      </c>
      <c r="I703" s="38" t="s">
        <v>1024</v>
      </c>
      <c r="J703" s="38" t="s">
        <v>1320</v>
      </c>
      <c r="K703" s="38" t="str">
        <f>データ!D703</f>
        <v>UR</v>
      </c>
      <c r="L703" s="38" t="s">
        <v>1024</v>
      </c>
      <c r="M703" s="38" t="s">
        <v>1321</v>
      </c>
      <c r="N703" s="38">
        <f>データ!E703</f>
        <v>15</v>
      </c>
      <c r="O703" s="38" t="s">
        <v>1024</v>
      </c>
      <c r="P703" s="38" t="s">
        <v>1319</v>
      </c>
      <c r="Q703" s="38" t="str">
        <f>データ!F703</f>
        <v>打</v>
      </c>
      <c r="R703" s="38" t="s">
        <v>1024</v>
      </c>
      <c r="S703" s="38" t="s">
        <v>1319</v>
      </c>
      <c r="T703" s="39">
        <f>データ!G703</f>
        <v>28637</v>
      </c>
      <c r="U703" s="40" t="s">
        <v>1024</v>
      </c>
      <c r="V703" s="40" t="s">
        <v>1319</v>
      </c>
      <c r="W703" s="39">
        <f>データ!H703</f>
        <v>7527</v>
      </c>
      <c r="X703" s="40" t="s">
        <v>1024</v>
      </c>
      <c r="Y703" s="40" t="s">
        <v>1319</v>
      </c>
      <c r="Z703" s="39">
        <f>データ!I703</f>
        <v>10928</v>
      </c>
      <c r="AA703" s="40" t="s">
        <v>1024</v>
      </c>
      <c r="AB703" s="40" t="s">
        <v>1322</v>
      </c>
      <c r="AC703" s="39" t="str">
        <f>データ!J703</f>
        <v>S</v>
      </c>
      <c r="AD703" s="38" t="s">
        <v>1024</v>
      </c>
      <c r="AE703" s="40" t="s">
        <v>1323</v>
      </c>
      <c r="AF703" s="39">
        <f>データ!K703</f>
        <v>47092</v>
      </c>
      <c r="AG703" s="40" t="s">
        <v>1024</v>
      </c>
      <c r="AH703" s="40" t="s">
        <v>1324</v>
      </c>
      <c r="AI703" s="39" t="str">
        <f>データ!L703</f>
        <v>魔幻の閃光／煌</v>
      </c>
      <c r="AJ703" s="10" t="s">
        <v>1113</v>
      </c>
      <c r="AK703" s="39" t="str">
        <f>データ!M703</f>
        <v>縦一列に攻撃[特大]</v>
      </c>
      <c r="AL703" s="10" t="s">
        <v>1024</v>
      </c>
      <c r="AM703" s="40" t="s">
        <v>1325</v>
      </c>
      <c r="AN703" s="39" t="str">
        <f>データ!N703</f>
        <v>-</v>
      </c>
      <c r="AO703" s="10" t="s">
        <v>1113</v>
      </c>
      <c r="AP703" s="39" t="str">
        <f>データ!O703</f>
        <v>　</v>
      </c>
      <c r="AQ703" s="41" t="s">
        <v>1024</v>
      </c>
      <c r="AR703" s="40" t="s">
        <v>1324</v>
      </c>
      <c r="AS703" s="39" t="str">
        <f>データ!P703</f>
        <v>オラトリオ／煌</v>
      </c>
      <c r="AT703" s="10" t="s">
        <v>1113</v>
      </c>
      <c r="AU703" s="39" t="str">
        <f>データ!Q703</f>
        <v>強襲無効、攻撃力・スキル発動率特大UP(3分間)</v>
      </c>
      <c r="AV703" s="10" t="s">
        <v>1024</v>
      </c>
      <c r="AW703" s="40" t="s">
        <v>1324</v>
      </c>
      <c r="AX703" s="39" t="str">
        <f>データ!R703</f>
        <v>アサルトオーダー／真</v>
      </c>
      <c r="AY703" s="10" t="s">
        <v>1113</v>
      </c>
      <c r="AZ703" s="39" t="str">
        <f>データ!S703</f>
        <v>騎士団全体の攻撃力が中UP(3分間)</v>
      </c>
      <c r="BA703" s="41" t="s">
        <v>1024</v>
      </c>
      <c r="BB703" s="40" t="s">
        <v>1319</v>
      </c>
      <c r="BC703" s="39" t="str">
        <f>データ!T703</f>
        <v>-</v>
      </c>
      <c r="BD703" s="41" t="s">
        <v>1024</v>
      </c>
      <c r="BE703" s="40" t="s">
        <v>1320</v>
      </c>
      <c r="BF703" s="39" t="str">
        <f>データ!U703</f>
        <v>-</v>
      </c>
      <c r="BG703" s="41" t="s">
        <v>1024</v>
      </c>
      <c r="BH703" s="40" t="s">
        <v>1319</v>
      </c>
      <c r="BI703" s="39" t="str">
        <f>データ!V703</f>
        <v>覇者の塔</v>
      </c>
      <c r="BJ703" s="41" t="s">
        <v>1024</v>
      </c>
      <c r="BK703" s="10" t="s">
        <v>1019</v>
      </c>
    </row>
    <row r="704" spans="1:63" x14ac:dyDescent="0.15">
      <c r="A704" s="10" t="s">
        <v>1016</v>
      </c>
      <c r="B704" s="10" t="s">
        <v>1454</v>
      </c>
      <c r="C704" s="38" t="str">
        <f>"./images/thumbnail/"&amp;データ!B704&amp;".jpg"</f>
        <v>./images/thumbnail/2147.jpg</v>
      </c>
      <c r="D704" s="38" t="s">
        <v>1455</v>
      </c>
      <c r="E704" s="38" t="str">
        <f>"./images/thumbnail/"&amp;データ!B704&amp;".jpg"</f>
        <v>./images/thumbnail/2147.jpg</v>
      </c>
      <c r="F704" s="38" t="s">
        <v>1116</v>
      </c>
      <c r="G704" s="38" t="s">
        <v>1319</v>
      </c>
      <c r="H704" s="38" t="str">
        <f>データ!C704</f>
        <v>カエサル</v>
      </c>
      <c r="I704" s="38" t="s">
        <v>1024</v>
      </c>
      <c r="J704" s="38" t="s">
        <v>1320</v>
      </c>
      <c r="K704" s="38" t="str">
        <f>データ!D704</f>
        <v>UR</v>
      </c>
      <c r="L704" s="38" t="s">
        <v>1024</v>
      </c>
      <c r="M704" s="38" t="s">
        <v>1321</v>
      </c>
      <c r="N704" s="38">
        <f>データ!E704</f>
        <v>15</v>
      </c>
      <c r="O704" s="38" t="s">
        <v>1024</v>
      </c>
      <c r="P704" s="38" t="s">
        <v>1319</v>
      </c>
      <c r="Q704" s="38" t="str">
        <f>データ!F704</f>
        <v>斬</v>
      </c>
      <c r="R704" s="38" t="s">
        <v>1024</v>
      </c>
      <c r="S704" s="38" t="s">
        <v>1319</v>
      </c>
      <c r="T704" s="39">
        <f>データ!G704</f>
        <v>21093</v>
      </c>
      <c r="U704" s="40" t="s">
        <v>1024</v>
      </c>
      <c r="V704" s="40" t="s">
        <v>1319</v>
      </c>
      <c r="W704" s="39">
        <f>データ!H704</f>
        <v>9285</v>
      </c>
      <c r="X704" s="40" t="s">
        <v>1024</v>
      </c>
      <c r="Y704" s="40" t="s">
        <v>1319</v>
      </c>
      <c r="Z704" s="39">
        <f>データ!I704</f>
        <v>7119</v>
      </c>
      <c r="AA704" s="40" t="s">
        <v>1024</v>
      </c>
      <c r="AB704" s="40" t="s">
        <v>1322</v>
      </c>
      <c r="AC704" s="39" t="str">
        <f>データ!J704</f>
        <v>SS-</v>
      </c>
      <c r="AD704" s="38" t="s">
        <v>1024</v>
      </c>
      <c r="AE704" s="40" t="s">
        <v>1323</v>
      </c>
      <c r="AF704" s="39">
        <f>データ!K704</f>
        <v>37497</v>
      </c>
      <c r="AG704" s="40" t="s">
        <v>1024</v>
      </c>
      <c r="AH704" s="40" t="s">
        <v>1324</v>
      </c>
      <c r="AI704" s="39" t="str">
        <f>データ!L704</f>
        <v>魔幻の閃光／煌</v>
      </c>
      <c r="AJ704" s="10" t="s">
        <v>1113</v>
      </c>
      <c r="AK704" s="39" t="str">
        <f>データ!M704</f>
        <v>縦一列に攻撃[特大]</v>
      </c>
      <c r="AL704" s="10" t="s">
        <v>1024</v>
      </c>
      <c r="AM704" s="40" t="s">
        <v>1325</v>
      </c>
      <c r="AN704" s="39" t="str">
        <f>データ!N704</f>
        <v>-</v>
      </c>
      <c r="AO704" s="10" t="s">
        <v>1113</v>
      </c>
      <c r="AP704" s="39" t="str">
        <f>データ!O704</f>
        <v>　</v>
      </c>
      <c r="AQ704" s="41" t="s">
        <v>1024</v>
      </c>
      <c r="AR704" s="40" t="s">
        <v>1324</v>
      </c>
      <c r="AS704" s="39" t="str">
        <f>データ!P704</f>
        <v>バーサク／絶</v>
      </c>
      <c r="AT704" s="10" t="s">
        <v>1113</v>
      </c>
      <c r="AU704" s="39" t="str">
        <f>データ!Q704</f>
        <v>強襲が発生無効、バトル時に攻・防大UP(3分間)</v>
      </c>
      <c r="AV704" s="10" t="s">
        <v>1024</v>
      </c>
      <c r="AW704" s="40" t="s">
        <v>1324</v>
      </c>
      <c r="AX704" s="39" t="str">
        <f>データ!R704</f>
        <v>フォートレス／絶</v>
      </c>
      <c r="AY704" s="10" t="s">
        <v>1113</v>
      </c>
      <c r="AZ704" s="39" t="str">
        <f>データ!S704</f>
        <v>パーティ全体の防御力が大UP(3分間)</v>
      </c>
      <c r="BA704" s="41" t="s">
        <v>1024</v>
      </c>
      <c r="BB704" s="40" t="s">
        <v>1319</v>
      </c>
      <c r="BC704" s="39" t="str">
        <f>データ!T704</f>
        <v>-</v>
      </c>
      <c r="BD704" s="41" t="s">
        <v>1024</v>
      </c>
      <c r="BE704" s="40" t="s">
        <v>1320</v>
      </c>
      <c r="BF704" s="39" t="str">
        <f>データ!U704</f>
        <v>-</v>
      </c>
      <c r="BG704" s="41" t="s">
        <v>1024</v>
      </c>
      <c r="BH704" s="40" t="s">
        <v>1319</v>
      </c>
      <c r="BI704" s="39" t="str">
        <f>データ!V704</f>
        <v>常設</v>
      </c>
      <c r="BJ704" s="41" t="s">
        <v>1024</v>
      </c>
      <c r="BK704" s="10" t="s">
        <v>1019</v>
      </c>
    </row>
    <row r="705" spans="1:63" x14ac:dyDescent="0.15">
      <c r="A705" s="10" t="s">
        <v>1016</v>
      </c>
      <c r="B705" s="10" t="s">
        <v>1454</v>
      </c>
      <c r="C705" s="38" t="str">
        <f>"./images/thumbnail/"&amp;データ!B705&amp;".jpg"</f>
        <v>./images/thumbnail/2149.jpg</v>
      </c>
      <c r="D705" s="38" t="s">
        <v>1455</v>
      </c>
      <c r="E705" s="38" t="str">
        <f>"./images/thumbnail/"&amp;データ!B705&amp;".jpg"</f>
        <v>./images/thumbnail/2149.jpg</v>
      </c>
      <c r="F705" s="38" t="s">
        <v>1116</v>
      </c>
      <c r="G705" s="38" t="s">
        <v>1319</v>
      </c>
      <c r="H705" s="38" t="str">
        <f>データ!C705</f>
        <v>エミィ</v>
      </c>
      <c r="I705" s="38" t="s">
        <v>1024</v>
      </c>
      <c r="J705" s="38" t="s">
        <v>1320</v>
      </c>
      <c r="K705" s="38" t="str">
        <f>データ!D705</f>
        <v>UR</v>
      </c>
      <c r="L705" s="38" t="s">
        <v>1024</v>
      </c>
      <c r="M705" s="38" t="s">
        <v>1321</v>
      </c>
      <c r="N705" s="38">
        <f>データ!E705</f>
        <v>15</v>
      </c>
      <c r="O705" s="38" t="s">
        <v>1024</v>
      </c>
      <c r="P705" s="38" t="s">
        <v>1319</v>
      </c>
      <c r="Q705" s="38" t="str">
        <f>データ!F705</f>
        <v>遠</v>
      </c>
      <c r="R705" s="38" t="s">
        <v>1024</v>
      </c>
      <c r="S705" s="38" t="s">
        <v>1319</v>
      </c>
      <c r="T705" s="39">
        <f>データ!G705</f>
        <v>22812</v>
      </c>
      <c r="U705" s="40" t="s">
        <v>1024</v>
      </c>
      <c r="V705" s="40" t="s">
        <v>1319</v>
      </c>
      <c r="W705" s="39">
        <f>データ!H705</f>
        <v>7125</v>
      </c>
      <c r="X705" s="40" t="s">
        <v>1024</v>
      </c>
      <c r="Y705" s="40" t="s">
        <v>1319</v>
      </c>
      <c r="Z705" s="39">
        <f>データ!I705</f>
        <v>7092</v>
      </c>
      <c r="AA705" s="40" t="s">
        <v>1024</v>
      </c>
      <c r="AB705" s="40" t="s">
        <v>1322</v>
      </c>
      <c r="AC705" s="39" t="str">
        <f>データ!J705</f>
        <v>SS</v>
      </c>
      <c r="AD705" s="38" t="s">
        <v>1024</v>
      </c>
      <c r="AE705" s="40" t="s">
        <v>1323</v>
      </c>
      <c r="AF705" s="39">
        <f>データ!K705</f>
        <v>37029</v>
      </c>
      <c r="AG705" s="40" t="s">
        <v>1024</v>
      </c>
      <c r="AH705" s="40" t="s">
        <v>1324</v>
      </c>
      <c r="AI705" s="39" t="str">
        <f>データ!L705</f>
        <v>対紫の突風／煌</v>
      </c>
      <c r="AJ705" s="10" t="s">
        <v>1113</v>
      </c>
      <c r="AK705" s="39" t="str">
        <f>データ!M705</f>
        <v>打に強く遠に弱い縦一列攻撃[特大]</v>
      </c>
      <c r="AL705" s="10" t="s">
        <v>1024</v>
      </c>
      <c r="AM705" s="40" t="s">
        <v>1325</v>
      </c>
      <c r="AN705" s="39" t="str">
        <f>データ!N705</f>
        <v>-</v>
      </c>
      <c r="AO705" s="10" t="s">
        <v>1113</v>
      </c>
      <c r="AP705" s="39" t="str">
        <f>データ!O705</f>
        <v>　</v>
      </c>
      <c r="AQ705" s="41" t="s">
        <v>1024</v>
      </c>
      <c r="AR705" s="40" t="s">
        <v>1324</v>
      </c>
      <c r="AS705" s="39" t="str">
        <f>データ!P705</f>
        <v>エース／煌</v>
      </c>
      <c r="AT705" s="10" t="s">
        <v>1113</v>
      </c>
      <c r="AU705" s="39" t="str">
        <f>データ!Q705</f>
        <v>パーティ全体の攻・防が特大UP(3分間)</v>
      </c>
      <c r="AV705" s="10" t="s">
        <v>1024</v>
      </c>
      <c r="AW705" s="40" t="s">
        <v>1324</v>
      </c>
      <c r="AX705" s="39" t="str">
        <f>データ!R705</f>
        <v>オラクルオーダー／真</v>
      </c>
      <c r="AY705" s="10" t="s">
        <v>1113</v>
      </c>
      <c r="AZ705" s="39" t="str">
        <f>データ!S705</f>
        <v>騎士団全体のスキル発動率が中UP(3分間)</v>
      </c>
      <c r="BA705" s="41" t="s">
        <v>1024</v>
      </c>
      <c r="BB705" s="40" t="s">
        <v>1319</v>
      </c>
      <c r="BC705" s="39" t="str">
        <f>データ!T705</f>
        <v>-</v>
      </c>
      <c r="BD705" s="41" t="s">
        <v>1024</v>
      </c>
      <c r="BE705" s="40" t="s">
        <v>1320</v>
      </c>
      <c r="BF705" s="39" t="str">
        <f>データ!U705</f>
        <v>-</v>
      </c>
      <c r="BG705" s="41" t="s">
        <v>1024</v>
      </c>
      <c r="BH705" s="40" t="s">
        <v>1319</v>
      </c>
      <c r="BI705" s="39" t="str">
        <f>データ!V705</f>
        <v>常設</v>
      </c>
      <c r="BJ705" s="41" t="s">
        <v>1024</v>
      </c>
      <c r="BK705" s="10" t="s">
        <v>1019</v>
      </c>
    </row>
    <row r="706" spans="1:63" x14ac:dyDescent="0.15">
      <c r="A706" s="10" t="s">
        <v>1016</v>
      </c>
      <c r="B706" s="10" t="s">
        <v>1454</v>
      </c>
      <c r="C706" s="38" t="str">
        <f>"./images/thumbnail/"&amp;データ!B706&amp;".jpg"</f>
        <v>./images/thumbnail/2150.jpg</v>
      </c>
      <c r="D706" s="38" t="s">
        <v>1455</v>
      </c>
      <c r="E706" s="38" t="str">
        <f>"./images/thumbnail/"&amp;データ!B706&amp;".jpg"</f>
        <v>./images/thumbnail/2150.jpg</v>
      </c>
      <c r="F706" s="38" t="s">
        <v>1116</v>
      </c>
      <c r="G706" s="38" t="s">
        <v>1319</v>
      </c>
      <c r="H706" s="38" t="str">
        <f>データ!C706</f>
        <v>バルデブロン</v>
      </c>
      <c r="I706" s="38" t="s">
        <v>1024</v>
      </c>
      <c r="J706" s="38" t="s">
        <v>1320</v>
      </c>
      <c r="K706" s="38" t="str">
        <f>データ!D706</f>
        <v>SSR</v>
      </c>
      <c r="L706" s="38" t="s">
        <v>1024</v>
      </c>
      <c r="M706" s="38" t="s">
        <v>1321</v>
      </c>
      <c r="N706" s="38">
        <f>データ!E706</f>
        <v>13</v>
      </c>
      <c r="O706" s="38" t="s">
        <v>1024</v>
      </c>
      <c r="P706" s="38" t="s">
        <v>1319</v>
      </c>
      <c r="Q706" s="38" t="str">
        <f>データ!F706</f>
        <v>遠</v>
      </c>
      <c r="R706" s="38" t="s">
        <v>1024</v>
      </c>
      <c r="S706" s="38" t="s">
        <v>1319</v>
      </c>
      <c r="T706" s="39">
        <f>データ!G706</f>
        <v>18518</v>
      </c>
      <c r="U706" s="40" t="s">
        <v>1024</v>
      </c>
      <c r="V706" s="40" t="s">
        <v>1319</v>
      </c>
      <c r="W706" s="39">
        <f>データ!H706</f>
        <v>6628</v>
      </c>
      <c r="X706" s="40" t="s">
        <v>1024</v>
      </c>
      <c r="Y706" s="40" t="s">
        <v>1319</v>
      </c>
      <c r="Z706" s="39">
        <f>データ!I706</f>
        <v>5640</v>
      </c>
      <c r="AA706" s="40" t="s">
        <v>1024</v>
      </c>
      <c r="AB706" s="40" t="s">
        <v>1322</v>
      </c>
      <c r="AC706" s="39" t="str">
        <f>データ!J706</f>
        <v>S-</v>
      </c>
      <c r="AD706" s="38" t="s">
        <v>1024</v>
      </c>
      <c r="AE706" s="40" t="s">
        <v>1323</v>
      </c>
      <c r="AF706" s="39">
        <f>データ!K706</f>
        <v>30786</v>
      </c>
      <c r="AG706" s="40" t="s">
        <v>1024</v>
      </c>
      <c r="AH706" s="40" t="s">
        <v>1324</v>
      </c>
      <c r="AI706" s="39" t="str">
        <f>データ!L706</f>
        <v>暗闇の言霊／絶</v>
      </c>
      <c r="AJ706" s="10" t="s">
        <v>1113</v>
      </c>
      <c r="AK706" s="39" t="str">
        <f>データ!M706</f>
        <v>一定確率で敵を暗闇状態にする[高確率]</v>
      </c>
      <c r="AL706" s="10" t="s">
        <v>1024</v>
      </c>
      <c r="AM706" s="40" t="s">
        <v>1325</v>
      </c>
      <c r="AN706" s="39" t="str">
        <f>データ!N706</f>
        <v>-</v>
      </c>
      <c r="AO706" s="10" t="s">
        <v>1113</v>
      </c>
      <c r="AP706" s="39" t="str">
        <f>データ!O706</f>
        <v>　</v>
      </c>
      <c r="AQ706" s="41" t="s">
        <v>1024</v>
      </c>
      <c r="AR706" s="40" t="s">
        <v>1324</v>
      </c>
      <c r="AS706" s="39" t="str">
        <f>データ!P706</f>
        <v>アサルト／真</v>
      </c>
      <c r="AT706" s="10" t="s">
        <v>1113</v>
      </c>
      <c r="AU706" s="39" t="str">
        <f>データ!Q706</f>
        <v>パーティ全体の攻撃力が中UP(3分間)</v>
      </c>
      <c r="AV706" s="10" t="s">
        <v>1024</v>
      </c>
      <c r="AW706" s="40" t="s">
        <v>1324</v>
      </c>
      <c r="AX706" s="39" t="str">
        <f>データ!R706</f>
        <v>-</v>
      </c>
      <c r="AY706" s="10" t="s">
        <v>1113</v>
      </c>
      <c r="AZ706" s="39" t="str">
        <f>データ!S706</f>
        <v>　</v>
      </c>
      <c r="BA706" s="41" t="s">
        <v>1024</v>
      </c>
      <c r="BB706" s="40" t="s">
        <v>1319</v>
      </c>
      <c r="BC706" s="39" t="str">
        <f>データ!T706</f>
        <v>-</v>
      </c>
      <c r="BD706" s="41" t="s">
        <v>1024</v>
      </c>
      <c r="BE706" s="40" t="s">
        <v>1320</v>
      </c>
      <c r="BF706" s="39" t="str">
        <f>データ!U706</f>
        <v>-</v>
      </c>
      <c r="BG706" s="41" t="s">
        <v>1024</v>
      </c>
      <c r="BH706" s="40" t="s">
        <v>1319</v>
      </c>
      <c r="BI706" s="39" t="str">
        <f>データ!V706</f>
        <v>第17回統一報酬</v>
      </c>
      <c r="BJ706" s="41" t="s">
        <v>1024</v>
      </c>
      <c r="BK706" s="10" t="s">
        <v>1019</v>
      </c>
    </row>
    <row r="707" spans="1:63" x14ac:dyDescent="0.15">
      <c r="A707" s="10" t="s">
        <v>1016</v>
      </c>
      <c r="B707" s="10" t="s">
        <v>1454</v>
      </c>
      <c r="C707" s="38" t="str">
        <f>"./images/thumbnail/"&amp;データ!B707&amp;".jpg"</f>
        <v>./images/thumbnail/2151.jpg</v>
      </c>
      <c r="D707" s="38" t="s">
        <v>1455</v>
      </c>
      <c r="E707" s="38" t="str">
        <f>"./images/thumbnail/"&amp;データ!B707&amp;".jpg"</f>
        <v>./images/thumbnail/2151.jpg</v>
      </c>
      <c r="F707" s="38" t="s">
        <v>1116</v>
      </c>
      <c r="G707" s="38" t="s">
        <v>1319</v>
      </c>
      <c r="H707" s="38" t="str">
        <f>データ!C707</f>
        <v>バルデブロン</v>
      </c>
      <c r="I707" s="38" t="s">
        <v>1024</v>
      </c>
      <c r="J707" s="38" t="s">
        <v>1320</v>
      </c>
      <c r="K707" s="38" t="str">
        <f>データ!D707</f>
        <v>UR</v>
      </c>
      <c r="L707" s="38" t="s">
        <v>1024</v>
      </c>
      <c r="M707" s="38" t="s">
        <v>1321</v>
      </c>
      <c r="N707" s="38">
        <f>データ!E707</f>
        <v>14</v>
      </c>
      <c r="O707" s="38" t="s">
        <v>1024</v>
      </c>
      <c r="P707" s="38" t="s">
        <v>1319</v>
      </c>
      <c r="Q707" s="38" t="str">
        <f>データ!F707</f>
        <v>遠</v>
      </c>
      <c r="R707" s="38" t="s">
        <v>1024</v>
      </c>
      <c r="S707" s="38" t="s">
        <v>1319</v>
      </c>
      <c r="T707" s="39">
        <f>データ!G707</f>
        <v>20049</v>
      </c>
      <c r="U707" s="40" t="s">
        <v>1024</v>
      </c>
      <c r="V707" s="40" t="s">
        <v>1319</v>
      </c>
      <c r="W707" s="39">
        <f>データ!H707</f>
        <v>7066</v>
      </c>
      <c r="X707" s="40" t="s">
        <v>1024</v>
      </c>
      <c r="Y707" s="40" t="s">
        <v>1319</v>
      </c>
      <c r="Z707" s="39">
        <f>データ!I707</f>
        <v>6039</v>
      </c>
      <c r="AA707" s="40" t="s">
        <v>1024</v>
      </c>
      <c r="AB707" s="40" t="s">
        <v>1322</v>
      </c>
      <c r="AC707" s="39" t="str">
        <f>データ!J707</f>
        <v>S+</v>
      </c>
      <c r="AD707" s="38" t="s">
        <v>1024</v>
      </c>
      <c r="AE707" s="40" t="s">
        <v>1323</v>
      </c>
      <c r="AF707" s="39">
        <f>データ!K707</f>
        <v>33154</v>
      </c>
      <c r="AG707" s="40" t="s">
        <v>1024</v>
      </c>
      <c r="AH707" s="40" t="s">
        <v>1324</v>
      </c>
      <c r="AI707" s="39" t="str">
        <f>データ!L707</f>
        <v>暗闇の言霊／煌</v>
      </c>
      <c r="AJ707" s="10" t="s">
        <v>1113</v>
      </c>
      <c r="AK707" s="39" t="str">
        <f>データ!M707</f>
        <v>一定確率で敵を暗闇状態にする[超高確率]</v>
      </c>
      <c r="AL707" s="10" t="s">
        <v>1024</v>
      </c>
      <c r="AM707" s="40" t="s">
        <v>1325</v>
      </c>
      <c r="AN707" s="39" t="str">
        <f>データ!N707</f>
        <v>-</v>
      </c>
      <c r="AO707" s="10" t="s">
        <v>1113</v>
      </c>
      <c r="AP707" s="39" t="str">
        <f>データ!O707</f>
        <v>　</v>
      </c>
      <c r="AQ707" s="41" t="s">
        <v>1024</v>
      </c>
      <c r="AR707" s="40" t="s">
        <v>1324</v>
      </c>
      <c r="AS707" s="39" t="str">
        <f>データ!P707</f>
        <v>アサルト／絶</v>
      </c>
      <c r="AT707" s="10" t="s">
        <v>1113</v>
      </c>
      <c r="AU707" s="39" t="str">
        <f>データ!Q707</f>
        <v>パーティ全体の攻撃力が大UP(3分間)</v>
      </c>
      <c r="AV707" s="10" t="s">
        <v>1024</v>
      </c>
      <c r="AW707" s="40" t="s">
        <v>1324</v>
      </c>
      <c r="AX707" s="39" t="str">
        <f>データ!R707</f>
        <v>-</v>
      </c>
      <c r="AY707" s="10" t="s">
        <v>1113</v>
      </c>
      <c r="AZ707" s="39" t="str">
        <f>データ!S707</f>
        <v>　</v>
      </c>
      <c r="BA707" s="41" t="s">
        <v>1024</v>
      </c>
      <c r="BB707" s="40" t="s">
        <v>1319</v>
      </c>
      <c r="BC707" s="39" t="str">
        <f>データ!T707</f>
        <v>-</v>
      </c>
      <c r="BD707" s="41" t="s">
        <v>1024</v>
      </c>
      <c r="BE707" s="40" t="s">
        <v>1320</v>
      </c>
      <c r="BF707" s="39" t="str">
        <f>データ!U707</f>
        <v>-</v>
      </c>
      <c r="BG707" s="41" t="s">
        <v>1024</v>
      </c>
      <c r="BH707" s="40" t="s">
        <v>1319</v>
      </c>
      <c r="BI707" s="39" t="str">
        <f>データ!V707</f>
        <v>第17回統一報酬</v>
      </c>
      <c r="BJ707" s="41" t="s">
        <v>1024</v>
      </c>
      <c r="BK707" s="10" t="s">
        <v>1019</v>
      </c>
    </row>
    <row r="708" spans="1:63" x14ac:dyDescent="0.15">
      <c r="A708" s="10" t="s">
        <v>1016</v>
      </c>
      <c r="B708" s="10" t="s">
        <v>1454</v>
      </c>
      <c r="C708" s="38" t="str">
        <f>"./images/thumbnail/"&amp;データ!B708&amp;".jpg"</f>
        <v>./images/thumbnail/2152.jpg</v>
      </c>
      <c r="D708" s="38" t="s">
        <v>1455</v>
      </c>
      <c r="E708" s="38" t="str">
        <f>"./images/thumbnail/"&amp;データ!B708&amp;".jpg"</f>
        <v>./images/thumbnail/2152.jpg</v>
      </c>
      <c r="F708" s="38" t="s">
        <v>1116</v>
      </c>
      <c r="G708" s="38" t="s">
        <v>1319</v>
      </c>
      <c r="H708" s="38" t="str">
        <f>データ!C708</f>
        <v>バルデブロン</v>
      </c>
      <c r="I708" s="38" t="s">
        <v>1024</v>
      </c>
      <c r="J708" s="38" t="s">
        <v>1320</v>
      </c>
      <c r="K708" s="38" t="str">
        <f>データ!D708</f>
        <v>UR</v>
      </c>
      <c r="L708" s="38" t="s">
        <v>1024</v>
      </c>
      <c r="M708" s="38" t="s">
        <v>1321</v>
      </c>
      <c r="N708" s="38">
        <f>データ!E708</f>
        <v>15</v>
      </c>
      <c r="O708" s="38" t="s">
        <v>1024</v>
      </c>
      <c r="P708" s="38" t="s">
        <v>1319</v>
      </c>
      <c r="Q708" s="38" t="str">
        <f>データ!F708</f>
        <v>遠</v>
      </c>
      <c r="R708" s="38" t="s">
        <v>1024</v>
      </c>
      <c r="S708" s="38" t="s">
        <v>1319</v>
      </c>
      <c r="T708" s="39">
        <f>データ!G708</f>
        <v>23727</v>
      </c>
      <c r="U708" s="40" t="s">
        <v>1024</v>
      </c>
      <c r="V708" s="40" t="s">
        <v>1319</v>
      </c>
      <c r="W708" s="39">
        <f>データ!H708</f>
        <v>7306</v>
      </c>
      <c r="X708" s="40" t="s">
        <v>1024</v>
      </c>
      <c r="Y708" s="40" t="s">
        <v>1319</v>
      </c>
      <c r="Z708" s="39">
        <f>データ!I708</f>
        <v>7392</v>
      </c>
      <c r="AA708" s="40" t="s">
        <v>1024</v>
      </c>
      <c r="AB708" s="40" t="s">
        <v>1322</v>
      </c>
      <c r="AC708" s="39" t="str">
        <f>データ!J708</f>
        <v>SS</v>
      </c>
      <c r="AD708" s="38" t="s">
        <v>1024</v>
      </c>
      <c r="AE708" s="40" t="s">
        <v>1323</v>
      </c>
      <c r="AF708" s="39">
        <f>データ!K708</f>
        <v>38425</v>
      </c>
      <c r="AG708" s="40" t="s">
        <v>1024</v>
      </c>
      <c r="AH708" s="40" t="s">
        <v>1324</v>
      </c>
      <c r="AI708" s="39" t="str">
        <f>データ!L708</f>
        <v>暗闇の言霊／煌</v>
      </c>
      <c r="AJ708" s="10" t="s">
        <v>1113</v>
      </c>
      <c r="AK708" s="39" t="str">
        <f>データ!M708</f>
        <v>一定確率で敵を暗闇状態にする[超高確率]</v>
      </c>
      <c r="AL708" s="10" t="s">
        <v>1024</v>
      </c>
      <c r="AM708" s="40" t="s">
        <v>1325</v>
      </c>
      <c r="AN708" s="39" t="str">
        <f>データ!N708</f>
        <v>-</v>
      </c>
      <c r="AO708" s="10" t="s">
        <v>1113</v>
      </c>
      <c r="AP708" s="39" t="str">
        <f>データ!O708</f>
        <v>　</v>
      </c>
      <c r="AQ708" s="41" t="s">
        <v>1024</v>
      </c>
      <c r="AR708" s="40" t="s">
        <v>1324</v>
      </c>
      <c r="AS708" s="39" t="str">
        <f>データ!P708</f>
        <v>アサルト／煌</v>
      </c>
      <c r="AT708" s="10" t="s">
        <v>1113</v>
      </c>
      <c r="AU708" s="39" t="str">
        <f>データ!Q708</f>
        <v>パーティ全体の攻撃力が特大UP(3分間)</v>
      </c>
      <c r="AV708" s="10" t="s">
        <v>1024</v>
      </c>
      <c r="AW708" s="40" t="s">
        <v>1324</v>
      </c>
      <c r="AX708" s="39" t="str">
        <f>データ!R708</f>
        <v>フォートレス／絶</v>
      </c>
      <c r="AY708" s="10" t="s">
        <v>1113</v>
      </c>
      <c r="AZ708" s="39" t="str">
        <f>データ!S708</f>
        <v>パーティ全体の防御力が大UP(3分間)</v>
      </c>
      <c r="BA708" s="41" t="s">
        <v>1024</v>
      </c>
      <c r="BB708" s="40" t="s">
        <v>1319</v>
      </c>
      <c r="BC708" s="39" t="str">
        <f>データ!T708</f>
        <v>-</v>
      </c>
      <c r="BD708" s="41" t="s">
        <v>1024</v>
      </c>
      <c r="BE708" s="40" t="s">
        <v>1320</v>
      </c>
      <c r="BF708" s="39" t="str">
        <f>データ!U708</f>
        <v>-</v>
      </c>
      <c r="BG708" s="41" t="s">
        <v>1024</v>
      </c>
      <c r="BH708" s="40" t="s">
        <v>1319</v>
      </c>
      <c r="BI708" s="39" t="str">
        <f>データ!V708</f>
        <v>第17回統一報酬</v>
      </c>
      <c r="BJ708" s="41" t="s">
        <v>1024</v>
      </c>
      <c r="BK708" s="10" t="s">
        <v>1019</v>
      </c>
    </row>
    <row r="709" spans="1:63" x14ac:dyDescent="0.15">
      <c r="A709" s="10" t="s">
        <v>1016</v>
      </c>
      <c r="B709" s="10" t="s">
        <v>1454</v>
      </c>
      <c r="C709" s="38" t="str">
        <f>"./images/thumbnail/"&amp;データ!B709&amp;".jpg"</f>
        <v>./images/thumbnail/2153.jpg</v>
      </c>
      <c r="D709" s="38" t="s">
        <v>1455</v>
      </c>
      <c r="E709" s="38" t="str">
        <f>"./images/thumbnail/"&amp;データ!B709&amp;".jpg"</f>
        <v>./images/thumbnail/2153.jpg</v>
      </c>
      <c r="F709" s="38" t="s">
        <v>1116</v>
      </c>
      <c r="G709" s="38" t="s">
        <v>1319</v>
      </c>
      <c r="H709" s="38" t="str">
        <f>データ!C709</f>
        <v>バルデブロン</v>
      </c>
      <c r="I709" s="38" t="s">
        <v>1024</v>
      </c>
      <c r="J709" s="38" t="s">
        <v>1319</v>
      </c>
      <c r="K709" s="38" t="str">
        <f>データ!D709</f>
        <v>UR</v>
      </c>
      <c r="L709" s="38" t="s">
        <v>1024</v>
      </c>
      <c r="M709" s="38" t="s">
        <v>1319</v>
      </c>
      <c r="N709" s="38">
        <f>データ!E709</f>
        <v>16</v>
      </c>
      <c r="O709" s="38" t="s">
        <v>1024</v>
      </c>
      <c r="P709" s="38" t="s">
        <v>1319</v>
      </c>
      <c r="Q709" s="38" t="str">
        <f>データ!F709</f>
        <v>遠</v>
      </c>
      <c r="R709" s="38" t="s">
        <v>1024</v>
      </c>
      <c r="S709" s="38" t="s">
        <v>1319</v>
      </c>
      <c r="T709" s="39">
        <f>データ!G709</f>
        <v>25003</v>
      </c>
      <c r="U709" s="40" t="s">
        <v>1024</v>
      </c>
      <c r="V709" s="40" t="s">
        <v>1319</v>
      </c>
      <c r="W709" s="39">
        <f>データ!H709</f>
        <v>8458</v>
      </c>
      <c r="X709" s="40" t="s">
        <v>1024</v>
      </c>
      <c r="Y709" s="40" t="s">
        <v>1319</v>
      </c>
      <c r="Z709" s="39">
        <f>データ!I709</f>
        <v>8138</v>
      </c>
      <c r="AA709" s="40" t="s">
        <v>1024</v>
      </c>
      <c r="AB709" s="40" t="s">
        <v>1319</v>
      </c>
      <c r="AC709" s="39" t="str">
        <f>データ!J709</f>
        <v>SS1</v>
      </c>
      <c r="AD709" s="38" t="s">
        <v>1024</v>
      </c>
      <c r="AE709" s="40" t="s">
        <v>1319</v>
      </c>
      <c r="AF709" s="39">
        <f>データ!K709</f>
        <v>41599</v>
      </c>
      <c r="AG709" s="40" t="s">
        <v>1024</v>
      </c>
      <c r="AH709" s="40" t="s">
        <v>1324</v>
      </c>
      <c r="AI709" s="39" t="str">
        <f>データ!L709</f>
        <v>暗闇の言霊／鳳</v>
      </c>
      <c r="AJ709" s="10" t="s">
        <v>1113</v>
      </c>
      <c r="AK709" s="39" t="str">
        <f>データ!M709</f>
        <v>一定確率で敵を暗闇状態にする[超超高確率]</v>
      </c>
      <c r="AL709" s="10" t="s">
        <v>1024</v>
      </c>
      <c r="AM709" s="40" t="s">
        <v>1324</v>
      </c>
      <c r="AN709" s="39" t="str">
        <f>データ!N709</f>
        <v>ディアーブル・レヨン</v>
      </c>
      <c r="AO709" s="10" t="s">
        <v>1113</v>
      </c>
      <c r="AP709" s="39" t="str">
        <f>データ!O709</f>
        <v>最大2回攻撃[特大]状態異常付加</v>
      </c>
      <c r="AQ709" s="41" t="s">
        <v>1024</v>
      </c>
      <c r="AR709" s="40" t="s">
        <v>1324</v>
      </c>
      <c r="AS709" s="39" t="str">
        <f>データ!P709</f>
        <v>アサルト／鳳</v>
      </c>
      <c r="AT709" s="10" t="s">
        <v>1113</v>
      </c>
      <c r="AU709" s="39" t="str">
        <f>データ!Q709</f>
        <v>パーティ全体の攻撃力が極大UP＆ユニット1体をタレント状態にする(3分間)</v>
      </c>
      <c r="AV709" s="10" t="s">
        <v>1024</v>
      </c>
      <c r="AW709" s="40" t="s">
        <v>1324</v>
      </c>
      <c r="AX709" s="39" t="str">
        <f>データ!R709</f>
        <v>フォートレス／煌</v>
      </c>
      <c r="AY709" s="10" t="s">
        <v>1113</v>
      </c>
      <c r="AZ709" s="39" t="str">
        <f>データ!S709</f>
        <v>パーティ全体の防御力が特大UP(3分間)</v>
      </c>
      <c r="BA709" s="41" t="s">
        <v>1024</v>
      </c>
      <c r="BB709" s="40" t="s">
        <v>1319</v>
      </c>
      <c r="BC709" s="39" t="str">
        <f>データ!T709</f>
        <v>神気</v>
      </c>
      <c r="BD709" s="41" t="s">
        <v>1024</v>
      </c>
      <c r="BE709" s="40" t="s">
        <v>1319</v>
      </c>
      <c r="BF709" s="39" t="str">
        <f>データ!U709</f>
        <v>-</v>
      </c>
      <c r="BG709" s="41" t="s">
        <v>1024</v>
      </c>
      <c r="BH709" s="40" t="s">
        <v>1319</v>
      </c>
      <c r="BI709" s="39" t="str">
        <f>データ!V709</f>
        <v>第17回統一報酬</v>
      </c>
      <c r="BJ709" s="41" t="s">
        <v>1024</v>
      </c>
      <c r="BK709" s="10" t="s">
        <v>1019</v>
      </c>
    </row>
    <row r="710" spans="1:63" x14ac:dyDescent="0.15">
      <c r="A710" s="10" t="s">
        <v>1016</v>
      </c>
      <c r="B710" s="10" t="s">
        <v>1454</v>
      </c>
      <c r="C710" s="38" t="str">
        <f>"./images/thumbnail/"&amp;データ!B710&amp;".jpg"</f>
        <v>./images/thumbnail/2154.jpg</v>
      </c>
      <c r="D710" s="38" t="s">
        <v>1455</v>
      </c>
      <c r="E710" s="38" t="str">
        <f>"./images/thumbnail/"&amp;データ!B710&amp;".jpg"</f>
        <v>./images/thumbnail/2154.jpg</v>
      </c>
      <c r="F710" s="38" t="s">
        <v>1116</v>
      </c>
      <c r="G710" s="38" t="s">
        <v>1319</v>
      </c>
      <c r="H710" s="38" t="str">
        <f>データ!C710</f>
        <v>ラエド</v>
      </c>
      <c r="I710" s="38" t="s">
        <v>1024</v>
      </c>
      <c r="J710" s="38" t="s">
        <v>1319</v>
      </c>
      <c r="K710" s="38" t="str">
        <f>データ!D710</f>
        <v>UR</v>
      </c>
      <c r="L710" s="38" t="s">
        <v>1024</v>
      </c>
      <c r="M710" s="38" t="s">
        <v>1319</v>
      </c>
      <c r="N710" s="38">
        <f>データ!E710</f>
        <v>15</v>
      </c>
      <c r="O710" s="38" t="s">
        <v>1024</v>
      </c>
      <c r="P710" s="38" t="s">
        <v>1319</v>
      </c>
      <c r="Q710" s="38" t="str">
        <f>データ!F710</f>
        <v>遠</v>
      </c>
      <c r="R710" s="38" t="s">
        <v>1024</v>
      </c>
      <c r="S710" s="38" t="s">
        <v>1319</v>
      </c>
      <c r="T710" s="39">
        <f>データ!G710</f>
        <v>22535</v>
      </c>
      <c r="U710" s="40" t="s">
        <v>1024</v>
      </c>
      <c r="V710" s="40" t="s">
        <v>1319</v>
      </c>
      <c r="W710" s="39">
        <f>データ!H710</f>
        <v>7389</v>
      </c>
      <c r="X710" s="40" t="s">
        <v>1024</v>
      </c>
      <c r="Y710" s="40" t="s">
        <v>1319</v>
      </c>
      <c r="Z710" s="39">
        <f>データ!I710</f>
        <v>7165</v>
      </c>
      <c r="AA710" s="40" t="s">
        <v>1024</v>
      </c>
      <c r="AB710" s="40" t="s">
        <v>1319</v>
      </c>
      <c r="AC710" s="39" t="str">
        <f>データ!J710</f>
        <v>SS</v>
      </c>
      <c r="AD710" s="38" t="s">
        <v>1024</v>
      </c>
      <c r="AE710" s="40" t="s">
        <v>1319</v>
      </c>
      <c r="AF710" s="39">
        <f>データ!K710</f>
        <v>37089</v>
      </c>
      <c r="AG710" s="40" t="s">
        <v>1024</v>
      </c>
      <c r="AH710" s="40" t="s">
        <v>1324</v>
      </c>
      <c r="AI710" s="39" t="str">
        <f>データ!L710</f>
        <v>雷焦</v>
      </c>
      <c r="AJ710" s="10" t="s">
        <v>1113</v>
      </c>
      <c r="AK710" s="39" t="str">
        <f>データ!M710</f>
        <v>ランダムで6連続攻撃[中]</v>
      </c>
      <c r="AL710" s="10" t="s">
        <v>1024</v>
      </c>
      <c r="AM710" s="40" t="s">
        <v>1324</v>
      </c>
      <c r="AN710" s="39" t="str">
        <f>データ!N710</f>
        <v>-</v>
      </c>
      <c r="AO710" s="10" t="s">
        <v>1113</v>
      </c>
      <c r="AP710" s="39" t="str">
        <f>データ!O710</f>
        <v>　</v>
      </c>
      <c r="AQ710" s="41" t="s">
        <v>1024</v>
      </c>
      <c r="AR710" s="40" t="s">
        <v>1324</v>
      </c>
      <c r="AS710" s="39" t="str">
        <f>データ!P710</f>
        <v>エース／煌</v>
      </c>
      <c r="AT710" s="10" t="s">
        <v>1113</v>
      </c>
      <c r="AU710" s="39" t="str">
        <f>データ!Q710</f>
        <v>パーティ全体の攻・防が特大UP(3分間)</v>
      </c>
      <c r="AV710" s="10" t="s">
        <v>1024</v>
      </c>
      <c r="AW710" s="40" t="s">
        <v>1324</v>
      </c>
      <c r="AX710" s="39" t="str">
        <f>データ!R710</f>
        <v>フォースオブウィッシュ／真</v>
      </c>
      <c r="AY710" s="10" t="s">
        <v>1113</v>
      </c>
      <c r="AZ710" s="39" t="str">
        <f>データ!S710</f>
        <v>騎士団全員のBPを中回復</v>
      </c>
      <c r="BA710" s="41" t="s">
        <v>1024</v>
      </c>
      <c r="BB710" s="40" t="s">
        <v>1319</v>
      </c>
      <c r="BC710" s="39" t="str">
        <f>データ!T710</f>
        <v>-</v>
      </c>
      <c r="BD710" s="41" t="s">
        <v>1024</v>
      </c>
      <c r="BE710" s="40" t="s">
        <v>1319</v>
      </c>
      <c r="BF710" s="39" t="str">
        <f>データ!U710</f>
        <v>-</v>
      </c>
      <c r="BG710" s="41" t="s">
        <v>1024</v>
      </c>
      <c r="BH710" s="40" t="s">
        <v>1319</v>
      </c>
      <c r="BI710" s="39" t="str">
        <f>データ!V710</f>
        <v>トレジャーチェストガチャ</v>
      </c>
      <c r="BJ710" s="41" t="s">
        <v>1024</v>
      </c>
      <c r="BK710" s="10" t="s">
        <v>1019</v>
      </c>
    </row>
    <row r="711" spans="1:63" x14ac:dyDescent="0.15">
      <c r="A711" s="10" t="s">
        <v>1016</v>
      </c>
      <c r="B711" s="10" t="s">
        <v>1454</v>
      </c>
      <c r="C711" s="38" t="str">
        <f>"./images/thumbnail/"&amp;データ!B711&amp;".jpg"</f>
        <v>./images/thumbnail/2156.jpg</v>
      </c>
      <c r="D711" s="38" t="s">
        <v>1455</v>
      </c>
      <c r="E711" s="38" t="str">
        <f>"./images/thumbnail/"&amp;データ!B711&amp;".jpg"</f>
        <v>./images/thumbnail/2156.jpg</v>
      </c>
      <c r="F711" s="38" t="s">
        <v>1116</v>
      </c>
      <c r="G711" s="38" t="s">
        <v>1319</v>
      </c>
      <c r="H711" s="38" t="str">
        <f>データ!C711</f>
        <v>マリユス</v>
      </c>
      <c r="I711" s="38" t="s">
        <v>1024</v>
      </c>
      <c r="J711" s="38" t="s">
        <v>1319</v>
      </c>
      <c r="K711" s="38" t="str">
        <f>データ!D711</f>
        <v>UR</v>
      </c>
      <c r="L711" s="38" t="s">
        <v>1024</v>
      </c>
      <c r="M711" s="38" t="s">
        <v>1319</v>
      </c>
      <c r="N711" s="38">
        <f>データ!E711</f>
        <v>16</v>
      </c>
      <c r="O711" s="38" t="s">
        <v>1024</v>
      </c>
      <c r="P711" s="38" t="s">
        <v>1319</v>
      </c>
      <c r="Q711" s="38" t="str">
        <f>データ!F711</f>
        <v>斬</v>
      </c>
      <c r="R711" s="38" t="s">
        <v>1024</v>
      </c>
      <c r="S711" s="38" t="s">
        <v>1319</v>
      </c>
      <c r="T711" s="39">
        <f>データ!G711</f>
        <v>22424</v>
      </c>
      <c r="U711" s="40" t="s">
        <v>1024</v>
      </c>
      <c r="V711" s="40" t="s">
        <v>1319</v>
      </c>
      <c r="W711" s="39">
        <f>データ!H711</f>
        <v>10249</v>
      </c>
      <c r="X711" s="40" t="s">
        <v>1024</v>
      </c>
      <c r="Y711" s="40" t="s">
        <v>1319</v>
      </c>
      <c r="Z711" s="39">
        <f>データ!I711</f>
        <v>8496</v>
      </c>
      <c r="AA711" s="40" t="s">
        <v>1024</v>
      </c>
      <c r="AB711" s="40" t="s">
        <v>1319</v>
      </c>
      <c r="AC711" s="39" t="str">
        <f>データ!J711</f>
        <v>SS+</v>
      </c>
      <c r="AD711" s="38" t="s">
        <v>1024</v>
      </c>
      <c r="AE711" s="40" t="s">
        <v>1319</v>
      </c>
      <c r="AF711" s="39">
        <f>データ!K711</f>
        <v>41169</v>
      </c>
      <c r="AG711" s="40" t="s">
        <v>1024</v>
      </c>
      <c r="AH711" s="40" t="s">
        <v>1324</v>
      </c>
      <c r="AI711" s="39" t="str">
        <f>データ!L711</f>
        <v>斬紅の玲瓏</v>
      </c>
      <c r="AJ711" s="10" t="s">
        <v>1113</v>
      </c>
      <c r="AK711" s="39" t="str">
        <f>データ!M711</f>
        <v>味方斬属性の攻撃力をUP[超極大]</v>
      </c>
      <c r="AL711" s="10" t="s">
        <v>1024</v>
      </c>
      <c r="AM711" s="40" t="s">
        <v>1324</v>
      </c>
      <c r="AN711" s="39" t="str">
        <f>データ!N711</f>
        <v>-</v>
      </c>
      <c r="AO711" s="10" t="s">
        <v>1113</v>
      </c>
      <c r="AP711" s="39" t="str">
        <f>データ!O711</f>
        <v>　</v>
      </c>
      <c r="AQ711" s="41" t="s">
        <v>1024</v>
      </c>
      <c r="AR711" s="40" t="s">
        <v>1324</v>
      </c>
      <c r="AS711" s="39" t="str">
        <f>データ!P711</f>
        <v>アサルト／鳳</v>
      </c>
      <c r="AT711" s="10" t="s">
        <v>1113</v>
      </c>
      <c r="AU711" s="39" t="str">
        <f>データ!Q711</f>
        <v>パーティ全体の攻撃力が極大UP＆ユニット1体をタレント状態にする(3分間)</v>
      </c>
      <c r="AV711" s="10" t="s">
        <v>1024</v>
      </c>
      <c r="AW711" s="40" t="s">
        <v>1324</v>
      </c>
      <c r="AX711" s="39" t="str">
        <f>データ!R711</f>
        <v>シャドウ／絶</v>
      </c>
      <c r="AY711" s="10" t="s">
        <v>1113</v>
      </c>
      <c r="AZ711" s="39" t="str">
        <f>データ!S711</f>
        <v>バトル時の強襲CB率が大UP(3分間)</v>
      </c>
      <c r="BA711" s="41" t="s">
        <v>1024</v>
      </c>
      <c r="BB711" s="40" t="s">
        <v>1319</v>
      </c>
      <c r="BC711" s="39" t="str">
        <f>データ!T711</f>
        <v>練気</v>
      </c>
      <c r="BD711" s="41" t="s">
        <v>1024</v>
      </c>
      <c r="BE711" s="40" t="s">
        <v>1319</v>
      </c>
      <c r="BF711" s="39" t="str">
        <f>データ!U711</f>
        <v>-</v>
      </c>
      <c r="BG711" s="41" t="s">
        <v>1024</v>
      </c>
      <c r="BH711" s="40" t="s">
        <v>1319</v>
      </c>
      <c r="BI711" s="39" t="str">
        <f>データ!V711</f>
        <v>2019年クリスマスイベ</v>
      </c>
      <c r="BJ711" s="41" t="s">
        <v>1024</v>
      </c>
      <c r="BK711" s="10" t="s">
        <v>1019</v>
      </c>
    </row>
    <row r="712" spans="1:63" x14ac:dyDescent="0.15">
      <c r="A712" s="10" t="s">
        <v>1016</v>
      </c>
      <c r="B712" s="10" t="s">
        <v>1454</v>
      </c>
      <c r="C712" s="38" t="str">
        <f>"./images/thumbnail/"&amp;データ!B712&amp;".jpg"</f>
        <v>./images/thumbnail/2158.jpg</v>
      </c>
      <c r="D712" s="38" t="s">
        <v>1455</v>
      </c>
      <c r="E712" s="38" t="str">
        <f>"./images/thumbnail/"&amp;データ!B712&amp;".jpg"</f>
        <v>./images/thumbnail/2158.jpg</v>
      </c>
      <c r="F712" s="38" t="s">
        <v>1116</v>
      </c>
      <c r="G712" s="38" t="s">
        <v>1319</v>
      </c>
      <c r="H712" s="38" t="str">
        <f>データ!C712</f>
        <v>モーリス</v>
      </c>
      <c r="I712" s="38" t="s">
        <v>1024</v>
      </c>
      <c r="J712" s="38" t="s">
        <v>1319</v>
      </c>
      <c r="K712" s="38" t="str">
        <f>データ!D712</f>
        <v>UR</v>
      </c>
      <c r="L712" s="38" t="s">
        <v>1024</v>
      </c>
      <c r="M712" s="38" t="s">
        <v>1319</v>
      </c>
      <c r="N712" s="38">
        <f>データ!E712</f>
        <v>15</v>
      </c>
      <c r="O712" s="38" t="s">
        <v>1024</v>
      </c>
      <c r="P712" s="38" t="s">
        <v>1319</v>
      </c>
      <c r="Q712" s="38" t="str">
        <f>データ!F712</f>
        <v>打</v>
      </c>
      <c r="R712" s="38" t="s">
        <v>1024</v>
      </c>
      <c r="S712" s="38" t="s">
        <v>1319</v>
      </c>
      <c r="T712" s="39">
        <f>データ!G712</f>
        <v>29687</v>
      </c>
      <c r="U712" s="40" t="s">
        <v>1024</v>
      </c>
      <c r="V712" s="40" t="s">
        <v>1319</v>
      </c>
      <c r="W712" s="39">
        <f>データ!H712</f>
        <v>7619</v>
      </c>
      <c r="X712" s="40" t="s">
        <v>1024</v>
      </c>
      <c r="Y712" s="40" t="s">
        <v>1319</v>
      </c>
      <c r="Z712" s="39">
        <f>データ!I712</f>
        <v>11317</v>
      </c>
      <c r="AA712" s="40" t="s">
        <v>1024</v>
      </c>
      <c r="AB712" s="40" t="s">
        <v>1319</v>
      </c>
      <c r="AC712" s="39" t="str">
        <f>データ!J712</f>
        <v>S</v>
      </c>
      <c r="AD712" s="38" t="s">
        <v>1024</v>
      </c>
      <c r="AE712" s="40" t="s">
        <v>1319</v>
      </c>
      <c r="AF712" s="39">
        <f>データ!K712</f>
        <v>48623</v>
      </c>
      <c r="AG712" s="40" t="s">
        <v>1024</v>
      </c>
      <c r="AH712" s="40" t="s">
        <v>1324</v>
      </c>
      <c r="AI712" s="39" t="str">
        <f>データ!L712</f>
        <v>幻光の交叉線／煌</v>
      </c>
      <c r="AJ712" s="10" t="s">
        <v>1113</v>
      </c>
      <c r="AK712" s="39" t="str">
        <f>データ!M712</f>
        <v>X字型に攻撃[特大]</v>
      </c>
      <c r="AL712" s="10" t="s">
        <v>1024</v>
      </c>
      <c r="AM712" s="40" t="s">
        <v>1324</v>
      </c>
      <c r="AN712" s="39" t="str">
        <f>データ!N712</f>
        <v>-</v>
      </c>
      <c r="AO712" s="10" t="s">
        <v>1113</v>
      </c>
      <c r="AP712" s="39" t="str">
        <f>データ!O712</f>
        <v>　</v>
      </c>
      <c r="AQ712" s="41" t="s">
        <v>1024</v>
      </c>
      <c r="AR712" s="40" t="s">
        <v>1324</v>
      </c>
      <c r="AS712" s="39" t="str">
        <f>データ!P712</f>
        <v>バーサク／絶</v>
      </c>
      <c r="AT712" s="10" t="s">
        <v>1113</v>
      </c>
      <c r="AU712" s="39" t="str">
        <f>データ!Q712</f>
        <v>強襲が発生無効、バトル時に攻・防大UP(3分間)</v>
      </c>
      <c r="AV712" s="10" t="s">
        <v>1024</v>
      </c>
      <c r="AW712" s="40" t="s">
        <v>1324</v>
      </c>
      <c r="AX712" s="39" t="str">
        <f>データ!R712</f>
        <v>メナス／真</v>
      </c>
      <c r="AY712" s="10" t="s">
        <v>1113</v>
      </c>
      <c r="AZ712" s="39" t="str">
        <f>データ!S712</f>
        <v>対戦騎士団全体の防御力が中DOWN(3分間)</v>
      </c>
      <c r="BA712" s="41" t="s">
        <v>1024</v>
      </c>
      <c r="BB712" s="40" t="s">
        <v>1319</v>
      </c>
      <c r="BC712" s="39" t="str">
        <f>データ!T712</f>
        <v>-</v>
      </c>
      <c r="BD712" s="41" t="s">
        <v>1024</v>
      </c>
      <c r="BE712" s="40" t="s">
        <v>1319</v>
      </c>
      <c r="BF712" s="39" t="str">
        <f>データ!U712</f>
        <v>-</v>
      </c>
      <c r="BG712" s="41" t="s">
        <v>1024</v>
      </c>
      <c r="BH712" s="40" t="s">
        <v>1319</v>
      </c>
      <c r="BI712" s="39" t="str">
        <f>データ!V712</f>
        <v>2019年クリスマスイベ</v>
      </c>
      <c r="BJ712" s="41" t="s">
        <v>1024</v>
      </c>
      <c r="BK712" s="10" t="s">
        <v>1019</v>
      </c>
    </row>
    <row r="713" spans="1:63" x14ac:dyDescent="0.15">
      <c r="A713" s="10" t="s">
        <v>1016</v>
      </c>
      <c r="B713" s="10" t="s">
        <v>1454</v>
      </c>
      <c r="C713" s="38" t="str">
        <f>"./images/thumbnail/"&amp;データ!B713&amp;".jpg"</f>
        <v>./images/thumbnail/2160.jpg</v>
      </c>
      <c r="D713" s="38" t="s">
        <v>1455</v>
      </c>
      <c r="E713" s="38" t="str">
        <f>"./images/thumbnail/"&amp;データ!B713&amp;".jpg"</f>
        <v>./images/thumbnail/2160.jpg</v>
      </c>
      <c r="F713" s="38" t="s">
        <v>1116</v>
      </c>
      <c r="G713" s="38" t="s">
        <v>1319</v>
      </c>
      <c r="H713" s="38" t="str">
        <f>データ!C713</f>
        <v>ノンノリア</v>
      </c>
      <c r="I713" s="38" t="s">
        <v>1024</v>
      </c>
      <c r="J713" s="38" t="s">
        <v>1319</v>
      </c>
      <c r="K713" s="38" t="str">
        <f>データ!D713</f>
        <v>UR</v>
      </c>
      <c r="L713" s="38" t="s">
        <v>1024</v>
      </c>
      <c r="M713" s="38" t="s">
        <v>1319</v>
      </c>
      <c r="N713" s="38">
        <f>データ!E713</f>
        <v>15</v>
      </c>
      <c r="O713" s="38" t="s">
        <v>1024</v>
      </c>
      <c r="P713" s="38" t="s">
        <v>1319</v>
      </c>
      <c r="Q713" s="38" t="str">
        <f>データ!F713</f>
        <v>遠</v>
      </c>
      <c r="R713" s="38" t="s">
        <v>1024</v>
      </c>
      <c r="S713" s="38" t="s">
        <v>1319</v>
      </c>
      <c r="T713" s="39">
        <f>データ!G713</f>
        <v>24198</v>
      </c>
      <c r="U713" s="40" t="s">
        <v>1024</v>
      </c>
      <c r="V713" s="40" t="s">
        <v>1319</v>
      </c>
      <c r="W713" s="39">
        <f>データ!H713</f>
        <v>7596</v>
      </c>
      <c r="X713" s="40" t="s">
        <v>1024</v>
      </c>
      <c r="Y713" s="40" t="s">
        <v>1319</v>
      </c>
      <c r="Z713" s="39">
        <f>データ!I713</f>
        <v>7734</v>
      </c>
      <c r="AA713" s="40" t="s">
        <v>1024</v>
      </c>
      <c r="AB713" s="40" t="s">
        <v>1319</v>
      </c>
      <c r="AC713" s="39" t="str">
        <f>データ!J713</f>
        <v>SS</v>
      </c>
      <c r="AD713" s="38" t="s">
        <v>1024</v>
      </c>
      <c r="AE713" s="40" t="s">
        <v>1319</v>
      </c>
      <c r="AF713" s="39">
        <f>データ!K713</f>
        <v>39528</v>
      </c>
      <c r="AG713" s="40" t="s">
        <v>1024</v>
      </c>
      <c r="AH713" s="40" t="s">
        <v>1324</v>
      </c>
      <c r="AI713" s="39" t="str">
        <f>データ!L713</f>
        <v>幻射の六連撃／真</v>
      </c>
      <c r="AJ713" s="10" t="s">
        <v>1113</v>
      </c>
      <c r="AK713" s="39" t="str">
        <f>データ!M713</f>
        <v>ランダムで6連続攻撃[中]</v>
      </c>
      <c r="AL713" s="10" t="s">
        <v>1024</v>
      </c>
      <c r="AM713" s="40" t="s">
        <v>1324</v>
      </c>
      <c r="AN713" s="39" t="str">
        <f>データ!N713</f>
        <v>-</v>
      </c>
      <c r="AO713" s="10" t="s">
        <v>1113</v>
      </c>
      <c r="AP713" s="39" t="str">
        <f>データ!O713</f>
        <v>　</v>
      </c>
      <c r="AQ713" s="41" t="s">
        <v>1024</v>
      </c>
      <c r="AR713" s="40" t="s">
        <v>1324</v>
      </c>
      <c r="AS713" s="39" t="str">
        <f>データ!P713</f>
        <v>ストリーム／絶</v>
      </c>
      <c r="AT713" s="10" t="s">
        <v>1113</v>
      </c>
      <c r="AU713" s="39" t="str">
        <f>データ!Q713</f>
        <v>パーティ全体の攻撃力・速度が大UP(3分間)</v>
      </c>
      <c r="AV713" s="10" t="s">
        <v>1024</v>
      </c>
      <c r="AW713" s="40" t="s">
        <v>1324</v>
      </c>
      <c r="AX713" s="39" t="str">
        <f>データ!R713</f>
        <v>エースオーダー／真</v>
      </c>
      <c r="AY713" s="10" t="s">
        <v>1113</v>
      </c>
      <c r="AZ713" s="39" t="str">
        <f>データ!S713</f>
        <v>騎士団全体の攻・防が中UP(3分間)</v>
      </c>
      <c r="BA713" s="41" t="s">
        <v>1024</v>
      </c>
      <c r="BB713" s="40" t="s">
        <v>1319</v>
      </c>
      <c r="BC713" s="39" t="str">
        <f>データ!T713</f>
        <v>-</v>
      </c>
      <c r="BD713" s="41" t="s">
        <v>1024</v>
      </c>
      <c r="BE713" s="40" t="s">
        <v>1319</v>
      </c>
      <c r="BF713" s="39" t="str">
        <f>データ!U713</f>
        <v>-</v>
      </c>
      <c r="BG713" s="41" t="s">
        <v>1024</v>
      </c>
      <c r="BH713" s="40" t="s">
        <v>1319</v>
      </c>
      <c r="BI713" s="39" t="str">
        <f>データ!V713</f>
        <v>2019年クリスマスイベ</v>
      </c>
      <c r="BJ713" s="41" t="s">
        <v>1024</v>
      </c>
      <c r="BK713" s="10" t="s">
        <v>1019</v>
      </c>
    </row>
    <row r="714" spans="1:63" x14ac:dyDescent="0.15">
      <c r="A714" s="10" t="s">
        <v>1016</v>
      </c>
      <c r="B714" s="10" t="s">
        <v>1454</v>
      </c>
      <c r="C714" s="38" t="str">
        <f>"./images/thumbnail/"&amp;データ!B714&amp;".jpg"</f>
        <v>./images/thumbnail/2161.jpg</v>
      </c>
      <c r="D714" s="38" t="s">
        <v>1455</v>
      </c>
      <c r="E714" s="38" t="str">
        <f>"./images/thumbnail/"&amp;データ!B714&amp;".jpg"</f>
        <v>./images/thumbnail/2161.jpg</v>
      </c>
      <c r="F714" s="38" t="s">
        <v>1116</v>
      </c>
      <c r="G714" s="38" t="s">
        <v>1319</v>
      </c>
      <c r="H714" s="38" t="str">
        <f>データ!C714</f>
        <v>アーデルハイド</v>
      </c>
      <c r="I714" s="38" t="s">
        <v>1024</v>
      </c>
      <c r="J714" s="38" t="s">
        <v>1319</v>
      </c>
      <c r="K714" s="38" t="str">
        <f>データ!D714</f>
        <v>UR</v>
      </c>
      <c r="L714" s="38" t="s">
        <v>1024</v>
      </c>
      <c r="M714" s="38" t="s">
        <v>1319</v>
      </c>
      <c r="N714" s="38">
        <f>データ!E714</f>
        <v>16</v>
      </c>
      <c r="O714" s="38" t="s">
        <v>1024</v>
      </c>
      <c r="P714" s="38" t="s">
        <v>1319</v>
      </c>
      <c r="Q714" s="38" t="str">
        <f>データ!F714</f>
        <v>突</v>
      </c>
      <c r="R714" s="38" t="s">
        <v>1024</v>
      </c>
      <c r="S714" s="38" t="s">
        <v>1319</v>
      </c>
      <c r="T714" s="39">
        <f>データ!G714</f>
        <v>27167</v>
      </c>
      <c r="U714" s="40" t="s">
        <v>1024</v>
      </c>
      <c r="V714" s="40" t="s">
        <v>1319</v>
      </c>
      <c r="W714" s="39">
        <f>データ!H714</f>
        <v>7849</v>
      </c>
      <c r="X714" s="40" t="s">
        <v>1024</v>
      </c>
      <c r="Y714" s="40" t="s">
        <v>1319</v>
      </c>
      <c r="Z714" s="39">
        <f>データ!I714</f>
        <v>10496</v>
      </c>
      <c r="AA714" s="40" t="s">
        <v>1024</v>
      </c>
      <c r="AB714" s="40" t="s">
        <v>1319</v>
      </c>
      <c r="AC714" s="39" t="str">
        <f>データ!J714</f>
        <v>SS4</v>
      </c>
      <c r="AD714" s="38" t="s">
        <v>1024</v>
      </c>
      <c r="AE714" s="40" t="s">
        <v>1319</v>
      </c>
      <c r="AF714" s="39">
        <f>データ!K714</f>
        <v>45512</v>
      </c>
      <c r="AG714" s="40" t="s">
        <v>1024</v>
      </c>
      <c r="AH714" s="40" t="s">
        <v>1324</v>
      </c>
      <c r="AI714" s="39" t="str">
        <f>データ!L714</f>
        <v>魔幻の閃光／鳳</v>
      </c>
      <c r="AJ714" s="10" t="s">
        <v>1113</v>
      </c>
      <c r="AK714" s="39" t="str">
        <f>データ!M714</f>
        <v>縦一列に攻撃[極大]</v>
      </c>
      <c r="AL714" s="10" t="s">
        <v>1024</v>
      </c>
      <c r="AM714" s="40" t="s">
        <v>1324</v>
      </c>
      <c r="AN714" s="39" t="str">
        <f>データ!N714</f>
        <v>ノエル・ネージュ</v>
      </c>
      <c r="AO714" s="10" t="s">
        <v>1113</v>
      </c>
      <c r="AP714" s="39" t="str">
        <f>データ!O714</f>
        <v>同じ縦一列に3回攻撃[極大]</v>
      </c>
      <c r="AQ714" s="41" t="s">
        <v>1024</v>
      </c>
      <c r="AR714" s="40" t="s">
        <v>1324</v>
      </c>
      <c r="AS714" s="39" t="str">
        <f>データ!P714</f>
        <v>エース／鳳</v>
      </c>
      <c r="AT714" s="10" t="s">
        <v>1113</v>
      </c>
      <c r="AU714" s="39" t="str">
        <f>データ!Q714</f>
        <v>パーティ全体の攻・防が極大UP＆ユニット1体をタレント状態にする(3分間)</v>
      </c>
      <c r="AV714" s="10" t="s">
        <v>1024</v>
      </c>
      <c r="AW714" s="40" t="s">
        <v>1324</v>
      </c>
      <c r="AX714" s="39" t="str">
        <f>データ!R714</f>
        <v>アサルト／煌</v>
      </c>
      <c r="AY714" s="10" t="s">
        <v>1113</v>
      </c>
      <c r="AZ714" s="39" t="str">
        <f>データ!S714</f>
        <v>パーティ全体の攻撃力が特大UP(3分間)</v>
      </c>
      <c r="BA714" s="41" t="s">
        <v>1024</v>
      </c>
      <c r="BB714" s="40" t="s">
        <v>1319</v>
      </c>
      <c r="BC714" s="39" t="str">
        <f>データ!T714</f>
        <v>闘気</v>
      </c>
      <c r="BD714" s="41" t="s">
        <v>1024</v>
      </c>
      <c r="BE714" s="40" t="s">
        <v>1319</v>
      </c>
      <c r="BF714" s="39" t="str">
        <f>データ!U714</f>
        <v>-</v>
      </c>
      <c r="BG714" s="41" t="s">
        <v>1024</v>
      </c>
      <c r="BH714" s="40" t="s">
        <v>1319</v>
      </c>
      <c r="BI714" s="39" t="str">
        <f>データ!V714</f>
        <v>限定ガチャ</v>
      </c>
      <c r="BJ714" s="41" t="s">
        <v>1024</v>
      </c>
      <c r="BK714" s="10" t="s">
        <v>1019</v>
      </c>
    </row>
    <row r="715" spans="1:63" x14ac:dyDescent="0.15">
      <c r="A715" s="10" t="s">
        <v>1016</v>
      </c>
      <c r="B715" s="10" t="s">
        <v>1454</v>
      </c>
      <c r="C715" s="38" t="str">
        <f>"./images/thumbnail/"&amp;データ!B715&amp;".jpg"</f>
        <v>./images/thumbnail/2163.jpg</v>
      </c>
      <c r="D715" s="38" t="s">
        <v>1455</v>
      </c>
      <c r="E715" s="38" t="str">
        <f>"./images/thumbnail/"&amp;データ!B715&amp;".jpg"</f>
        <v>./images/thumbnail/2163.jpg</v>
      </c>
      <c r="F715" s="38" t="s">
        <v>1116</v>
      </c>
      <c r="G715" s="38" t="s">
        <v>1319</v>
      </c>
      <c r="H715" s="38" t="str">
        <f>データ!C715</f>
        <v>ルギス</v>
      </c>
      <c r="I715" s="38" t="s">
        <v>1024</v>
      </c>
      <c r="J715" s="38" t="s">
        <v>1319</v>
      </c>
      <c r="K715" s="38" t="str">
        <f>データ!D715</f>
        <v>UR</v>
      </c>
      <c r="L715" s="38" t="s">
        <v>1024</v>
      </c>
      <c r="M715" s="38" t="s">
        <v>1319</v>
      </c>
      <c r="N715" s="38">
        <f>データ!E715</f>
        <v>15</v>
      </c>
      <c r="O715" s="38" t="s">
        <v>1024</v>
      </c>
      <c r="P715" s="38" t="s">
        <v>1319</v>
      </c>
      <c r="Q715" s="38" t="str">
        <f>データ!F715</f>
        <v>斬</v>
      </c>
      <c r="R715" s="38" t="s">
        <v>1024</v>
      </c>
      <c r="S715" s="38" t="s">
        <v>1319</v>
      </c>
      <c r="T715" s="39">
        <f>データ!G715</f>
        <v>19918</v>
      </c>
      <c r="U715" s="40" t="s">
        <v>1024</v>
      </c>
      <c r="V715" s="40" t="s">
        <v>1319</v>
      </c>
      <c r="W715" s="39">
        <f>データ!H715</f>
        <v>9424</v>
      </c>
      <c r="X715" s="40" t="s">
        <v>1024</v>
      </c>
      <c r="Y715" s="40" t="s">
        <v>1319</v>
      </c>
      <c r="Z715" s="39">
        <f>データ!I715</f>
        <v>6374</v>
      </c>
      <c r="AA715" s="40" t="s">
        <v>1024</v>
      </c>
      <c r="AB715" s="40" t="s">
        <v>1319</v>
      </c>
      <c r="AC715" s="39" t="str">
        <f>データ!J715</f>
        <v>SS-</v>
      </c>
      <c r="AD715" s="38" t="s">
        <v>1024</v>
      </c>
      <c r="AE715" s="40" t="s">
        <v>1319</v>
      </c>
      <c r="AF715" s="39">
        <f>データ!K715</f>
        <v>35716</v>
      </c>
      <c r="AG715" s="40" t="s">
        <v>1024</v>
      </c>
      <c r="AH715" s="40" t="s">
        <v>1324</v>
      </c>
      <c r="AI715" s="39" t="str">
        <f>データ!L715</f>
        <v>孤狼絶吼</v>
      </c>
      <c r="AJ715" s="10" t="s">
        <v>1113</v>
      </c>
      <c r="AK715" s="39" t="str">
        <f>データ!M715</f>
        <v>X字型攻撃[特大]自分の攻撃力UP[特大]</v>
      </c>
      <c r="AL715" s="10" t="s">
        <v>1024</v>
      </c>
      <c r="AM715" s="40" t="s">
        <v>1324</v>
      </c>
      <c r="AN715" s="39" t="str">
        <f>データ!N715</f>
        <v>-</v>
      </c>
      <c r="AO715" s="10" t="s">
        <v>1113</v>
      </c>
      <c r="AP715" s="39" t="str">
        <f>データ!O715</f>
        <v>　</v>
      </c>
      <c r="AQ715" s="41" t="s">
        <v>1024</v>
      </c>
      <c r="AR715" s="40" t="s">
        <v>1324</v>
      </c>
      <c r="AS715" s="39" t="str">
        <f>データ!P715</f>
        <v>グラビティアサルト／煌</v>
      </c>
      <c r="AT715" s="10" t="s">
        <v>1113</v>
      </c>
      <c r="AU715" s="39" t="str">
        <f>データ!Q715</f>
        <v>パーティ全体の攻撃力特大UP・速度大DOWN(3分間)</v>
      </c>
      <c r="AV715" s="10" t="s">
        <v>1024</v>
      </c>
      <c r="AW715" s="40" t="s">
        <v>1324</v>
      </c>
      <c r="AX715" s="39" t="str">
        <f>データ!R715</f>
        <v>エッジノート／絶</v>
      </c>
      <c r="AY715" s="10" t="s">
        <v>1113</v>
      </c>
      <c r="AZ715" s="39" t="str">
        <f>データ!S715</f>
        <v>CB時に獲得ポイント大UP＆BPが大回復(3回)</v>
      </c>
      <c r="BA715" s="41" t="s">
        <v>1024</v>
      </c>
      <c r="BB715" s="40" t="s">
        <v>1319</v>
      </c>
      <c r="BC715" s="39" t="str">
        <f>データ!T715</f>
        <v>-</v>
      </c>
      <c r="BD715" s="41" t="s">
        <v>1024</v>
      </c>
      <c r="BE715" s="40" t="s">
        <v>1319</v>
      </c>
      <c r="BF715" s="39" t="str">
        <f>データ!U715</f>
        <v>-</v>
      </c>
      <c r="BG715" s="41" t="s">
        <v>1024</v>
      </c>
      <c r="BH715" s="40" t="s">
        <v>1319</v>
      </c>
      <c r="BI715" s="39" t="str">
        <f>データ!V715</f>
        <v>6時間レイドイベント</v>
      </c>
      <c r="BJ715" s="41" t="s">
        <v>1024</v>
      </c>
      <c r="BK715" s="10" t="s">
        <v>1019</v>
      </c>
    </row>
    <row r="716" spans="1:63" x14ac:dyDescent="0.15">
      <c r="A716" s="10" t="s">
        <v>1016</v>
      </c>
      <c r="B716" s="10" t="s">
        <v>1454</v>
      </c>
      <c r="C716" s="38" t="str">
        <f>"./images/thumbnail/"&amp;データ!B716&amp;".jpg"</f>
        <v>./images/thumbnail/2164.jpg</v>
      </c>
      <c r="D716" s="38" t="s">
        <v>1455</v>
      </c>
      <c r="E716" s="38" t="str">
        <f>"./images/thumbnail/"&amp;データ!B716&amp;".jpg"</f>
        <v>./images/thumbnail/2164.jpg</v>
      </c>
      <c r="F716" s="38" t="s">
        <v>1116</v>
      </c>
      <c r="G716" s="38" t="s">
        <v>1319</v>
      </c>
      <c r="H716" s="38" t="str">
        <f>データ!C716</f>
        <v>ルミア</v>
      </c>
      <c r="I716" s="38" t="s">
        <v>1024</v>
      </c>
      <c r="J716" s="38" t="s">
        <v>1319</v>
      </c>
      <c r="K716" s="38" t="str">
        <f>データ!D716</f>
        <v>SSR</v>
      </c>
      <c r="L716" s="38" t="s">
        <v>1024</v>
      </c>
      <c r="M716" s="38" t="s">
        <v>1319</v>
      </c>
      <c r="N716" s="38">
        <f>データ!E716</f>
        <v>14</v>
      </c>
      <c r="O716" s="38" t="s">
        <v>1024</v>
      </c>
      <c r="P716" s="38" t="s">
        <v>1319</v>
      </c>
      <c r="Q716" s="38" t="str">
        <f>データ!F716</f>
        <v>突</v>
      </c>
      <c r="R716" s="38" t="s">
        <v>1024</v>
      </c>
      <c r="S716" s="38" t="s">
        <v>1319</v>
      </c>
      <c r="T716" s="39">
        <f>データ!G716</f>
        <v>19028</v>
      </c>
      <c r="U716" s="40" t="s">
        <v>1024</v>
      </c>
      <c r="V716" s="40" t="s">
        <v>1319</v>
      </c>
      <c r="W716" s="39">
        <f>データ!H716</f>
        <v>6037</v>
      </c>
      <c r="X716" s="40" t="s">
        <v>1024</v>
      </c>
      <c r="Y716" s="40" t="s">
        <v>1319</v>
      </c>
      <c r="Z716" s="39">
        <f>データ!I716</f>
        <v>6391</v>
      </c>
      <c r="AA716" s="40" t="s">
        <v>1024</v>
      </c>
      <c r="AB716" s="40" t="s">
        <v>1319</v>
      </c>
      <c r="AC716" s="39" t="str">
        <f>データ!J716</f>
        <v>SS+</v>
      </c>
      <c r="AD716" s="38" t="s">
        <v>1024</v>
      </c>
      <c r="AE716" s="40" t="s">
        <v>1319</v>
      </c>
      <c r="AF716" s="39">
        <f>データ!K716</f>
        <v>31456</v>
      </c>
      <c r="AG716" s="40" t="s">
        <v>1024</v>
      </c>
      <c r="AH716" s="40" t="s">
        <v>1324</v>
      </c>
      <c r="AI716" s="39" t="str">
        <f>データ!L716</f>
        <v>孤撃の言霊／煌</v>
      </c>
      <c r="AJ716" s="10" t="s">
        <v>1113</v>
      </c>
      <c r="AK716" s="39" t="str">
        <f>データ!M716</f>
        <v>一定確率で敵を範囲不可にする[超高確率]</v>
      </c>
      <c r="AL716" s="10" t="s">
        <v>1024</v>
      </c>
      <c r="AM716" s="40" t="s">
        <v>1324</v>
      </c>
      <c r="AN716" s="39" t="str">
        <f>データ!N716</f>
        <v>-</v>
      </c>
      <c r="AO716" s="10" t="s">
        <v>1113</v>
      </c>
      <c r="AP716" s="39" t="str">
        <f>データ!O716</f>
        <v>　</v>
      </c>
      <c r="AQ716" s="41" t="s">
        <v>1024</v>
      </c>
      <c r="AR716" s="40" t="s">
        <v>1324</v>
      </c>
      <c r="AS716" s="39" t="str">
        <f>データ!P716</f>
        <v>アサルト／絶</v>
      </c>
      <c r="AT716" s="10" t="s">
        <v>1113</v>
      </c>
      <c r="AU716" s="39" t="str">
        <f>データ!Q716</f>
        <v>パーティ全体の攻撃力が大UP(3分間)</v>
      </c>
      <c r="AV716" s="10" t="s">
        <v>1024</v>
      </c>
      <c r="AW716" s="40" t="s">
        <v>1324</v>
      </c>
      <c r="AX716" s="39" t="str">
        <f>データ!R716</f>
        <v>-</v>
      </c>
      <c r="AY716" s="10" t="s">
        <v>1113</v>
      </c>
      <c r="AZ716" s="39" t="str">
        <f>データ!S716</f>
        <v>　</v>
      </c>
      <c r="BA716" s="41" t="s">
        <v>1024</v>
      </c>
      <c r="BB716" s="40" t="s">
        <v>1319</v>
      </c>
      <c r="BC716" s="39" t="str">
        <f>データ!T716</f>
        <v>-</v>
      </c>
      <c r="BD716" s="41" t="s">
        <v>1024</v>
      </c>
      <c r="BE716" s="40" t="s">
        <v>1319</v>
      </c>
      <c r="BF716" s="39" t="str">
        <f>データ!U716</f>
        <v>突属性防御力小アップ</v>
      </c>
      <c r="BG716" s="41" t="s">
        <v>1024</v>
      </c>
      <c r="BH716" s="40" t="s">
        <v>1319</v>
      </c>
      <c r="BI716" s="39" t="str">
        <f>データ!V716</f>
        <v>マゴニア</v>
      </c>
      <c r="BJ716" s="41" t="s">
        <v>1024</v>
      </c>
      <c r="BK716" s="10" t="s">
        <v>1019</v>
      </c>
    </row>
    <row r="717" spans="1:63" x14ac:dyDescent="0.15">
      <c r="A717" s="10" t="s">
        <v>1016</v>
      </c>
      <c r="B717" s="10" t="s">
        <v>1454</v>
      </c>
      <c r="C717" s="38" t="str">
        <f>"./images/thumbnail/"&amp;データ!B717&amp;".jpg"</f>
        <v>./images/thumbnail/2165.jpg</v>
      </c>
      <c r="D717" s="38" t="s">
        <v>1455</v>
      </c>
      <c r="E717" s="38" t="str">
        <f>"./images/thumbnail/"&amp;データ!B717&amp;".jpg"</f>
        <v>./images/thumbnail/2165.jpg</v>
      </c>
      <c r="F717" s="38" t="s">
        <v>1116</v>
      </c>
      <c r="G717" s="38" t="s">
        <v>1319</v>
      </c>
      <c r="H717" s="38" t="str">
        <f>データ!C717</f>
        <v>シーラ</v>
      </c>
      <c r="I717" s="38" t="s">
        <v>1024</v>
      </c>
      <c r="J717" s="38" t="s">
        <v>1319</v>
      </c>
      <c r="K717" s="38" t="str">
        <f>データ!D717</f>
        <v>UR</v>
      </c>
      <c r="L717" s="38" t="s">
        <v>1024</v>
      </c>
      <c r="M717" s="38" t="s">
        <v>1319</v>
      </c>
      <c r="N717" s="38">
        <f>データ!E717</f>
        <v>16</v>
      </c>
      <c r="O717" s="38" t="s">
        <v>1024</v>
      </c>
      <c r="P717" s="38" t="s">
        <v>1319</v>
      </c>
      <c r="Q717" s="38" t="str">
        <f>データ!F717</f>
        <v>突</v>
      </c>
      <c r="R717" s="38" t="s">
        <v>1024</v>
      </c>
      <c r="S717" s="38" t="s">
        <v>1319</v>
      </c>
      <c r="T717" s="39">
        <f>データ!G717</f>
        <v>26283</v>
      </c>
      <c r="U717" s="40" t="s">
        <v>1024</v>
      </c>
      <c r="V717" s="40" t="s">
        <v>1319</v>
      </c>
      <c r="W717" s="39">
        <f>データ!H717</f>
        <v>7605</v>
      </c>
      <c r="X717" s="40" t="s">
        <v>1024</v>
      </c>
      <c r="Y717" s="40" t="s">
        <v>1319</v>
      </c>
      <c r="Z717" s="39">
        <f>データ!I717</f>
        <v>10612</v>
      </c>
      <c r="AA717" s="40" t="s">
        <v>1024</v>
      </c>
      <c r="AB717" s="40" t="s">
        <v>1319</v>
      </c>
      <c r="AC717" s="39" t="str">
        <f>データ!J717</f>
        <v>SS4</v>
      </c>
      <c r="AD717" s="38" t="s">
        <v>1024</v>
      </c>
      <c r="AE717" s="40" t="s">
        <v>1319</v>
      </c>
      <c r="AF717" s="39">
        <f>データ!K717</f>
        <v>44500</v>
      </c>
      <c r="AG717" s="40" t="s">
        <v>1024</v>
      </c>
      <c r="AH717" s="40" t="s">
        <v>1324</v>
      </c>
      <c r="AI717" s="39" t="str">
        <f>データ!L717</f>
        <v>焔幻の一閃／鳳</v>
      </c>
      <c r="AJ717" s="10" t="s">
        <v>1113</v>
      </c>
      <c r="AK717" s="39" t="str">
        <f>データ!M717</f>
        <v>横一列に攻撃[極大]</v>
      </c>
      <c r="AL717" s="10" t="s">
        <v>1024</v>
      </c>
      <c r="AM717" s="40" t="s">
        <v>1324</v>
      </c>
      <c r="AN717" s="39" t="str">
        <f>データ!N717</f>
        <v>-</v>
      </c>
      <c r="AO717" s="10" t="s">
        <v>1113</v>
      </c>
      <c r="AP717" s="39" t="str">
        <f>データ!O717</f>
        <v>　</v>
      </c>
      <c r="AQ717" s="41" t="s">
        <v>1024</v>
      </c>
      <c r="AR717" s="40" t="s">
        <v>1324</v>
      </c>
      <c r="AS717" s="39" t="str">
        <f>データ!P717</f>
        <v>フォートレス／鳳</v>
      </c>
      <c r="AT717" s="10" t="s">
        <v>1113</v>
      </c>
      <c r="AU717" s="39" t="str">
        <f>データ!Q717</f>
        <v>パーティ全体の防御力が極大UP＆ユニット1体をタレント状態にする(3分間)</v>
      </c>
      <c r="AV717" s="10" t="s">
        <v>1024</v>
      </c>
      <c r="AW717" s="40" t="s">
        <v>1324</v>
      </c>
      <c r="AX717" s="39" t="str">
        <f>データ!R717</f>
        <v>オラトリオ／煌</v>
      </c>
      <c r="AY717" s="10" t="s">
        <v>1113</v>
      </c>
      <c r="AZ717" s="39" t="str">
        <f>データ!S717</f>
        <v>強襲無効、攻撃力・スキル発動率特大UP(3分間)</v>
      </c>
      <c r="BA717" s="41" t="s">
        <v>1024</v>
      </c>
      <c r="BB717" s="40" t="s">
        <v>1319</v>
      </c>
      <c r="BC717" s="39" t="str">
        <f>データ!T717</f>
        <v>-</v>
      </c>
      <c r="BD717" s="41" t="s">
        <v>1024</v>
      </c>
      <c r="BE717" s="40" t="s">
        <v>1319</v>
      </c>
      <c r="BF717" s="39" t="str">
        <f>データ!U717</f>
        <v>突属性攻撃力中アップ</v>
      </c>
      <c r="BG717" s="41" t="s">
        <v>1024</v>
      </c>
      <c r="BH717" s="40" t="s">
        <v>1319</v>
      </c>
      <c r="BI717" s="39" t="str">
        <f>データ!V717</f>
        <v>ガチャイベ</v>
      </c>
      <c r="BJ717" s="41" t="s">
        <v>1024</v>
      </c>
      <c r="BK717" s="10" t="s">
        <v>1019</v>
      </c>
    </row>
    <row r="718" spans="1:63" x14ac:dyDescent="0.15">
      <c r="A718" s="10" t="s">
        <v>1016</v>
      </c>
      <c r="B718" s="10" t="s">
        <v>1454</v>
      </c>
      <c r="C718" s="38" t="str">
        <f>"./images/thumbnail/"&amp;データ!B718&amp;".jpg"</f>
        <v>./images/thumbnail/2166.jpg</v>
      </c>
      <c r="D718" s="38" t="s">
        <v>1455</v>
      </c>
      <c r="E718" s="38" t="str">
        <f>"./images/thumbnail/"&amp;データ!B718&amp;".jpg"</f>
        <v>./images/thumbnail/2166.jpg</v>
      </c>
      <c r="F718" s="38" t="s">
        <v>1116</v>
      </c>
      <c r="G718" s="38" t="s">
        <v>1319</v>
      </c>
      <c r="H718" s="38" t="str">
        <f>データ!C718</f>
        <v>ローズ</v>
      </c>
      <c r="I718" s="38" t="s">
        <v>1024</v>
      </c>
      <c r="J718" s="38" t="s">
        <v>1319</v>
      </c>
      <c r="K718" s="38" t="str">
        <f>データ!D718</f>
        <v>UR</v>
      </c>
      <c r="L718" s="38" t="s">
        <v>1024</v>
      </c>
      <c r="M718" s="38" t="s">
        <v>1319</v>
      </c>
      <c r="N718" s="38">
        <f>データ!E718</f>
        <v>15</v>
      </c>
      <c r="O718" s="38" t="s">
        <v>1024</v>
      </c>
      <c r="P718" s="38" t="s">
        <v>1319</v>
      </c>
      <c r="Q718" s="38" t="str">
        <f>データ!F718</f>
        <v>遠</v>
      </c>
      <c r="R718" s="38" t="s">
        <v>1024</v>
      </c>
      <c r="S718" s="38" t="s">
        <v>1319</v>
      </c>
      <c r="T718" s="39">
        <f>データ!G718</f>
        <v>23971</v>
      </c>
      <c r="U718" s="40" t="s">
        <v>1024</v>
      </c>
      <c r="V718" s="40" t="s">
        <v>1319</v>
      </c>
      <c r="W718" s="39">
        <f>データ!H718</f>
        <v>7612</v>
      </c>
      <c r="X718" s="40" t="s">
        <v>1024</v>
      </c>
      <c r="Y718" s="40" t="s">
        <v>1319</v>
      </c>
      <c r="Z718" s="39">
        <f>データ!I718</f>
        <v>7306</v>
      </c>
      <c r="AA718" s="40" t="s">
        <v>1024</v>
      </c>
      <c r="AB718" s="40" t="s">
        <v>1319</v>
      </c>
      <c r="AC718" s="39" t="str">
        <f>データ!J718</f>
        <v>SS</v>
      </c>
      <c r="AD718" s="38" t="s">
        <v>1024</v>
      </c>
      <c r="AE718" s="40" t="s">
        <v>1319</v>
      </c>
      <c r="AF718" s="39">
        <f>データ!K718</f>
        <v>38889</v>
      </c>
      <c r="AG718" s="40" t="s">
        <v>1024</v>
      </c>
      <c r="AH718" s="40" t="s">
        <v>1324</v>
      </c>
      <c r="AI718" s="39" t="str">
        <f>データ!L718</f>
        <v>遠翠の天威</v>
      </c>
      <c r="AJ718" s="10" t="s">
        <v>1113</v>
      </c>
      <c r="AK718" s="39" t="str">
        <f>データ!M718</f>
        <v>味方遠属性の攻撃力をUP[極大]</v>
      </c>
      <c r="AL718" s="10" t="s">
        <v>1024</v>
      </c>
      <c r="AM718" s="40" t="s">
        <v>1324</v>
      </c>
      <c r="AN718" s="39" t="str">
        <f>データ!N718</f>
        <v>-</v>
      </c>
      <c r="AO718" s="10" t="s">
        <v>1113</v>
      </c>
      <c r="AP718" s="39" t="str">
        <f>データ!O718</f>
        <v>　</v>
      </c>
      <c r="AQ718" s="41" t="s">
        <v>1024</v>
      </c>
      <c r="AR718" s="40" t="s">
        <v>1324</v>
      </c>
      <c r="AS718" s="39" t="str">
        <f>データ!P718</f>
        <v>アサルトオーダー／絶</v>
      </c>
      <c r="AT718" s="10" t="s">
        <v>1113</v>
      </c>
      <c r="AU718" s="39" t="str">
        <f>データ!Q718</f>
        <v>騎士団全体の攻撃力が大UP(3分間)</v>
      </c>
      <c r="AV718" s="10" t="s">
        <v>1024</v>
      </c>
      <c r="AW718" s="40" t="s">
        <v>1324</v>
      </c>
      <c r="AX718" s="39" t="str">
        <f>データ!R718</f>
        <v>ランページ／絶</v>
      </c>
      <c r="AY718" s="10" t="s">
        <v>1113</v>
      </c>
      <c r="AZ718" s="39" t="str">
        <f>データ!S718</f>
        <v>バトルで獲得する騎士団戦スコアが大アップ(3分間)</v>
      </c>
      <c r="BA718" s="41" t="s">
        <v>1024</v>
      </c>
      <c r="BB718" s="40" t="s">
        <v>1319</v>
      </c>
      <c r="BC718" s="39" t="str">
        <f>データ!T718</f>
        <v>-</v>
      </c>
      <c r="BD718" s="41" t="s">
        <v>1024</v>
      </c>
      <c r="BE718" s="40" t="s">
        <v>1319</v>
      </c>
      <c r="BF718" s="39" t="str">
        <f>データ!U718</f>
        <v>-</v>
      </c>
      <c r="BG718" s="41" t="s">
        <v>1024</v>
      </c>
      <c r="BH718" s="40" t="s">
        <v>1319</v>
      </c>
      <c r="BI718" s="39" t="str">
        <f>データ!V718</f>
        <v>ガチャイベ</v>
      </c>
      <c r="BJ718" s="41" t="s">
        <v>1024</v>
      </c>
      <c r="BK718" s="10" t="s">
        <v>1019</v>
      </c>
    </row>
    <row r="719" spans="1:63" x14ac:dyDescent="0.15">
      <c r="A719" s="10" t="s">
        <v>1016</v>
      </c>
      <c r="B719" s="10" t="s">
        <v>1454</v>
      </c>
      <c r="C719" s="38" t="str">
        <f>"./images/thumbnail/"&amp;データ!B719&amp;".jpg"</f>
        <v>./images/thumbnail/2168.jpg</v>
      </c>
      <c r="D719" s="38" t="s">
        <v>1455</v>
      </c>
      <c r="E719" s="38" t="str">
        <f>"./images/thumbnail/"&amp;データ!B719&amp;".jpg"</f>
        <v>./images/thumbnail/2168.jpg</v>
      </c>
      <c r="F719" s="38" t="s">
        <v>1116</v>
      </c>
      <c r="G719" s="38" t="s">
        <v>1319</v>
      </c>
      <c r="H719" s="38" t="str">
        <f>データ!C719</f>
        <v>アンズ</v>
      </c>
      <c r="I719" s="38" t="s">
        <v>1024</v>
      </c>
      <c r="J719" s="38" t="s">
        <v>1319</v>
      </c>
      <c r="K719" s="38" t="str">
        <f>データ!D719</f>
        <v>UR</v>
      </c>
      <c r="L719" s="38" t="s">
        <v>1024</v>
      </c>
      <c r="M719" s="38" t="s">
        <v>1319</v>
      </c>
      <c r="N719" s="38">
        <f>データ!E719</f>
        <v>15</v>
      </c>
      <c r="O719" s="38" t="s">
        <v>1024</v>
      </c>
      <c r="P719" s="38" t="s">
        <v>1319</v>
      </c>
      <c r="Q719" s="38" t="str">
        <f>データ!F719</f>
        <v>斬</v>
      </c>
      <c r="R719" s="38" t="s">
        <v>1024</v>
      </c>
      <c r="S719" s="38" t="s">
        <v>1319</v>
      </c>
      <c r="T719" s="39">
        <f>データ!G719</f>
        <v>20879</v>
      </c>
      <c r="U719" s="40" t="s">
        <v>1024</v>
      </c>
      <c r="V719" s="40" t="s">
        <v>1319</v>
      </c>
      <c r="W719" s="39">
        <f>データ!H719</f>
        <v>9262</v>
      </c>
      <c r="X719" s="40" t="s">
        <v>1024</v>
      </c>
      <c r="Y719" s="40" t="s">
        <v>1319</v>
      </c>
      <c r="Z719" s="39">
        <f>データ!I719</f>
        <v>7303</v>
      </c>
      <c r="AA719" s="40" t="s">
        <v>1024</v>
      </c>
      <c r="AB719" s="40" t="s">
        <v>1319</v>
      </c>
      <c r="AC719" s="39" t="str">
        <f>データ!J719</f>
        <v>SS-</v>
      </c>
      <c r="AD719" s="38" t="s">
        <v>1024</v>
      </c>
      <c r="AE719" s="40" t="s">
        <v>1319</v>
      </c>
      <c r="AF719" s="39">
        <f>データ!K719</f>
        <v>37444</v>
      </c>
      <c r="AG719" s="40" t="s">
        <v>1024</v>
      </c>
      <c r="AH719" s="40" t="s">
        <v>1324</v>
      </c>
      <c r="AI719" s="39" t="str">
        <f>データ!L719</f>
        <v>対翠の薙風／煌</v>
      </c>
      <c r="AJ719" s="10" t="s">
        <v>1113</v>
      </c>
      <c r="AK719" s="39" t="str">
        <f>データ!M719</f>
        <v>遠に強く打に弱い横一列攻撃[特大]</v>
      </c>
      <c r="AL719" s="10" t="s">
        <v>1024</v>
      </c>
      <c r="AM719" s="40" t="s">
        <v>1324</v>
      </c>
      <c r="AN719" s="39" t="str">
        <f>データ!N719</f>
        <v>-</v>
      </c>
      <c r="AO719" s="10" t="s">
        <v>1113</v>
      </c>
      <c r="AP719" s="39" t="str">
        <f>データ!O719</f>
        <v>　</v>
      </c>
      <c r="AQ719" s="41" t="s">
        <v>1024</v>
      </c>
      <c r="AR719" s="40" t="s">
        <v>1324</v>
      </c>
      <c r="AS719" s="39" t="str">
        <f>データ!P719</f>
        <v>エース／煌</v>
      </c>
      <c r="AT719" s="10" t="s">
        <v>1113</v>
      </c>
      <c r="AU719" s="39" t="str">
        <f>データ!Q719</f>
        <v>パーティ全体の攻・防が特大UP(3分間)</v>
      </c>
      <c r="AV719" s="10" t="s">
        <v>1024</v>
      </c>
      <c r="AW719" s="40" t="s">
        <v>1324</v>
      </c>
      <c r="AX719" s="39" t="str">
        <f>データ!R719</f>
        <v>アクセラレーター／絶</v>
      </c>
      <c r="AY719" s="10" t="s">
        <v>1113</v>
      </c>
      <c r="AZ719" s="39" t="str">
        <f>データ!S719</f>
        <v>パーティ全体の速度が大UP(3分間)</v>
      </c>
      <c r="BA719" s="41" t="s">
        <v>1024</v>
      </c>
      <c r="BB719" s="40" t="s">
        <v>1319</v>
      </c>
      <c r="BC719" s="39" t="str">
        <f>データ!T719</f>
        <v>-</v>
      </c>
      <c r="BD719" s="41" t="s">
        <v>1024</v>
      </c>
      <c r="BE719" s="40" t="s">
        <v>1319</v>
      </c>
      <c r="BF719" s="39" t="str">
        <f>データ!U719</f>
        <v>-</v>
      </c>
      <c r="BG719" s="41" t="s">
        <v>1024</v>
      </c>
      <c r="BH719" s="40" t="s">
        <v>1319</v>
      </c>
      <c r="BI719" s="39" t="str">
        <f>データ!V719</f>
        <v>常設</v>
      </c>
      <c r="BJ719" s="41" t="s">
        <v>1024</v>
      </c>
      <c r="BK719" s="10" t="s">
        <v>1019</v>
      </c>
    </row>
    <row r="720" spans="1:63" x14ac:dyDescent="0.15">
      <c r="A720" s="10" t="s">
        <v>1016</v>
      </c>
      <c r="B720" s="10" t="s">
        <v>1454</v>
      </c>
      <c r="C720" s="38" t="str">
        <f>"./images/thumbnail/"&amp;データ!B720&amp;".jpg"</f>
        <v>./images/thumbnail/2170.jpg</v>
      </c>
      <c r="D720" s="38" t="s">
        <v>1455</v>
      </c>
      <c r="E720" s="38" t="str">
        <f>"./images/thumbnail/"&amp;データ!B720&amp;".jpg"</f>
        <v>./images/thumbnail/2170.jpg</v>
      </c>
      <c r="F720" s="38" t="s">
        <v>1116</v>
      </c>
      <c r="G720" s="38" t="s">
        <v>1319</v>
      </c>
      <c r="H720" s="38" t="str">
        <f>データ!C720</f>
        <v>ヘルフェン</v>
      </c>
      <c r="I720" s="38" t="s">
        <v>1024</v>
      </c>
      <c r="J720" s="38" t="s">
        <v>1319</v>
      </c>
      <c r="K720" s="38" t="str">
        <f>データ!D720</f>
        <v>UR</v>
      </c>
      <c r="L720" s="38" t="s">
        <v>1024</v>
      </c>
      <c r="M720" s="38" t="s">
        <v>1319</v>
      </c>
      <c r="N720" s="38">
        <f>データ!E720</f>
        <v>15</v>
      </c>
      <c r="O720" s="38" t="s">
        <v>1024</v>
      </c>
      <c r="P720" s="38" t="s">
        <v>1319</v>
      </c>
      <c r="Q720" s="38" t="str">
        <f>データ!F720</f>
        <v>打</v>
      </c>
      <c r="R720" s="38" t="s">
        <v>1024</v>
      </c>
      <c r="S720" s="38" t="s">
        <v>1319</v>
      </c>
      <c r="T720" s="39">
        <f>データ!G720</f>
        <v>26846</v>
      </c>
      <c r="U720" s="40" t="s">
        <v>1024</v>
      </c>
      <c r="V720" s="40" t="s">
        <v>1319</v>
      </c>
      <c r="W720" s="39">
        <f>データ!H720</f>
        <v>7329</v>
      </c>
      <c r="X720" s="40" t="s">
        <v>1024</v>
      </c>
      <c r="Y720" s="40" t="s">
        <v>1319</v>
      </c>
      <c r="Z720" s="39">
        <f>データ!I720</f>
        <v>10616</v>
      </c>
      <c r="AA720" s="40" t="s">
        <v>1024</v>
      </c>
      <c r="AB720" s="40" t="s">
        <v>1319</v>
      </c>
      <c r="AC720" s="39" t="str">
        <f>データ!J720</f>
        <v>S</v>
      </c>
      <c r="AD720" s="38" t="s">
        <v>1024</v>
      </c>
      <c r="AE720" s="40" t="s">
        <v>1319</v>
      </c>
      <c r="AF720" s="39">
        <f>データ!K720</f>
        <v>44791</v>
      </c>
      <c r="AG720" s="40" t="s">
        <v>1024</v>
      </c>
      <c r="AH720" s="40" t="s">
        <v>1324</v>
      </c>
      <c r="AI720" s="39" t="str">
        <f>データ!L720</f>
        <v>対蒼の薙風／煌</v>
      </c>
      <c r="AJ720" s="10" t="s">
        <v>1113</v>
      </c>
      <c r="AK720" s="39" t="str">
        <f>データ!M720</f>
        <v>突に強く斬に弱い横一列攻撃[特大]</v>
      </c>
      <c r="AL720" s="10" t="s">
        <v>1024</v>
      </c>
      <c r="AM720" s="40" t="s">
        <v>1324</v>
      </c>
      <c r="AN720" s="39" t="str">
        <f>データ!N720</f>
        <v>-</v>
      </c>
      <c r="AO720" s="10" t="s">
        <v>1113</v>
      </c>
      <c r="AP720" s="39" t="str">
        <f>データ!O720</f>
        <v>　</v>
      </c>
      <c r="AQ720" s="41" t="s">
        <v>1024</v>
      </c>
      <c r="AR720" s="40" t="s">
        <v>1324</v>
      </c>
      <c r="AS720" s="39" t="str">
        <f>データ!P720</f>
        <v>エッジノート／煌</v>
      </c>
      <c r="AT720" s="10" t="s">
        <v>1113</v>
      </c>
      <c r="AU720" s="39" t="str">
        <f>データ!Q720</f>
        <v>CB時に獲得ポイント特大UP＆BPが特大回復(3回)</v>
      </c>
      <c r="AV720" s="10" t="s">
        <v>1024</v>
      </c>
      <c r="AW720" s="40" t="s">
        <v>1324</v>
      </c>
      <c r="AX720" s="39" t="str">
        <f>データ!R720</f>
        <v>アサルト／絶</v>
      </c>
      <c r="AY720" s="10" t="s">
        <v>1113</v>
      </c>
      <c r="AZ720" s="39" t="str">
        <f>データ!S720</f>
        <v>パーティ全体の攻撃力が大UP(3分間)</v>
      </c>
      <c r="BA720" s="41" t="s">
        <v>1024</v>
      </c>
      <c r="BB720" s="40" t="s">
        <v>1319</v>
      </c>
      <c r="BC720" s="39" t="str">
        <f>データ!T720</f>
        <v>-</v>
      </c>
      <c r="BD720" s="41" t="s">
        <v>1024</v>
      </c>
      <c r="BE720" s="40" t="s">
        <v>1319</v>
      </c>
      <c r="BF720" s="39" t="str">
        <f>データ!U720</f>
        <v>-</v>
      </c>
      <c r="BG720" s="41" t="s">
        <v>1024</v>
      </c>
      <c r="BH720" s="40" t="s">
        <v>1319</v>
      </c>
      <c r="BI720" s="39" t="str">
        <f>データ!V720</f>
        <v>常設</v>
      </c>
      <c r="BJ720" s="41" t="s">
        <v>1024</v>
      </c>
      <c r="BK720" s="10" t="s">
        <v>1019</v>
      </c>
    </row>
    <row r="721" spans="1:63" x14ac:dyDescent="0.15">
      <c r="A721" s="10" t="s">
        <v>1016</v>
      </c>
      <c r="B721" s="10" t="s">
        <v>1454</v>
      </c>
      <c r="C721" s="38" t="str">
        <f>"./images/thumbnail/"&amp;データ!B721&amp;".jpg"</f>
        <v>./images/thumbnail/2171.jpg</v>
      </c>
      <c r="D721" s="38" t="s">
        <v>1455</v>
      </c>
      <c r="E721" s="38" t="str">
        <f>"./images/thumbnail/"&amp;データ!B721&amp;".jpg"</f>
        <v>./images/thumbnail/2171.jpg</v>
      </c>
      <c r="F721" s="38" t="s">
        <v>1116</v>
      </c>
      <c r="G721" s="38" t="s">
        <v>1319</v>
      </c>
      <c r="H721" s="38" t="str">
        <f>データ!C721</f>
        <v>ノンノリア</v>
      </c>
      <c r="I721" s="38" t="s">
        <v>1024</v>
      </c>
      <c r="J721" s="38" t="s">
        <v>1319</v>
      </c>
      <c r="K721" s="38" t="str">
        <f>データ!D721</f>
        <v>SSR</v>
      </c>
      <c r="L721" s="38" t="s">
        <v>1024</v>
      </c>
      <c r="M721" s="38" t="s">
        <v>1319</v>
      </c>
      <c r="N721" s="38">
        <f>データ!E721</f>
        <v>14</v>
      </c>
      <c r="O721" s="38" t="s">
        <v>1024</v>
      </c>
      <c r="P721" s="38" t="s">
        <v>1319</v>
      </c>
      <c r="Q721" s="38" t="str">
        <f>データ!F721</f>
        <v>遠</v>
      </c>
      <c r="R721" s="38" t="s">
        <v>1024</v>
      </c>
      <c r="S721" s="38" t="s">
        <v>1319</v>
      </c>
      <c r="T721" s="39">
        <f>データ!G721</f>
        <v>20488</v>
      </c>
      <c r="U721" s="40" t="s">
        <v>1024</v>
      </c>
      <c r="V721" s="40" t="s">
        <v>1319</v>
      </c>
      <c r="W721" s="39">
        <f>データ!H721</f>
        <v>6788</v>
      </c>
      <c r="X721" s="40" t="s">
        <v>1024</v>
      </c>
      <c r="Y721" s="40" t="s">
        <v>1319</v>
      </c>
      <c r="Z721" s="39">
        <f>データ!I721</f>
        <v>6248</v>
      </c>
      <c r="AA721" s="40" t="s">
        <v>1024</v>
      </c>
      <c r="AB721" s="40" t="s">
        <v>1319</v>
      </c>
      <c r="AC721" s="39" t="str">
        <f>データ!J721</f>
        <v>S+</v>
      </c>
      <c r="AD721" s="38" t="s">
        <v>1024</v>
      </c>
      <c r="AE721" s="40" t="s">
        <v>1319</v>
      </c>
      <c r="AF721" s="39">
        <f>データ!K721</f>
        <v>33524</v>
      </c>
      <c r="AG721" s="40" t="s">
        <v>1024</v>
      </c>
      <c r="AH721" s="40" t="s">
        <v>1324</v>
      </c>
      <c r="AI721" s="39" t="str">
        <f>データ!L721</f>
        <v>天使の微笑／絶</v>
      </c>
      <c r="AJ721" s="10" t="s">
        <v>1113</v>
      </c>
      <c r="AK721" s="39" t="str">
        <f>データ!M721</f>
        <v>味方全員のHPを回復[大]</v>
      </c>
      <c r="AL721" s="10" t="s">
        <v>1024</v>
      </c>
      <c r="AM721" s="40" t="s">
        <v>1324</v>
      </c>
      <c r="AN721" s="39" t="str">
        <f>データ!N721</f>
        <v>-</v>
      </c>
      <c r="AO721" s="10" t="s">
        <v>1113</v>
      </c>
      <c r="AP721" s="39" t="str">
        <f>データ!O721</f>
        <v>　</v>
      </c>
      <c r="AQ721" s="41" t="s">
        <v>1024</v>
      </c>
      <c r="AR721" s="40" t="s">
        <v>1324</v>
      </c>
      <c r="AS721" s="39" t="str">
        <f>データ!P721</f>
        <v>アクセラレーター／絶</v>
      </c>
      <c r="AT721" s="10" t="s">
        <v>1113</v>
      </c>
      <c r="AU721" s="39" t="str">
        <f>データ!Q721</f>
        <v>パーティ全体の速度が大UP(3分間)</v>
      </c>
      <c r="AV721" s="10" t="s">
        <v>1024</v>
      </c>
      <c r="AW721" s="40" t="s">
        <v>1324</v>
      </c>
      <c r="AX721" s="39" t="str">
        <f>データ!R721</f>
        <v>-</v>
      </c>
      <c r="AY721" s="10" t="s">
        <v>1113</v>
      </c>
      <c r="AZ721" s="39" t="str">
        <f>データ!S721</f>
        <v>　</v>
      </c>
      <c r="BA721" s="41" t="s">
        <v>1024</v>
      </c>
      <c r="BB721" s="40" t="s">
        <v>1319</v>
      </c>
      <c r="BC721" s="39" t="str">
        <f>データ!T721</f>
        <v>-</v>
      </c>
      <c r="BD721" s="41" t="s">
        <v>1024</v>
      </c>
      <c r="BE721" s="40" t="s">
        <v>1319</v>
      </c>
      <c r="BF721" s="39" t="str">
        <f>データ!U721</f>
        <v>遠属性防御力小アップ</v>
      </c>
      <c r="BG721" s="41" t="s">
        <v>1024</v>
      </c>
      <c r="BH721" s="40" t="s">
        <v>1319</v>
      </c>
      <c r="BI721" s="39" t="str">
        <f>データ!V721</f>
        <v>ポーカー</v>
      </c>
      <c r="BJ721" s="41" t="s">
        <v>1024</v>
      </c>
      <c r="BK721" s="10" t="s">
        <v>1019</v>
      </c>
    </row>
    <row r="722" spans="1:63" x14ac:dyDescent="0.15">
      <c r="A722" s="10" t="s">
        <v>1016</v>
      </c>
      <c r="B722" s="10" t="s">
        <v>1454</v>
      </c>
      <c r="C722" s="38" t="str">
        <f>"./images/thumbnail/"&amp;データ!B722&amp;".jpg"</f>
        <v>./images/thumbnail/2172.jpg</v>
      </c>
      <c r="D722" s="38" t="s">
        <v>1455</v>
      </c>
      <c r="E722" s="38" t="str">
        <f>"./images/thumbnail/"&amp;データ!B722&amp;".jpg"</f>
        <v>./images/thumbnail/2172.jpg</v>
      </c>
      <c r="F722" s="38" t="s">
        <v>1116</v>
      </c>
      <c r="G722" s="38" t="s">
        <v>1319</v>
      </c>
      <c r="H722" s="38" t="str">
        <f>データ!C722</f>
        <v>ニーナ</v>
      </c>
      <c r="I722" s="38" t="s">
        <v>1024</v>
      </c>
      <c r="J722" s="38" t="s">
        <v>1319</v>
      </c>
      <c r="K722" s="38" t="str">
        <f>データ!D722</f>
        <v>UR</v>
      </c>
      <c r="L722" s="38" t="s">
        <v>1024</v>
      </c>
      <c r="M722" s="38" t="s">
        <v>1319</v>
      </c>
      <c r="N722" s="38">
        <f>データ!E722</f>
        <v>16</v>
      </c>
      <c r="O722" s="38" t="s">
        <v>1024</v>
      </c>
      <c r="P722" s="38" t="s">
        <v>1319</v>
      </c>
      <c r="Q722" s="38" t="str">
        <f>データ!F722</f>
        <v>斬</v>
      </c>
      <c r="R722" s="38" t="s">
        <v>1024</v>
      </c>
      <c r="S722" s="38" t="s">
        <v>1319</v>
      </c>
      <c r="T722" s="39">
        <f>データ!G722</f>
        <v>22835</v>
      </c>
      <c r="U722" s="40" t="s">
        <v>1024</v>
      </c>
      <c r="V722" s="40" t="s">
        <v>1319</v>
      </c>
      <c r="W722" s="39">
        <f>データ!H722</f>
        <v>10566</v>
      </c>
      <c r="X722" s="40" t="s">
        <v>1024</v>
      </c>
      <c r="Y722" s="40" t="s">
        <v>1319</v>
      </c>
      <c r="Z722" s="39">
        <f>データ!I722</f>
        <v>8286</v>
      </c>
      <c r="AA722" s="40" t="s">
        <v>1024</v>
      </c>
      <c r="AB722" s="40" t="s">
        <v>1319</v>
      </c>
      <c r="AC722" s="39" t="str">
        <f>データ!J722</f>
        <v>SS+</v>
      </c>
      <c r="AD722" s="38" t="s">
        <v>1024</v>
      </c>
      <c r="AE722" s="40" t="s">
        <v>1319</v>
      </c>
      <c r="AF722" s="39">
        <f>データ!K722</f>
        <v>41687</v>
      </c>
      <c r="AG722" s="40" t="s">
        <v>1024</v>
      </c>
      <c r="AH722" s="40" t="s">
        <v>1324</v>
      </c>
      <c r="AI722" s="39" t="str">
        <f>データ!L722</f>
        <v>幻氷の縦十字／鳳</v>
      </c>
      <c r="AJ722" s="10" t="s">
        <v>1113</v>
      </c>
      <c r="AK722" s="39" t="str">
        <f>データ!M722</f>
        <v>十字型に攻撃[極大]</v>
      </c>
      <c r="AL722" s="10" t="s">
        <v>1024</v>
      </c>
      <c r="AM722" s="40" t="s">
        <v>1324</v>
      </c>
      <c r="AN722" s="39" t="str">
        <f>データ!N722</f>
        <v>-</v>
      </c>
      <c r="AO722" s="10" t="s">
        <v>1113</v>
      </c>
      <c r="AP722" s="39" t="str">
        <f>データ!O722</f>
        <v>　</v>
      </c>
      <c r="AQ722" s="41" t="s">
        <v>1024</v>
      </c>
      <c r="AR722" s="40" t="s">
        <v>1324</v>
      </c>
      <c r="AS722" s="39" t="str">
        <f>データ!P722</f>
        <v>フォートレス／鳳</v>
      </c>
      <c r="AT722" s="10" t="s">
        <v>1113</v>
      </c>
      <c r="AU722" s="39" t="str">
        <f>データ!Q722</f>
        <v>パーティ全体の防御力が極大UP＆ユニット1体をタレント状態にする(3分間)</v>
      </c>
      <c r="AV722" s="10" t="s">
        <v>1024</v>
      </c>
      <c r="AW722" s="40" t="s">
        <v>1324</v>
      </c>
      <c r="AX722" s="39" t="str">
        <f>データ!R722</f>
        <v>エクスターライズ／絶</v>
      </c>
      <c r="AY722" s="10" t="s">
        <v>1113</v>
      </c>
      <c r="AZ722" s="39" t="str">
        <f>データ!S722</f>
        <v>攻撃回数が多いほどバトル獲得スコアが大UP(3分間)</v>
      </c>
      <c r="BA722" s="41" t="s">
        <v>1024</v>
      </c>
      <c r="BB722" s="40" t="s">
        <v>1319</v>
      </c>
      <c r="BC722" s="39" t="str">
        <f>データ!T722</f>
        <v>防壁</v>
      </c>
      <c r="BD722" s="41" t="s">
        <v>1024</v>
      </c>
      <c r="BE722" s="40" t="s">
        <v>1319</v>
      </c>
      <c r="BF722" s="39" t="str">
        <f>データ!U722</f>
        <v>-</v>
      </c>
      <c r="BG722" s="41" t="s">
        <v>1024</v>
      </c>
      <c r="BH722" s="40" t="s">
        <v>1319</v>
      </c>
      <c r="BI722" s="39" t="str">
        <f>データ!V722</f>
        <v>限定ガチャ</v>
      </c>
      <c r="BJ722" s="41" t="s">
        <v>1024</v>
      </c>
      <c r="BK722" s="10" t="s">
        <v>1019</v>
      </c>
    </row>
    <row r="723" spans="1:63" x14ac:dyDescent="0.15">
      <c r="A723" s="10" t="s">
        <v>1016</v>
      </c>
      <c r="B723" s="10" t="s">
        <v>1454</v>
      </c>
      <c r="C723" s="38" t="str">
        <f>"./images/thumbnail/"&amp;データ!B723&amp;".jpg"</f>
        <v>./images/thumbnail/2174.jpg</v>
      </c>
      <c r="D723" s="38" t="s">
        <v>1455</v>
      </c>
      <c r="E723" s="38" t="str">
        <f>"./images/thumbnail/"&amp;データ!B723&amp;".jpg"</f>
        <v>./images/thumbnail/2174.jpg</v>
      </c>
      <c r="F723" s="38" t="s">
        <v>1116</v>
      </c>
      <c r="G723" s="38" t="s">
        <v>1319</v>
      </c>
      <c r="H723" s="38" t="str">
        <f>データ!C723</f>
        <v>ｺﾞﾌﾞﾘﾝｽﾚｲﾔｰ</v>
      </c>
      <c r="I723" s="38" t="s">
        <v>1024</v>
      </c>
      <c r="J723" s="38" t="s">
        <v>1319</v>
      </c>
      <c r="K723" s="38" t="str">
        <f>データ!D723</f>
        <v>UR</v>
      </c>
      <c r="L723" s="38" t="s">
        <v>1024</v>
      </c>
      <c r="M723" s="38" t="s">
        <v>1319</v>
      </c>
      <c r="N723" s="38">
        <f>データ!E723</f>
        <v>16</v>
      </c>
      <c r="O723" s="38" t="s">
        <v>1024</v>
      </c>
      <c r="P723" s="38" t="s">
        <v>1319</v>
      </c>
      <c r="Q723" s="38" t="str">
        <f>データ!F723</f>
        <v>斬</v>
      </c>
      <c r="R723" s="38" t="s">
        <v>1024</v>
      </c>
      <c r="S723" s="38" t="s">
        <v>1319</v>
      </c>
      <c r="T723" s="39">
        <f>データ!G723</f>
        <v>21574</v>
      </c>
      <c r="U723" s="40" t="s">
        <v>1024</v>
      </c>
      <c r="V723" s="40" t="s">
        <v>1319</v>
      </c>
      <c r="W723" s="39">
        <f>データ!H723</f>
        <v>10714</v>
      </c>
      <c r="X723" s="40" t="s">
        <v>1024</v>
      </c>
      <c r="Y723" s="40" t="s">
        <v>1319</v>
      </c>
      <c r="Z723" s="39">
        <f>データ!I723</f>
        <v>7920</v>
      </c>
      <c r="AA723" s="40" t="s">
        <v>1024</v>
      </c>
      <c r="AB723" s="40" t="s">
        <v>1319</v>
      </c>
      <c r="AC723" s="39" t="str">
        <f>データ!J723</f>
        <v>SS+</v>
      </c>
      <c r="AD723" s="38" t="s">
        <v>1024</v>
      </c>
      <c r="AE723" s="40" t="s">
        <v>1319</v>
      </c>
      <c r="AF723" s="39">
        <f>データ!K723</f>
        <v>40208</v>
      </c>
      <c r="AG723" s="40" t="s">
        <v>1024</v>
      </c>
      <c r="AH723" s="40" t="s">
        <v>1324</v>
      </c>
      <c r="AI723" s="39" t="str">
        <f>データ!L723</f>
        <v>魔幻の閃光／鳳</v>
      </c>
      <c r="AJ723" s="10" t="s">
        <v>1113</v>
      </c>
      <c r="AK723" s="39" t="str">
        <f>データ!M723</f>
        <v>縦一列に攻撃[極大]</v>
      </c>
      <c r="AL723" s="10" t="s">
        <v>1024</v>
      </c>
      <c r="AM723" s="40" t="s">
        <v>1324</v>
      </c>
      <c r="AN723" s="39" t="str">
        <f>データ!N723</f>
        <v>1匹たりとも残さん！</v>
      </c>
      <c r="AO723" s="10" t="s">
        <v>1113</v>
      </c>
      <c r="AP723" s="39" t="str">
        <f>データ!O723</f>
        <v>ランダムで7連続攻撃[大]</v>
      </c>
      <c r="AQ723" s="41" t="s">
        <v>1024</v>
      </c>
      <c r="AR723" s="40" t="s">
        <v>1324</v>
      </c>
      <c r="AS723" s="39" t="str">
        <f>データ!P723</f>
        <v>アサルト／鳳</v>
      </c>
      <c r="AT723" s="10" t="s">
        <v>1113</v>
      </c>
      <c r="AU723" s="39" t="str">
        <f>データ!Q723</f>
        <v>パーティ全体の攻撃力が極大UP＆ユニット1体をタレント状態にする(3分間)</v>
      </c>
      <c r="AV723" s="10" t="s">
        <v>1024</v>
      </c>
      <c r="AW723" s="40" t="s">
        <v>1324</v>
      </c>
      <c r="AX723" s="39" t="str">
        <f>データ!R723</f>
        <v>エクスドライブ／煌</v>
      </c>
      <c r="AY723" s="10" t="s">
        <v>1113</v>
      </c>
      <c r="AZ723" s="39" t="str">
        <f>データ!S723</f>
        <v>キリ番CB時の獲得ポイント特大UP(3分間)</v>
      </c>
      <c r="BA723" s="41" t="s">
        <v>1024</v>
      </c>
      <c r="BB723" s="40" t="s">
        <v>1319</v>
      </c>
      <c r="BC723" s="39" t="str">
        <f>データ!T723</f>
        <v>不屈の闘気</v>
      </c>
      <c r="BD723" s="41" t="s">
        <v>1024</v>
      </c>
      <c r="BE723" s="40" t="s">
        <v>1319</v>
      </c>
      <c r="BF723" s="39" t="str">
        <f>データ!U723</f>
        <v>-</v>
      </c>
      <c r="BG723" s="41" t="s">
        <v>1024</v>
      </c>
      <c r="BH723" s="40" t="s">
        <v>1319</v>
      </c>
      <c r="BI723" s="39" t="str">
        <f>データ!V723</f>
        <v>ゴブリンスレイヤーコラボ</v>
      </c>
      <c r="BJ723" s="41" t="s">
        <v>1024</v>
      </c>
      <c r="BK723" s="10" t="s">
        <v>1019</v>
      </c>
    </row>
    <row r="724" spans="1:63" x14ac:dyDescent="0.15">
      <c r="A724" s="10" t="s">
        <v>1016</v>
      </c>
      <c r="B724" s="10" t="s">
        <v>1454</v>
      </c>
      <c r="C724" s="38" t="str">
        <f>"./images/thumbnail/"&amp;データ!B724&amp;".jpg"</f>
        <v>./images/thumbnail/2175.jpg</v>
      </c>
      <c r="D724" s="38" t="s">
        <v>1455</v>
      </c>
      <c r="E724" s="38" t="str">
        <f>"./images/thumbnail/"&amp;データ!B724&amp;".jpg"</f>
        <v>./images/thumbnail/2175.jpg</v>
      </c>
      <c r="F724" s="38" t="s">
        <v>1116</v>
      </c>
      <c r="G724" s="38" t="s">
        <v>1319</v>
      </c>
      <c r="H724" s="38" t="str">
        <f>データ!C724</f>
        <v>ｺﾞﾌﾞﾘﾝｽﾚｲﾔｰ</v>
      </c>
      <c r="I724" s="38" t="s">
        <v>1024</v>
      </c>
      <c r="J724" s="38" t="s">
        <v>1319</v>
      </c>
      <c r="K724" s="38" t="str">
        <f>データ!D724</f>
        <v>UR</v>
      </c>
      <c r="L724" s="38" t="s">
        <v>1024</v>
      </c>
      <c r="M724" s="38" t="s">
        <v>1319</v>
      </c>
      <c r="N724" s="38">
        <f>データ!E724</f>
        <v>15</v>
      </c>
      <c r="O724" s="38" t="s">
        <v>1024</v>
      </c>
      <c r="P724" s="38" t="s">
        <v>1319</v>
      </c>
      <c r="Q724" s="38" t="str">
        <f>データ!F724</f>
        <v>斬</v>
      </c>
      <c r="R724" s="38" t="s">
        <v>1024</v>
      </c>
      <c r="S724" s="38" t="s">
        <v>1319</v>
      </c>
      <c r="T724" s="39">
        <f>データ!G724</f>
        <v>20991</v>
      </c>
      <c r="U724" s="40" t="s">
        <v>1024</v>
      </c>
      <c r="V724" s="40" t="s">
        <v>1319</v>
      </c>
      <c r="W724" s="39">
        <f>データ!H724</f>
        <v>9275</v>
      </c>
      <c r="X724" s="40" t="s">
        <v>1024</v>
      </c>
      <c r="Y724" s="40" t="s">
        <v>1319</v>
      </c>
      <c r="Z724" s="39">
        <f>データ!I724</f>
        <v>7527</v>
      </c>
      <c r="AA724" s="40" t="s">
        <v>1024</v>
      </c>
      <c r="AB724" s="40" t="s">
        <v>1319</v>
      </c>
      <c r="AC724" s="39" t="str">
        <f>データ!J724</f>
        <v>SS-</v>
      </c>
      <c r="AD724" s="38" t="s">
        <v>1024</v>
      </c>
      <c r="AE724" s="40" t="s">
        <v>1319</v>
      </c>
      <c r="AF724" s="39">
        <f>データ!K724</f>
        <v>37793</v>
      </c>
      <c r="AG724" s="40" t="s">
        <v>1024</v>
      </c>
      <c r="AH724" s="40" t="s">
        <v>1324</v>
      </c>
      <c r="AI724" s="39" t="str">
        <f>データ!L724</f>
        <v>魔幻の閃光／煌</v>
      </c>
      <c r="AJ724" s="10" t="s">
        <v>1113</v>
      </c>
      <c r="AK724" s="39" t="str">
        <f>データ!M724</f>
        <v>縦一列に攻撃[特大]</v>
      </c>
      <c r="AL724" s="10" t="s">
        <v>1024</v>
      </c>
      <c r="AM724" s="40" t="s">
        <v>1324</v>
      </c>
      <c r="AN724" s="39" t="str">
        <f>データ!N724</f>
        <v>-</v>
      </c>
      <c r="AO724" s="10" t="s">
        <v>1113</v>
      </c>
      <c r="AP724" s="39" t="str">
        <f>データ!O724</f>
        <v>　</v>
      </c>
      <c r="AQ724" s="41" t="s">
        <v>1024</v>
      </c>
      <c r="AR724" s="40" t="s">
        <v>1324</v>
      </c>
      <c r="AS724" s="39" t="str">
        <f>データ!P724</f>
        <v>アサルト／煌</v>
      </c>
      <c r="AT724" s="10" t="s">
        <v>1113</v>
      </c>
      <c r="AU724" s="39" t="str">
        <f>データ!Q724</f>
        <v>パーティ全体の攻撃力が特大UP(3分間)</v>
      </c>
      <c r="AV724" s="10" t="s">
        <v>1024</v>
      </c>
      <c r="AW724" s="40" t="s">
        <v>1324</v>
      </c>
      <c r="AX724" s="39" t="str">
        <f>データ!R724</f>
        <v>エース／絶</v>
      </c>
      <c r="AY724" s="10" t="s">
        <v>1113</v>
      </c>
      <c r="AZ724" s="39" t="str">
        <f>データ!S724</f>
        <v>パーティ全体の攻・防が大UP(3分間)</v>
      </c>
      <c r="BA724" s="41" t="s">
        <v>1024</v>
      </c>
      <c r="BB724" s="40" t="s">
        <v>1319</v>
      </c>
      <c r="BC724" s="39" t="str">
        <f>データ!T724</f>
        <v>-</v>
      </c>
      <c r="BD724" s="41" t="s">
        <v>1024</v>
      </c>
      <c r="BE724" s="40" t="s">
        <v>1319</v>
      </c>
      <c r="BF724" s="39" t="str">
        <f>データ!U724</f>
        <v>-</v>
      </c>
      <c r="BG724" s="41" t="s">
        <v>1024</v>
      </c>
      <c r="BH724" s="40" t="s">
        <v>1319</v>
      </c>
      <c r="BI724" s="39" t="str">
        <f>データ!V724</f>
        <v>ゴブリンスレイヤーコラボ</v>
      </c>
      <c r="BJ724" s="41" t="s">
        <v>1024</v>
      </c>
      <c r="BK724" s="10" t="s">
        <v>1019</v>
      </c>
    </row>
    <row r="725" spans="1:63" x14ac:dyDescent="0.15">
      <c r="A725" s="10" t="s">
        <v>1016</v>
      </c>
      <c r="B725" s="10" t="s">
        <v>1454</v>
      </c>
      <c r="C725" s="38" t="str">
        <f>"./images/thumbnail/"&amp;データ!B725&amp;".jpg"</f>
        <v>./images/thumbnail/2177.jpg</v>
      </c>
      <c r="D725" s="38" t="s">
        <v>1455</v>
      </c>
      <c r="E725" s="38" t="str">
        <f>"./images/thumbnail/"&amp;データ!B725&amp;".jpg"</f>
        <v>./images/thumbnail/2177.jpg</v>
      </c>
      <c r="F725" s="38" t="s">
        <v>1116</v>
      </c>
      <c r="G725" s="38" t="s">
        <v>1319</v>
      </c>
      <c r="H725" s="38" t="str">
        <f>データ!C725</f>
        <v>女神官</v>
      </c>
      <c r="I725" s="38" t="s">
        <v>1024</v>
      </c>
      <c r="J725" s="38" t="s">
        <v>1319</v>
      </c>
      <c r="K725" s="38" t="str">
        <f>データ!D725</f>
        <v>UR</v>
      </c>
      <c r="L725" s="38" t="s">
        <v>1024</v>
      </c>
      <c r="M725" s="38" t="s">
        <v>1319</v>
      </c>
      <c r="N725" s="38">
        <f>データ!E725</f>
        <v>16</v>
      </c>
      <c r="O725" s="38" t="s">
        <v>1024</v>
      </c>
      <c r="P725" s="38" t="s">
        <v>1319</v>
      </c>
      <c r="Q725" s="38" t="str">
        <f>データ!F725</f>
        <v>遠</v>
      </c>
      <c r="R725" s="38" t="s">
        <v>1024</v>
      </c>
      <c r="S725" s="38" t="s">
        <v>1319</v>
      </c>
      <c r="T725" s="39">
        <f>データ!G725</f>
        <v>24671</v>
      </c>
      <c r="U725" s="40" t="s">
        <v>1024</v>
      </c>
      <c r="V725" s="40" t="s">
        <v>1319</v>
      </c>
      <c r="W725" s="39">
        <f>データ!H725</f>
        <v>8511</v>
      </c>
      <c r="X725" s="40" t="s">
        <v>1024</v>
      </c>
      <c r="Y725" s="40" t="s">
        <v>1319</v>
      </c>
      <c r="Z725" s="39">
        <f>データ!I725</f>
        <v>8550</v>
      </c>
      <c r="AA725" s="40" t="s">
        <v>1024</v>
      </c>
      <c r="AB725" s="40" t="s">
        <v>1319</v>
      </c>
      <c r="AC725" s="39" t="str">
        <f>データ!J725</f>
        <v>SS1</v>
      </c>
      <c r="AD725" s="38" t="s">
        <v>1024</v>
      </c>
      <c r="AE725" s="40" t="s">
        <v>1319</v>
      </c>
      <c r="AF725" s="39">
        <f>データ!K725</f>
        <v>41732</v>
      </c>
      <c r="AG725" s="40" t="s">
        <v>1024</v>
      </c>
      <c r="AH725" s="40" t="s">
        <v>1324</v>
      </c>
      <c r="AI725" s="39" t="str">
        <f>データ!L725</f>
        <v>聖壁</v>
      </c>
      <c r="AJ725" s="10" t="s">
        <v>1113</v>
      </c>
      <c r="AK725" s="39" t="str">
        <f>データ!M725</f>
        <v>単体固定ﾀﾞﾒｰｼﾞ[特大]+味方ｽﾃｰﾀｽDOWN解除</v>
      </c>
      <c r="AL725" s="10" t="s">
        <v>1024</v>
      </c>
      <c r="AM725" s="40" t="s">
        <v>1324</v>
      </c>
      <c r="AN725" s="39" t="str">
        <f>データ!N725</f>
        <v>-</v>
      </c>
      <c r="AO725" s="10" t="s">
        <v>1113</v>
      </c>
      <c r="AP725" s="39" t="str">
        <f>データ!O725</f>
        <v>　</v>
      </c>
      <c r="AQ725" s="41" t="s">
        <v>1024</v>
      </c>
      <c r="AR725" s="40" t="s">
        <v>1324</v>
      </c>
      <c r="AS725" s="39" t="str">
        <f>データ!P725</f>
        <v>アクセラレーター／鳳</v>
      </c>
      <c r="AT725" s="10" t="s">
        <v>1113</v>
      </c>
      <c r="AU725" s="39" t="str">
        <f>データ!Q725</f>
        <v>パーティ全体の速度が大UP＆ユニット1体をタレント状態にする(5分間)</v>
      </c>
      <c r="AV725" s="10" t="s">
        <v>1024</v>
      </c>
      <c r="AW725" s="40" t="s">
        <v>1324</v>
      </c>
      <c r="AX725" s="39" t="str">
        <f>データ!R725</f>
        <v>エース／煌</v>
      </c>
      <c r="AY725" s="10" t="s">
        <v>1113</v>
      </c>
      <c r="AZ725" s="39" t="str">
        <f>データ!S725</f>
        <v>パーティ全体の攻・防が特大UP(3分間)</v>
      </c>
      <c r="BA725" s="41" t="s">
        <v>1024</v>
      </c>
      <c r="BB725" s="40" t="s">
        <v>1319</v>
      </c>
      <c r="BC725" s="39" t="str">
        <f>データ!T725</f>
        <v>光芒の練気</v>
      </c>
      <c r="BD725" s="41" t="s">
        <v>1024</v>
      </c>
      <c r="BE725" s="40" t="s">
        <v>1319</v>
      </c>
      <c r="BF725" s="39" t="str">
        <f>データ!U725</f>
        <v>-</v>
      </c>
      <c r="BG725" s="41" t="s">
        <v>1024</v>
      </c>
      <c r="BH725" s="40" t="s">
        <v>1319</v>
      </c>
      <c r="BI725" s="39" t="str">
        <f>データ!V725</f>
        <v>ゴブリンスレイヤーコラボ</v>
      </c>
      <c r="BJ725" s="41" t="s">
        <v>1024</v>
      </c>
      <c r="BK725" s="10" t="s">
        <v>1019</v>
      </c>
    </row>
    <row r="726" spans="1:63" x14ac:dyDescent="0.15">
      <c r="A726" s="10" t="s">
        <v>1016</v>
      </c>
      <c r="B726" s="10" t="s">
        <v>1454</v>
      </c>
      <c r="C726" s="38" t="str">
        <f>"./images/thumbnail/"&amp;データ!B726&amp;".jpg"</f>
        <v>./images/thumbnail/2179.jpg</v>
      </c>
      <c r="D726" s="38" t="s">
        <v>1455</v>
      </c>
      <c r="E726" s="38" t="str">
        <f>"./images/thumbnail/"&amp;データ!B726&amp;".jpg"</f>
        <v>./images/thumbnail/2179.jpg</v>
      </c>
      <c r="F726" s="38" t="s">
        <v>1116</v>
      </c>
      <c r="G726" s="38" t="s">
        <v>1319</v>
      </c>
      <c r="H726" s="38" t="str">
        <f>データ!C726</f>
        <v>妖精弓手</v>
      </c>
      <c r="I726" s="38" t="s">
        <v>1024</v>
      </c>
      <c r="J726" s="38" t="s">
        <v>1319</v>
      </c>
      <c r="K726" s="38" t="str">
        <f>データ!D726</f>
        <v>UR</v>
      </c>
      <c r="L726" s="38" t="s">
        <v>1024</v>
      </c>
      <c r="M726" s="38" t="s">
        <v>1319</v>
      </c>
      <c r="N726" s="38">
        <f>データ!E726</f>
        <v>16</v>
      </c>
      <c r="O726" s="38" t="s">
        <v>1024</v>
      </c>
      <c r="P726" s="38" t="s">
        <v>1319</v>
      </c>
      <c r="Q726" s="38" t="str">
        <f>データ!F726</f>
        <v>遠</v>
      </c>
      <c r="R726" s="38" t="s">
        <v>1024</v>
      </c>
      <c r="S726" s="38" t="s">
        <v>1319</v>
      </c>
      <c r="T726" s="39">
        <f>データ!G726</f>
        <v>24894</v>
      </c>
      <c r="U726" s="40" t="s">
        <v>1024</v>
      </c>
      <c r="V726" s="40" t="s">
        <v>1319</v>
      </c>
      <c r="W726" s="39">
        <f>データ!H726</f>
        <v>8576</v>
      </c>
      <c r="X726" s="40" t="s">
        <v>1024</v>
      </c>
      <c r="Y726" s="40" t="s">
        <v>1319</v>
      </c>
      <c r="Z726" s="39">
        <f>データ!I726</f>
        <v>8279</v>
      </c>
      <c r="AA726" s="40" t="s">
        <v>1024</v>
      </c>
      <c r="AB726" s="40" t="s">
        <v>1319</v>
      </c>
      <c r="AC726" s="39" t="str">
        <f>データ!J726</f>
        <v>SS1</v>
      </c>
      <c r="AD726" s="38" t="s">
        <v>1024</v>
      </c>
      <c r="AE726" s="40" t="s">
        <v>1319</v>
      </c>
      <c r="AF726" s="39">
        <f>データ!K726</f>
        <v>41749</v>
      </c>
      <c r="AG726" s="40" t="s">
        <v>1024</v>
      </c>
      <c r="AH726" s="40" t="s">
        <v>1324</v>
      </c>
      <c r="AI726" s="39" t="str">
        <f>データ!L726</f>
        <v>あとは任せて！</v>
      </c>
      <c r="AJ726" s="10" t="s">
        <v>1113</v>
      </c>
      <c r="AK726" s="39" t="str">
        <f>データ!M726</f>
        <v>ランダムで6連続攻撃[大]</v>
      </c>
      <c r="AL726" s="10" t="s">
        <v>1024</v>
      </c>
      <c r="AM726" s="40" t="s">
        <v>1324</v>
      </c>
      <c r="AN726" s="39" t="str">
        <f>データ!N726</f>
        <v>-</v>
      </c>
      <c r="AO726" s="10" t="s">
        <v>1113</v>
      </c>
      <c r="AP726" s="39" t="str">
        <f>データ!O726</f>
        <v>　</v>
      </c>
      <c r="AQ726" s="41" t="s">
        <v>1024</v>
      </c>
      <c r="AR726" s="40" t="s">
        <v>1324</v>
      </c>
      <c r="AS726" s="39" t="str">
        <f>データ!P726</f>
        <v>フォートレス／鳳</v>
      </c>
      <c r="AT726" s="10" t="s">
        <v>1113</v>
      </c>
      <c r="AU726" s="39" t="str">
        <f>データ!Q726</f>
        <v>パーティ全体の防御力が極大UP＆ユニット1体をタレント状態にする(3分間)</v>
      </c>
      <c r="AV726" s="10" t="s">
        <v>1024</v>
      </c>
      <c r="AW726" s="40" t="s">
        <v>1324</v>
      </c>
      <c r="AX726" s="39" t="str">
        <f>データ!R726</f>
        <v>フォースオブウィッシュ／絶</v>
      </c>
      <c r="AY726" s="10" t="s">
        <v>1113</v>
      </c>
      <c r="AZ726" s="39" t="str">
        <f>データ!S726</f>
        <v>騎士団全員のBPを大回復</v>
      </c>
      <c r="BA726" s="41" t="s">
        <v>1024</v>
      </c>
      <c r="BB726" s="40" t="s">
        <v>1319</v>
      </c>
      <c r="BC726" s="39" t="str">
        <f>データ!T726</f>
        <v>斬紅烈撃</v>
      </c>
      <c r="BD726" s="41" t="s">
        <v>1024</v>
      </c>
      <c r="BE726" s="40" t="s">
        <v>1319</v>
      </c>
      <c r="BF726" s="39" t="str">
        <f>データ!U726</f>
        <v>-</v>
      </c>
      <c r="BG726" s="41" t="s">
        <v>1024</v>
      </c>
      <c r="BH726" s="40" t="s">
        <v>1319</v>
      </c>
      <c r="BI726" s="39" t="str">
        <f>データ!V726</f>
        <v>ゴブリンスレイヤーコラボ</v>
      </c>
      <c r="BJ726" s="41" t="s">
        <v>1024</v>
      </c>
      <c r="BK726" s="10" t="s">
        <v>1019</v>
      </c>
    </row>
    <row r="727" spans="1:63" x14ac:dyDescent="0.15">
      <c r="A727" s="10" t="s">
        <v>1016</v>
      </c>
      <c r="B727" s="10" t="s">
        <v>1454</v>
      </c>
      <c r="C727" s="38" t="str">
        <f>"./images/thumbnail/"&amp;データ!B727&amp;".jpg"</f>
        <v>./images/thumbnail/2181.jpg</v>
      </c>
      <c r="D727" s="38" t="s">
        <v>1455</v>
      </c>
      <c r="E727" s="38" t="str">
        <f>"./images/thumbnail/"&amp;データ!B727&amp;".jpg"</f>
        <v>./images/thumbnail/2181.jpg</v>
      </c>
      <c r="F727" s="38" t="s">
        <v>1116</v>
      </c>
      <c r="G727" s="38" t="s">
        <v>1319</v>
      </c>
      <c r="H727" s="38" t="str">
        <f>データ!C727</f>
        <v>鉱人道士</v>
      </c>
      <c r="I727" s="38" t="s">
        <v>1024</v>
      </c>
      <c r="J727" s="38" t="s">
        <v>1319</v>
      </c>
      <c r="K727" s="38" t="str">
        <f>データ!D727</f>
        <v>UR</v>
      </c>
      <c r="L727" s="38" t="s">
        <v>1024</v>
      </c>
      <c r="M727" s="38" t="s">
        <v>1319</v>
      </c>
      <c r="N727" s="38">
        <f>データ!E727</f>
        <v>15</v>
      </c>
      <c r="O727" s="38" t="s">
        <v>1024</v>
      </c>
      <c r="P727" s="38" t="s">
        <v>1319</v>
      </c>
      <c r="Q727" s="38" t="str">
        <f>データ!F727</f>
        <v>打</v>
      </c>
      <c r="R727" s="38" t="s">
        <v>1024</v>
      </c>
      <c r="S727" s="38" t="s">
        <v>1319</v>
      </c>
      <c r="T727" s="39">
        <f>データ!G727</f>
        <v>29194</v>
      </c>
      <c r="U727" s="40" t="s">
        <v>1024</v>
      </c>
      <c r="V727" s="40" t="s">
        <v>1319</v>
      </c>
      <c r="W727" s="39">
        <f>データ!H727</f>
        <v>7537</v>
      </c>
      <c r="X727" s="40" t="s">
        <v>1024</v>
      </c>
      <c r="Y727" s="40" t="s">
        <v>1319</v>
      </c>
      <c r="Z727" s="39">
        <f>データ!I727</f>
        <v>10853</v>
      </c>
      <c r="AA727" s="40" t="s">
        <v>1024</v>
      </c>
      <c r="AB727" s="40" t="s">
        <v>1319</v>
      </c>
      <c r="AC727" s="39" t="str">
        <f>データ!J727</f>
        <v>S</v>
      </c>
      <c r="AD727" s="38" t="s">
        <v>1024</v>
      </c>
      <c r="AE727" s="40" t="s">
        <v>1319</v>
      </c>
      <c r="AF727" s="39">
        <f>データ!K727</f>
        <v>47584</v>
      </c>
      <c r="AG727" s="40" t="s">
        <v>1024</v>
      </c>
      <c r="AH727" s="40" t="s">
        <v>1324</v>
      </c>
      <c r="AI727" s="39" t="str">
        <f>データ!L727</f>
        <v>幻光の交叉線／煌</v>
      </c>
      <c r="AJ727" s="10" t="s">
        <v>1113</v>
      </c>
      <c r="AK727" s="39" t="str">
        <f>データ!M727</f>
        <v>X字型に攻撃[特大]</v>
      </c>
      <c r="AL727" s="10" t="s">
        <v>1024</v>
      </c>
      <c r="AM727" s="40" t="s">
        <v>1324</v>
      </c>
      <c r="AN727" s="39" t="str">
        <f>データ!N727</f>
        <v>-</v>
      </c>
      <c r="AO727" s="10" t="s">
        <v>1113</v>
      </c>
      <c r="AP727" s="39" t="str">
        <f>データ!O727</f>
        <v>　</v>
      </c>
      <c r="AQ727" s="41" t="s">
        <v>1024</v>
      </c>
      <c r="AR727" s="40" t="s">
        <v>1324</v>
      </c>
      <c r="AS727" s="39" t="str">
        <f>データ!P727</f>
        <v>エースオーダー／絶</v>
      </c>
      <c r="AT727" s="10" t="s">
        <v>1113</v>
      </c>
      <c r="AU727" s="39" t="str">
        <f>データ!Q727</f>
        <v>騎士団全体の攻・防が大UP(3分間)</v>
      </c>
      <c r="AV727" s="10" t="s">
        <v>1024</v>
      </c>
      <c r="AW727" s="40" t="s">
        <v>1324</v>
      </c>
      <c r="AX727" s="39" t="str">
        <f>データ!R727</f>
        <v>オラトリオ／絶</v>
      </c>
      <c r="AY727" s="10" t="s">
        <v>1113</v>
      </c>
      <c r="AZ727" s="39" t="str">
        <f>データ!S727</f>
        <v>騎士団全体のスキル発動率が中UP(3分間)</v>
      </c>
      <c r="BA727" s="41" t="s">
        <v>1024</v>
      </c>
      <c r="BB727" s="40" t="s">
        <v>1319</v>
      </c>
      <c r="BC727" s="39" t="str">
        <f>データ!T727</f>
        <v>-</v>
      </c>
      <c r="BD727" s="41" t="s">
        <v>1024</v>
      </c>
      <c r="BE727" s="40" t="s">
        <v>1319</v>
      </c>
      <c r="BF727" s="39" t="str">
        <f>データ!U727</f>
        <v>-</v>
      </c>
      <c r="BG727" s="41" t="s">
        <v>1024</v>
      </c>
      <c r="BH727" s="40" t="s">
        <v>1319</v>
      </c>
      <c r="BI727" s="39" t="str">
        <f>データ!V727</f>
        <v>ゴブリンスレイヤーコラボ</v>
      </c>
      <c r="BJ727" s="41" t="s">
        <v>1024</v>
      </c>
      <c r="BK727" s="10" t="s">
        <v>1019</v>
      </c>
    </row>
    <row r="728" spans="1:63" x14ac:dyDescent="0.15">
      <c r="A728" s="10" t="s">
        <v>1016</v>
      </c>
      <c r="B728" s="10" t="s">
        <v>1454</v>
      </c>
      <c r="C728" s="38" t="str">
        <f>"./images/thumbnail/"&amp;データ!B728&amp;".jpg"</f>
        <v>./images/thumbnail/2183.jpg</v>
      </c>
      <c r="D728" s="38" t="s">
        <v>1455</v>
      </c>
      <c r="E728" s="38" t="str">
        <f>"./images/thumbnail/"&amp;データ!B728&amp;".jpg"</f>
        <v>./images/thumbnail/2183.jpg</v>
      </c>
      <c r="F728" s="38" t="s">
        <v>1116</v>
      </c>
      <c r="G728" s="38" t="s">
        <v>1319</v>
      </c>
      <c r="H728" s="38" t="str">
        <f>データ!C728</f>
        <v>蜥蜴僧侶</v>
      </c>
      <c r="I728" s="38" t="s">
        <v>1024</v>
      </c>
      <c r="J728" s="38" t="s">
        <v>1319</v>
      </c>
      <c r="K728" s="38" t="str">
        <f>データ!D728</f>
        <v>UR</v>
      </c>
      <c r="L728" s="38" t="s">
        <v>1024</v>
      </c>
      <c r="M728" s="38" t="s">
        <v>1319</v>
      </c>
      <c r="N728" s="38">
        <f>データ!E728</f>
        <v>16</v>
      </c>
      <c r="O728" s="38" t="s">
        <v>1024</v>
      </c>
      <c r="P728" s="38" t="s">
        <v>1319</v>
      </c>
      <c r="Q728" s="38" t="str">
        <f>データ!F728</f>
        <v>斬</v>
      </c>
      <c r="R728" s="38" t="s">
        <v>1024</v>
      </c>
      <c r="S728" s="38" t="s">
        <v>1319</v>
      </c>
      <c r="T728" s="39">
        <f>データ!G728</f>
        <v>21795</v>
      </c>
      <c r="U728" s="40" t="s">
        <v>1024</v>
      </c>
      <c r="V728" s="40" t="s">
        <v>1319</v>
      </c>
      <c r="W728" s="39">
        <f>データ!H728</f>
        <v>10196</v>
      </c>
      <c r="X728" s="40" t="s">
        <v>1024</v>
      </c>
      <c r="Y728" s="40" t="s">
        <v>1319</v>
      </c>
      <c r="Z728" s="39">
        <f>データ!I728</f>
        <v>8350</v>
      </c>
      <c r="AA728" s="40" t="s">
        <v>1024</v>
      </c>
      <c r="AB728" s="40" t="s">
        <v>1319</v>
      </c>
      <c r="AC728" s="39" t="str">
        <f>データ!J728</f>
        <v>S+</v>
      </c>
      <c r="AD728" s="38" t="s">
        <v>1024</v>
      </c>
      <c r="AE728" s="40" t="s">
        <v>1319</v>
      </c>
      <c r="AF728" s="39">
        <f>データ!K728</f>
        <v>40341</v>
      </c>
      <c r="AG728" s="40" t="s">
        <v>1024</v>
      </c>
      <c r="AH728" s="40" t="s">
        <v>1324</v>
      </c>
      <c r="AI728" s="39" t="str">
        <f>データ!L728</f>
        <v>対翠の突風／鳳</v>
      </c>
      <c r="AJ728" s="10" t="s">
        <v>1113</v>
      </c>
      <c r="AK728" s="39" t="str">
        <f>データ!M728</f>
        <v>遠に強く打に弱い縦一列攻撃[極大]</v>
      </c>
      <c r="AL728" s="10" t="s">
        <v>1024</v>
      </c>
      <c r="AM728" s="40" t="s">
        <v>1324</v>
      </c>
      <c r="AN728" s="39" t="str">
        <f>データ!N728</f>
        <v>-</v>
      </c>
      <c r="AO728" s="10" t="s">
        <v>1113</v>
      </c>
      <c r="AP728" s="39" t="str">
        <f>データ!O728</f>
        <v>　</v>
      </c>
      <c r="AQ728" s="41" t="s">
        <v>1024</v>
      </c>
      <c r="AR728" s="40" t="s">
        <v>1324</v>
      </c>
      <c r="AS728" s="39" t="str">
        <f>データ!P728</f>
        <v>アサルト／鳳</v>
      </c>
      <c r="AT728" s="10" t="s">
        <v>1113</v>
      </c>
      <c r="AU728" s="39" t="str">
        <f>データ!Q728</f>
        <v>パーティ全体の攻撃力が極大UP＆ユニット1体をタレント状態にする(3分間)</v>
      </c>
      <c r="AV728" s="10" t="s">
        <v>1024</v>
      </c>
      <c r="AW728" s="40" t="s">
        <v>1324</v>
      </c>
      <c r="AX728" s="39" t="str">
        <f>データ!R728</f>
        <v>オラクル／煌</v>
      </c>
      <c r="AY728" s="10" t="s">
        <v>1113</v>
      </c>
      <c r="AZ728" s="39" t="str">
        <f>データ!S728</f>
        <v>パーティ全体のスキル発動率が特大UP(3分間)</v>
      </c>
      <c r="BA728" s="41" t="s">
        <v>1024</v>
      </c>
      <c r="BB728" s="40" t="s">
        <v>1319</v>
      </c>
      <c r="BC728" s="39" t="str">
        <f>データ!T728</f>
        <v>-</v>
      </c>
      <c r="BD728" s="41" t="s">
        <v>1024</v>
      </c>
      <c r="BE728" s="40" t="s">
        <v>1319</v>
      </c>
      <c r="BF728" s="39" t="str">
        <f>データ!U728</f>
        <v>斬属性攻撃力中アップ</v>
      </c>
      <c r="BG728" s="41" t="s">
        <v>1024</v>
      </c>
      <c r="BH728" s="40" t="s">
        <v>1319</v>
      </c>
      <c r="BI728" s="39" t="str">
        <f>データ!V728</f>
        <v>ゴブリンスレイヤーコラボ</v>
      </c>
      <c r="BJ728" s="41" t="s">
        <v>1024</v>
      </c>
      <c r="BK728" s="10" t="s">
        <v>1019</v>
      </c>
    </row>
    <row r="729" spans="1:63" x14ac:dyDescent="0.15">
      <c r="A729" s="10" t="s">
        <v>1016</v>
      </c>
      <c r="B729" s="10" t="s">
        <v>1454</v>
      </c>
      <c r="C729" s="38" t="str">
        <f>"./images/thumbnail/"&amp;データ!B729&amp;".jpg"</f>
        <v>./images/thumbnail/2185.jpg</v>
      </c>
      <c r="D729" s="38" t="s">
        <v>1455</v>
      </c>
      <c r="E729" s="38" t="str">
        <f>"./images/thumbnail/"&amp;データ!B729&amp;".jpg"</f>
        <v>./images/thumbnail/2185.jpg</v>
      </c>
      <c r="F729" s="38" t="s">
        <v>1116</v>
      </c>
      <c r="G729" s="38" t="s">
        <v>1319</v>
      </c>
      <c r="H729" s="38" t="str">
        <f>データ!C729</f>
        <v>ジャマル</v>
      </c>
      <c r="I729" s="38" t="s">
        <v>1024</v>
      </c>
      <c r="J729" s="38" t="s">
        <v>1319</v>
      </c>
      <c r="K729" s="38" t="str">
        <f>データ!D729</f>
        <v>SSR</v>
      </c>
      <c r="L729" s="38" t="s">
        <v>1024</v>
      </c>
      <c r="M729" s="38" t="s">
        <v>1319</v>
      </c>
      <c r="N729" s="38">
        <f>データ!E729</f>
        <v>14</v>
      </c>
      <c r="O729" s="38" t="s">
        <v>1024</v>
      </c>
      <c r="P729" s="38" t="s">
        <v>1319</v>
      </c>
      <c r="Q729" s="38" t="str">
        <f>データ!F729</f>
        <v>斬</v>
      </c>
      <c r="R729" s="38" t="s">
        <v>1024</v>
      </c>
      <c r="S729" s="38" t="s">
        <v>1319</v>
      </c>
      <c r="T729" s="39">
        <f>データ!G729</f>
        <v>18204</v>
      </c>
      <c r="U729" s="40" t="s">
        <v>1024</v>
      </c>
      <c r="V729" s="40" t="s">
        <v>1319</v>
      </c>
      <c r="W729" s="39">
        <f>データ!H729</f>
        <v>8331</v>
      </c>
      <c r="X729" s="40" t="s">
        <v>1024</v>
      </c>
      <c r="Y729" s="40" t="s">
        <v>1319</v>
      </c>
      <c r="Z729" s="39">
        <f>データ!I729</f>
        <v>6329</v>
      </c>
      <c r="AA729" s="40" t="s">
        <v>1024</v>
      </c>
      <c r="AB729" s="40" t="s">
        <v>1319</v>
      </c>
      <c r="AC729" s="39" t="str">
        <f>データ!J729</f>
        <v>S</v>
      </c>
      <c r="AD729" s="38" t="s">
        <v>1024</v>
      </c>
      <c r="AE729" s="40" t="s">
        <v>1319</v>
      </c>
      <c r="AF729" s="39">
        <f>データ!K729</f>
        <v>32864</v>
      </c>
      <c r="AG729" s="40" t="s">
        <v>1024</v>
      </c>
      <c r="AH729" s="40" t="s">
        <v>1324</v>
      </c>
      <c r="AI729" s="39" t="str">
        <f>データ!L729</f>
        <v>魔幻の閃光／煌</v>
      </c>
      <c r="AJ729" s="10" t="s">
        <v>1113</v>
      </c>
      <c r="AK729" s="39" t="str">
        <f>データ!M729</f>
        <v>縦一列に攻撃[特大]</v>
      </c>
      <c r="AL729" s="10" t="s">
        <v>1024</v>
      </c>
      <c r="AM729" s="40" t="s">
        <v>1324</v>
      </c>
      <c r="AN729" s="39" t="str">
        <f>データ!N729</f>
        <v>-</v>
      </c>
      <c r="AO729" s="10" t="s">
        <v>1113</v>
      </c>
      <c r="AP729" s="39" t="str">
        <f>データ!O729</f>
        <v>　</v>
      </c>
      <c r="AQ729" s="41" t="s">
        <v>1024</v>
      </c>
      <c r="AR729" s="40" t="s">
        <v>1324</v>
      </c>
      <c r="AS729" s="39" t="str">
        <f>データ!P729</f>
        <v>リヴァイブ／絶</v>
      </c>
      <c r="AT729" s="10" t="s">
        <v>1113</v>
      </c>
      <c r="AU729" s="39" t="str">
        <f>データ!Q729</f>
        <v>高確率で戦闘不能ユニットを復帰</v>
      </c>
      <c r="AV729" s="10" t="s">
        <v>1024</v>
      </c>
      <c r="AW729" s="40" t="s">
        <v>1324</v>
      </c>
      <c r="AX729" s="39" t="str">
        <f>データ!R729</f>
        <v>-</v>
      </c>
      <c r="AY729" s="10" t="s">
        <v>1113</v>
      </c>
      <c r="AZ729" s="39" t="str">
        <f>データ!S729</f>
        <v>　</v>
      </c>
      <c r="BA729" s="41" t="s">
        <v>1024</v>
      </c>
      <c r="BB729" s="40" t="s">
        <v>1319</v>
      </c>
      <c r="BC729" s="39" t="str">
        <f>データ!T729</f>
        <v>-</v>
      </c>
      <c r="BD729" s="41" t="s">
        <v>1024</v>
      </c>
      <c r="BE729" s="40" t="s">
        <v>1319</v>
      </c>
      <c r="BF729" s="39" t="str">
        <f>データ!U729</f>
        <v>斬属性攻撃力中アップ</v>
      </c>
      <c r="BG729" s="41" t="s">
        <v>1024</v>
      </c>
      <c r="BH729" s="40" t="s">
        <v>1319</v>
      </c>
      <c r="BI729" s="39" t="str">
        <f>データ!V729</f>
        <v>2020年バレンタインイベ</v>
      </c>
      <c r="BJ729" s="41" t="s">
        <v>1024</v>
      </c>
      <c r="BK729" s="10" t="s">
        <v>1019</v>
      </c>
    </row>
    <row r="730" spans="1:63" x14ac:dyDescent="0.15">
      <c r="A730" s="10" t="s">
        <v>1016</v>
      </c>
      <c r="B730" s="10" t="s">
        <v>1454</v>
      </c>
      <c r="C730" s="38" t="str">
        <f>"./images/thumbnail/"&amp;データ!B730&amp;".jpg"</f>
        <v>./images/thumbnail/2187.jpg</v>
      </c>
      <c r="D730" s="38" t="s">
        <v>1455</v>
      </c>
      <c r="E730" s="38" t="str">
        <f>"./images/thumbnail/"&amp;データ!B730&amp;".jpg"</f>
        <v>./images/thumbnail/2187.jpg</v>
      </c>
      <c r="F730" s="38" t="s">
        <v>1116</v>
      </c>
      <c r="G730" s="38" t="s">
        <v>1319</v>
      </c>
      <c r="H730" s="38" t="str">
        <f>データ!C730</f>
        <v>ソフィ</v>
      </c>
      <c r="I730" s="38" t="s">
        <v>1024</v>
      </c>
      <c r="J730" s="38" t="s">
        <v>1319</v>
      </c>
      <c r="K730" s="38" t="str">
        <f>データ!D730</f>
        <v>UR</v>
      </c>
      <c r="L730" s="38" t="s">
        <v>1024</v>
      </c>
      <c r="M730" s="38" t="s">
        <v>1319</v>
      </c>
      <c r="N730" s="38">
        <f>データ!E730</f>
        <v>16</v>
      </c>
      <c r="O730" s="38" t="s">
        <v>1024</v>
      </c>
      <c r="P730" s="38" t="s">
        <v>1319</v>
      </c>
      <c r="Q730" s="38" t="str">
        <f>データ!F730</f>
        <v>突</v>
      </c>
      <c r="R730" s="38" t="s">
        <v>1024</v>
      </c>
      <c r="S730" s="38" t="s">
        <v>1319</v>
      </c>
      <c r="T730" s="39">
        <f>データ!G730</f>
        <v>26448</v>
      </c>
      <c r="U730" s="40" t="s">
        <v>1024</v>
      </c>
      <c r="V730" s="40" t="s">
        <v>1319</v>
      </c>
      <c r="W730" s="39">
        <f>データ!H730</f>
        <v>7730</v>
      </c>
      <c r="X730" s="40" t="s">
        <v>1024</v>
      </c>
      <c r="Y730" s="40" t="s">
        <v>1319</v>
      </c>
      <c r="Z730" s="39">
        <f>データ!I730</f>
        <v>10275</v>
      </c>
      <c r="AA730" s="40" t="s">
        <v>1024</v>
      </c>
      <c r="AB730" s="40" t="s">
        <v>1319</v>
      </c>
      <c r="AC730" s="39" t="str">
        <f>データ!J730</f>
        <v>SS4</v>
      </c>
      <c r="AD730" s="38" t="s">
        <v>1024</v>
      </c>
      <c r="AE730" s="40" t="s">
        <v>1319</v>
      </c>
      <c r="AF730" s="39">
        <f>データ!K730</f>
        <v>44453</v>
      </c>
      <c r="AG730" s="40" t="s">
        <v>1024</v>
      </c>
      <c r="AH730" s="40" t="s">
        <v>1324</v>
      </c>
      <c r="AI730" s="39" t="str">
        <f>データ!L730</f>
        <v>闘神消滅／光芒</v>
      </c>
      <c r="AJ730" s="10" t="s">
        <v>1113</v>
      </c>
      <c r="AK730" s="39" t="str">
        <f>データ!M730</f>
        <v>敵全体の攻撃力と防御力をDOWN[極大]</v>
      </c>
      <c r="AL730" s="10" t="s">
        <v>1024</v>
      </c>
      <c r="AM730" s="40" t="s">
        <v>1324</v>
      </c>
      <c r="AN730" s="39" t="str">
        <f>データ!N730</f>
        <v>-</v>
      </c>
      <c r="AO730" s="10" t="s">
        <v>1113</v>
      </c>
      <c r="AP730" s="39" t="str">
        <f>データ!O730</f>
        <v>　</v>
      </c>
      <c r="AQ730" s="41" t="s">
        <v>1024</v>
      </c>
      <c r="AR730" s="40" t="s">
        <v>1324</v>
      </c>
      <c r="AS730" s="39" t="str">
        <f>データ!P730</f>
        <v>エース／鳳</v>
      </c>
      <c r="AT730" s="10" t="s">
        <v>1113</v>
      </c>
      <c r="AU730" s="39" t="str">
        <f>データ!Q730</f>
        <v>パーティ全体の攻・防が極大UP＆ユニット1体をタレント状態にする(3分間)</v>
      </c>
      <c r="AV730" s="10" t="s">
        <v>1024</v>
      </c>
      <c r="AW730" s="40" t="s">
        <v>1324</v>
      </c>
      <c r="AX730" s="39" t="str">
        <f>データ!R730</f>
        <v>オラクル／煌</v>
      </c>
      <c r="AY730" s="10" t="s">
        <v>1113</v>
      </c>
      <c r="AZ730" s="39" t="str">
        <f>データ!S730</f>
        <v>パーティ全体のスキル発動率が特大UP(3分間)</v>
      </c>
      <c r="BA730" s="41" t="s">
        <v>1024</v>
      </c>
      <c r="BB730" s="40" t="s">
        <v>1319</v>
      </c>
      <c r="BC730" s="39" t="str">
        <f>データ!T730</f>
        <v>-</v>
      </c>
      <c r="BD730" s="41" t="s">
        <v>1024</v>
      </c>
      <c r="BE730" s="40" t="s">
        <v>1319</v>
      </c>
      <c r="BF730" s="39" t="str">
        <f>データ!U730</f>
        <v>突属性攻撃力中アップ</v>
      </c>
      <c r="BG730" s="41" t="s">
        <v>1024</v>
      </c>
      <c r="BH730" s="40" t="s">
        <v>1319</v>
      </c>
      <c r="BI730" s="39" t="str">
        <f>データ!V730</f>
        <v>2020年バレンタインイベ</v>
      </c>
      <c r="BJ730" s="41" t="s">
        <v>1024</v>
      </c>
      <c r="BK730" s="10" t="s">
        <v>1019</v>
      </c>
    </row>
    <row r="731" spans="1:63" x14ac:dyDescent="0.15">
      <c r="A731" s="10" t="s">
        <v>1016</v>
      </c>
      <c r="B731" s="10" t="s">
        <v>1454</v>
      </c>
      <c r="C731" s="38" t="str">
        <f>"./images/thumbnail/"&amp;データ!B731&amp;".jpg"</f>
        <v>./images/thumbnail/2189.jpg</v>
      </c>
      <c r="D731" s="38" t="s">
        <v>1455</v>
      </c>
      <c r="E731" s="38" t="str">
        <f>"./images/thumbnail/"&amp;データ!B731&amp;".jpg"</f>
        <v>./images/thumbnail/2189.jpg</v>
      </c>
      <c r="F731" s="38" t="s">
        <v>1116</v>
      </c>
      <c r="G731" s="38" t="s">
        <v>1319</v>
      </c>
      <c r="H731" s="38" t="str">
        <f>データ!C731</f>
        <v>ナディア</v>
      </c>
      <c r="I731" s="38" t="s">
        <v>1024</v>
      </c>
      <c r="J731" s="38" t="s">
        <v>1319</v>
      </c>
      <c r="K731" s="38" t="str">
        <f>データ!D731</f>
        <v>UR</v>
      </c>
      <c r="L731" s="38" t="s">
        <v>1024</v>
      </c>
      <c r="M731" s="38" t="s">
        <v>1319</v>
      </c>
      <c r="N731" s="38">
        <f>データ!E731</f>
        <v>16</v>
      </c>
      <c r="O731" s="38" t="s">
        <v>1024</v>
      </c>
      <c r="P731" s="38" t="s">
        <v>1319</v>
      </c>
      <c r="Q731" s="38" t="str">
        <f>データ!F731</f>
        <v>打</v>
      </c>
      <c r="R731" s="38" t="s">
        <v>1024</v>
      </c>
      <c r="S731" s="38" t="s">
        <v>1319</v>
      </c>
      <c r="T731" s="39">
        <f>データ!G731</f>
        <v>30077</v>
      </c>
      <c r="U731" s="40" t="s">
        <v>1024</v>
      </c>
      <c r="V731" s="40" t="s">
        <v>1319</v>
      </c>
      <c r="W731" s="39">
        <f>データ!H731</f>
        <v>8603</v>
      </c>
      <c r="X731" s="40" t="s">
        <v>1024</v>
      </c>
      <c r="Y731" s="40" t="s">
        <v>1319</v>
      </c>
      <c r="Z731" s="39">
        <f>データ!I731</f>
        <v>12148</v>
      </c>
      <c r="AA731" s="40" t="s">
        <v>1024</v>
      </c>
      <c r="AB731" s="40" t="s">
        <v>1319</v>
      </c>
      <c r="AC731" s="39" t="str">
        <f>データ!J731</f>
        <v>SS-</v>
      </c>
      <c r="AD731" s="38" t="s">
        <v>1024</v>
      </c>
      <c r="AE731" s="40" t="s">
        <v>1319</v>
      </c>
      <c r="AF731" s="39">
        <f>データ!K731</f>
        <v>50828</v>
      </c>
      <c r="AG731" s="40" t="s">
        <v>1024</v>
      </c>
      <c r="AH731" s="40" t="s">
        <v>1324</v>
      </c>
      <c r="AI731" s="39" t="str">
        <f>データ!L731</f>
        <v>幻光の交叉線／鳳</v>
      </c>
      <c r="AJ731" s="10" t="s">
        <v>1113</v>
      </c>
      <c r="AK731" s="39" t="str">
        <f>データ!M731</f>
        <v>X字型に攻撃[極大]</v>
      </c>
      <c r="AL731" s="10" t="s">
        <v>1024</v>
      </c>
      <c r="AM731" s="40" t="s">
        <v>1324</v>
      </c>
      <c r="AN731" s="39" t="str">
        <f>データ!N731</f>
        <v>-</v>
      </c>
      <c r="AO731" s="10" t="s">
        <v>1113</v>
      </c>
      <c r="AP731" s="39" t="str">
        <f>データ!O731</f>
        <v>　</v>
      </c>
      <c r="AQ731" s="41" t="s">
        <v>1024</v>
      </c>
      <c r="AR731" s="40" t="s">
        <v>1324</v>
      </c>
      <c r="AS731" s="39" t="str">
        <f>データ!P731</f>
        <v>アサルト／凰</v>
      </c>
      <c r="AT731" s="10" t="s">
        <v>1113</v>
      </c>
      <c r="AU731" s="39" t="str">
        <f>データ!Q731</f>
        <v>パーティ全体の攻撃力が極大UP＆ユニット1体をタレント状態にする(3分間)</v>
      </c>
      <c r="AV731" s="10" t="s">
        <v>1024</v>
      </c>
      <c r="AW731" s="40" t="s">
        <v>1324</v>
      </c>
      <c r="AX731" s="39" t="str">
        <f>データ!R731</f>
        <v>エンダーブレイク／煌</v>
      </c>
      <c r="AY731" s="10" t="s">
        <v>1113</v>
      </c>
      <c r="AZ731" s="39" t="str">
        <f>データ!S731</f>
        <v>騎士団スコア特大UP・キリ番CB最大値UP(3回)</v>
      </c>
      <c r="BA731" s="41" t="s">
        <v>1024</v>
      </c>
      <c r="BB731" s="40" t="s">
        <v>1319</v>
      </c>
      <c r="BC731" s="39" t="str">
        <f>データ!T731</f>
        <v>堅守</v>
      </c>
      <c r="BD731" s="41" t="s">
        <v>1024</v>
      </c>
      <c r="BE731" s="40" t="s">
        <v>1319</v>
      </c>
      <c r="BF731" s="39" t="str">
        <f>データ!U731</f>
        <v>-</v>
      </c>
      <c r="BG731" s="41" t="s">
        <v>1024</v>
      </c>
      <c r="BH731" s="40" t="s">
        <v>1319</v>
      </c>
      <c r="BI731" s="39" t="str">
        <f>データ!V731</f>
        <v>2020年バレンタインイベ</v>
      </c>
      <c r="BJ731" s="41" t="s">
        <v>1024</v>
      </c>
      <c r="BK731" s="10" t="s">
        <v>1019</v>
      </c>
    </row>
    <row r="732" spans="1:63" x14ac:dyDescent="0.15">
      <c r="A732" s="10" t="s">
        <v>1016</v>
      </c>
      <c r="B732" s="10" t="s">
        <v>1454</v>
      </c>
      <c r="C732" s="38" t="str">
        <f>"./images/thumbnail/"&amp;データ!B732&amp;".jpg"</f>
        <v>./images/thumbnail/2191.jpg</v>
      </c>
      <c r="D732" s="38" t="s">
        <v>1455</v>
      </c>
      <c r="E732" s="38" t="str">
        <f>"./images/thumbnail/"&amp;データ!B732&amp;".jpg"</f>
        <v>./images/thumbnail/2191.jpg</v>
      </c>
      <c r="F732" s="38" t="s">
        <v>1116</v>
      </c>
      <c r="G732" s="38" t="s">
        <v>1319</v>
      </c>
      <c r="H732" s="38" t="str">
        <f>データ!C732</f>
        <v>ジャクリーン</v>
      </c>
      <c r="I732" s="38" t="s">
        <v>1024</v>
      </c>
      <c r="J732" s="38" t="s">
        <v>1319</v>
      </c>
      <c r="K732" s="38" t="str">
        <f>データ!D732</f>
        <v>UR</v>
      </c>
      <c r="L732" s="38" t="s">
        <v>1024</v>
      </c>
      <c r="M732" s="38" t="s">
        <v>1319</v>
      </c>
      <c r="N732" s="38">
        <f>データ!E732</f>
        <v>15</v>
      </c>
      <c r="O732" s="38" t="s">
        <v>1024</v>
      </c>
      <c r="P732" s="38" t="s">
        <v>1319</v>
      </c>
      <c r="Q732" s="38" t="str">
        <f>データ!F732</f>
        <v>遠</v>
      </c>
      <c r="R732" s="38" t="s">
        <v>1024</v>
      </c>
      <c r="S732" s="38" t="s">
        <v>1319</v>
      </c>
      <c r="T732" s="39">
        <f>データ!G732</f>
        <v>23731</v>
      </c>
      <c r="U732" s="40" t="s">
        <v>1024</v>
      </c>
      <c r="V732" s="40" t="s">
        <v>1319</v>
      </c>
      <c r="W732" s="39">
        <f>データ!H732</f>
        <v>7642</v>
      </c>
      <c r="X732" s="40" t="s">
        <v>1024</v>
      </c>
      <c r="Y732" s="40" t="s">
        <v>1319</v>
      </c>
      <c r="Z732" s="39">
        <f>データ!I732</f>
        <v>7672</v>
      </c>
      <c r="AA732" s="40" t="s">
        <v>1024</v>
      </c>
      <c r="AB732" s="40" t="s">
        <v>1319</v>
      </c>
      <c r="AC732" s="39" t="str">
        <f>データ!J732</f>
        <v>SS</v>
      </c>
      <c r="AD732" s="38" t="s">
        <v>1024</v>
      </c>
      <c r="AE732" s="40" t="s">
        <v>1319</v>
      </c>
      <c r="AF732" s="39">
        <f>データ!K732</f>
        <v>39045</v>
      </c>
      <c r="AG732" s="40" t="s">
        <v>1024</v>
      </c>
      <c r="AH732" s="40" t="s">
        <v>1324</v>
      </c>
      <c r="AI732" s="39" t="str">
        <f>データ!L732</f>
        <v>幻射の六連撃／真</v>
      </c>
      <c r="AJ732" s="10" t="s">
        <v>1113</v>
      </c>
      <c r="AK732" s="39" t="str">
        <f>データ!M732</f>
        <v>ランダムで6連続攻撃[中]</v>
      </c>
      <c r="AL732" s="10" t="s">
        <v>1024</v>
      </c>
      <c r="AM732" s="40" t="s">
        <v>1324</v>
      </c>
      <c r="AN732" s="39" t="str">
        <f>データ!N732</f>
        <v>-</v>
      </c>
      <c r="AO732" s="10" t="s">
        <v>1113</v>
      </c>
      <c r="AP732" s="39" t="str">
        <f>データ!O732</f>
        <v>　</v>
      </c>
      <c r="AQ732" s="41" t="s">
        <v>1024</v>
      </c>
      <c r="AR732" s="40" t="s">
        <v>1324</v>
      </c>
      <c r="AS732" s="39" t="str">
        <f>データ!P732</f>
        <v>エースオーダー／絶</v>
      </c>
      <c r="AT732" s="10" t="s">
        <v>1113</v>
      </c>
      <c r="AU732" s="39" t="str">
        <f>データ!Q732</f>
        <v>騎士団全体の攻・防が大UP(3分間)</v>
      </c>
      <c r="AV732" s="10" t="s">
        <v>1024</v>
      </c>
      <c r="AW732" s="40" t="s">
        <v>1324</v>
      </c>
      <c r="AX732" s="39" t="str">
        <f>データ!R732</f>
        <v>ランページ／絶</v>
      </c>
      <c r="AY732" s="10" t="s">
        <v>1113</v>
      </c>
      <c r="AZ732" s="39" t="str">
        <f>データ!S732</f>
        <v>バトルで獲得する騎士団戦スコアが大アップ(3分間)</v>
      </c>
      <c r="BA732" s="41" t="s">
        <v>1024</v>
      </c>
      <c r="BB732" s="40" t="s">
        <v>1319</v>
      </c>
      <c r="BC732" s="39" t="str">
        <f>データ!T732</f>
        <v>-</v>
      </c>
      <c r="BD732" s="41" t="s">
        <v>1024</v>
      </c>
      <c r="BE732" s="40" t="s">
        <v>1319</v>
      </c>
      <c r="BF732" s="39" t="str">
        <f>データ!U732</f>
        <v>-</v>
      </c>
      <c r="BG732" s="41" t="s">
        <v>1024</v>
      </c>
      <c r="BH732" s="40" t="s">
        <v>1319</v>
      </c>
      <c r="BI732" s="39" t="str">
        <f>データ!V732</f>
        <v>2020年バレンタインイベ</v>
      </c>
      <c r="BJ732" s="41" t="s">
        <v>1024</v>
      </c>
      <c r="BK732" s="10" t="s">
        <v>1019</v>
      </c>
    </row>
    <row r="733" spans="1:63" x14ac:dyDescent="0.15">
      <c r="A733" s="10" t="s">
        <v>1016</v>
      </c>
      <c r="B733" s="10" t="s">
        <v>1454</v>
      </c>
      <c r="C733" s="38" t="str">
        <f>"./images/thumbnail/"&amp;データ!B733&amp;".jpg"</f>
        <v>./images/thumbnail/2192.jpg</v>
      </c>
      <c r="D733" s="38" t="s">
        <v>1455</v>
      </c>
      <c r="E733" s="38" t="str">
        <f>"./images/thumbnail/"&amp;データ!B733&amp;".jpg"</f>
        <v>./images/thumbnail/2192.jpg</v>
      </c>
      <c r="F733" s="38" t="s">
        <v>1116</v>
      </c>
      <c r="G733" s="38" t="s">
        <v>1319</v>
      </c>
      <c r="H733" s="38" t="str">
        <f>データ!C733</f>
        <v>ロベリア</v>
      </c>
      <c r="I733" s="38" t="s">
        <v>1024</v>
      </c>
      <c r="J733" s="38" t="s">
        <v>1319</v>
      </c>
      <c r="K733" s="38" t="str">
        <f>データ!D733</f>
        <v>UR</v>
      </c>
      <c r="L733" s="38" t="s">
        <v>1024</v>
      </c>
      <c r="M733" s="38" t="s">
        <v>1319</v>
      </c>
      <c r="N733" s="38">
        <f>データ!E733</f>
        <v>16</v>
      </c>
      <c r="O733" s="38" t="s">
        <v>1024</v>
      </c>
      <c r="P733" s="38" t="s">
        <v>1319</v>
      </c>
      <c r="Q733" s="38" t="str">
        <f>データ!F733</f>
        <v>遠</v>
      </c>
      <c r="R733" s="38" t="s">
        <v>1024</v>
      </c>
      <c r="S733" s="38" t="s">
        <v>1319</v>
      </c>
      <c r="T733" s="39">
        <f>データ!G733</f>
        <v>26458</v>
      </c>
      <c r="U733" s="40" t="s">
        <v>1024</v>
      </c>
      <c r="V733" s="40" t="s">
        <v>1319</v>
      </c>
      <c r="W733" s="39">
        <f>データ!H733</f>
        <v>8847</v>
      </c>
      <c r="X733" s="40" t="s">
        <v>1024</v>
      </c>
      <c r="Y733" s="40" t="s">
        <v>1319</v>
      </c>
      <c r="Z733" s="39">
        <f>データ!I733</f>
        <v>8216</v>
      </c>
      <c r="AA733" s="40" t="s">
        <v>1024</v>
      </c>
      <c r="AB733" s="40" t="s">
        <v>1319</v>
      </c>
      <c r="AC733" s="39" t="str">
        <f>データ!J733</f>
        <v>SS1</v>
      </c>
      <c r="AD733" s="38" t="s">
        <v>1024</v>
      </c>
      <c r="AE733" s="40" t="s">
        <v>1319</v>
      </c>
      <c r="AF733" s="39">
        <f>データ!K733</f>
        <v>43521</v>
      </c>
      <c r="AG733" s="40" t="s">
        <v>1024</v>
      </c>
      <c r="AH733" s="40" t="s">
        <v>1324</v>
      </c>
      <c r="AI733" s="39" t="str">
        <f>データ!L733</f>
        <v>遠鋭の六連撃／絶</v>
      </c>
      <c r="AJ733" s="10" t="s">
        <v>1113</v>
      </c>
      <c r="AK733" s="39" t="str">
        <f>データ!M733</f>
        <v>ﾗﾝﾀﾞﾑ6連続攻撃[大][低確率]でﾀﾞﾒｰｼﾞ2倍</v>
      </c>
      <c r="AL733" s="10" t="s">
        <v>1024</v>
      </c>
      <c r="AM733" s="40" t="s">
        <v>1324</v>
      </c>
      <c r="AN733" s="39" t="str">
        <f>データ!N733</f>
        <v>-</v>
      </c>
      <c r="AO733" s="10" t="s">
        <v>1113</v>
      </c>
      <c r="AP733" s="39" t="str">
        <f>データ!O733</f>
        <v>　</v>
      </c>
      <c r="AQ733" s="41" t="s">
        <v>1024</v>
      </c>
      <c r="AR733" s="40" t="s">
        <v>1324</v>
      </c>
      <c r="AS733" s="39" t="str">
        <f>データ!P733</f>
        <v>ランページ／鳳</v>
      </c>
      <c r="AT733" s="10" t="s">
        <v>1113</v>
      </c>
      <c r="AU733" s="39" t="str">
        <f>データ!Q733</f>
        <v>バトルで獲得する騎士団戦スコアが極大アップ＆ユニット1体をタレント状態にする(3分間)</v>
      </c>
      <c r="AV733" s="10" t="s">
        <v>1024</v>
      </c>
      <c r="AW733" s="40" t="s">
        <v>1324</v>
      </c>
      <c r="AX733" s="39" t="str">
        <f>データ!R733</f>
        <v>エース／煌</v>
      </c>
      <c r="AY733" s="10" t="s">
        <v>1113</v>
      </c>
      <c r="AZ733" s="39" t="str">
        <f>データ!S733</f>
        <v>パーティ全体の攻・防が特大UP(3分間)</v>
      </c>
      <c r="BA733" s="41" t="s">
        <v>1024</v>
      </c>
      <c r="BB733" s="40" t="s">
        <v>1319</v>
      </c>
      <c r="BC733" s="39" t="str">
        <f>データ!T733</f>
        <v>窮地の癒し</v>
      </c>
      <c r="BD733" s="41" t="s">
        <v>1024</v>
      </c>
      <c r="BE733" s="40" t="s">
        <v>1319</v>
      </c>
      <c r="BF733" s="39" t="str">
        <f>データ!U733</f>
        <v>-</v>
      </c>
      <c r="BG733" s="41" t="s">
        <v>1024</v>
      </c>
      <c r="BH733" s="40" t="s">
        <v>1319</v>
      </c>
      <c r="BI733" s="39" t="str">
        <f>データ!V733</f>
        <v>2020年バレンタインイベ</v>
      </c>
      <c r="BJ733" s="41" t="s">
        <v>1024</v>
      </c>
      <c r="BK733" s="10" t="s">
        <v>1019</v>
      </c>
    </row>
    <row r="734" spans="1:63" x14ac:dyDescent="0.15">
      <c r="A734" s="10" t="s">
        <v>1016</v>
      </c>
      <c r="B734" s="10" t="s">
        <v>1454</v>
      </c>
      <c r="C734" s="38" t="str">
        <f>"./images/thumbnail/"&amp;データ!B734&amp;".jpg"</f>
        <v>./images/thumbnail/2194.jpg</v>
      </c>
      <c r="D734" s="38" t="s">
        <v>1455</v>
      </c>
      <c r="E734" s="38" t="str">
        <f>"./images/thumbnail/"&amp;データ!B734&amp;".jpg"</f>
        <v>./images/thumbnail/2194.jpg</v>
      </c>
      <c r="F734" s="38" t="s">
        <v>1116</v>
      </c>
      <c r="G734" s="38" t="s">
        <v>1319</v>
      </c>
      <c r="H734" s="38" t="str">
        <f>データ!C734</f>
        <v>アウグスト</v>
      </c>
      <c r="I734" s="38" t="s">
        <v>1024</v>
      </c>
      <c r="J734" s="38" t="s">
        <v>1319</v>
      </c>
      <c r="K734" s="38" t="str">
        <f>データ!D734</f>
        <v>UR</v>
      </c>
      <c r="L734" s="38" t="s">
        <v>1024</v>
      </c>
      <c r="M734" s="38" t="s">
        <v>1319</v>
      </c>
      <c r="N734" s="38">
        <f>データ!E734</f>
        <v>16</v>
      </c>
      <c r="O734" s="38" t="s">
        <v>1024</v>
      </c>
      <c r="P734" s="38" t="s">
        <v>1319</v>
      </c>
      <c r="Q734" s="38" t="str">
        <f>データ!F734</f>
        <v>突</v>
      </c>
      <c r="R734" s="38" t="s">
        <v>1024</v>
      </c>
      <c r="S734" s="38" t="s">
        <v>1319</v>
      </c>
      <c r="T734" s="39">
        <f>データ!G734</f>
        <v>25141</v>
      </c>
      <c r="U734" s="40" t="s">
        <v>1024</v>
      </c>
      <c r="V734" s="40" t="s">
        <v>1319</v>
      </c>
      <c r="W734" s="39">
        <f>データ!H734</f>
        <v>7569</v>
      </c>
      <c r="X734" s="40" t="s">
        <v>1024</v>
      </c>
      <c r="Y734" s="40" t="s">
        <v>1319</v>
      </c>
      <c r="Z734" s="39">
        <f>データ!I734</f>
        <v>9975</v>
      </c>
      <c r="AA734" s="40" t="s">
        <v>1024</v>
      </c>
      <c r="AB734" s="40" t="s">
        <v>1319</v>
      </c>
      <c r="AC734" s="39" t="str">
        <f>データ!J734</f>
        <v>SS4</v>
      </c>
      <c r="AD734" s="38" t="s">
        <v>1024</v>
      </c>
      <c r="AE734" s="40" t="s">
        <v>1319</v>
      </c>
      <c r="AF734" s="39">
        <f>データ!K734</f>
        <v>42685</v>
      </c>
      <c r="AG734" s="40" t="s">
        <v>1024</v>
      </c>
      <c r="AH734" s="40" t="s">
        <v>1324</v>
      </c>
      <c r="AI734" s="39" t="str">
        <f>データ!L734</f>
        <v>対紫の薙風／鳳</v>
      </c>
      <c r="AJ734" s="10" t="s">
        <v>1113</v>
      </c>
      <c r="AK734" s="39" t="str">
        <f>データ!M734</f>
        <v>打に強く遠に弱い横一列攻撃[極大]</v>
      </c>
      <c r="AL734" s="10" t="s">
        <v>1024</v>
      </c>
      <c r="AM734" s="40" t="s">
        <v>1324</v>
      </c>
      <c r="AN734" s="39" t="str">
        <f>データ!N734</f>
        <v>-</v>
      </c>
      <c r="AO734" s="10" t="s">
        <v>1113</v>
      </c>
      <c r="AP734" s="39" t="str">
        <f>データ!O734</f>
        <v>　</v>
      </c>
      <c r="AQ734" s="41" t="s">
        <v>1024</v>
      </c>
      <c r="AR734" s="40" t="s">
        <v>1324</v>
      </c>
      <c r="AS734" s="39" t="str">
        <f>データ!P734</f>
        <v>ポイントライズ／鳳</v>
      </c>
      <c r="AT734" s="10" t="s">
        <v>1113</v>
      </c>
      <c r="AU734" s="39" t="str">
        <f>データ!Q734</f>
        <v>獲得する騎士団戦スコアが極大アップ(バトル5回)</v>
      </c>
      <c r="AV734" s="10" t="s">
        <v>1024</v>
      </c>
      <c r="AW734" s="40" t="s">
        <v>1324</v>
      </c>
      <c r="AX734" s="39" t="str">
        <f>データ!R734</f>
        <v>アサルト／煌</v>
      </c>
      <c r="AY734" s="10" t="s">
        <v>1113</v>
      </c>
      <c r="AZ734" s="39" t="str">
        <f>データ!S734</f>
        <v>パーティ全体の攻撃力が特大UP(3分間)</v>
      </c>
      <c r="BA734" s="41" t="s">
        <v>1024</v>
      </c>
      <c r="BB734" s="40" t="s">
        <v>1319</v>
      </c>
      <c r="BC734" s="39" t="str">
        <f>データ!T734</f>
        <v>練気</v>
      </c>
      <c r="BD734" s="41" t="s">
        <v>1024</v>
      </c>
      <c r="BE734" s="40" t="s">
        <v>1319</v>
      </c>
      <c r="BF734" s="39" t="str">
        <f>データ!U734</f>
        <v>-</v>
      </c>
      <c r="BG734" s="41" t="s">
        <v>1024</v>
      </c>
      <c r="BH734" s="40" t="s">
        <v>1319</v>
      </c>
      <c r="BI734" s="39" t="str">
        <f>データ!V734</f>
        <v>常設</v>
      </c>
      <c r="BJ734" s="41" t="s">
        <v>1024</v>
      </c>
      <c r="BK734" s="10" t="s">
        <v>1019</v>
      </c>
    </row>
    <row r="735" spans="1:63" x14ac:dyDescent="0.15">
      <c r="A735" s="10" t="s">
        <v>1016</v>
      </c>
      <c r="B735" s="10" t="s">
        <v>1454</v>
      </c>
      <c r="C735" s="38" t="str">
        <f>"./images/thumbnail/"&amp;データ!B735&amp;".jpg"</f>
        <v>./images/thumbnail/2196.jpg</v>
      </c>
      <c r="D735" s="38" t="s">
        <v>1455</v>
      </c>
      <c r="E735" s="38" t="str">
        <f>"./images/thumbnail/"&amp;データ!B735&amp;".jpg"</f>
        <v>./images/thumbnail/2196.jpg</v>
      </c>
      <c r="F735" s="38" t="s">
        <v>1116</v>
      </c>
      <c r="G735" s="38" t="s">
        <v>1319</v>
      </c>
      <c r="H735" s="38" t="str">
        <f>データ!C735</f>
        <v>アンリエット</v>
      </c>
      <c r="I735" s="38" t="s">
        <v>1024</v>
      </c>
      <c r="J735" s="38" t="s">
        <v>1319</v>
      </c>
      <c r="K735" s="38" t="str">
        <f>データ!D735</f>
        <v>UR</v>
      </c>
      <c r="L735" s="38" t="s">
        <v>1024</v>
      </c>
      <c r="M735" s="38" t="s">
        <v>1319</v>
      </c>
      <c r="N735" s="38">
        <f>データ!E735</f>
        <v>16</v>
      </c>
      <c r="O735" s="38" t="s">
        <v>1024</v>
      </c>
      <c r="P735" s="38" t="s">
        <v>1319</v>
      </c>
      <c r="Q735" s="38" t="str">
        <f>データ!F735</f>
        <v>打</v>
      </c>
      <c r="R735" s="38" t="s">
        <v>1024</v>
      </c>
      <c r="S735" s="38" t="s">
        <v>1319</v>
      </c>
      <c r="T735" s="39">
        <f>データ!G735</f>
        <v>29267</v>
      </c>
      <c r="U735" s="40" t="s">
        <v>1024</v>
      </c>
      <c r="V735" s="40" t="s">
        <v>1319</v>
      </c>
      <c r="W735" s="39">
        <f>データ!H735</f>
        <v>8527</v>
      </c>
      <c r="X735" s="40" t="s">
        <v>1024</v>
      </c>
      <c r="Y735" s="40" t="s">
        <v>1319</v>
      </c>
      <c r="Z735" s="39">
        <f>データ!I735</f>
        <v>11348</v>
      </c>
      <c r="AA735" s="40" t="s">
        <v>1024</v>
      </c>
      <c r="AB735" s="40" t="s">
        <v>1319</v>
      </c>
      <c r="AC735" s="39" t="str">
        <f>データ!J735</f>
        <v>SS-</v>
      </c>
      <c r="AD735" s="38" t="s">
        <v>1024</v>
      </c>
      <c r="AE735" s="40" t="s">
        <v>1319</v>
      </c>
      <c r="AF735" s="39">
        <f>データ!K735</f>
        <v>49142</v>
      </c>
      <c r="AG735" s="40" t="s">
        <v>1024</v>
      </c>
      <c r="AH735" s="40" t="s">
        <v>1324</v>
      </c>
      <c r="AI735" s="39" t="str">
        <f>データ!L735</f>
        <v>対蒼の突風／鳳</v>
      </c>
      <c r="AJ735" s="10" t="s">
        <v>1113</v>
      </c>
      <c r="AK735" s="39" t="str">
        <f>データ!M735</f>
        <v>突に強く斬に弱い縦一列攻撃[極大]</v>
      </c>
      <c r="AL735" s="10" t="s">
        <v>1024</v>
      </c>
      <c r="AM735" s="40" t="s">
        <v>1324</v>
      </c>
      <c r="AN735" s="39" t="str">
        <f>データ!N735</f>
        <v>-</v>
      </c>
      <c r="AO735" s="10" t="s">
        <v>1113</v>
      </c>
      <c r="AP735" s="39" t="str">
        <f>データ!O735</f>
        <v>　</v>
      </c>
      <c r="AQ735" s="41" t="s">
        <v>1024</v>
      </c>
      <c r="AR735" s="40" t="s">
        <v>1324</v>
      </c>
      <c r="AS735" s="39" t="str">
        <f>データ!P735</f>
        <v>フォートレス／鳳</v>
      </c>
      <c r="AT735" s="10" t="s">
        <v>1113</v>
      </c>
      <c r="AU735" s="39" t="str">
        <f>データ!Q735</f>
        <v>パーティ全体の防御力が極大UP＆ユニット1体をタレント状態にする(3分間)</v>
      </c>
      <c r="AV735" s="10" t="s">
        <v>1024</v>
      </c>
      <c r="AW735" s="40" t="s">
        <v>1324</v>
      </c>
      <c r="AX735" s="39" t="str">
        <f>データ!R735</f>
        <v>オラクル／煌</v>
      </c>
      <c r="AY735" s="10" t="s">
        <v>1113</v>
      </c>
      <c r="AZ735" s="39" t="str">
        <f>データ!S735</f>
        <v>パーティ全体のスキル発動率が特大UP(3分間)</v>
      </c>
      <c r="BA735" s="41" t="s">
        <v>1024</v>
      </c>
      <c r="BB735" s="40" t="s">
        <v>1319</v>
      </c>
      <c r="BC735" s="39" t="str">
        <f>データ!T735</f>
        <v>闘気</v>
      </c>
      <c r="BD735" s="41" t="s">
        <v>1024</v>
      </c>
      <c r="BE735" s="40" t="s">
        <v>1319</v>
      </c>
      <c r="BF735" s="39" t="str">
        <f>データ!U735</f>
        <v>-</v>
      </c>
      <c r="BG735" s="41" t="s">
        <v>1024</v>
      </c>
      <c r="BH735" s="40" t="s">
        <v>1319</v>
      </c>
      <c r="BI735" s="39" t="str">
        <f>データ!V735</f>
        <v>常設</v>
      </c>
      <c r="BJ735" s="41" t="s">
        <v>1024</v>
      </c>
      <c r="BK735" s="10" t="s">
        <v>1019</v>
      </c>
    </row>
    <row r="736" spans="1:63" x14ac:dyDescent="0.15">
      <c r="A736" s="10" t="s">
        <v>1016</v>
      </c>
      <c r="B736" s="10" t="s">
        <v>1454</v>
      </c>
      <c r="C736" s="38" t="str">
        <f>"./images/thumbnail/"&amp;データ!B736&amp;".jpg"</f>
        <v>./images/thumbnail/2198.jpg</v>
      </c>
      <c r="D736" s="38" t="s">
        <v>1455</v>
      </c>
      <c r="E736" s="38" t="str">
        <f>"./images/thumbnail/"&amp;データ!B736&amp;".jpg"</f>
        <v>./images/thumbnail/2198.jpg</v>
      </c>
      <c r="F736" s="38" t="s">
        <v>1116</v>
      </c>
      <c r="G736" s="38" t="s">
        <v>1319</v>
      </c>
      <c r="H736" s="38" t="str">
        <f>データ!C736</f>
        <v>ノリス</v>
      </c>
      <c r="I736" s="38" t="s">
        <v>1024</v>
      </c>
      <c r="J736" s="38" t="s">
        <v>1319</v>
      </c>
      <c r="K736" s="38" t="str">
        <f>データ!D736</f>
        <v>SSR</v>
      </c>
      <c r="L736" s="38" t="s">
        <v>1024</v>
      </c>
      <c r="M736" s="38" t="s">
        <v>1319</v>
      </c>
      <c r="N736" s="38">
        <f>データ!E736</f>
        <v>14</v>
      </c>
      <c r="O736" s="38" t="s">
        <v>1024</v>
      </c>
      <c r="P736" s="38" t="s">
        <v>1319</v>
      </c>
      <c r="Q736" s="38" t="str">
        <f>データ!F736</f>
        <v>斬</v>
      </c>
      <c r="R736" s="38" t="s">
        <v>1024</v>
      </c>
      <c r="S736" s="38" t="s">
        <v>1319</v>
      </c>
      <c r="T736" s="39">
        <f>データ!G736</f>
        <v>17985</v>
      </c>
      <c r="U736" s="40" t="s">
        <v>1024</v>
      </c>
      <c r="V736" s="40" t="s">
        <v>1319</v>
      </c>
      <c r="W736" s="39">
        <f>データ!H736</f>
        <v>8157</v>
      </c>
      <c r="X736" s="40" t="s">
        <v>1024</v>
      </c>
      <c r="Y736" s="40" t="s">
        <v>1319</v>
      </c>
      <c r="Z736" s="39">
        <f>データ!I736</f>
        <v>6545</v>
      </c>
      <c r="AA736" s="40" t="s">
        <v>1024</v>
      </c>
      <c r="AB736" s="40" t="s">
        <v>1319</v>
      </c>
      <c r="AC736" s="39" t="str">
        <f>データ!J736</f>
        <v>S</v>
      </c>
      <c r="AD736" s="38" t="s">
        <v>1024</v>
      </c>
      <c r="AE736" s="40" t="s">
        <v>1319</v>
      </c>
      <c r="AF736" s="39">
        <f>データ!K736</f>
        <v>32687</v>
      </c>
      <c r="AG736" s="40" t="s">
        <v>1024</v>
      </c>
      <c r="AH736" s="40" t="s">
        <v>1324</v>
      </c>
      <c r="AI736" s="39" t="str">
        <f>データ!L736</f>
        <v>斬紅の神威</v>
      </c>
      <c r="AJ736" s="10" t="s">
        <v>1113</v>
      </c>
      <c r="AK736" s="39" t="str">
        <f>データ!M736</f>
        <v>味方斬属性の攻撃力をUP[特大]</v>
      </c>
      <c r="AL736" s="10" t="s">
        <v>1024</v>
      </c>
      <c r="AM736" s="40" t="s">
        <v>1324</v>
      </c>
      <c r="AN736" s="39" t="str">
        <f>データ!N736</f>
        <v>-</v>
      </c>
      <c r="AO736" s="10" t="s">
        <v>1113</v>
      </c>
      <c r="AP736" s="39" t="str">
        <f>データ!O736</f>
        <v>　</v>
      </c>
      <c r="AQ736" s="41" t="s">
        <v>1024</v>
      </c>
      <c r="AR736" s="40" t="s">
        <v>1324</v>
      </c>
      <c r="AS736" s="39" t="str">
        <f>データ!P736</f>
        <v>グラビティアサルト／煌</v>
      </c>
      <c r="AT736" s="10" t="s">
        <v>1113</v>
      </c>
      <c r="AU736" s="39" t="str">
        <f>データ!Q736</f>
        <v>パーティ全体の攻撃力特大UP・速度大DOWN(3分間)</v>
      </c>
      <c r="AV736" s="10" t="s">
        <v>1024</v>
      </c>
      <c r="AW736" s="40" t="s">
        <v>1324</v>
      </c>
      <c r="AX736" s="39" t="str">
        <f>データ!R736</f>
        <v>-</v>
      </c>
      <c r="AY736" s="10" t="s">
        <v>1113</v>
      </c>
      <c r="AZ736" s="39" t="str">
        <f>データ!S736</f>
        <v>　</v>
      </c>
      <c r="BA736" s="41" t="s">
        <v>1024</v>
      </c>
      <c r="BB736" s="40" t="s">
        <v>1319</v>
      </c>
      <c r="BC736" s="39" t="str">
        <f>データ!T736</f>
        <v>-</v>
      </c>
      <c r="BD736" s="41" t="s">
        <v>1024</v>
      </c>
      <c r="BE736" s="40" t="s">
        <v>1319</v>
      </c>
      <c r="BF736" s="39" t="str">
        <f>データ!U736</f>
        <v>斬属性攻撃力中アップ</v>
      </c>
      <c r="BG736" s="41" t="s">
        <v>1024</v>
      </c>
      <c r="BH736" s="40" t="s">
        <v>1319</v>
      </c>
      <c r="BI736" s="39" t="str">
        <f>データ!V736</f>
        <v>2020年ホワイトデーイベ</v>
      </c>
      <c r="BJ736" s="41" t="s">
        <v>1024</v>
      </c>
      <c r="BK736" s="10" t="s">
        <v>1019</v>
      </c>
    </row>
    <row r="737" spans="1:63" x14ac:dyDescent="0.15">
      <c r="A737" s="10" t="s">
        <v>1016</v>
      </c>
      <c r="B737" s="10" t="s">
        <v>1454</v>
      </c>
      <c r="C737" s="38" t="str">
        <f>"./images/thumbnail/"&amp;データ!B737&amp;".jpg"</f>
        <v>./images/thumbnail/2200.jpg</v>
      </c>
      <c r="D737" s="38" t="s">
        <v>1455</v>
      </c>
      <c r="E737" s="38" t="str">
        <f>"./images/thumbnail/"&amp;データ!B737&amp;".jpg"</f>
        <v>./images/thumbnail/2200.jpg</v>
      </c>
      <c r="F737" s="38" t="s">
        <v>1116</v>
      </c>
      <c r="G737" s="38" t="s">
        <v>1319</v>
      </c>
      <c r="H737" s="38" t="str">
        <f>データ!C737</f>
        <v>ジゼル</v>
      </c>
      <c r="I737" s="38" t="s">
        <v>1024</v>
      </c>
      <c r="J737" s="38" t="s">
        <v>1319</v>
      </c>
      <c r="K737" s="38" t="str">
        <f>データ!D737</f>
        <v>UR</v>
      </c>
      <c r="L737" s="38" t="s">
        <v>1024</v>
      </c>
      <c r="M737" s="38" t="s">
        <v>1319</v>
      </c>
      <c r="N737" s="38">
        <f>データ!E737</f>
        <v>15</v>
      </c>
      <c r="O737" s="38" t="s">
        <v>1024</v>
      </c>
      <c r="P737" s="38" t="s">
        <v>1319</v>
      </c>
      <c r="Q737" s="38" t="str">
        <f>データ!F737</f>
        <v>突</v>
      </c>
      <c r="R737" s="38" t="s">
        <v>1024</v>
      </c>
      <c r="S737" s="38" t="s">
        <v>1319</v>
      </c>
      <c r="T737" s="39">
        <f>データ!G737</f>
        <v>22611</v>
      </c>
      <c r="U737" s="40" t="s">
        <v>1024</v>
      </c>
      <c r="V737" s="40" t="s">
        <v>1319</v>
      </c>
      <c r="W737" s="39">
        <f>データ!H737</f>
        <v>6606</v>
      </c>
      <c r="X737" s="40" t="s">
        <v>1024</v>
      </c>
      <c r="Y737" s="40" t="s">
        <v>1319</v>
      </c>
      <c r="Z737" s="39">
        <f>データ!I737</f>
        <v>8307</v>
      </c>
      <c r="AA737" s="40" t="s">
        <v>1024</v>
      </c>
      <c r="AB737" s="40" t="s">
        <v>1319</v>
      </c>
      <c r="AC737" s="39" t="str">
        <f>データ!J737</f>
        <v>SS5</v>
      </c>
      <c r="AD737" s="38" t="s">
        <v>1024</v>
      </c>
      <c r="AE737" s="40" t="s">
        <v>1319</v>
      </c>
      <c r="AF737" s="39">
        <f>データ!K737</f>
        <v>37524</v>
      </c>
      <c r="AG737" s="40" t="s">
        <v>1024</v>
      </c>
      <c r="AH737" s="40" t="s">
        <v>1324</v>
      </c>
      <c r="AI737" s="39" t="str">
        <f>データ!L737</f>
        <v>幻槍の包囲陣／鳳</v>
      </c>
      <c r="AJ737" s="10" t="s">
        <v>1113</v>
      </c>
      <c r="AK737" s="39" t="str">
        <f>データ!M737</f>
        <v>敵全体に攻撃[極大]</v>
      </c>
      <c r="AL737" s="10" t="s">
        <v>1024</v>
      </c>
      <c r="AM737" s="40" t="s">
        <v>1324</v>
      </c>
      <c r="AN737" s="39" t="str">
        <f>データ!N737</f>
        <v>-</v>
      </c>
      <c r="AO737" s="10" t="s">
        <v>1113</v>
      </c>
      <c r="AP737" s="39" t="str">
        <f>データ!O737</f>
        <v>　</v>
      </c>
      <c r="AQ737" s="41" t="s">
        <v>1024</v>
      </c>
      <c r="AR737" s="40" t="s">
        <v>1324</v>
      </c>
      <c r="AS737" s="39" t="str">
        <f>データ!P737</f>
        <v>アサルトオーダー／絶</v>
      </c>
      <c r="AT737" s="10" t="s">
        <v>1113</v>
      </c>
      <c r="AU737" s="39" t="str">
        <f>データ!Q737</f>
        <v>騎士団全体の攻撃力が大UP(3分間)</v>
      </c>
      <c r="AV737" s="10" t="s">
        <v>1024</v>
      </c>
      <c r="AW737" s="40" t="s">
        <v>1324</v>
      </c>
      <c r="AX737" s="39" t="str">
        <f>データ!R737</f>
        <v>オラトリオ／絶</v>
      </c>
      <c r="AY737" s="10" t="s">
        <v>1113</v>
      </c>
      <c r="AZ737" s="39" t="str">
        <f>データ!S737</f>
        <v>騎士団全体のスキル発動率が中UP(3分間)</v>
      </c>
      <c r="BA737" s="41" t="s">
        <v>1024</v>
      </c>
      <c r="BB737" s="40" t="s">
        <v>1319</v>
      </c>
      <c r="BC737" s="39" t="str">
        <f>データ!T737</f>
        <v>-</v>
      </c>
      <c r="BD737" s="41" t="s">
        <v>1024</v>
      </c>
      <c r="BE737" s="40" t="s">
        <v>1319</v>
      </c>
      <c r="BF737" s="39" t="str">
        <f>データ!U737</f>
        <v>-</v>
      </c>
      <c r="BG737" s="41" t="s">
        <v>1024</v>
      </c>
      <c r="BH737" s="40" t="s">
        <v>1319</v>
      </c>
      <c r="BI737" s="39" t="str">
        <f>データ!V737</f>
        <v>2020年ホワイトデーイベ</v>
      </c>
      <c r="BJ737" s="41" t="s">
        <v>1024</v>
      </c>
      <c r="BK737" s="10" t="s">
        <v>1019</v>
      </c>
    </row>
    <row r="738" spans="1:63" x14ac:dyDescent="0.15">
      <c r="A738" s="10" t="s">
        <v>1016</v>
      </c>
      <c r="B738" s="10" t="s">
        <v>1454</v>
      </c>
      <c r="C738" s="38" t="str">
        <f>"./images/thumbnail/"&amp;データ!B738&amp;".jpg"</f>
        <v>./images/thumbnail/2202.jpg</v>
      </c>
      <c r="D738" s="38" t="s">
        <v>1455</v>
      </c>
      <c r="E738" s="38" t="str">
        <f>"./images/thumbnail/"&amp;データ!B738&amp;".jpg"</f>
        <v>./images/thumbnail/2202.jpg</v>
      </c>
      <c r="F738" s="38" t="s">
        <v>1116</v>
      </c>
      <c r="G738" s="38" t="s">
        <v>1319</v>
      </c>
      <c r="H738" s="38" t="str">
        <f>データ!C738</f>
        <v>カノン</v>
      </c>
      <c r="I738" s="38" t="s">
        <v>1024</v>
      </c>
      <c r="J738" s="38" t="s">
        <v>1319</v>
      </c>
      <c r="K738" s="38" t="str">
        <f>データ!D738</f>
        <v>UR</v>
      </c>
      <c r="L738" s="38" t="s">
        <v>1024</v>
      </c>
      <c r="M738" s="38" t="s">
        <v>1319</v>
      </c>
      <c r="N738" s="38">
        <f>データ!E738</f>
        <v>16</v>
      </c>
      <c r="O738" s="38" t="s">
        <v>1024</v>
      </c>
      <c r="P738" s="38" t="s">
        <v>1319</v>
      </c>
      <c r="Q738" s="38" t="str">
        <f>データ!F738</f>
        <v>打</v>
      </c>
      <c r="R738" s="38" t="s">
        <v>1024</v>
      </c>
      <c r="S738" s="38" t="s">
        <v>1319</v>
      </c>
      <c r="T738" s="39">
        <f>データ!G738</f>
        <v>30290</v>
      </c>
      <c r="U738" s="40" t="s">
        <v>1024</v>
      </c>
      <c r="V738" s="40" t="s">
        <v>1319</v>
      </c>
      <c r="W738" s="39">
        <f>データ!H738</f>
        <v>8814</v>
      </c>
      <c r="X738" s="40" t="s">
        <v>1024</v>
      </c>
      <c r="Y738" s="40" t="s">
        <v>1319</v>
      </c>
      <c r="Z738" s="39">
        <f>データ!I738</f>
        <v>12491</v>
      </c>
      <c r="AA738" s="40" t="s">
        <v>1024</v>
      </c>
      <c r="AB738" s="40" t="s">
        <v>1319</v>
      </c>
      <c r="AC738" s="39" t="str">
        <f>データ!J738</f>
        <v>SS-</v>
      </c>
      <c r="AD738" s="38" t="s">
        <v>1024</v>
      </c>
      <c r="AE738" s="40" t="s">
        <v>1319</v>
      </c>
      <c r="AF738" s="39">
        <f>データ!K738</f>
        <v>51595</v>
      </c>
      <c r="AG738" s="40" t="s">
        <v>1024</v>
      </c>
      <c r="AH738" s="40" t="s">
        <v>1324</v>
      </c>
      <c r="AI738" s="39" t="str">
        <f>データ!L738</f>
        <v>幻光の交叉線／鳳</v>
      </c>
      <c r="AJ738" s="10" t="s">
        <v>1113</v>
      </c>
      <c r="AK738" s="39" t="str">
        <f>データ!M738</f>
        <v>X字型に攻撃[極大]</v>
      </c>
      <c r="AL738" s="10" t="s">
        <v>1024</v>
      </c>
      <c r="AM738" s="40" t="s">
        <v>1324</v>
      </c>
      <c r="AN738" s="39" t="str">
        <f>データ!N738</f>
        <v>-</v>
      </c>
      <c r="AO738" s="10" t="s">
        <v>1113</v>
      </c>
      <c r="AP738" s="39" t="str">
        <f>データ!O738</f>
        <v>　</v>
      </c>
      <c r="AQ738" s="41" t="s">
        <v>1024</v>
      </c>
      <c r="AR738" s="40" t="s">
        <v>1324</v>
      </c>
      <c r="AS738" s="39" t="str">
        <f>データ!P738</f>
        <v>ディバインスラスト／鳳</v>
      </c>
      <c r="AT738" s="10" t="s">
        <v>1113</v>
      </c>
      <c r="AU738" s="39" t="str">
        <f>データ!Q738</f>
        <v>パーティの攻撃力大UP・最大TP小UP&amp;ユニット1体をタレント状態にする(5分間)</v>
      </c>
      <c r="AV738" s="10" t="s">
        <v>1024</v>
      </c>
      <c r="AW738" s="40" t="s">
        <v>1324</v>
      </c>
      <c r="AX738" s="39" t="str">
        <f>データ!R738</f>
        <v>アサルト／煌</v>
      </c>
      <c r="AY738" s="10" t="s">
        <v>1113</v>
      </c>
      <c r="AZ738" s="39" t="str">
        <f>データ!S738</f>
        <v>パーティ全体の攻撃力が特大UP(3分間)</v>
      </c>
      <c r="BA738" s="41" t="s">
        <v>1024</v>
      </c>
      <c r="BB738" s="40" t="s">
        <v>1319</v>
      </c>
      <c r="BC738" s="39" t="str">
        <f>データ!T738</f>
        <v>神気</v>
      </c>
      <c r="BD738" s="41" t="s">
        <v>1024</v>
      </c>
      <c r="BE738" s="40" t="s">
        <v>1319</v>
      </c>
      <c r="BF738" s="39" t="str">
        <f>データ!U738</f>
        <v>-</v>
      </c>
      <c r="BG738" s="41" t="s">
        <v>1024</v>
      </c>
      <c r="BH738" s="40" t="s">
        <v>1319</v>
      </c>
      <c r="BI738" s="39" t="str">
        <f>データ!V738</f>
        <v>2020年ホワイトデーイベ</v>
      </c>
      <c r="BJ738" s="41" t="s">
        <v>1024</v>
      </c>
      <c r="BK738" s="10" t="s">
        <v>1019</v>
      </c>
    </row>
    <row r="739" spans="1:63" x14ac:dyDescent="0.15">
      <c r="A739" s="10" t="s">
        <v>1016</v>
      </c>
      <c r="B739" s="10" t="s">
        <v>1454</v>
      </c>
      <c r="C739" s="38" t="str">
        <f>"./images/thumbnail/"&amp;データ!B739&amp;".jpg"</f>
        <v>./images/thumbnail/2204.jpg</v>
      </c>
      <c r="D739" s="38" t="s">
        <v>1455</v>
      </c>
      <c r="E739" s="38" t="str">
        <f>"./images/thumbnail/"&amp;データ!B739&amp;".jpg"</f>
        <v>./images/thumbnail/2204.jpg</v>
      </c>
      <c r="F739" s="38" t="s">
        <v>1116</v>
      </c>
      <c r="G739" s="38" t="s">
        <v>1319</v>
      </c>
      <c r="H739" s="38" t="str">
        <f>データ!C739</f>
        <v>マーヴェル</v>
      </c>
      <c r="I739" s="38" t="s">
        <v>1024</v>
      </c>
      <c r="J739" s="38" t="s">
        <v>1319</v>
      </c>
      <c r="K739" s="38" t="str">
        <f>データ!D739</f>
        <v>UR</v>
      </c>
      <c r="L739" s="38" t="s">
        <v>1024</v>
      </c>
      <c r="M739" s="38" t="s">
        <v>1319</v>
      </c>
      <c r="N739" s="38">
        <f>データ!E739</f>
        <v>16</v>
      </c>
      <c r="O739" s="38" t="s">
        <v>1024</v>
      </c>
      <c r="P739" s="38" t="s">
        <v>1319</v>
      </c>
      <c r="Q739" s="38" t="str">
        <f>データ!F739</f>
        <v>遠</v>
      </c>
      <c r="R739" s="38" t="s">
        <v>1024</v>
      </c>
      <c r="S739" s="38" t="s">
        <v>1319</v>
      </c>
      <c r="T739" s="39">
        <f>データ!G739</f>
        <v>26104</v>
      </c>
      <c r="U739" s="40" t="s">
        <v>1024</v>
      </c>
      <c r="V739" s="40" t="s">
        <v>1319</v>
      </c>
      <c r="W739" s="39">
        <f>データ!H739</f>
        <v>8729</v>
      </c>
      <c r="X739" s="40" t="s">
        <v>1024</v>
      </c>
      <c r="Y739" s="40" t="s">
        <v>1319</v>
      </c>
      <c r="Z739" s="39">
        <f>データ!I739</f>
        <v>8737</v>
      </c>
      <c r="AA739" s="40" t="s">
        <v>1024</v>
      </c>
      <c r="AB739" s="40" t="s">
        <v>1319</v>
      </c>
      <c r="AC739" s="39" t="str">
        <f>データ!J739</f>
        <v>SS1</v>
      </c>
      <c r="AD739" s="38" t="s">
        <v>1024</v>
      </c>
      <c r="AE739" s="40" t="s">
        <v>1319</v>
      </c>
      <c r="AF739" s="39">
        <f>データ!K739</f>
        <v>43570</v>
      </c>
      <c r="AG739" s="40" t="s">
        <v>1024</v>
      </c>
      <c r="AH739" s="40" t="s">
        <v>1324</v>
      </c>
      <c r="AI739" s="39" t="str">
        <f>データ!L739</f>
        <v>幻射の六連撃／絶</v>
      </c>
      <c r="AJ739" s="10" t="s">
        <v>1113</v>
      </c>
      <c r="AK739" s="39" t="str">
        <f>データ!M739</f>
        <v>ランダムで6連続攻撃[大]</v>
      </c>
      <c r="AL739" s="10" t="s">
        <v>1024</v>
      </c>
      <c r="AM739" s="40" t="s">
        <v>1324</v>
      </c>
      <c r="AN739" s="39" t="str">
        <f>データ!N739</f>
        <v>-</v>
      </c>
      <c r="AO739" s="10" t="s">
        <v>1113</v>
      </c>
      <c r="AP739" s="39" t="str">
        <f>データ!O739</f>
        <v>　</v>
      </c>
      <c r="AQ739" s="41" t="s">
        <v>1024</v>
      </c>
      <c r="AR739" s="40" t="s">
        <v>1324</v>
      </c>
      <c r="AS739" s="39" t="str">
        <f>データ!P739</f>
        <v>オラクル／鳳</v>
      </c>
      <c r="AT739" s="10" t="s">
        <v>1113</v>
      </c>
      <c r="AU739" s="39" t="str">
        <f>データ!Q739</f>
        <v>パーティ全体のスキル発動率が特大UP＆ユニット1体をタレント状態にする(5分間)</v>
      </c>
      <c r="AV739" s="10" t="s">
        <v>1024</v>
      </c>
      <c r="AW739" s="40" t="s">
        <v>1324</v>
      </c>
      <c r="AX739" s="39" t="str">
        <f>データ!R739</f>
        <v>ランページ／煌</v>
      </c>
      <c r="AY739" s="10" t="s">
        <v>1113</v>
      </c>
      <c r="AZ739" s="39" t="str">
        <f>データ!S739</f>
        <v>バトルで獲得する騎士団戦スコアが特大アップ(3分間)</v>
      </c>
      <c r="BA739" s="41" t="s">
        <v>1024</v>
      </c>
      <c r="BB739" s="40" t="s">
        <v>1319</v>
      </c>
      <c r="BC739" s="39" t="str">
        <f>データ!T739</f>
        <v>-</v>
      </c>
      <c r="BD739" s="41" t="s">
        <v>1024</v>
      </c>
      <c r="BE739" s="40" t="s">
        <v>1319</v>
      </c>
      <c r="BF739" s="39" t="str">
        <f>データ!U739</f>
        <v>遠属性攻撃力中アップ</v>
      </c>
      <c r="BG739" s="41" t="s">
        <v>1024</v>
      </c>
      <c r="BH739" s="40" t="s">
        <v>1319</v>
      </c>
      <c r="BI739" s="39" t="str">
        <f>データ!V739</f>
        <v>2020年ホワイトデーイベ</v>
      </c>
      <c r="BJ739" s="41" t="s">
        <v>1024</v>
      </c>
      <c r="BK739" s="10" t="s">
        <v>1019</v>
      </c>
    </row>
    <row r="740" spans="1:63" x14ac:dyDescent="0.15">
      <c r="A740" s="10" t="s">
        <v>1016</v>
      </c>
      <c r="B740" s="10" t="s">
        <v>1454</v>
      </c>
      <c r="C740" s="38" t="str">
        <f>"./images/thumbnail/"&amp;データ!B740&amp;".jpg"</f>
        <v>./images/thumbnail/2205.jpg</v>
      </c>
      <c r="D740" s="38" t="s">
        <v>1455</v>
      </c>
      <c r="E740" s="38" t="str">
        <f>"./images/thumbnail/"&amp;データ!B740&amp;".jpg"</f>
        <v>./images/thumbnail/2205.jpg</v>
      </c>
      <c r="F740" s="38" t="s">
        <v>1116</v>
      </c>
      <c r="G740" s="38" t="s">
        <v>1319</v>
      </c>
      <c r="H740" s="38" t="str">
        <f>データ!C740</f>
        <v>クリストフ</v>
      </c>
      <c r="I740" s="38" t="s">
        <v>1024</v>
      </c>
      <c r="J740" s="38" t="s">
        <v>1319</v>
      </c>
      <c r="K740" s="38" t="str">
        <f>データ!D740</f>
        <v>SSR</v>
      </c>
      <c r="L740" s="38" t="s">
        <v>1024</v>
      </c>
      <c r="M740" s="38" t="s">
        <v>1319</v>
      </c>
      <c r="N740" s="38">
        <f>データ!E740</f>
        <v>14</v>
      </c>
      <c r="O740" s="38" t="s">
        <v>1024</v>
      </c>
      <c r="P740" s="38" t="s">
        <v>1319</v>
      </c>
      <c r="Q740" s="38" t="str">
        <f>データ!F740</f>
        <v>突</v>
      </c>
      <c r="R740" s="38" t="s">
        <v>1024</v>
      </c>
      <c r="S740" s="38" t="s">
        <v>1319</v>
      </c>
      <c r="T740" s="39">
        <f>データ!G740</f>
        <v>18961</v>
      </c>
      <c r="U740" s="40" t="s">
        <v>1024</v>
      </c>
      <c r="V740" s="40" t="s">
        <v>1319</v>
      </c>
      <c r="W740" s="39">
        <f>データ!H740</f>
        <v>6013</v>
      </c>
      <c r="X740" s="40" t="s">
        <v>1024</v>
      </c>
      <c r="Y740" s="40" t="s">
        <v>1319</v>
      </c>
      <c r="Z740" s="39">
        <f>データ!I740</f>
        <v>6431</v>
      </c>
      <c r="AA740" s="40" t="s">
        <v>1024</v>
      </c>
      <c r="AB740" s="40" t="s">
        <v>1319</v>
      </c>
      <c r="AC740" s="39" t="str">
        <f>データ!J740</f>
        <v>SS+</v>
      </c>
      <c r="AD740" s="38" t="s">
        <v>1024</v>
      </c>
      <c r="AE740" s="40" t="s">
        <v>1319</v>
      </c>
      <c r="AF740" s="39">
        <f>データ!K740</f>
        <v>31405</v>
      </c>
      <c r="AG740" s="40" t="s">
        <v>1024</v>
      </c>
      <c r="AH740" s="40" t="s">
        <v>1324</v>
      </c>
      <c r="AI740" s="39" t="str">
        <f>データ!L740</f>
        <v>焔幻の一閃／煌</v>
      </c>
      <c r="AJ740" s="10" t="s">
        <v>1113</v>
      </c>
      <c r="AK740" s="39" t="str">
        <f>データ!M740</f>
        <v>横一列に攻撃[特大]</v>
      </c>
      <c r="AL740" s="10" t="s">
        <v>1024</v>
      </c>
      <c r="AM740" s="40" t="s">
        <v>1324</v>
      </c>
      <c r="AN740" s="39" t="str">
        <f>データ!N740</f>
        <v>-</v>
      </c>
      <c r="AO740" s="10" t="s">
        <v>1113</v>
      </c>
      <c r="AP740" s="39" t="str">
        <f>データ!O740</f>
        <v>　</v>
      </c>
      <c r="AQ740" s="41" t="s">
        <v>1024</v>
      </c>
      <c r="AR740" s="40" t="s">
        <v>1324</v>
      </c>
      <c r="AS740" s="39" t="str">
        <f>データ!P740</f>
        <v>ストリーム／真</v>
      </c>
      <c r="AT740" s="10" t="s">
        <v>1113</v>
      </c>
      <c r="AU740" s="39" t="str">
        <f>データ!Q740</f>
        <v>パーティ全体の攻撃力・速度が中UP(3分間)</v>
      </c>
      <c r="AV740" s="10" t="s">
        <v>1024</v>
      </c>
      <c r="AW740" s="40" t="s">
        <v>1324</v>
      </c>
      <c r="AX740" s="39" t="str">
        <f>データ!R740</f>
        <v>-</v>
      </c>
      <c r="AY740" s="10" t="s">
        <v>1113</v>
      </c>
      <c r="AZ740" s="39" t="str">
        <f>データ!S740</f>
        <v>　</v>
      </c>
      <c r="BA740" s="41" t="s">
        <v>1024</v>
      </c>
      <c r="BB740" s="40" t="s">
        <v>1319</v>
      </c>
      <c r="BC740" s="39" t="str">
        <f>データ!T740</f>
        <v>-</v>
      </c>
      <c r="BD740" s="41" t="s">
        <v>1024</v>
      </c>
      <c r="BE740" s="40" t="s">
        <v>1319</v>
      </c>
      <c r="BF740" s="39" t="str">
        <f>データ!U740</f>
        <v>突属性防御力小アップ</v>
      </c>
      <c r="BG740" s="41" t="s">
        <v>1024</v>
      </c>
      <c r="BH740" s="40" t="s">
        <v>1319</v>
      </c>
      <c r="BI740" s="39" t="str">
        <f>データ!V740</f>
        <v>誓いイベ</v>
      </c>
      <c r="BJ740" s="41" t="s">
        <v>1024</v>
      </c>
      <c r="BK740" s="10" t="s">
        <v>1019</v>
      </c>
    </row>
    <row r="741" spans="1:63" x14ac:dyDescent="0.15">
      <c r="A741" s="10" t="s">
        <v>1016</v>
      </c>
      <c r="B741" s="10" t="s">
        <v>1454</v>
      </c>
      <c r="C741" s="38" t="str">
        <f>"./images/thumbnail/"&amp;データ!B741&amp;".jpg"</f>
        <v>./images/thumbnail/2206.jpg</v>
      </c>
      <c r="D741" s="38" t="s">
        <v>1455</v>
      </c>
      <c r="E741" s="38" t="str">
        <f>"./images/thumbnail/"&amp;データ!B741&amp;".jpg"</f>
        <v>./images/thumbnail/2206.jpg</v>
      </c>
      <c r="F741" s="38" t="s">
        <v>1116</v>
      </c>
      <c r="G741" s="38" t="s">
        <v>1319</v>
      </c>
      <c r="H741" s="38" t="str">
        <f>データ!C741</f>
        <v>ミルーレ</v>
      </c>
      <c r="I741" s="38" t="s">
        <v>1024</v>
      </c>
      <c r="J741" s="38" t="s">
        <v>1319</v>
      </c>
      <c r="K741" s="38" t="str">
        <f>データ!D741</f>
        <v>UR</v>
      </c>
      <c r="L741" s="38" t="s">
        <v>1024</v>
      </c>
      <c r="M741" s="38" t="s">
        <v>1319</v>
      </c>
      <c r="N741" s="38">
        <f>データ!E741</f>
        <v>16</v>
      </c>
      <c r="O741" s="38" t="s">
        <v>1024</v>
      </c>
      <c r="P741" s="38" t="s">
        <v>1319</v>
      </c>
      <c r="Q741" s="38" t="str">
        <f>データ!F741</f>
        <v>突</v>
      </c>
      <c r="R741" s="38" t="s">
        <v>1024</v>
      </c>
      <c r="S741" s="38" t="s">
        <v>1319</v>
      </c>
      <c r="T741" s="39">
        <f>データ!G741</f>
        <v>25378</v>
      </c>
      <c r="U741" s="40" t="s">
        <v>1024</v>
      </c>
      <c r="V741" s="40" t="s">
        <v>1319</v>
      </c>
      <c r="W741" s="39">
        <f>データ!H741</f>
        <v>7593</v>
      </c>
      <c r="X741" s="40" t="s">
        <v>1024</v>
      </c>
      <c r="Y741" s="40" t="s">
        <v>1319</v>
      </c>
      <c r="Z741" s="39">
        <f>データ!I741</f>
        <v>10134</v>
      </c>
      <c r="AA741" s="40" t="s">
        <v>1024</v>
      </c>
      <c r="AB741" s="40" t="s">
        <v>1319</v>
      </c>
      <c r="AC741" s="39" t="str">
        <f>データ!J741</f>
        <v>SS7</v>
      </c>
      <c r="AD741" s="38" t="s">
        <v>1024</v>
      </c>
      <c r="AE741" s="40" t="s">
        <v>1319</v>
      </c>
      <c r="AF741" s="39">
        <f>データ!K741</f>
        <v>43105</v>
      </c>
      <c r="AG741" s="40" t="s">
        <v>1024</v>
      </c>
      <c r="AH741" s="40" t="s">
        <v>1324</v>
      </c>
      <c r="AI741" s="39" t="str">
        <f>データ!L741</f>
        <v>幻神の六連撃／絶</v>
      </c>
      <c r="AJ741" s="10" t="s">
        <v>1113</v>
      </c>
      <c r="AK741" s="39" t="str">
        <f>データ!M741</f>
        <v>ランダムで6連続攻撃[大]</v>
      </c>
      <c r="AL741" s="10" t="s">
        <v>1024</v>
      </c>
      <c r="AM741" s="40" t="s">
        <v>1324</v>
      </c>
      <c r="AN741" s="39" t="str">
        <f>データ!N741</f>
        <v>-</v>
      </c>
      <c r="AO741" s="10" t="s">
        <v>1113</v>
      </c>
      <c r="AP741" s="39" t="str">
        <f>データ!O741</f>
        <v>　</v>
      </c>
      <c r="AQ741" s="41" t="s">
        <v>1024</v>
      </c>
      <c r="AR741" s="40" t="s">
        <v>1324</v>
      </c>
      <c r="AS741" s="39" t="str">
        <f>データ!P741</f>
        <v>バーサク／煌</v>
      </c>
      <c r="AT741" s="10" t="s">
        <v>1113</v>
      </c>
      <c r="AU741" s="39" t="str">
        <f>データ!Q741</f>
        <v>強襲が発生無効、バトル時に攻・防特大UP＆ユニット1体をタレント状態にする(3分間)</v>
      </c>
      <c r="AV741" s="10" t="s">
        <v>1024</v>
      </c>
      <c r="AW741" s="40" t="s">
        <v>1324</v>
      </c>
      <c r="AX741" s="39" t="str">
        <f>データ!R741</f>
        <v>エース／煌</v>
      </c>
      <c r="AY741" s="10" t="s">
        <v>1113</v>
      </c>
      <c r="AZ741" s="39" t="str">
        <f>データ!S741</f>
        <v>パーティ全体の攻・防が特大UP(3分間)</v>
      </c>
      <c r="BA741" s="41" t="s">
        <v>1024</v>
      </c>
      <c r="BB741" s="40" t="s">
        <v>1319</v>
      </c>
      <c r="BC741" s="39" t="str">
        <f>データ!T741</f>
        <v>一閃</v>
      </c>
      <c r="BD741" s="41" t="s">
        <v>1024</v>
      </c>
      <c r="BE741" s="40" t="s">
        <v>1319</v>
      </c>
      <c r="BF741" s="39" t="str">
        <f>データ!U741</f>
        <v>-</v>
      </c>
      <c r="BG741" s="41" t="s">
        <v>1024</v>
      </c>
      <c r="BH741" s="40" t="s">
        <v>1319</v>
      </c>
      <c r="BI741" s="39" t="str">
        <f>データ!V741</f>
        <v>限定ガチャ</v>
      </c>
      <c r="BJ741" s="41" t="s">
        <v>1024</v>
      </c>
      <c r="BK741" s="10" t="s">
        <v>1019</v>
      </c>
    </row>
    <row r="742" spans="1:63" x14ac:dyDescent="0.15">
      <c r="A742" s="10" t="s">
        <v>1016</v>
      </c>
      <c r="B742" s="10" t="s">
        <v>1454</v>
      </c>
      <c r="C742" s="38" t="str">
        <f>"./images/thumbnail/"&amp;データ!B742&amp;".jpg"</f>
        <v>./images/thumbnail/2207.jpg</v>
      </c>
      <c r="D742" s="38" t="s">
        <v>1455</v>
      </c>
      <c r="E742" s="38" t="str">
        <f>"./images/thumbnail/"&amp;データ!B742&amp;".jpg"</f>
        <v>./images/thumbnail/2207.jpg</v>
      </c>
      <c r="F742" s="38" t="s">
        <v>1116</v>
      </c>
      <c r="G742" s="38" t="s">
        <v>1319</v>
      </c>
      <c r="H742" s="38" t="str">
        <f>データ!C742</f>
        <v>コントゥール</v>
      </c>
      <c r="I742" s="38" t="s">
        <v>1024</v>
      </c>
      <c r="J742" s="38" t="s">
        <v>1319</v>
      </c>
      <c r="K742" s="38" t="str">
        <f>データ!D742</f>
        <v>UR</v>
      </c>
      <c r="L742" s="38" t="s">
        <v>1024</v>
      </c>
      <c r="M742" s="38" t="s">
        <v>1319</v>
      </c>
      <c r="N742" s="38">
        <f>データ!E742</f>
        <v>16</v>
      </c>
      <c r="O742" s="38" t="s">
        <v>1024</v>
      </c>
      <c r="P742" s="38" t="s">
        <v>1319</v>
      </c>
      <c r="Q742" s="38" t="str">
        <f>データ!F742</f>
        <v>遠</v>
      </c>
      <c r="R742" s="38" t="s">
        <v>1024</v>
      </c>
      <c r="S742" s="38" t="s">
        <v>1319</v>
      </c>
      <c r="T742" s="39">
        <f>データ!G742</f>
        <v>23969</v>
      </c>
      <c r="U742" s="40" t="s">
        <v>1024</v>
      </c>
      <c r="V742" s="40" t="s">
        <v>1319</v>
      </c>
      <c r="W742" s="39">
        <f>データ!H742</f>
        <v>8527</v>
      </c>
      <c r="X742" s="40" t="s">
        <v>1024</v>
      </c>
      <c r="Y742" s="40" t="s">
        <v>1319</v>
      </c>
      <c r="Z742" s="39">
        <f>データ!I742</f>
        <v>8025</v>
      </c>
      <c r="AA742" s="40" t="s">
        <v>1024</v>
      </c>
      <c r="AB742" s="40" t="s">
        <v>1319</v>
      </c>
      <c r="AC742" s="39" t="str">
        <f>データ!J742</f>
        <v>SS1</v>
      </c>
      <c r="AD742" s="38" t="s">
        <v>1024</v>
      </c>
      <c r="AE742" s="40" t="s">
        <v>1319</v>
      </c>
      <c r="AF742" s="39">
        <f>データ!K742</f>
        <v>40521</v>
      </c>
      <c r="AG742" s="40" t="s">
        <v>1024</v>
      </c>
      <c r="AH742" s="40" t="s">
        <v>1324</v>
      </c>
      <c r="AI742" s="39" t="str">
        <f>データ!L742</f>
        <v>対蒼の突風／鳳</v>
      </c>
      <c r="AJ742" s="10" t="s">
        <v>1113</v>
      </c>
      <c r="AK742" s="39" t="str">
        <f>データ!M742</f>
        <v>突に強く斬に弱い縦一列攻撃[極大]</v>
      </c>
      <c r="AL742" s="10" t="s">
        <v>1024</v>
      </c>
      <c r="AM742" s="40" t="s">
        <v>1324</v>
      </c>
      <c r="AN742" s="39" t="str">
        <f>データ!N742</f>
        <v>-</v>
      </c>
      <c r="AO742" s="10" t="s">
        <v>1113</v>
      </c>
      <c r="AP742" s="39" t="str">
        <f>データ!O742</f>
        <v>　</v>
      </c>
      <c r="AQ742" s="41" t="s">
        <v>1024</v>
      </c>
      <c r="AR742" s="40" t="s">
        <v>1324</v>
      </c>
      <c r="AS742" s="39" t="str">
        <f>データ!P742</f>
        <v>アサルト／凰</v>
      </c>
      <c r="AT742" s="10" t="s">
        <v>1113</v>
      </c>
      <c r="AU742" s="39" t="str">
        <f>データ!Q742</f>
        <v>パーティ全体の攻撃力が極大UP＆ユニット1体をタレント状態にする(3分間)</v>
      </c>
      <c r="AV742" s="10" t="s">
        <v>1024</v>
      </c>
      <c r="AW742" s="40" t="s">
        <v>1324</v>
      </c>
      <c r="AX742" s="39" t="str">
        <f>データ!R742</f>
        <v>ポイントライズ／煌</v>
      </c>
      <c r="AY742" s="10" t="s">
        <v>1113</v>
      </c>
      <c r="AZ742" s="39" t="str">
        <f>データ!S742</f>
        <v>獲得する騎士団戦スコアが特大アップ(バトル3回)</v>
      </c>
      <c r="BA742" s="41" t="s">
        <v>1024</v>
      </c>
      <c r="BB742" s="40" t="s">
        <v>1319</v>
      </c>
      <c r="BC742" s="39" t="str">
        <f>データ!T742</f>
        <v>闘気</v>
      </c>
      <c r="BD742" s="41" t="s">
        <v>1024</v>
      </c>
      <c r="BE742" s="40" t="s">
        <v>1319</v>
      </c>
      <c r="BF742" s="39" t="str">
        <f>データ!U742</f>
        <v>-</v>
      </c>
      <c r="BG742" s="41" t="s">
        <v>1024</v>
      </c>
      <c r="BH742" s="40" t="s">
        <v>1319</v>
      </c>
      <c r="BI742" s="39" t="str">
        <f>データ!V742</f>
        <v>イリュミナシオン</v>
      </c>
      <c r="BJ742" s="41" t="s">
        <v>1024</v>
      </c>
      <c r="BK742" s="10" t="s">
        <v>1019</v>
      </c>
    </row>
    <row r="743" spans="1:63" x14ac:dyDescent="0.15">
      <c r="A743" s="10" t="s">
        <v>1016</v>
      </c>
      <c r="B743" s="10" t="s">
        <v>1454</v>
      </c>
      <c r="C743" s="38" t="str">
        <f>"./images/thumbnail/"&amp;データ!B743&amp;".jpg"</f>
        <v>./images/thumbnail/2208.jpg</v>
      </c>
      <c r="D743" s="38" t="s">
        <v>1455</v>
      </c>
      <c r="E743" s="38" t="str">
        <f>"./images/thumbnail/"&amp;データ!B743&amp;".jpg"</f>
        <v>./images/thumbnail/2208.jpg</v>
      </c>
      <c r="F743" s="38" t="s">
        <v>1116</v>
      </c>
      <c r="G743" s="38" t="s">
        <v>1319</v>
      </c>
      <c r="H743" s="38" t="str">
        <f>データ!C743</f>
        <v>アリア</v>
      </c>
      <c r="I743" s="38" t="s">
        <v>1024</v>
      </c>
      <c r="J743" s="38" t="s">
        <v>1319</v>
      </c>
      <c r="K743" s="38" t="str">
        <f>データ!D743</f>
        <v>UR</v>
      </c>
      <c r="L743" s="38" t="s">
        <v>1024</v>
      </c>
      <c r="M743" s="38" t="s">
        <v>1319</v>
      </c>
      <c r="N743" s="38">
        <f>データ!E743</f>
        <v>16</v>
      </c>
      <c r="O743" s="38" t="s">
        <v>1024</v>
      </c>
      <c r="P743" s="38" t="s">
        <v>1319</v>
      </c>
      <c r="Q743" s="38" t="str">
        <f>データ!F743</f>
        <v>斬</v>
      </c>
      <c r="R743" s="38" t="s">
        <v>1024</v>
      </c>
      <c r="S743" s="38" t="s">
        <v>1319</v>
      </c>
      <c r="T743" s="39">
        <f>データ!G743</f>
        <v>21407</v>
      </c>
      <c r="U743" s="40" t="s">
        <v>1024</v>
      </c>
      <c r="V743" s="40" t="s">
        <v>1319</v>
      </c>
      <c r="W743" s="39">
        <f>データ!H743</f>
        <v>10065</v>
      </c>
      <c r="X743" s="40" t="s">
        <v>1024</v>
      </c>
      <c r="Y743" s="40" t="s">
        <v>1319</v>
      </c>
      <c r="Z743" s="39">
        <f>データ!I743</f>
        <v>8052</v>
      </c>
      <c r="AA743" s="40" t="s">
        <v>1024</v>
      </c>
      <c r="AB743" s="40" t="s">
        <v>1319</v>
      </c>
      <c r="AC743" s="39" t="str">
        <f>データ!J743</f>
        <v>SS+</v>
      </c>
      <c r="AD743" s="38" t="s">
        <v>1024</v>
      </c>
      <c r="AE743" s="40" t="s">
        <v>1319</v>
      </c>
      <c r="AF743" s="39">
        <f>データ!K743</f>
        <v>39524</v>
      </c>
      <c r="AG743" s="40" t="s">
        <v>1024</v>
      </c>
      <c r="AH743" s="40" t="s">
        <v>1324</v>
      </c>
      <c r="AI743" s="39" t="str">
        <f>データ!L743</f>
        <v>対翠の薙風／鳳</v>
      </c>
      <c r="AJ743" s="10" t="s">
        <v>1113</v>
      </c>
      <c r="AK743" s="39" t="str">
        <f>データ!M743</f>
        <v>遠に強く打に弱い横一列攻撃[極大]</v>
      </c>
      <c r="AL743" s="10" t="s">
        <v>1024</v>
      </c>
      <c r="AM743" s="40" t="s">
        <v>1324</v>
      </c>
      <c r="AN743" s="39" t="str">
        <f>データ!N743</f>
        <v>-</v>
      </c>
      <c r="AO743" s="10" t="s">
        <v>1113</v>
      </c>
      <c r="AP743" s="39" t="str">
        <f>データ!O743</f>
        <v>　</v>
      </c>
      <c r="AQ743" s="41" t="s">
        <v>1024</v>
      </c>
      <c r="AR743" s="40" t="s">
        <v>1324</v>
      </c>
      <c r="AS743" s="39" t="str">
        <f>データ!P743</f>
        <v>アサルト／鳳</v>
      </c>
      <c r="AT743" s="10" t="s">
        <v>1113</v>
      </c>
      <c r="AU743" s="39" t="str">
        <f>データ!Q743</f>
        <v>パーティ全体の攻撃力が極大UP＆ユニット1体をタレント状態にする(3分間)</v>
      </c>
      <c r="AV743" s="10" t="s">
        <v>1024</v>
      </c>
      <c r="AW743" s="40" t="s">
        <v>1324</v>
      </c>
      <c r="AX743" s="39" t="str">
        <f>データ!R743</f>
        <v>ジャガーノート／煌</v>
      </c>
      <c r="AY743" s="10" t="s">
        <v>1113</v>
      </c>
      <c r="AZ743" s="39" t="str">
        <f>データ!S743</f>
        <v>バトルで敵を全滅するとBPが大回復(バトル3回)</v>
      </c>
      <c r="BA743" s="41" t="s">
        <v>1024</v>
      </c>
      <c r="BB743" s="40" t="s">
        <v>1319</v>
      </c>
      <c r="BC743" s="39" t="str">
        <f>データ!T743</f>
        <v>練気</v>
      </c>
      <c r="BD743" s="41" t="s">
        <v>1024</v>
      </c>
      <c r="BE743" s="40" t="s">
        <v>1319</v>
      </c>
      <c r="BF743" s="39" t="str">
        <f>データ!U743</f>
        <v>-</v>
      </c>
      <c r="BG743" s="41" t="s">
        <v>1024</v>
      </c>
      <c r="BH743" s="40" t="s">
        <v>1319</v>
      </c>
      <c r="BI743" s="39" t="str">
        <f>データ!V743</f>
        <v>オルフェス特別ログボ</v>
      </c>
      <c r="BJ743" s="41" t="s">
        <v>1024</v>
      </c>
      <c r="BK743" s="10" t="s">
        <v>1019</v>
      </c>
    </row>
    <row r="744" spans="1:63" x14ac:dyDescent="0.15">
      <c r="A744" s="10" t="s">
        <v>1016</v>
      </c>
      <c r="B744" s="10" t="s">
        <v>1454</v>
      </c>
      <c r="C744" s="38" t="str">
        <f>"./images/thumbnail/"&amp;データ!B744&amp;".jpg"</f>
        <v>./images/thumbnail/2209.jpg</v>
      </c>
      <c r="D744" s="38" t="s">
        <v>1455</v>
      </c>
      <c r="E744" s="38" t="str">
        <f>"./images/thumbnail/"&amp;データ!B744&amp;".jpg"</f>
        <v>./images/thumbnail/2209.jpg</v>
      </c>
      <c r="F744" s="38" t="s">
        <v>1116</v>
      </c>
      <c r="G744" s="38" t="s">
        <v>1319</v>
      </c>
      <c r="H744" s="38" t="str">
        <f>データ!C744</f>
        <v>ソロネ</v>
      </c>
      <c r="I744" s="38" t="s">
        <v>1024</v>
      </c>
      <c r="J744" s="38" t="s">
        <v>1319</v>
      </c>
      <c r="K744" s="38" t="str">
        <f>データ!D744</f>
        <v>SSR</v>
      </c>
      <c r="L744" s="38" t="s">
        <v>1024</v>
      </c>
      <c r="M744" s="38" t="s">
        <v>1319</v>
      </c>
      <c r="N744" s="38">
        <f>データ!E744</f>
        <v>14</v>
      </c>
      <c r="O744" s="38" t="s">
        <v>1024</v>
      </c>
      <c r="P744" s="38" t="s">
        <v>1319</v>
      </c>
      <c r="Q744" s="38" t="str">
        <f>データ!F744</f>
        <v>打</v>
      </c>
      <c r="R744" s="38" t="s">
        <v>1024</v>
      </c>
      <c r="S744" s="38" t="s">
        <v>1319</v>
      </c>
      <c r="T744" s="39">
        <f>データ!G744</f>
        <v>22497</v>
      </c>
      <c r="U744" s="40" t="s">
        <v>1024</v>
      </c>
      <c r="V744" s="40" t="s">
        <v>1319</v>
      </c>
      <c r="W744" s="39">
        <f>データ!H744</f>
        <v>6414</v>
      </c>
      <c r="X744" s="40" t="s">
        <v>1024</v>
      </c>
      <c r="Y744" s="40" t="s">
        <v>1319</v>
      </c>
      <c r="Z744" s="39">
        <f>データ!I744</f>
        <v>7719</v>
      </c>
      <c r="AA744" s="40" t="s">
        <v>1024</v>
      </c>
      <c r="AB744" s="40" t="s">
        <v>1319</v>
      </c>
      <c r="AC744" s="39" t="str">
        <f>データ!J744</f>
        <v>A+</v>
      </c>
      <c r="AD744" s="38" t="s">
        <v>1024</v>
      </c>
      <c r="AE744" s="40" t="s">
        <v>1319</v>
      </c>
      <c r="AF744" s="39">
        <f>データ!K744</f>
        <v>36630</v>
      </c>
      <c r="AG744" s="40" t="s">
        <v>1024</v>
      </c>
      <c r="AH744" s="40" t="s">
        <v>1324</v>
      </c>
      <c r="AI744" s="39" t="str">
        <f>データ!L744</f>
        <v>幻光の交叉線／煌</v>
      </c>
      <c r="AJ744" s="10" t="s">
        <v>1113</v>
      </c>
      <c r="AK744" s="39" t="str">
        <f>データ!M744</f>
        <v>X字型に攻撃[特大]</v>
      </c>
      <c r="AL744" s="10" t="s">
        <v>1024</v>
      </c>
      <c r="AM744" s="40" t="s">
        <v>1324</v>
      </c>
      <c r="AN744" s="39" t="str">
        <f>データ!N744</f>
        <v>-</v>
      </c>
      <c r="AO744" s="10" t="s">
        <v>1113</v>
      </c>
      <c r="AP744" s="39" t="str">
        <f>データ!O744</f>
        <v>　</v>
      </c>
      <c r="AQ744" s="41" t="s">
        <v>1024</v>
      </c>
      <c r="AR744" s="40" t="s">
        <v>1324</v>
      </c>
      <c r="AS744" s="39" t="str">
        <f>データ!P744</f>
        <v>ブリッツ</v>
      </c>
      <c r="AT744" s="10" t="s">
        <v>1113</v>
      </c>
      <c r="AU744" s="39" t="str">
        <f>データ!Q744</f>
        <v>強襲CBの発生確率・強襲時獲得ポイントUP(3分間)</v>
      </c>
      <c r="AV744" s="10" t="s">
        <v>1024</v>
      </c>
      <c r="AW744" s="40" t="s">
        <v>1324</v>
      </c>
      <c r="AX744" s="39" t="str">
        <f>データ!R744</f>
        <v>-</v>
      </c>
      <c r="AY744" s="10" t="s">
        <v>1113</v>
      </c>
      <c r="AZ744" s="39" t="str">
        <f>データ!S744</f>
        <v>　</v>
      </c>
      <c r="BA744" s="41" t="s">
        <v>1024</v>
      </c>
      <c r="BB744" s="40" t="s">
        <v>1319</v>
      </c>
      <c r="BC744" s="39" t="str">
        <f>データ!T744</f>
        <v>-</v>
      </c>
      <c r="BD744" s="41" t="s">
        <v>1024</v>
      </c>
      <c r="BE744" s="40" t="s">
        <v>1319</v>
      </c>
      <c r="BF744" s="39" t="str">
        <f>データ!U744</f>
        <v>打属性防御力小アップ</v>
      </c>
      <c r="BG744" s="41" t="s">
        <v>1024</v>
      </c>
      <c r="BH744" s="40" t="s">
        <v>1319</v>
      </c>
      <c r="BI744" s="39" t="str">
        <f>データ!V744</f>
        <v>魔女の追憶イベ</v>
      </c>
      <c r="BJ744" s="41" t="s">
        <v>1024</v>
      </c>
      <c r="BK744" s="10" t="s">
        <v>1019</v>
      </c>
    </row>
    <row r="745" spans="1:63" x14ac:dyDescent="0.15">
      <c r="A745" s="10" t="s">
        <v>1016</v>
      </c>
      <c r="B745" s="10" t="s">
        <v>1454</v>
      </c>
      <c r="C745" s="38" t="str">
        <f>"./images/thumbnail/"&amp;データ!B745&amp;".jpg"</f>
        <v>./images/thumbnail/2211.jpg</v>
      </c>
      <c r="D745" s="38" t="s">
        <v>1455</v>
      </c>
      <c r="E745" s="38" t="str">
        <f>"./images/thumbnail/"&amp;データ!B745&amp;".jpg"</f>
        <v>./images/thumbnail/2211.jpg</v>
      </c>
      <c r="F745" s="38" t="s">
        <v>1116</v>
      </c>
      <c r="G745" s="38" t="s">
        <v>1319</v>
      </c>
      <c r="H745" s="38" t="str">
        <f>データ!C745</f>
        <v>ルギス</v>
      </c>
      <c r="I745" s="38" t="s">
        <v>1024</v>
      </c>
      <c r="J745" s="38" t="s">
        <v>1319</v>
      </c>
      <c r="K745" s="38" t="str">
        <f>データ!D745</f>
        <v>UR</v>
      </c>
      <c r="L745" s="38" t="s">
        <v>1024</v>
      </c>
      <c r="M745" s="38" t="s">
        <v>1319</v>
      </c>
      <c r="N745" s="38">
        <f>データ!E745</f>
        <v>16</v>
      </c>
      <c r="O745" s="38" t="s">
        <v>1024</v>
      </c>
      <c r="P745" s="38" t="s">
        <v>1319</v>
      </c>
      <c r="Q745" s="38" t="str">
        <f>データ!F745</f>
        <v>斬</v>
      </c>
      <c r="R745" s="38" t="s">
        <v>1024</v>
      </c>
      <c r="S745" s="38" t="s">
        <v>1319</v>
      </c>
      <c r="T745" s="39">
        <f>データ!G745</f>
        <v>22049</v>
      </c>
      <c r="U745" s="40" t="s">
        <v>1024</v>
      </c>
      <c r="V745" s="40" t="s">
        <v>1319</v>
      </c>
      <c r="W745" s="39">
        <f>データ!H745</f>
        <v>11038</v>
      </c>
      <c r="X745" s="40" t="s">
        <v>1024</v>
      </c>
      <c r="Y745" s="40" t="s">
        <v>1319</v>
      </c>
      <c r="Z745" s="39">
        <f>データ!I745</f>
        <v>7988</v>
      </c>
      <c r="AA745" s="40" t="s">
        <v>1024</v>
      </c>
      <c r="AB745" s="40" t="s">
        <v>1319</v>
      </c>
      <c r="AC745" s="39" t="str">
        <f>データ!J745</f>
        <v>SS+</v>
      </c>
      <c r="AD745" s="38" t="s">
        <v>1024</v>
      </c>
      <c r="AE745" s="40" t="s">
        <v>1319</v>
      </c>
      <c r="AF745" s="39">
        <f>データ!K745</f>
        <v>41075</v>
      </c>
      <c r="AG745" s="40" t="s">
        <v>1024</v>
      </c>
      <c r="AH745" s="40" t="s">
        <v>1324</v>
      </c>
      <c r="AI745" s="39" t="str">
        <f>データ!L745</f>
        <v>強奪者の雷／凰</v>
      </c>
      <c r="AJ745" s="10" t="s">
        <v>1113</v>
      </c>
      <c r="AK745" s="39" t="str">
        <f>データ!M745</f>
        <v>単体攻撃（宝箱優先／追加ダメージ）[極大]</v>
      </c>
      <c r="AL745" s="10" t="s">
        <v>1024</v>
      </c>
      <c r="AM745" s="40" t="s">
        <v>1324</v>
      </c>
      <c r="AN745" s="39" t="str">
        <f>データ!N745</f>
        <v>-</v>
      </c>
      <c r="AO745" s="10" t="s">
        <v>1113</v>
      </c>
      <c r="AP745" s="39" t="str">
        <f>データ!O745</f>
        <v>　</v>
      </c>
      <c r="AQ745" s="41" t="s">
        <v>1024</v>
      </c>
      <c r="AR745" s="40" t="s">
        <v>1324</v>
      </c>
      <c r="AS745" s="39" t="str">
        <f>データ!P745</f>
        <v>アサルト／鳳</v>
      </c>
      <c r="AT745" s="10" t="s">
        <v>1113</v>
      </c>
      <c r="AU745" s="39" t="str">
        <f>データ!Q745</f>
        <v>パーティ全体の攻撃力が極大UP＆ユニット1体をタレント状態にする(3分間)</v>
      </c>
      <c r="AV745" s="10" t="s">
        <v>1024</v>
      </c>
      <c r="AW745" s="40" t="s">
        <v>1324</v>
      </c>
      <c r="AX745" s="39" t="str">
        <f>データ!R745</f>
        <v>エンダーブレイク／煌</v>
      </c>
      <c r="AY745" s="10" t="s">
        <v>1113</v>
      </c>
      <c r="AZ745" s="39" t="str">
        <f>データ!S745</f>
        <v>騎士団スコア特大UP・キリ番CB最大値UP(3回)</v>
      </c>
      <c r="BA745" s="41" t="s">
        <v>1024</v>
      </c>
      <c r="BB745" s="40" t="s">
        <v>1319</v>
      </c>
      <c r="BC745" s="39" t="str">
        <f>データ!T745</f>
        <v>窮地の癒し</v>
      </c>
      <c r="BD745" s="41" t="s">
        <v>1024</v>
      </c>
      <c r="BE745" s="40" t="s">
        <v>1319</v>
      </c>
      <c r="BF745" s="39" t="str">
        <f>データ!U745</f>
        <v>-</v>
      </c>
      <c r="BG745" s="41" t="s">
        <v>1024</v>
      </c>
      <c r="BH745" s="40" t="s">
        <v>1319</v>
      </c>
      <c r="BI745" s="39" t="str">
        <f>データ!V745</f>
        <v>ガチャイベ</v>
      </c>
      <c r="BJ745" s="41" t="s">
        <v>1024</v>
      </c>
      <c r="BK745" s="10" t="s">
        <v>1019</v>
      </c>
    </row>
    <row r="746" spans="1:63" x14ac:dyDescent="0.15">
      <c r="A746" s="10" t="s">
        <v>1016</v>
      </c>
      <c r="B746" s="10" t="s">
        <v>1454</v>
      </c>
      <c r="C746" s="38" t="str">
        <f>"./images/thumbnail/"&amp;データ!B746&amp;".jpg"</f>
        <v>./images/thumbnail/2213.jpg</v>
      </c>
      <c r="D746" s="38" t="s">
        <v>1455</v>
      </c>
      <c r="E746" s="38" t="str">
        <f>"./images/thumbnail/"&amp;データ!B746&amp;".jpg"</f>
        <v>./images/thumbnail/2213.jpg</v>
      </c>
      <c r="F746" s="38" t="s">
        <v>1116</v>
      </c>
      <c r="G746" s="38" t="s">
        <v>1319</v>
      </c>
      <c r="H746" s="38" t="str">
        <f>データ!C746</f>
        <v>バルカス</v>
      </c>
      <c r="I746" s="38" t="s">
        <v>1024</v>
      </c>
      <c r="J746" s="38" t="s">
        <v>1319</v>
      </c>
      <c r="K746" s="38" t="str">
        <f>データ!D746</f>
        <v>SSR</v>
      </c>
      <c r="L746" s="38" t="s">
        <v>1024</v>
      </c>
      <c r="M746" s="38" t="s">
        <v>1319</v>
      </c>
      <c r="N746" s="38">
        <f>データ!E746</f>
        <v>14</v>
      </c>
      <c r="O746" s="38" t="s">
        <v>1024</v>
      </c>
      <c r="P746" s="38" t="s">
        <v>1319</v>
      </c>
      <c r="Q746" s="38" t="str">
        <f>データ!F746</f>
        <v>打</v>
      </c>
      <c r="R746" s="38" t="s">
        <v>1024</v>
      </c>
      <c r="S746" s="38" t="s">
        <v>1319</v>
      </c>
      <c r="T746" s="39">
        <f>データ!G746</f>
        <v>23053</v>
      </c>
      <c r="U746" s="40" t="s">
        <v>1024</v>
      </c>
      <c r="V746" s="40" t="s">
        <v>1319</v>
      </c>
      <c r="W746" s="39">
        <f>データ!H746</f>
        <v>6574</v>
      </c>
      <c r="X746" s="40" t="s">
        <v>1024</v>
      </c>
      <c r="Y746" s="40" t="s">
        <v>1319</v>
      </c>
      <c r="Z746" s="39">
        <f>データ!I746</f>
        <v>7637</v>
      </c>
      <c r="AA746" s="40" t="s">
        <v>1024</v>
      </c>
      <c r="AB746" s="40" t="s">
        <v>1319</v>
      </c>
      <c r="AC746" s="39" t="str">
        <f>データ!J746</f>
        <v>A+</v>
      </c>
      <c r="AD746" s="38" t="s">
        <v>1024</v>
      </c>
      <c r="AE746" s="40" t="s">
        <v>1319</v>
      </c>
      <c r="AF746" s="39">
        <f>データ!K746</f>
        <v>37264</v>
      </c>
      <c r="AG746" s="40" t="s">
        <v>1024</v>
      </c>
      <c r="AH746" s="40" t="s">
        <v>1324</v>
      </c>
      <c r="AI746" s="39" t="str">
        <f>データ!L746</f>
        <v>天幻光の交叉線／煌</v>
      </c>
      <c r="AJ746" s="10" t="s">
        <v>1113</v>
      </c>
      <c r="AK746" s="39" t="str">
        <f>データ!M746</f>
        <v>X字型攻撃[特大]自分の攻撃力UP[特大]</v>
      </c>
      <c r="AL746" s="10" t="s">
        <v>1024</v>
      </c>
      <c r="AM746" s="40" t="s">
        <v>1324</v>
      </c>
      <c r="AN746" s="39" t="str">
        <f>データ!N746</f>
        <v>-</v>
      </c>
      <c r="AO746" s="10" t="s">
        <v>1113</v>
      </c>
      <c r="AP746" s="39" t="str">
        <f>データ!O746</f>
        <v>　</v>
      </c>
      <c r="AQ746" s="41" t="s">
        <v>1024</v>
      </c>
      <c r="AR746" s="40" t="s">
        <v>1324</v>
      </c>
      <c r="AS746" s="39" t="str">
        <f>データ!P746</f>
        <v>ランページ／絶</v>
      </c>
      <c r="AT746" s="10" t="s">
        <v>1113</v>
      </c>
      <c r="AU746" s="39" t="str">
        <f>データ!Q746</f>
        <v>バトルで獲得する騎士団戦スコアが大アップ(3分間)</v>
      </c>
      <c r="AV746" s="10" t="s">
        <v>1024</v>
      </c>
      <c r="AW746" s="40" t="s">
        <v>1324</v>
      </c>
      <c r="AX746" s="39" t="str">
        <f>データ!R746</f>
        <v>-</v>
      </c>
      <c r="AY746" s="10" t="s">
        <v>1113</v>
      </c>
      <c r="AZ746" s="39" t="str">
        <f>データ!S746</f>
        <v>　</v>
      </c>
      <c r="BA746" s="41" t="s">
        <v>1024</v>
      </c>
      <c r="BB746" s="40" t="s">
        <v>1319</v>
      </c>
      <c r="BC746" s="39" t="str">
        <f>データ!T746</f>
        <v>-</v>
      </c>
      <c r="BD746" s="41" t="s">
        <v>1024</v>
      </c>
      <c r="BE746" s="40" t="s">
        <v>1319</v>
      </c>
      <c r="BF746" s="39" t="str">
        <f>データ!U746</f>
        <v>打属性攻撃力中アップ</v>
      </c>
      <c r="BG746" s="41" t="s">
        <v>1024</v>
      </c>
      <c r="BH746" s="40" t="s">
        <v>1319</v>
      </c>
      <c r="BI746" s="39" t="str">
        <f>データ!V746</f>
        <v>ガチャイベ</v>
      </c>
      <c r="BJ746" s="41" t="s">
        <v>1024</v>
      </c>
      <c r="BK746" s="10" t="s">
        <v>1019</v>
      </c>
    </row>
    <row r="747" spans="1:63" x14ac:dyDescent="0.15">
      <c r="A747" s="10" t="s">
        <v>1016</v>
      </c>
      <c r="B747" s="10" t="s">
        <v>1454</v>
      </c>
      <c r="C747" s="38" t="str">
        <f>"./images/thumbnail/"&amp;データ!B747&amp;".jpg"</f>
        <v>./images/thumbnail/2215.jpg</v>
      </c>
      <c r="D747" s="38" t="s">
        <v>1455</v>
      </c>
      <c r="E747" s="38" t="str">
        <f>"./images/thumbnail/"&amp;データ!B747&amp;".jpg"</f>
        <v>./images/thumbnail/2215.jpg</v>
      </c>
      <c r="F747" s="38" t="s">
        <v>1116</v>
      </c>
      <c r="G747" s="38" t="s">
        <v>1319</v>
      </c>
      <c r="H747" s="38" t="str">
        <f>データ!C747</f>
        <v>ヒルダ</v>
      </c>
      <c r="I747" s="38" t="s">
        <v>1024</v>
      </c>
      <c r="J747" s="38" t="s">
        <v>1319</v>
      </c>
      <c r="K747" s="38" t="str">
        <f>データ!D747</f>
        <v>UR</v>
      </c>
      <c r="L747" s="38" t="s">
        <v>1024</v>
      </c>
      <c r="M747" s="38" t="s">
        <v>1319</v>
      </c>
      <c r="N747" s="38">
        <f>データ!E747</f>
        <v>16</v>
      </c>
      <c r="O747" s="38" t="s">
        <v>1024</v>
      </c>
      <c r="P747" s="38" t="s">
        <v>1319</v>
      </c>
      <c r="Q747" s="38" t="str">
        <f>データ!F747</f>
        <v>遠</v>
      </c>
      <c r="R747" s="38" t="s">
        <v>1024</v>
      </c>
      <c r="S747" s="38" t="s">
        <v>1319</v>
      </c>
      <c r="T747" s="39">
        <f>データ!G747</f>
        <v>27150</v>
      </c>
      <c r="U747" s="40" t="s">
        <v>1024</v>
      </c>
      <c r="V747" s="40" t="s">
        <v>1319</v>
      </c>
      <c r="W747" s="39">
        <f>データ!H747</f>
        <v>8794</v>
      </c>
      <c r="X747" s="40" t="s">
        <v>1024</v>
      </c>
      <c r="Y747" s="40" t="s">
        <v>1319</v>
      </c>
      <c r="Z747" s="39">
        <f>データ!I747</f>
        <v>9076</v>
      </c>
      <c r="AA747" s="40" t="s">
        <v>1024</v>
      </c>
      <c r="AB747" s="40" t="s">
        <v>1319</v>
      </c>
      <c r="AC747" s="39" t="str">
        <f>データ!J747</f>
        <v>SS1</v>
      </c>
      <c r="AD747" s="38" t="s">
        <v>1024</v>
      </c>
      <c r="AE747" s="40" t="s">
        <v>1319</v>
      </c>
      <c r="AF747" s="39">
        <f>データ!K747</f>
        <v>45020</v>
      </c>
      <c r="AG747" s="40" t="s">
        <v>1024</v>
      </c>
      <c r="AH747" s="40" t="s">
        <v>1324</v>
      </c>
      <c r="AI747" s="39" t="str">
        <f>データ!L747</f>
        <v>地幻射の六連撃／絶</v>
      </c>
      <c r="AJ747" s="10" t="s">
        <v>1113</v>
      </c>
      <c r="AK747" s="39" t="str">
        <f>データ!M747</f>
        <v>ランダム6連続攻撃[大]自分の防御力UP[大]</v>
      </c>
      <c r="AL747" s="10" t="s">
        <v>1024</v>
      </c>
      <c r="AM747" s="40" t="s">
        <v>1324</v>
      </c>
      <c r="AN747" s="39" t="str">
        <f>データ!N747</f>
        <v>-</v>
      </c>
      <c r="AO747" s="10" t="s">
        <v>1113</v>
      </c>
      <c r="AP747" s="39" t="str">
        <f>データ!O747</f>
        <v>　</v>
      </c>
      <c r="AQ747" s="41" t="s">
        <v>1024</v>
      </c>
      <c r="AR747" s="40" t="s">
        <v>1324</v>
      </c>
      <c r="AS747" s="39" t="str">
        <f>データ!P747</f>
        <v>エース／凰</v>
      </c>
      <c r="AT747" s="10" t="s">
        <v>1113</v>
      </c>
      <c r="AU747" s="39" t="str">
        <f>データ!Q747</f>
        <v>パーティ全体の攻・防が極大UP＆ユニット1体をタレント状態にする(3分間)</v>
      </c>
      <c r="AV747" s="10" t="s">
        <v>1024</v>
      </c>
      <c r="AW747" s="40" t="s">
        <v>1324</v>
      </c>
      <c r="AX747" s="39" t="str">
        <f>データ!R747</f>
        <v>ランページ／煌</v>
      </c>
      <c r="AY747" s="10" t="s">
        <v>1113</v>
      </c>
      <c r="AZ747" s="39" t="str">
        <f>データ!S747</f>
        <v>バトルで獲得する騎士団戦スコアが特大アップ(3分間)</v>
      </c>
      <c r="BA747" s="41" t="s">
        <v>1024</v>
      </c>
      <c r="BB747" s="40" t="s">
        <v>1319</v>
      </c>
      <c r="BC747" s="39" t="str">
        <f>データ!T747</f>
        <v>防壁</v>
      </c>
      <c r="BD747" s="41" t="s">
        <v>1024</v>
      </c>
      <c r="BE747" s="40" t="s">
        <v>1319</v>
      </c>
      <c r="BF747" s="39" t="str">
        <f>データ!U747</f>
        <v>-</v>
      </c>
      <c r="BG747" s="41" t="s">
        <v>1024</v>
      </c>
      <c r="BH747" s="40" t="s">
        <v>1319</v>
      </c>
      <c r="BI747" s="39" t="str">
        <f>データ!V747</f>
        <v>ガチャイベ</v>
      </c>
      <c r="BJ747" s="41" t="s">
        <v>1024</v>
      </c>
      <c r="BK747" s="10" t="s">
        <v>1019</v>
      </c>
    </row>
    <row r="748" spans="1:63" x14ac:dyDescent="0.15">
      <c r="A748" s="10" t="s">
        <v>1016</v>
      </c>
      <c r="B748" s="10" t="s">
        <v>1454</v>
      </c>
      <c r="C748" s="38" t="str">
        <f>"./images/thumbnail/"&amp;データ!B748&amp;".jpg"</f>
        <v>./images/thumbnail/2217.jpg</v>
      </c>
      <c r="D748" s="38" t="s">
        <v>1455</v>
      </c>
      <c r="E748" s="38" t="str">
        <f>"./images/thumbnail/"&amp;データ!B748&amp;".jpg"</f>
        <v>./images/thumbnail/2217.jpg</v>
      </c>
      <c r="F748" s="38" t="s">
        <v>1116</v>
      </c>
      <c r="G748" s="38" t="s">
        <v>1319</v>
      </c>
      <c r="H748" s="38" t="str">
        <f>データ!C748</f>
        <v>ユリウス</v>
      </c>
      <c r="I748" s="38" t="s">
        <v>1024</v>
      </c>
      <c r="J748" s="38" t="s">
        <v>1319</v>
      </c>
      <c r="K748" s="38" t="str">
        <f>データ!D748</f>
        <v>UR</v>
      </c>
      <c r="L748" s="38" t="s">
        <v>1024</v>
      </c>
      <c r="M748" s="38" t="s">
        <v>1319</v>
      </c>
      <c r="N748" s="38">
        <f>データ!E748</f>
        <v>16</v>
      </c>
      <c r="O748" s="38" t="s">
        <v>1024</v>
      </c>
      <c r="P748" s="38" t="s">
        <v>1319</v>
      </c>
      <c r="Q748" s="38" t="str">
        <f>データ!F748</f>
        <v>突</v>
      </c>
      <c r="R748" s="38" t="s">
        <v>1024</v>
      </c>
      <c r="S748" s="38" t="s">
        <v>1319</v>
      </c>
      <c r="T748" s="39">
        <f>データ!G748</f>
        <v>25157</v>
      </c>
      <c r="U748" s="40" t="s">
        <v>1024</v>
      </c>
      <c r="V748" s="40" t="s">
        <v>1319</v>
      </c>
      <c r="W748" s="39">
        <f>データ!H748</f>
        <v>7582</v>
      </c>
      <c r="X748" s="40" t="s">
        <v>1024</v>
      </c>
      <c r="Y748" s="40" t="s">
        <v>1319</v>
      </c>
      <c r="Z748" s="39">
        <f>データ!I748</f>
        <v>10107</v>
      </c>
      <c r="AA748" s="40" t="s">
        <v>1024</v>
      </c>
      <c r="AB748" s="40" t="s">
        <v>1319</v>
      </c>
      <c r="AC748" s="39" t="str">
        <f>データ!J748</f>
        <v>SS4</v>
      </c>
      <c r="AD748" s="38" t="s">
        <v>1024</v>
      </c>
      <c r="AE748" s="40" t="s">
        <v>1319</v>
      </c>
      <c r="AF748" s="39">
        <f>データ!K748</f>
        <v>42846</v>
      </c>
      <c r="AG748" s="40" t="s">
        <v>1024</v>
      </c>
      <c r="AH748" s="40" t="s">
        <v>1324</v>
      </c>
      <c r="AI748" s="39" t="str">
        <f>データ!L748</f>
        <v xml:space="preserve">対紅の突風／鳳 </v>
      </c>
      <c r="AJ748" s="10" t="s">
        <v>1113</v>
      </c>
      <c r="AK748" s="39" t="str">
        <f>データ!M748</f>
        <v>斬に強く突に弱い縦一列攻撃[極大]</v>
      </c>
      <c r="AL748" s="10" t="s">
        <v>1024</v>
      </c>
      <c r="AM748" s="40" t="s">
        <v>1324</v>
      </c>
      <c r="AN748" s="39" t="str">
        <f>データ!N748</f>
        <v>-</v>
      </c>
      <c r="AO748" s="10" t="s">
        <v>1113</v>
      </c>
      <c r="AP748" s="39" t="str">
        <f>データ!O748</f>
        <v>　</v>
      </c>
      <c r="AQ748" s="41" t="s">
        <v>1024</v>
      </c>
      <c r="AR748" s="40" t="s">
        <v>1324</v>
      </c>
      <c r="AS748" s="39" t="str">
        <f>データ!P748</f>
        <v>ポイントライズ／鳳</v>
      </c>
      <c r="AT748" s="10" t="s">
        <v>1113</v>
      </c>
      <c r="AU748" s="39" t="str">
        <f>データ!Q748</f>
        <v>獲得する騎士団戦スコアが極大アップ(バトル5回)</v>
      </c>
      <c r="AV748" s="10" t="s">
        <v>1024</v>
      </c>
      <c r="AW748" s="40" t="s">
        <v>1324</v>
      </c>
      <c r="AX748" s="39" t="str">
        <f>データ!R748</f>
        <v>オラクル／煌</v>
      </c>
      <c r="AY748" s="10" t="s">
        <v>1113</v>
      </c>
      <c r="AZ748" s="39" t="str">
        <f>データ!S748</f>
        <v>パーティ全体のスキル発動率が特大UP(3分間)</v>
      </c>
      <c r="BA748" s="41" t="s">
        <v>1024</v>
      </c>
      <c r="BB748" s="40" t="s">
        <v>1319</v>
      </c>
      <c r="BC748" s="39" t="str">
        <f>データ!T748</f>
        <v>闘気</v>
      </c>
      <c r="BD748" s="41" t="s">
        <v>1024</v>
      </c>
      <c r="BE748" s="40" t="s">
        <v>1319</v>
      </c>
      <c r="BF748" s="39" t="str">
        <f>データ!U748</f>
        <v>-</v>
      </c>
      <c r="BG748" s="41" t="s">
        <v>1024</v>
      </c>
      <c r="BH748" s="40" t="s">
        <v>1319</v>
      </c>
      <c r="BI748" s="39" t="str">
        <f>データ!V748</f>
        <v>常設</v>
      </c>
      <c r="BJ748" s="41" t="s">
        <v>1024</v>
      </c>
      <c r="BK748" s="10" t="s">
        <v>1019</v>
      </c>
    </row>
    <row r="749" spans="1:63" x14ac:dyDescent="0.15">
      <c r="A749" s="10" t="s">
        <v>1016</v>
      </c>
      <c r="B749" s="10" t="s">
        <v>1454</v>
      </c>
      <c r="C749" s="38" t="str">
        <f>"./images/thumbnail/"&amp;データ!B749&amp;".jpg"</f>
        <v>./images/thumbnail/2219.jpg</v>
      </c>
      <c r="D749" s="38" t="s">
        <v>1455</v>
      </c>
      <c r="E749" s="38" t="str">
        <f>"./images/thumbnail/"&amp;データ!B749&amp;".jpg"</f>
        <v>./images/thumbnail/2219.jpg</v>
      </c>
      <c r="F749" s="38" t="s">
        <v>1116</v>
      </c>
      <c r="G749" s="38" t="s">
        <v>1319</v>
      </c>
      <c r="H749" s="38" t="str">
        <f>データ!C749</f>
        <v>リウィア</v>
      </c>
      <c r="I749" s="38" t="s">
        <v>1024</v>
      </c>
      <c r="J749" s="38" t="s">
        <v>1319</v>
      </c>
      <c r="K749" s="38" t="str">
        <f>データ!D749</f>
        <v>UR</v>
      </c>
      <c r="L749" s="38" t="s">
        <v>1024</v>
      </c>
      <c r="M749" s="38" t="s">
        <v>1319</v>
      </c>
      <c r="N749" s="38">
        <f>データ!E749</f>
        <v>16</v>
      </c>
      <c r="O749" s="38" t="s">
        <v>1024</v>
      </c>
      <c r="P749" s="38" t="s">
        <v>1319</v>
      </c>
      <c r="Q749" s="38" t="str">
        <f>データ!F749</f>
        <v>遠</v>
      </c>
      <c r="R749" s="38" t="s">
        <v>1024</v>
      </c>
      <c r="S749" s="38" t="s">
        <v>1319</v>
      </c>
      <c r="T749" s="39">
        <f>データ!G749</f>
        <v>23998</v>
      </c>
      <c r="U749" s="40" t="s">
        <v>1024</v>
      </c>
      <c r="V749" s="40" t="s">
        <v>1319</v>
      </c>
      <c r="W749" s="39">
        <f>データ!H749</f>
        <v>8692</v>
      </c>
      <c r="X749" s="40" t="s">
        <v>1024</v>
      </c>
      <c r="Y749" s="40" t="s">
        <v>1319</v>
      </c>
      <c r="Z749" s="39">
        <f>データ!I749</f>
        <v>8006</v>
      </c>
      <c r="AA749" s="40" t="s">
        <v>1024</v>
      </c>
      <c r="AB749" s="40" t="s">
        <v>1319</v>
      </c>
      <c r="AC749" s="39" t="str">
        <f>データ!J749</f>
        <v>SS1</v>
      </c>
      <c r="AD749" s="38" t="s">
        <v>1024</v>
      </c>
      <c r="AE749" s="40" t="s">
        <v>1319</v>
      </c>
      <c r="AF749" s="39">
        <f>データ!K749</f>
        <v>40696</v>
      </c>
      <c r="AG749" s="40" t="s">
        <v>1024</v>
      </c>
      <c r="AH749" s="40" t="s">
        <v>1324</v>
      </c>
      <c r="AI749" s="39" t="str">
        <f>データ!L749</f>
        <v>天使の微笑／煌</v>
      </c>
      <c r="AJ749" s="10" t="s">
        <v>1113</v>
      </c>
      <c r="AK749" s="39" t="str">
        <f>データ!M749</f>
        <v>味方全員のHPを回復[特大]</v>
      </c>
      <c r="AL749" s="10" t="s">
        <v>1024</v>
      </c>
      <c r="AM749" s="40" t="s">
        <v>1324</v>
      </c>
      <c r="AN749" s="39" t="str">
        <f>データ!N749</f>
        <v>-</v>
      </c>
      <c r="AO749" s="10" t="s">
        <v>1113</v>
      </c>
      <c r="AP749" s="39" t="str">
        <f>データ!O749</f>
        <v>　</v>
      </c>
      <c r="AQ749" s="41" t="s">
        <v>1024</v>
      </c>
      <c r="AR749" s="40" t="s">
        <v>1324</v>
      </c>
      <c r="AS749" s="39" t="str">
        <f>データ!P749</f>
        <v>フォートレス／鳳</v>
      </c>
      <c r="AT749" s="10" t="s">
        <v>1113</v>
      </c>
      <c r="AU749" s="39" t="str">
        <f>データ!Q749</f>
        <v>パーティ全体の防御力が極大UP＆ユニット1体をタレント状態にする(3分間)</v>
      </c>
      <c r="AV749" s="10" t="s">
        <v>1024</v>
      </c>
      <c r="AW749" s="40" t="s">
        <v>1324</v>
      </c>
      <c r="AX749" s="39" t="str">
        <f>データ!R749</f>
        <v>エクスドライブ／煌</v>
      </c>
      <c r="AY749" s="10" t="s">
        <v>1113</v>
      </c>
      <c r="AZ749" s="39" t="str">
        <f>データ!S749</f>
        <v>キリ番CB時の獲得ポイント特大UP(3分間)</v>
      </c>
      <c r="BA749" s="41" t="s">
        <v>1024</v>
      </c>
      <c r="BB749" s="40" t="s">
        <v>1319</v>
      </c>
      <c r="BC749" s="39" t="str">
        <f>データ!T749</f>
        <v>練気</v>
      </c>
      <c r="BD749" s="41" t="s">
        <v>1024</v>
      </c>
      <c r="BE749" s="40" t="s">
        <v>1319</v>
      </c>
      <c r="BF749" s="39" t="str">
        <f>データ!U749</f>
        <v>-</v>
      </c>
      <c r="BG749" s="41" t="s">
        <v>1024</v>
      </c>
      <c r="BH749" s="40" t="s">
        <v>1319</v>
      </c>
      <c r="BI749" s="39" t="str">
        <f>データ!V749</f>
        <v>常設</v>
      </c>
      <c r="BJ749" s="41" t="s">
        <v>1024</v>
      </c>
      <c r="BK749" s="10" t="s">
        <v>1019</v>
      </c>
    </row>
    <row r="750" spans="1:63" x14ac:dyDescent="0.15">
      <c r="A750" s="10" t="s">
        <v>1016</v>
      </c>
      <c r="B750" s="10" t="s">
        <v>1454</v>
      </c>
      <c r="C750" s="38" t="str">
        <f>"./images/thumbnail/"&amp;データ!B750&amp;".jpg"</f>
        <v>./images/thumbnail/2221.jpg</v>
      </c>
      <c r="D750" s="38" t="s">
        <v>1455</v>
      </c>
      <c r="E750" s="38" t="str">
        <f>"./images/thumbnail/"&amp;データ!B750&amp;".jpg"</f>
        <v>./images/thumbnail/2221.jpg</v>
      </c>
      <c r="F750" s="38" t="s">
        <v>1116</v>
      </c>
      <c r="G750" s="38" t="s">
        <v>1319</v>
      </c>
      <c r="H750" s="38" t="str">
        <f>データ!C750</f>
        <v>リゼット</v>
      </c>
      <c r="I750" s="38" t="s">
        <v>1024</v>
      </c>
      <c r="J750" s="38" t="s">
        <v>1319</v>
      </c>
      <c r="K750" s="38" t="str">
        <f>データ!D750</f>
        <v>UR</v>
      </c>
      <c r="L750" s="38" t="s">
        <v>1024</v>
      </c>
      <c r="M750" s="38" t="s">
        <v>1319</v>
      </c>
      <c r="N750" s="38">
        <f>データ!E750</f>
        <v>16</v>
      </c>
      <c r="O750" s="38" t="s">
        <v>1024</v>
      </c>
      <c r="P750" s="38" t="s">
        <v>1319</v>
      </c>
      <c r="Q750" s="38" t="str">
        <f>データ!F750</f>
        <v>打</v>
      </c>
      <c r="R750" s="38" t="s">
        <v>1024</v>
      </c>
      <c r="S750" s="38" t="s">
        <v>1319</v>
      </c>
      <c r="T750" s="39">
        <f>データ!G750</f>
        <v>30001</v>
      </c>
      <c r="U750" s="40" t="s">
        <v>1024</v>
      </c>
      <c r="V750" s="40" t="s">
        <v>1319</v>
      </c>
      <c r="W750" s="39">
        <f>データ!H750</f>
        <v>8803</v>
      </c>
      <c r="X750" s="40" t="s">
        <v>1024</v>
      </c>
      <c r="Y750" s="40" t="s">
        <v>1319</v>
      </c>
      <c r="Z750" s="39">
        <f>データ!I750</f>
        <v>12820</v>
      </c>
      <c r="AA750" s="40" t="s">
        <v>1024</v>
      </c>
      <c r="AB750" s="40" t="s">
        <v>1319</v>
      </c>
      <c r="AC750" s="39" t="str">
        <f>データ!J750</f>
        <v>SS-</v>
      </c>
      <c r="AD750" s="38" t="s">
        <v>1024</v>
      </c>
      <c r="AE750" s="40" t="s">
        <v>1319</v>
      </c>
      <c r="AF750" s="39">
        <f>データ!K750</f>
        <v>51624</v>
      </c>
      <c r="AG750" s="40" t="s">
        <v>1024</v>
      </c>
      <c r="AH750" s="40" t="s">
        <v>1324</v>
      </c>
      <c r="AI750" s="39" t="str">
        <f>データ!L750</f>
        <v>焔幻の一閃／鳳</v>
      </c>
      <c r="AJ750" s="10" t="s">
        <v>1113</v>
      </c>
      <c r="AK750" s="39" t="str">
        <f>データ!M750</f>
        <v>横一列に攻撃[極大]</v>
      </c>
      <c r="AL750" s="10" t="s">
        <v>1024</v>
      </c>
      <c r="AM750" s="40" t="s">
        <v>1324</v>
      </c>
      <c r="AN750" s="39" t="str">
        <f>データ!N750</f>
        <v>-</v>
      </c>
      <c r="AO750" s="10" t="s">
        <v>1113</v>
      </c>
      <c r="AP750" s="39" t="str">
        <f>データ!O750</f>
        <v>　</v>
      </c>
      <c r="AQ750" s="41" t="s">
        <v>1024</v>
      </c>
      <c r="AR750" s="40" t="s">
        <v>1324</v>
      </c>
      <c r="AS750" s="39" t="str">
        <f>データ!P750</f>
        <v>アクセラレーター／鳳</v>
      </c>
      <c r="AT750" s="10" t="s">
        <v>1113</v>
      </c>
      <c r="AU750" s="39" t="str">
        <f>データ!Q750</f>
        <v>パーティ全体の速度が大UP＆ユニット1体をタレント状態にする(5分間)</v>
      </c>
      <c r="AV750" s="10" t="s">
        <v>1024</v>
      </c>
      <c r="AW750" s="40" t="s">
        <v>1324</v>
      </c>
      <c r="AX750" s="39" t="str">
        <f>データ!R750</f>
        <v>エース／煌</v>
      </c>
      <c r="AY750" s="10" t="s">
        <v>1113</v>
      </c>
      <c r="AZ750" s="39" t="str">
        <f>データ!S750</f>
        <v>パーティ全体の攻・防が特大UP(3分間)</v>
      </c>
      <c r="BA750" s="41" t="s">
        <v>1024</v>
      </c>
      <c r="BB750" s="40" t="s">
        <v>1319</v>
      </c>
      <c r="BC750" s="39" t="str">
        <f>データ!T750</f>
        <v>-</v>
      </c>
      <c r="BD750" s="41" t="s">
        <v>1024</v>
      </c>
      <c r="BE750" s="40" t="s">
        <v>1319</v>
      </c>
      <c r="BF750" s="39" t="str">
        <f>データ!U750</f>
        <v>打属性攻撃力中アップ</v>
      </c>
      <c r="BG750" s="41" t="s">
        <v>1024</v>
      </c>
      <c r="BH750" s="40" t="s">
        <v>1319</v>
      </c>
      <c r="BI750" s="39" t="str">
        <f>データ!V750</f>
        <v>覇者の塔</v>
      </c>
      <c r="BJ750" s="41" t="s">
        <v>1024</v>
      </c>
      <c r="BK750" s="10" t="s">
        <v>1019</v>
      </c>
    </row>
    <row r="751" spans="1:63" x14ac:dyDescent="0.15">
      <c r="A751" s="10" t="s">
        <v>1016</v>
      </c>
      <c r="B751" s="10" t="s">
        <v>1454</v>
      </c>
      <c r="C751" s="38" t="str">
        <f>"./images/thumbnail/"&amp;データ!B751&amp;".jpg"</f>
        <v>./images/thumbnail/2222.jpg</v>
      </c>
      <c r="D751" s="38" t="s">
        <v>1455</v>
      </c>
      <c r="E751" s="38" t="str">
        <f>"./images/thumbnail/"&amp;データ!B751&amp;".jpg"</f>
        <v>./images/thumbnail/2222.jpg</v>
      </c>
      <c r="F751" s="38" t="s">
        <v>1116</v>
      </c>
      <c r="G751" s="38" t="s">
        <v>1319</v>
      </c>
      <c r="H751" s="38" t="str">
        <f>データ!C751</f>
        <v>アルベリク</v>
      </c>
      <c r="I751" s="38" t="s">
        <v>1024</v>
      </c>
      <c r="J751" s="38" t="s">
        <v>1319</v>
      </c>
      <c r="K751" s="38" t="str">
        <f>データ!D751</f>
        <v>SSR</v>
      </c>
      <c r="L751" s="38" t="s">
        <v>1024</v>
      </c>
      <c r="M751" s="38" t="s">
        <v>1319</v>
      </c>
      <c r="N751" s="38">
        <f>データ!E751</f>
        <v>13</v>
      </c>
      <c r="O751" s="38" t="s">
        <v>1024</v>
      </c>
      <c r="P751" s="38" t="s">
        <v>1319</v>
      </c>
      <c r="Q751" s="38" t="str">
        <f>データ!F751</f>
        <v>斬</v>
      </c>
      <c r="R751" s="38" t="s">
        <v>1024</v>
      </c>
      <c r="S751" s="38" t="s">
        <v>1319</v>
      </c>
      <c r="T751" s="39">
        <f>データ!G751</f>
        <v>17247</v>
      </c>
      <c r="U751" s="40" t="s">
        <v>1024</v>
      </c>
      <c r="V751" s="40" t="s">
        <v>1319</v>
      </c>
      <c r="W751" s="39">
        <f>データ!H751</f>
        <v>7757</v>
      </c>
      <c r="X751" s="40" t="s">
        <v>1024</v>
      </c>
      <c r="Y751" s="40" t="s">
        <v>1319</v>
      </c>
      <c r="Z751" s="39">
        <f>データ!I751</f>
        <v>5429</v>
      </c>
      <c r="AA751" s="40" t="s">
        <v>1024</v>
      </c>
      <c r="AB751" s="40" t="s">
        <v>1319</v>
      </c>
      <c r="AC751" s="39" t="str">
        <f>データ!J751</f>
        <v>A+</v>
      </c>
      <c r="AD751" s="38" t="s">
        <v>1024</v>
      </c>
      <c r="AE751" s="40" t="s">
        <v>1319</v>
      </c>
      <c r="AF751" s="39">
        <f>データ!K751</f>
        <v>30433</v>
      </c>
      <c r="AG751" s="40" t="s">
        <v>1024</v>
      </c>
      <c r="AH751" s="40" t="s">
        <v>1324</v>
      </c>
      <c r="AI751" s="39" t="str">
        <f>データ!L751</f>
        <v>対紫の突風／絶</v>
      </c>
      <c r="AJ751" s="10" t="s">
        <v>1113</v>
      </c>
      <c r="AK751" s="39" t="str">
        <f>データ!M751</f>
        <v>打に強く遠に弱い縦一列攻撃[大]</v>
      </c>
      <c r="AL751" s="10" t="s">
        <v>1024</v>
      </c>
      <c r="AM751" s="40" t="s">
        <v>1324</v>
      </c>
      <c r="AN751" s="39" t="str">
        <f>データ!N751</f>
        <v>-</v>
      </c>
      <c r="AO751" s="10" t="s">
        <v>1113</v>
      </c>
      <c r="AP751" s="39" t="str">
        <f>データ!O751</f>
        <v>　</v>
      </c>
      <c r="AQ751" s="41" t="s">
        <v>1024</v>
      </c>
      <c r="AR751" s="40" t="s">
        <v>1324</v>
      </c>
      <c r="AS751" s="39" t="str">
        <f>データ!P751</f>
        <v>グラビティアサルト／絶</v>
      </c>
      <c r="AT751" s="10" t="s">
        <v>1113</v>
      </c>
      <c r="AU751" s="39" t="str">
        <f>データ!Q751</f>
        <v>パーティ全体の攻撃力大UP・速度大DOWN(3分間)</v>
      </c>
      <c r="AV751" s="10" t="s">
        <v>1024</v>
      </c>
      <c r="AW751" s="40" t="s">
        <v>1324</v>
      </c>
      <c r="AX751" s="39" t="str">
        <f>データ!R751</f>
        <v>-</v>
      </c>
      <c r="AY751" s="10" t="s">
        <v>1113</v>
      </c>
      <c r="AZ751" s="39" t="str">
        <f>データ!S751</f>
        <v>　</v>
      </c>
      <c r="BA751" s="41" t="s">
        <v>1024</v>
      </c>
      <c r="BB751" s="40" t="s">
        <v>1319</v>
      </c>
      <c r="BC751" s="39" t="str">
        <f>データ!T751</f>
        <v>-</v>
      </c>
      <c r="BD751" s="41" t="s">
        <v>1024</v>
      </c>
      <c r="BE751" s="40" t="s">
        <v>1319</v>
      </c>
      <c r="BF751" s="39" t="str">
        <f>データ!U751</f>
        <v>-</v>
      </c>
      <c r="BG751" s="41" t="s">
        <v>1024</v>
      </c>
      <c r="BH751" s="40" t="s">
        <v>1319</v>
      </c>
      <c r="BI751" s="39" t="str">
        <f>データ!V751</f>
        <v>第18回統一報酬</v>
      </c>
      <c r="BJ751" s="41" t="s">
        <v>1024</v>
      </c>
      <c r="BK751" s="10" t="s">
        <v>1019</v>
      </c>
    </row>
    <row r="752" spans="1:63" x14ac:dyDescent="0.15">
      <c r="A752" s="10" t="s">
        <v>1016</v>
      </c>
      <c r="B752" s="10" t="s">
        <v>1454</v>
      </c>
      <c r="C752" s="38" t="str">
        <f>"./images/thumbnail/"&amp;データ!B752&amp;".jpg"</f>
        <v>./images/thumbnail/2223.jpg</v>
      </c>
      <c r="D752" s="38" t="s">
        <v>1455</v>
      </c>
      <c r="E752" s="38" t="str">
        <f>"./images/thumbnail/"&amp;データ!B752&amp;".jpg"</f>
        <v>./images/thumbnail/2223.jpg</v>
      </c>
      <c r="F752" s="38" t="s">
        <v>1116</v>
      </c>
      <c r="G752" s="38" t="s">
        <v>1319</v>
      </c>
      <c r="H752" s="38" t="str">
        <f>データ!C752</f>
        <v>アルベリク</v>
      </c>
      <c r="I752" s="38" t="s">
        <v>1024</v>
      </c>
      <c r="J752" s="38" t="s">
        <v>1319</v>
      </c>
      <c r="K752" s="38" t="str">
        <f>データ!D752</f>
        <v>UR</v>
      </c>
      <c r="L752" s="38" t="s">
        <v>1024</v>
      </c>
      <c r="M752" s="38" t="s">
        <v>1319</v>
      </c>
      <c r="N752" s="38">
        <f>データ!E752</f>
        <v>14</v>
      </c>
      <c r="O752" s="38" t="s">
        <v>1024</v>
      </c>
      <c r="P752" s="38" t="s">
        <v>1319</v>
      </c>
      <c r="Q752" s="38" t="str">
        <f>データ!F752</f>
        <v>斬</v>
      </c>
      <c r="R752" s="38" t="s">
        <v>1024</v>
      </c>
      <c r="S752" s="38" t="s">
        <v>1319</v>
      </c>
      <c r="T752" s="39">
        <f>データ!G752</f>
        <v>19098</v>
      </c>
      <c r="U752" s="40" t="s">
        <v>1024</v>
      </c>
      <c r="V752" s="40" t="s">
        <v>1319</v>
      </c>
      <c r="W752" s="39">
        <f>データ!H752</f>
        <v>8755</v>
      </c>
      <c r="X752" s="40" t="s">
        <v>1024</v>
      </c>
      <c r="Y752" s="40" t="s">
        <v>1319</v>
      </c>
      <c r="Z752" s="39">
        <f>データ!I752</f>
        <v>6355</v>
      </c>
      <c r="AA752" s="40" t="s">
        <v>1024</v>
      </c>
      <c r="AB752" s="40" t="s">
        <v>1319</v>
      </c>
      <c r="AC752" s="39" t="str">
        <f>データ!J752</f>
        <v>S</v>
      </c>
      <c r="AD752" s="38" t="s">
        <v>1024</v>
      </c>
      <c r="AE752" s="40" t="s">
        <v>1319</v>
      </c>
      <c r="AF752" s="39">
        <f>データ!K752</f>
        <v>34208</v>
      </c>
      <c r="AG752" s="40" t="s">
        <v>1024</v>
      </c>
      <c r="AH752" s="40" t="s">
        <v>1324</v>
      </c>
      <c r="AI752" s="39" t="str">
        <f>データ!L752</f>
        <v>対紫の突風／煌</v>
      </c>
      <c r="AJ752" s="10" t="s">
        <v>1113</v>
      </c>
      <c r="AK752" s="39" t="str">
        <f>データ!M752</f>
        <v>打に強く遠に弱い縦一列攻撃[特大]</v>
      </c>
      <c r="AL752" s="10" t="s">
        <v>1024</v>
      </c>
      <c r="AM752" s="40" t="s">
        <v>1324</v>
      </c>
      <c r="AN752" s="39" t="str">
        <f>データ!N752</f>
        <v>-</v>
      </c>
      <c r="AO752" s="10" t="s">
        <v>1113</v>
      </c>
      <c r="AP752" s="39" t="str">
        <f>データ!O752</f>
        <v>　</v>
      </c>
      <c r="AQ752" s="41" t="s">
        <v>1024</v>
      </c>
      <c r="AR752" s="40" t="s">
        <v>1324</v>
      </c>
      <c r="AS752" s="39" t="str">
        <f>データ!P752</f>
        <v>グラビティアサルト／煌</v>
      </c>
      <c r="AT752" s="10" t="s">
        <v>1113</v>
      </c>
      <c r="AU752" s="39" t="str">
        <f>データ!Q752</f>
        <v>パーティ全体の攻撃力特大UP・速度大DOWN(3分間)</v>
      </c>
      <c r="AV752" s="10" t="s">
        <v>1024</v>
      </c>
      <c r="AW752" s="40" t="s">
        <v>1324</v>
      </c>
      <c r="AX752" s="39" t="str">
        <f>データ!R752</f>
        <v>-</v>
      </c>
      <c r="AY752" s="10" t="s">
        <v>1113</v>
      </c>
      <c r="AZ752" s="39" t="str">
        <f>データ!S752</f>
        <v>　</v>
      </c>
      <c r="BA752" s="41" t="s">
        <v>1024</v>
      </c>
      <c r="BB752" s="40" t="s">
        <v>1319</v>
      </c>
      <c r="BC752" s="39" t="str">
        <f>データ!T752</f>
        <v>-</v>
      </c>
      <c r="BD752" s="41" t="s">
        <v>1024</v>
      </c>
      <c r="BE752" s="40" t="s">
        <v>1319</v>
      </c>
      <c r="BF752" s="39" t="str">
        <f>データ!U752</f>
        <v>-</v>
      </c>
      <c r="BG752" s="41" t="s">
        <v>1024</v>
      </c>
      <c r="BH752" s="40" t="s">
        <v>1319</v>
      </c>
      <c r="BI752" s="39" t="str">
        <f>データ!V752</f>
        <v>第18回統一報酬</v>
      </c>
      <c r="BJ752" s="41" t="s">
        <v>1024</v>
      </c>
      <c r="BK752" s="10" t="s">
        <v>1019</v>
      </c>
    </row>
    <row r="753" spans="1:63" x14ac:dyDescent="0.15">
      <c r="A753" s="10" t="s">
        <v>1016</v>
      </c>
      <c r="B753" s="10" t="s">
        <v>1454</v>
      </c>
      <c r="C753" s="38" t="str">
        <f>"./images/thumbnail/"&amp;データ!B753&amp;".jpg"</f>
        <v>./images/thumbnail/2224.jpg</v>
      </c>
      <c r="D753" s="38" t="s">
        <v>1455</v>
      </c>
      <c r="E753" s="38" t="str">
        <f>"./images/thumbnail/"&amp;データ!B753&amp;".jpg"</f>
        <v>./images/thumbnail/2224.jpg</v>
      </c>
      <c r="F753" s="38" t="s">
        <v>1116</v>
      </c>
      <c r="G753" s="38" t="s">
        <v>1319</v>
      </c>
      <c r="H753" s="38" t="str">
        <f>データ!C753</f>
        <v>アルベリク</v>
      </c>
      <c r="I753" s="38" t="s">
        <v>1024</v>
      </c>
      <c r="J753" s="38" t="s">
        <v>1319</v>
      </c>
      <c r="K753" s="38" t="str">
        <f>データ!D753</f>
        <v>UR</v>
      </c>
      <c r="L753" s="38" t="s">
        <v>1024</v>
      </c>
      <c r="M753" s="38" t="s">
        <v>1319</v>
      </c>
      <c r="N753" s="38">
        <f>データ!E753</f>
        <v>15</v>
      </c>
      <c r="O753" s="38" t="s">
        <v>1024</v>
      </c>
      <c r="P753" s="38" t="s">
        <v>1319</v>
      </c>
      <c r="Q753" s="38" t="str">
        <f>データ!F753</f>
        <v>斬</v>
      </c>
      <c r="R753" s="38" t="s">
        <v>1024</v>
      </c>
      <c r="S753" s="38" t="s">
        <v>1319</v>
      </c>
      <c r="T753" s="39">
        <f>データ!G753</f>
        <v>21054</v>
      </c>
      <c r="U753" s="40" t="s">
        <v>1024</v>
      </c>
      <c r="V753" s="40" t="s">
        <v>1319</v>
      </c>
      <c r="W753" s="39">
        <f>データ!H753</f>
        <v>9282</v>
      </c>
      <c r="X753" s="40" t="s">
        <v>1024</v>
      </c>
      <c r="Y753" s="40" t="s">
        <v>1319</v>
      </c>
      <c r="Z753" s="39">
        <f>データ!I753</f>
        <v>7570</v>
      </c>
      <c r="AA753" s="40" t="s">
        <v>1024</v>
      </c>
      <c r="AB753" s="40" t="s">
        <v>1319</v>
      </c>
      <c r="AC753" s="39" t="str">
        <f>データ!J753</f>
        <v>SS-</v>
      </c>
      <c r="AD753" s="38" t="s">
        <v>1024</v>
      </c>
      <c r="AE753" s="40" t="s">
        <v>1319</v>
      </c>
      <c r="AF753" s="39">
        <f>データ!K753</f>
        <v>37906</v>
      </c>
      <c r="AG753" s="40" t="s">
        <v>1024</v>
      </c>
      <c r="AH753" s="40" t="s">
        <v>1324</v>
      </c>
      <c r="AI753" s="39" t="str">
        <f>データ!L753</f>
        <v>対紫の突風／煌</v>
      </c>
      <c r="AJ753" s="10" t="s">
        <v>1113</v>
      </c>
      <c r="AK753" s="39" t="str">
        <f>データ!M753</f>
        <v>打に強く遠に弱い縦一列攻撃[特大]</v>
      </c>
      <c r="AL753" s="10" t="s">
        <v>1024</v>
      </c>
      <c r="AM753" s="40" t="s">
        <v>1324</v>
      </c>
      <c r="AN753" s="39" t="str">
        <f>データ!N753</f>
        <v>-</v>
      </c>
      <c r="AO753" s="10" t="s">
        <v>1113</v>
      </c>
      <c r="AP753" s="39" t="str">
        <f>データ!O753</f>
        <v>　</v>
      </c>
      <c r="AQ753" s="41" t="s">
        <v>1024</v>
      </c>
      <c r="AR753" s="40" t="s">
        <v>1324</v>
      </c>
      <c r="AS753" s="39" t="str">
        <f>データ!P753</f>
        <v>グラビティアサルト／煌</v>
      </c>
      <c r="AT753" s="10" t="s">
        <v>1113</v>
      </c>
      <c r="AU753" s="39" t="str">
        <f>データ!Q753</f>
        <v>パーティ全体の攻撃力特大UP・速度大DOWN(3分間)</v>
      </c>
      <c r="AV753" s="10" t="s">
        <v>1024</v>
      </c>
      <c r="AW753" s="40" t="s">
        <v>1324</v>
      </c>
      <c r="AX753" s="39" t="str">
        <f>データ!R753</f>
        <v>アサルト／絶</v>
      </c>
      <c r="AY753" s="10" t="s">
        <v>1113</v>
      </c>
      <c r="AZ753" s="39" t="str">
        <f>データ!S753</f>
        <v>パーティ全体の攻撃力が大UP(3分間)</v>
      </c>
      <c r="BA753" s="41" t="s">
        <v>1024</v>
      </c>
      <c r="BB753" s="40" t="s">
        <v>1319</v>
      </c>
      <c r="BC753" s="39" t="str">
        <f>データ!T753</f>
        <v>-</v>
      </c>
      <c r="BD753" s="41" t="s">
        <v>1024</v>
      </c>
      <c r="BE753" s="40" t="s">
        <v>1319</v>
      </c>
      <c r="BF753" s="39" t="str">
        <f>データ!U753</f>
        <v>-</v>
      </c>
      <c r="BG753" s="41" t="s">
        <v>1024</v>
      </c>
      <c r="BH753" s="40" t="s">
        <v>1319</v>
      </c>
      <c r="BI753" s="39" t="str">
        <f>データ!V753</f>
        <v>第18回統一報酬</v>
      </c>
      <c r="BJ753" s="41" t="s">
        <v>1024</v>
      </c>
      <c r="BK753" s="10" t="s">
        <v>1019</v>
      </c>
    </row>
    <row r="754" spans="1:63" x14ac:dyDescent="0.15">
      <c r="A754" s="10" t="s">
        <v>1016</v>
      </c>
      <c r="B754" s="10" t="s">
        <v>1454</v>
      </c>
      <c r="C754" s="38" t="str">
        <f>"./images/thumbnail/"&amp;データ!B754&amp;".jpg"</f>
        <v>./images/thumbnail/2225.jpg</v>
      </c>
      <c r="D754" s="38" t="s">
        <v>1455</v>
      </c>
      <c r="E754" s="38" t="str">
        <f>"./images/thumbnail/"&amp;データ!B754&amp;".jpg"</f>
        <v>./images/thumbnail/2225.jpg</v>
      </c>
      <c r="F754" s="38" t="s">
        <v>1116</v>
      </c>
      <c r="G754" s="38" t="s">
        <v>1319</v>
      </c>
      <c r="H754" s="38" t="str">
        <f>データ!C754</f>
        <v>アルベリク</v>
      </c>
      <c r="I754" s="38" t="s">
        <v>1024</v>
      </c>
      <c r="J754" s="38" t="s">
        <v>1319</v>
      </c>
      <c r="K754" s="38" t="str">
        <f>データ!D754</f>
        <v>UR</v>
      </c>
      <c r="L754" s="38" t="s">
        <v>1024</v>
      </c>
      <c r="M754" s="38" t="s">
        <v>1319</v>
      </c>
      <c r="N754" s="38">
        <f>データ!E754</f>
        <v>16</v>
      </c>
      <c r="O754" s="38" t="s">
        <v>1024</v>
      </c>
      <c r="P754" s="38" t="s">
        <v>1319</v>
      </c>
      <c r="Q754" s="38" t="str">
        <f>データ!F754</f>
        <v>斬</v>
      </c>
      <c r="R754" s="38" t="s">
        <v>1024</v>
      </c>
      <c r="S754" s="38" t="s">
        <v>1319</v>
      </c>
      <c r="T754" s="39">
        <f>データ!G754</f>
        <v>22053</v>
      </c>
      <c r="U754" s="40" t="s">
        <v>1024</v>
      </c>
      <c r="V754" s="40" t="s">
        <v>1319</v>
      </c>
      <c r="W754" s="39">
        <f>データ!H754</f>
        <v>10331</v>
      </c>
      <c r="X754" s="40" t="s">
        <v>1024</v>
      </c>
      <c r="Y754" s="40" t="s">
        <v>1319</v>
      </c>
      <c r="Z754" s="39">
        <f>データ!I754</f>
        <v>8447</v>
      </c>
      <c r="AA754" s="40" t="s">
        <v>1024</v>
      </c>
      <c r="AB754" s="40" t="s">
        <v>1319</v>
      </c>
      <c r="AC754" s="39" t="str">
        <f>データ!J754</f>
        <v>SS+</v>
      </c>
      <c r="AD754" s="38" t="s">
        <v>1024</v>
      </c>
      <c r="AE754" s="40" t="s">
        <v>1319</v>
      </c>
      <c r="AF754" s="39">
        <f>データ!K754</f>
        <v>40831</v>
      </c>
      <c r="AG754" s="40" t="s">
        <v>1024</v>
      </c>
      <c r="AH754" s="40" t="s">
        <v>1324</v>
      </c>
      <c r="AI754" s="39" t="str">
        <f>データ!L754</f>
        <v>対紫の突風／鳳</v>
      </c>
      <c r="AJ754" s="10" t="s">
        <v>1113</v>
      </c>
      <c r="AK754" s="39" t="str">
        <f>データ!M754</f>
        <v>打に強く遠に弱い縦一列攻撃[極大]</v>
      </c>
      <c r="AL754" s="10" t="s">
        <v>1024</v>
      </c>
      <c r="AM754" s="40" t="s">
        <v>1324</v>
      </c>
      <c r="AN754" s="39" t="str">
        <f>データ!N754</f>
        <v>英雄の輝き</v>
      </c>
      <c r="AO754" s="10" t="s">
        <v>1113</v>
      </c>
      <c r="AP754" s="39" t="str">
        <f>データ!O754</f>
        <v>自分の攻撃力と防御力をUP[極大]</v>
      </c>
      <c r="AQ754" s="41" t="s">
        <v>1024</v>
      </c>
      <c r="AR754" s="40" t="s">
        <v>1324</v>
      </c>
      <c r="AS754" s="39" t="str">
        <f>データ!P754</f>
        <v>グラビティアサルト／鳳</v>
      </c>
      <c r="AT754" s="10" t="s">
        <v>1113</v>
      </c>
      <c r="AU754" s="39" t="str">
        <f>データ!Q754</f>
        <v>パーティ全体の攻撃力極大UP・速度大DOWN＆ユニット1体をタレント状態にする(3分間)</v>
      </c>
      <c r="AV754" s="10" t="s">
        <v>1024</v>
      </c>
      <c r="AW754" s="40" t="s">
        <v>1324</v>
      </c>
      <c r="AX754" s="39" t="str">
        <f>データ!R754</f>
        <v>アサルト／煌</v>
      </c>
      <c r="AY754" s="10" t="s">
        <v>1113</v>
      </c>
      <c r="AZ754" s="39" t="str">
        <f>データ!S754</f>
        <v>パーティ全体の攻撃力が特大UP(3分間)</v>
      </c>
      <c r="BA754" s="41" t="s">
        <v>1024</v>
      </c>
      <c r="BB754" s="40" t="s">
        <v>1319</v>
      </c>
      <c r="BC754" s="39" t="str">
        <f>データ!T754</f>
        <v>不屈の闘気</v>
      </c>
      <c r="BD754" s="41" t="s">
        <v>1024</v>
      </c>
      <c r="BE754" s="40" t="s">
        <v>1319</v>
      </c>
      <c r="BF754" s="39" t="str">
        <f>データ!U754</f>
        <v>-</v>
      </c>
      <c r="BG754" s="41" t="s">
        <v>1024</v>
      </c>
      <c r="BH754" s="40" t="s">
        <v>1319</v>
      </c>
      <c r="BI754" s="39" t="str">
        <f>データ!V754</f>
        <v>第18回統一報酬</v>
      </c>
      <c r="BJ754" s="41" t="s">
        <v>1024</v>
      </c>
      <c r="BK754" s="10" t="s">
        <v>1019</v>
      </c>
    </row>
    <row r="755" spans="1:63" x14ac:dyDescent="0.15">
      <c r="A755" s="10" t="s">
        <v>1016</v>
      </c>
      <c r="B755" s="10" t="s">
        <v>1454</v>
      </c>
      <c r="C755" s="38" t="str">
        <f>"./images/thumbnail/"&amp;データ!B755&amp;".jpg"</f>
        <v>./images/thumbnail/2227.jpg</v>
      </c>
      <c r="D755" s="38" t="s">
        <v>1455</v>
      </c>
      <c r="E755" s="38" t="str">
        <f>"./images/thumbnail/"&amp;データ!B755&amp;".jpg"</f>
        <v>./images/thumbnail/2227.jpg</v>
      </c>
      <c r="F755" s="38" t="s">
        <v>1116</v>
      </c>
      <c r="G755" s="38" t="s">
        <v>1319</v>
      </c>
      <c r="H755" s="38" t="str">
        <f>データ!C755</f>
        <v>エメーリエ</v>
      </c>
      <c r="I755" s="38" t="s">
        <v>1024</v>
      </c>
      <c r="J755" s="38" t="s">
        <v>1319</v>
      </c>
      <c r="K755" s="38" t="str">
        <f>データ!D755</f>
        <v>SSR</v>
      </c>
      <c r="L755" s="38" t="s">
        <v>1024</v>
      </c>
      <c r="M755" s="38" t="s">
        <v>1319</v>
      </c>
      <c r="N755" s="38">
        <f>データ!E755</f>
        <v>14</v>
      </c>
      <c r="O755" s="38" t="s">
        <v>1024</v>
      </c>
      <c r="P755" s="38" t="s">
        <v>1319</v>
      </c>
      <c r="Q755" s="38" t="str">
        <f>データ!F755</f>
        <v>斬</v>
      </c>
      <c r="R755" s="38" t="s">
        <v>1024</v>
      </c>
      <c r="S755" s="38" t="s">
        <v>1319</v>
      </c>
      <c r="T755" s="39">
        <f>データ!G755</f>
        <v>17429</v>
      </c>
      <c r="U755" s="40" t="s">
        <v>1024</v>
      </c>
      <c r="V755" s="40" t="s">
        <v>1319</v>
      </c>
      <c r="W755" s="39">
        <f>データ!H755</f>
        <v>8243</v>
      </c>
      <c r="X755" s="40" t="s">
        <v>1024</v>
      </c>
      <c r="Y755" s="40" t="s">
        <v>1319</v>
      </c>
      <c r="Z755" s="39">
        <f>データ!I755</f>
        <v>6649</v>
      </c>
      <c r="AA755" s="40" t="s">
        <v>1024</v>
      </c>
      <c r="AB755" s="40" t="s">
        <v>1319</v>
      </c>
      <c r="AC755" s="39" t="str">
        <f>データ!J755</f>
        <v>S</v>
      </c>
      <c r="AD755" s="38" t="s">
        <v>1024</v>
      </c>
      <c r="AE755" s="40" t="s">
        <v>1319</v>
      </c>
      <c r="AF755" s="39">
        <f>データ!K755</f>
        <v>32321</v>
      </c>
      <c r="AG755" s="40" t="s">
        <v>1024</v>
      </c>
      <c r="AH755" s="40" t="s">
        <v>1324</v>
      </c>
      <c r="AI755" s="39" t="str">
        <f>データ!L755</f>
        <v>焔幻の一閃／煌</v>
      </c>
      <c r="AJ755" s="10" t="s">
        <v>1113</v>
      </c>
      <c r="AK755" s="39" t="str">
        <f>データ!M755</f>
        <v>横一列に攻撃[特大]</v>
      </c>
      <c r="AL755" s="10" t="s">
        <v>1024</v>
      </c>
      <c r="AM755" s="40" t="s">
        <v>1324</v>
      </c>
      <c r="AN755" s="39" t="str">
        <f>データ!N755</f>
        <v>-</v>
      </c>
      <c r="AO755" s="10" t="s">
        <v>1113</v>
      </c>
      <c r="AP755" s="39" t="str">
        <f>データ!O755</f>
        <v>　</v>
      </c>
      <c r="AQ755" s="41" t="s">
        <v>1024</v>
      </c>
      <c r="AR755" s="40" t="s">
        <v>1324</v>
      </c>
      <c r="AS755" s="39" t="str">
        <f>データ!P755</f>
        <v>フォートレス／煌</v>
      </c>
      <c r="AT755" s="10" t="s">
        <v>1113</v>
      </c>
      <c r="AU755" s="39" t="str">
        <f>データ!Q755</f>
        <v>パーティ全体の防御力が特大UP(3分間)</v>
      </c>
      <c r="AV755" s="10" t="s">
        <v>1024</v>
      </c>
      <c r="AW755" s="40" t="s">
        <v>1324</v>
      </c>
      <c r="AX755" s="39" t="str">
        <f>データ!R755</f>
        <v>-</v>
      </c>
      <c r="AY755" s="10" t="s">
        <v>1113</v>
      </c>
      <c r="AZ755" s="39" t="str">
        <f>データ!S755</f>
        <v>　</v>
      </c>
      <c r="BA755" s="41" t="s">
        <v>1024</v>
      </c>
      <c r="BB755" s="40" t="s">
        <v>1319</v>
      </c>
      <c r="BC755" s="39" t="str">
        <f>データ!T755</f>
        <v>-</v>
      </c>
      <c r="BD755" s="41" t="s">
        <v>1024</v>
      </c>
      <c r="BE755" s="40" t="s">
        <v>1319</v>
      </c>
      <c r="BF755" s="39" t="str">
        <f>データ!U755</f>
        <v>斬属性攻撃力中アップ</v>
      </c>
      <c r="BG755" s="41" t="s">
        <v>1024</v>
      </c>
      <c r="BH755" s="40" t="s">
        <v>1319</v>
      </c>
      <c r="BI755" s="39" t="str">
        <f>データ!V755</f>
        <v>ガチャイベ</v>
      </c>
      <c r="BJ755" s="41" t="s">
        <v>1024</v>
      </c>
      <c r="BK755" s="10" t="s">
        <v>1019</v>
      </c>
    </row>
    <row r="756" spans="1:63" x14ac:dyDescent="0.15">
      <c r="A756" s="10" t="s">
        <v>1016</v>
      </c>
      <c r="B756" s="10" t="s">
        <v>1454</v>
      </c>
      <c r="C756" s="38" t="str">
        <f>"./images/thumbnail/"&amp;データ!B756&amp;".jpg"</f>
        <v>./images/thumbnail/2229.jpg</v>
      </c>
      <c r="D756" s="38" t="s">
        <v>1455</v>
      </c>
      <c r="E756" s="38" t="str">
        <f>"./images/thumbnail/"&amp;データ!B756&amp;".jpg"</f>
        <v>./images/thumbnail/2229.jpg</v>
      </c>
      <c r="F756" s="38" t="s">
        <v>1116</v>
      </c>
      <c r="G756" s="38" t="s">
        <v>1319</v>
      </c>
      <c r="H756" s="38" t="str">
        <f>データ!C756</f>
        <v>ルーカン</v>
      </c>
      <c r="I756" s="38" t="s">
        <v>1024</v>
      </c>
      <c r="J756" s="38" t="s">
        <v>1319</v>
      </c>
      <c r="K756" s="38" t="str">
        <f>データ!D756</f>
        <v>UR</v>
      </c>
      <c r="L756" s="38" t="s">
        <v>1024</v>
      </c>
      <c r="M756" s="38" t="s">
        <v>1319</v>
      </c>
      <c r="N756" s="38">
        <f>データ!E756</f>
        <v>16</v>
      </c>
      <c r="O756" s="38" t="s">
        <v>1024</v>
      </c>
      <c r="P756" s="38" t="s">
        <v>1319</v>
      </c>
      <c r="Q756" s="38" t="str">
        <f>データ!F756</f>
        <v>突</v>
      </c>
      <c r="R756" s="38" t="s">
        <v>1024</v>
      </c>
      <c r="S756" s="38" t="s">
        <v>1319</v>
      </c>
      <c r="T756" s="39">
        <f>データ!G756</f>
        <v>26926</v>
      </c>
      <c r="U756" s="40" t="s">
        <v>1024</v>
      </c>
      <c r="V756" s="40" t="s">
        <v>1319</v>
      </c>
      <c r="W756" s="39">
        <f>データ!H756</f>
        <v>7720</v>
      </c>
      <c r="X756" s="40" t="s">
        <v>1024</v>
      </c>
      <c r="Y756" s="40" t="s">
        <v>1319</v>
      </c>
      <c r="Z756" s="39">
        <f>データ!I756</f>
        <v>10123</v>
      </c>
      <c r="AA756" s="40" t="s">
        <v>1024</v>
      </c>
      <c r="AB756" s="40" t="s">
        <v>1319</v>
      </c>
      <c r="AC756" s="39" t="str">
        <f>データ!J756</f>
        <v>SS4</v>
      </c>
      <c r="AD756" s="38" t="s">
        <v>1024</v>
      </c>
      <c r="AE756" s="40" t="s">
        <v>1319</v>
      </c>
      <c r="AF756" s="39">
        <f>データ!K756</f>
        <v>44769</v>
      </c>
      <c r="AG756" s="40" t="s">
        <v>1024</v>
      </c>
      <c r="AH756" s="40" t="s">
        <v>1324</v>
      </c>
      <c r="AI756" s="39" t="str">
        <f>データ!L756</f>
        <v>天幻神の五連撃／絶</v>
      </c>
      <c r="AJ756" s="10" t="s">
        <v>1113</v>
      </c>
      <c r="AK756" s="39" t="str">
        <f>データ!M756</f>
        <v>ランダム5連続攻撃[大]自分の攻撃力UP[大]</v>
      </c>
      <c r="AL756" s="10" t="s">
        <v>1024</v>
      </c>
      <c r="AM756" s="40" t="s">
        <v>1324</v>
      </c>
      <c r="AN756" s="39" t="str">
        <f>データ!N756</f>
        <v>-</v>
      </c>
      <c r="AO756" s="10" t="s">
        <v>1113</v>
      </c>
      <c r="AP756" s="39" t="str">
        <f>データ!O756</f>
        <v>　</v>
      </c>
      <c r="AQ756" s="41" t="s">
        <v>1024</v>
      </c>
      <c r="AR756" s="40" t="s">
        <v>1324</v>
      </c>
      <c r="AS756" s="39" t="str">
        <f>データ!P756</f>
        <v>ランページ／鳳</v>
      </c>
      <c r="AT756" s="10" t="s">
        <v>1113</v>
      </c>
      <c r="AU756" s="39" t="str">
        <f>データ!Q756</f>
        <v>バトルで獲得する騎士団戦スコアが極大アップ＆ユニット1体をタレント状態にする(3分間)</v>
      </c>
      <c r="AV756" s="10" t="s">
        <v>1024</v>
      </c>
      <c r="AW756" s="40" t="s">
        <v>1324</v>
      </c>
      <c r="AX756" s="39" t="str">
        <f>データ!R756</f>
        <v>フォートレス／煌</v>
      </c>
      <c r="AY756" s="10" t="s">
        <v>1113</v>
      </c>
      <c r="AZ756" s="39" t="str">
        <f>データ!S756</f>
        <v>パーティ全体の防御力が特大UP(3分間)</v>
      </c>
      <c r="BA756" s="41" t="s">
        <v>1024</v>
      </c>
      <c r="BB756" s="40" t="s">
        <v>1319</v>
      </c>
      <c r="BC756" s="39" t="str">
        <f>データ!T756</f>
        <v>蒼突の闘気</v>
      </c>
      <c r="BD756" s="41" t="s">
        <v>1024</v>
      </c>
      <c r="BE756" s="40" t="s">
        <v>1319</v>
      </c>
      <c r="BF756" s="39" t="str">
        <f>データ!U756</f>
        <v>-</v>
      </c>
      <c r="BG756" s="41" t="s">
        <v>1024</v>
      </c>
      <c r="BH756" s="40" t="s">
        <v>1319</v>
      </c>
      <c r="BI756" s="39" t="str">
        <f>データ!V756</f>
        <v>ガチャイベ</v>
      </c>
      <c r="BJ756" s="41" t="s">
        <v>1024</v>
      </c>
      <c r="BK756" s="10" t="s">
        <v>1019</v>
      </c>
    </row>
    <row r="757" spans="1:63" x14ac:dyDescent="0.15">
      <c r="A757" s="10" t="s">
        <v>1016</v>
      </c>
      <c r="B757" s="10" t="s">
        <v>1454</v>
      </c>
      <c r="C757" s="38" t="str">
        <f>"./images/thumbnail/"&amp;データ!B757&amp;".jpg"</f>
        <v>./images/thumbnail/2231.jpg</v>
      </c>
      <c r="D757" s="38" t="s">
        <v>1455</v>
      </c>
      <c r="E757" s="38" t="str">
        <f>"./images/thumbnail/"&amp;データ!B757&amp;".jpg"</f>
        <v>./images/thumbnail/2231.jpg</v>
      </c>
      <c r="F757" s="38" t="s">
        <v>1116</v>
      </c>
      <c r="G757" s="38" t="s">
        <v>1319</v>
      </c>
      <c r="H757" s="38" t="str">
        <f>データ!C757</f>
        <v>セシル</v>
      </c>
      <c r="I757" s="38" t="s">
        <v>1024</v>
      </c>
      <c r="J757" s="38" t="s">
        <v>1319</v>
      </c>
      <c r="K757" s="38" t="str">
        <f>データ!D757</f>
        <v>UR</v>
      </c>
      <c r="L757" s="38" t="s">
        <v>1024</v>
      </c>
      <c r="M757" s="38" t="s">
        <v>1319</v>
      </c>
      <c r="N757" s="38">
        <f>データ!E757</f>
        <v>16</v>
      </c>
      <c r="O757" s="38" t="s">
        <v>1024</v>
      </c>
      <c r="P757" s="38" t="s">
        <v>1319</v>
      </c>
      <c r="Q757" s="38" t="str">
        <f>データ!F757</f>
        <v>遠</v>
      </c>
      <c r="R757" s="38" t="s">
        <v>1024</v>
      </c>
      <c r="S757" s="38" t="s">
        <v>1319</v>
      </c>
      <c r="T757" s="39">
        <f>データ!G757</f>
        <v>26866</v>
      </c>
      <c r="U757" s="40" t="s">
        <v>1024</v>
      </c>
      <c r="V757" s="40" t="s">
        <v>1319</v>
      </c>
      <c r="W757" s="39">
        <f>データ!H757</f>
        <v>9083</v>
      </c>
      <c r="X757" s="40" t="s">
        <v>1024</v>
      </c>
      <c r="Y757" s="40" t="s">
        <v>1319</v>
      </c>
      <c r="Z757" s="39">
        <f>データ!I757</f>
        <v>8526</v>
      </c>
      <c r="AA757" s="40" t="s">
        <v>1024</v>
      </c>
      <c r="AB757" s="40" t="s">
        <v>1319</v>
      </c>
      <c r="AC757" s="39" t="str">
        <f>データ!J757</f>
        <v>SS1</v>
      </c>
      <c r="AD757" s="38" t="s">
        <v>1024</v>
      </c>
      <c r="AE757" s="40" t="s">
        <v>1319</v>
      </c>
      <c r="AF757" s="39">
        <f>データ!K757</f>
        <v>44475</v>
      </c>
      <c r="AG757" s="40" t="s">
        <v>1024</v>
      </c>
      <c r="AH757" s="40" t="s">
        <v>1324</v>
      </c>
      <c r="AI757" s="39" t="str">
        <f>データ!L757</f>
        <v>地幻射の五連撃／絶</v>
      </c>
      <c r="AJ757" s="10" t="s">
        <v>1113</v>
      </c>
      <c r="AK757" s="39" t="str">
        <f>データ!M757</f>
        <v>ランダム4連続攻撃[大]自分の防御力UP[大]</v>
      </c>
      <c r="AL757" s="10" t="s">
        <v>1024</v>
      </c>
      <c r="AM757" s="40" t="s">
        <v>1324</v>
      </c>
      <c r="AN757" s="39" t="str">
        <f>データ!N757</f>
        <v>-</v>
      </c>
      <c r="AO757" s="10" t="s">
        <v>1113</v>
      </c>
      <c r="AP757" s="39" t="str">
        <f>データ!O757</f>
        <v>　</v>
      </c>
      <c r="AQ757" s="41" t="s">
        <v>1024</v>
      </c>
      <c r="AR757" s="40" t="s">
        <v>1324</v>
      </c>
      <c r="AS757" s="39" t="str">
        <f>データ!P757</f>
        <v>ブリッツ／煌</v>
      </c>
      <c r="AT757" s="10" t="s">
        <v>1113</v>
      </c>
      <c r="AU757" s="39" t="str">
        <f>データ!Q757</f>
        <v>強襲CBの発生確率・強襲時獲得ポイント特大UP＆ユニット1体をタレント状態にする(3分間)</v>
      </c>
      <c r="AV757" s="10" t="s">
        <v>1024</v>
      </c>
      <c r="AW757" s="40" t="s">
        <v>1324</v>
      </c>
      <c r="AX757" s="39" t="str">
        <f>データ!R757</f>
        <v>グラビティアサルト／煌</v>
      </c>
      <c r="AY757" s="10" t="s">
        <v>1113</v>
      </c>
      <c r="AZ757" s="39" t="str">
        <f>データ!S757</f>
        <v>パーティ全体の攻撃力特大UP・速度大DOWN(3分間)</v>
      </c>
      <c r="BA757" s="41" t="s">
        <v>1024</v>
      </c>
      <c r="BB757" s="40" t="s">
        <v>1319</v>
      </c>
      <c r="BC757" s="39" t="str">
        <f>データ!T757</f>
        <v>光芒の練気</v>
      </c>
      <c r="BD757" s="41" t="s">
        <v>1024</v>
      </c>
      <c r="BE757" s="40" t="s">
        <v>1319</v>
      </c>
      <c r="BF757" s="39" t="str">
        <f>データ!U757</f>
        <v>-</v>
      </c>
      <c r="BG757" s="41" t="s">
        <v>1024</v>
      </c>
      <c r="BH757" s="40" t="s">
        <v>1319</v>
      </c>
      <c r="BI757" s="39" t="str">
        <f>データ!V757</f>
        <v>ガチャイベ</v>
      </c>
      <c r="BJ757" s="41" t="s">
        <v>1024</v>
      </c>
      <c r="BK757" s="10" t="s">
        <v>1019</v>
      </c>
    </row>
    <row r="758" spans="1:63" x14ac:dyDescent="0.15">
      <c r="A758" s="10" t="s">
        <v>1016</v>
      </c>
      <c r="B758" s="10" t="s">
        <v>1454</v>
      </c>
      <c r="C758" s="38" t="str">
        <f>"./images/thumbnail/"&amp;データ!B758&amp;".jpg"</f>
        <v>./images/thumbnail/2232.jpg</v>
      </c>
      <c r="D758" s="38" t="s">
        <v>1455</v>
      </c>
      <c r="E758" s="38" t="str">
        <f>"./images/thumbnail/"&amp;データ!B758&amp;".jpg"</f>
        <v>./images/thumbnail/2232.jpg</v>
      </c>
      <c r="F758" s="38" t="s">
        <v>1116</v>
      </c>
      <c r="G758" s="38" t="s">
        <v>1319</v>
      </c>
      <c r="H758" s="38" t="str">
        <f>データ!C758</f>
        <v>レオン</v>
      </c>
      <c r="I758" s="38" t="s">
        <v>1024</v>
      </c>
      <c r="J758" s="38" t="s">
        <v>1319</v>
      </c>
      <c r="K758" s="38" t="str">
        <f>データ!D758</f>
        <v>UR</v>
      </c>
      <c r="L758" s="38" t="s">
        <v>1024</v>
      </c>
      <c r="M758" s="38" t="s">
        <v>1319</v>
      </c>
      <c r="N758" s="38">
        <f>データ!E758</f>
        <v>16</v>
      </c>
      <c r="O758" s="38" t="s">
        <v>1024</v>
      </c>
      <c r="P758" s="38" t="s">
        <v>1319</v>
      </c>
      <c r="Q758" s="38" t="str">
        <f>データ!F758</f>
        <v>斬</v>
      </c>
      <c r="R758" s="38" t="s">
        <v>1024</v>
      </c>
      <c r="S758" s="38" t="s">
        <v>1319</v>
      </c>
      <c r="T758" s="39">
        <f>データ!G758</f>
        <v>21861</v>
      </c>
      <c r="U758" s="40" t="s">
        <v>1024</v>
      </c>
      <c r="V758" s="40" t="s">
        <v>1319</v>
      </c>
      <c r="W758" s="39">
        <f>データ!H758</f>
        <v>10071</v>
      </c>
      <c r="X758" s="40" t="s">
        <v>1024</v>
      </c>
      <c r="Y758" s="40" t="s">
        <v>1319</v>
      </c>
      <c r="Z758" s="39">
        <f>データ!I758</f>
        <v>7944</v>
      </c>
      <c r="AA758" s="40" t="s">
        <v>1024</v>
      </c>
      <c r="AB758" s="40" t="s">
        <v>1319</v>
      </c>
      <c r="AC758" s="39" t="str">
        <f>データ!J758</f>
        <v>SS+</v>
      </c>
      <c r="AD758" s="38" t="s">
        <v>1024</v>
      </c>
      <c r="AE758" s="40" t="s">
        <v>1319</v>
      </c>
      <c r="AF758" s="39">
        <f>データ!K758</f>
        <v>39876</v>
      </c>
      <c r="AG758" s="40" t="s">
        <v>1024</v>
      </c>
      <c r="AH758" s="40" t="s">
        <v>1324</v>
      </c>
      <c r="AI758" s="39" t="str">
        <f>データ!L758</f>
        <v>魔幻の閃光／鳳</v>
      </c>
      <c r="AJ758" s="10" t="s">
        <v>1113</v>
      </c>
      <c r="AK758" s="39" t="str">
        <f>データ!M758</f>
        <v>縦一列に攻撃[極大]</v>
      </c>
      <c r="AL758" s="10" t="s">
        <v>1024</v>
      </c>
      <c r="AM758" s="40" t="s">
        <v>1324</v>
      </c>
      <c r="AN758" s="39" t="str">
        <f>データ!N758</f>
        <v>-</v>
      </c>
      <c r="AO758" s="10" t="s">
        <v>1113</v>
      </c>
      <c r="AP758" s="39" t="str">
        <f>データ!O758</f>
        <v>　</v>
      </c>
      <c r="AQ758" s="41" t="s">
        <v>1024</v>
      </c>
      <c r="AR758" s="40" t="s">
        <v>1324</v>
      </c>
      <c r="AS758" s="39" t="str">
        <f>データ!P758</f>
        <v>エース／鳳</v>
      </c>
      <c r="AT758" s="10" t="s">
        <v>1113</v>
      </c>
      <c r="AU758" s="39" t="str">
        <f>データ!Q758</f>
        <v>パーティ全体の攻・防が極大UP＆ユニット1体をタレント状態にする(3分間)</v>
      </c>
      <c r="AV758" s="10" t="s">
        <v>1024</v>
      </c>
      <c r="AW758" s="40" t="s">
        <v>1324</v>
      </c>
      <c r="AX758" s="39" t="str">
        <f>データ!R758</f>
        <v>シャドウ／絶</v>
      </c>
      <c r="AY758" s="10" t="s">
        <v>1113</v>
      </c>
      <c r="AZ758" s="39" t="str">
        <f>データ!S758</f>
        <v>バトル時の強襲CB率が大UP(3分間)</v>
      </c>
      <c r="BA758" s="41" t="s">
        <v>1024</v>
      </c>
      <c r="BB758" s="40" t="s">
        <v>1319</v>
      </c>
      <c r="BC758" s="39" t="str">
        <f>データ!T758</f>
        <v>-</v>
      </c>
      <c r="BD758" s="41" t="s">
        <v>1024</v>
      </c>
      <c r="BE758" s="40" t="s">
        <v>1319</v>
      </c>
      <c r="BF758" s="39" t="str">
        <f>データ!U758</f>
        <v>斬属性攻撃力中アップ</v>
      </c>
      <c r="BG758" s="41" t="s">
        <v>1024</v>
      </c>
      <c r="BH758" s="40" t="s">
        <v>1319</v>
      </c>
      <c r="BI758" s="39" t="str">
        <f>データ!V758</f>
        <v>トレジャーチェストガチャ</v>
      </c>
      <c r="BJ758" s="41" t="s">
        <v>1024</v>
      </c>
      <c r="BK758" s="10" t="s">
        <v>1019</v>
      </c>
    </row>
    <row r="759" spans="1:63" x14ac:dyDescent="0.15">
      <c r="A759" s="10" t="s">
        <v>1016</v>
      </c>
      <c r="B759" s="10" t="s">
        <v>1454</v>
      </c>
      <c r="C759" s="38" t="str">
        <f>"./images/thumbnail/"&amp;データ!B759&amp;".jpg"</f>
        <v>./images/thumbnail/2233.jpg</v>
      </c>
      <c r="D759" s="38" t="s">
        <v>1455</v>
      </c>
      <c r="E759" s="38" t="str">
        <f>"./images/thumbnail/"&amp;データ!B759&amp;".jpg"</f>
        <v>./images/thumbnail/2233.jpg</v>
      </c>
      <c r="F759" s="38" t="s">
        <v>1116</v>
      </c>
      <c r="G759" s="38" t="s">
        <v>1319</v>
      </c>
      <c r="H759" s="38" t="str">
        <f>データ!C759</f>
        <v>ルナ</v>
      </c>
      <c r="I759" s="38" t="s">
        <v>1024</v>
      </c>
      <c r="J759" s="38" t="s">
        <v>1319</v>
      </c>
      <c r="K759" s="38" t="str">
        <f>データ!D759</f>
        <v>UR</v>
      </c>
      <c r="L759" s="38" t="s">
        <v>1024</v>
      </c>
      <c r="M759" s="38" t="s">
        <v>1319</v>
      </c>
      <c r="N759" s="38">
        <f>データ!E759</f>
        <v>16</v>
      </c>
      <c r="O759" s="38" t="s">
        <v>1024</v>
      </c>
      <c r="P759" s="38" t="s">
        <v>1319</v>
      </c>
      <c r="Q759" s="38" t="str">
        <f>データ!F759</f>
        <v>遠</v>
      </c>
      <c r="R759" s="38" t="s">
        <v>1024</v>
      </c>
      <c r="S759" s="38" t="s">
        <v>1319</v>
      </c>
      <c r="T759" s="39">
        <f>データ!G759</f>
        <v>25415</v>
      </c>
      <c r="U759" s="40" t="s">
        <v>1024</v>
      </c>
      <c r="V759" s="40" t="s">
        <v>1319</v>
      </c>
      <c r="W759" s="39">
        <f>データ!H759</f>
        <v>8685</v>
      </c>
      <c r="X759" s="40" t="s">
        <v>1024</v>
      </c>
      <c r="Y759" s="40" t="s">
        <v>1319</v>
      </c>
      <c r="Z759" s="39">
        <f>データ!I759</f>
        <v>8374</v>
      </c>
      <c r="AA759" s="40" t="s">
        <v>1024</v>
      </c>
      <c r="AB759" s="40" t="s">
        <v>1319</v>
      </c>
      <c r="AC759" s="39" t="str">
        <f>データ!J759</f>
        <v>SS1</v>
      </c>
      <c r="AD759" s="38" t="s">
        <v>1024</v>
      </c>
      <c r="AE759" s="40" t="s">
        <v>1319</v>
      </c>
      <c r="AF759" s="39">
        <f>データ!K759</f>
        <v>42474</v>
      </c>
      <c r="AG759" s="40" t="s">
        <v>1024</v>
      </c>
      <c r="AH759" s="40" t="s">
        <v>1324</v>
      </c>
      <c r="AI759" s="39" t="str">
        <f>データ!L759</f>
        <v>浄化の一撃／煌</v>
      </c>
      <c r="AJ759" s="10" t="s">
        <v>1113</v>
      </c>
      <c r="AK759" s="39" t="str">
        <f>データ!M759</f>
        <v>単体固定ﾀﾞﾒｰｼﾞ[極大]+味方ｽﾃｰﾀｽDOWN解除</v>
      </c>
      <c r="AL759" s="10" t="s">
        <v>1024</v>
      </c>
      <c r="AM759" s="40" t="s">
        <v>1324</v>
      </c>
      <c r="AN759" s="39" t="str">
        <f>データ!N759</f>
        <v>-</v>
      </c>
      <c r="AO759" s="10" t="s">
        <v>1113</v>
      </c>
      <c r="AP759" s="39" t="str">
        <f>データ!O759</f>
        <v>　</v>
      </c>
      <c r="AQ759" s="41" t="s">
        <v>1024</v>
      </c>
      <c r="AR759" s="40" t="s">
        <v>1324</v>
      </c>
      <c r="AS759" s="39" t="str">
        <f>データ!P759</f>
        <v>オラトリオ／鳳</v>
      </c>
      <c r="AT759" s="10" t="s">
        <v>1113</v>
      </c>
      <c r="AU759" s="39" t="str">
        <f>データ!Q759</f>
        <v>強襲無効、攻撃力・スキル発動率極大UP＆ユニット1体をタレント状態にする(5分間)</v>
      </c>
      <c r="AV759" s="10" t="s">
        <v>1024</v>
      </c>
      <c r="AW759" s="40" t="s">
        <v>1324</v>
      </c>
      <c r="AX759" s="39" t="str">
        <f>データ!R759</f>
        <v>エース／煌</v>
      </c>
      <c r="AY759" s="10" t="s">
        <v>1113</v>
      </c>
      <c r="AZ759" s="39" t="str">
        <f>データ!S759</f>
        <v>パーティ全体の攻・防が特大UP(3分間)</v>
      </c>
      <c r="BA759" s="41" t="s">
        <v>1024</v>
      </c>
      <c r="BB759" s="40" t="s">
        <v>1319</v>
      </c>
      <c r="BC759" s="39" t="str">
        <f>データ!T759</f>
        <v>斬紅烈撃／真</v>
      </c>
      <c r="BD759" s="41" t="s">
        <v>1024</v>
      </c>
      <c r="BE759" s="40" t="s">
        <v>1319</v>
      </c>
      <c r="BF759" s="39" t="str">
        <f>データ!U759</f>
        <v>-</v>
      </c>
      <c r="BG759" s="41" t="s">
        <v>1024</v>
      </c>
      <c r="BH759" s="40" t="s">
        <v>1319</v>
      </c>
      <c r="BI759" s="39" t="str">
        <f>データ!V759</f>
        <v>ガチャイベ</v>
      </c>
      <c r="BJ759" s="41" t="s">
        <v>1024</v>
      </c>
      <c r="BK759" s="10" t="s">
        <v>1019</v>
      </c>
    </row>
    <row r="760" spans="1:63" x14ac:dyDescent="0.15">
      <c r="A760" s="10" t="s">
        <v>1016</v>
      </c>
      <c r="B760" s="10" t="s">
        <v>1454</v>
      </c>
      <c r="C760" s="38" t="str">
        <f>"./images/thumbnail/"&amp;データ!B760&amp;".jpg"</f>
        <v>./images/thumbnail/2234.jpg</v>
      </c>
      <c r="D760" s="38" t="s">
        <v>1455</v>
      </c>
      <c r="E760" s="38" t="str">
        <f>"./images/thumbnail/"&amp;データ!B760&amp;".jpg"</f>
        <v>./images/thumbnail/2234.jpg</v>
      </c>
      <c r="F760" s="38" t="s">
        <v>1116</v>
      </c>
      <c r="G760" s="38" t="s">
        <v>1319</v>
      </c>
      <c r="H760" s="38" t="str">
        <f>データ!C760</f>
        <v>ゲール</v>
      </c>
      <c r="I760" s="38" t="s">
        <v>1024</v>
      </c>
      <c r="J760" s="38" t="s">
        <v>1319</v>
      </c>
      <c r="K760" s="38" t="str">
        <f>データ!D760</f>
        <v>SSR</v>
      </c>
      <c r="L760" s="38" t="s">
        <v>1024</v>
      </c>
      <c r="M760" s="38" t="s">
        <v>1319</v>
      </c>
      <c r="N760" s="38">
        <f>データ!E760</f>
        <v>14</v>
      </c>
      <c r="O760" s="38" t="s">
        <v>1024</v>
      </c>
      <c r="P760" s="38" t="s">
        <v>1319</v>
      </c>
      <c r="Q760" s="38" t="str">
        <f>データ!F760</f>
        <v>遠</v>
      </c>
      <c r="R760" s="38" t="s">
        <v>1024</v>
      </c>
      <c r="S760" s="38" t="s">
        <v>1319</v>
      </c>
      <c r="T760" s="39">
        <f>データ!G760</f>
        <v>19084</v>
      </c>
      <c r="U760" s="40" t="s">
        <v>1024</v>
      </c>
      <c r="V760" s="40" t="s">
        <v>1319</v>
      </c>
      <c r="W760" s="39">
        <f>データ!H760</f>
        <v>6959</v>
      </c>
      <c r="X760" s="40" t="s">
        <v>1024</v>
      </c>
      <c r="Y760" s="40" t="s">
        <v>1319</v>
      </c>
      <c r="Z760" s="39">
        <f>データ!I760</f>
        <v>6331</v>
      </c>
      <c r="AA760" s="40" t="s">
        <v>1024</v>
      </c>
      <c r="AB760" s="40" t="s">
        <v>1319</v>
      </c>
      <c r="AC760" s="39" t="str">
        <f>データ!J760</f>
        <v>S+</v>
      </c>
      <c r="AD760" s="38" t="s">
        <v>1024</v>
      </c>
      <c r="AE760" s="40" t="s">
        <v>1319</v>
      </c>
      <c r="AF760" s="39">
        <f>データ!K760</f>
        <v>32374</v>
      </c>
      <c r="AG760" s="40" t="s">
        <v>1024</v>
      </c>
      <c r="AH760" s="40" t="s">
        <v>1324</v>
      </c>
      <c r="AI760" s="39" t="str">
        <f>データ!L760</f>
        <v>強奪者の雷／煌</v>
      </c>
      <c r="AJ760" s="10" t="s">
        <v>1113</v>
      </c>
      <c r="AK760" s="39" t="str">
        <f>データ!M760</f>
        <v>単体攻撃（宝箱優先／追加ダメージ）[特大]</v>
      </c>
      <c r="AL760" s="10" t="s">
        <v>1024</v>
      </c>
      <c r="AM760" s="40" t="s">
        <v>1324</v>
      </c>
      <c r="AN760" s="39" t="str">
        <f>データ!N760</f>
        <v>-</v>
      </c>
      <c r="AO760" s="10" t="s">
        <v>1113</v>
      </c>
      <c r="AP760" s="39" t="str">
        <f>データ!O760</f>
        <v>　</v>
      </c>
      <c r="AQ760" s="41" t="s">
        <v>1024</v>
      </c>
      <c r="AR760" s="40" t="s">
        <v>1324</v>
      </c>
      <c r="AS760" s="39" t="str">
        <f>データ!P760</f>
        <v>オラクル／絶</v>
      </c>
      <c r="AT760" s="10" t="s">
        <v>1113</v>
      </c>
      <c r="AU760" s="39" t="str">
        <f>データ!Q760</f>
        <v>パーティ全体のスキル発動率が大UP(3分間)</v>
      </c>
      <c r="AV760" s="10" t="s">
        <v>1024</v>
      </c>
      <c r="AW760" s="40" t="s">
        <v>1324</v>
      </c>
      <c r="AX760" s="39" t="str">
        <f>データ!R760</f>
        <v>-</v>
      </c>
      <c r="AY760" s="10" t="s">
        <v>1113</v>
      </c>
      <c r="AZ760" s="39" t="str">
        <f>データ!S760</f>
        <v>　</v>
      </c>
      <c r="BA760" s="41" t="s">
        <v>1024</v>
      </c>
      <c r="BB760" s="40" t="s">
        <v>1319</v>
      </c>
      <c r="BC760" s="39" t="str">
        <f>データ!T760</f>
        <v>-</v>
      </c>
      <c r="BD760" s="41" t="s">
        <v>1024</v>
      </c>
      <c r="BE760" s="40" t="s">
        <v>1319</v>
      </c>
      <c r="BF760" s="39" t="str">
        <f>データ!U760</f>
        <v>遠属性攻撃力小アップ</v>
      </c>
      <c r="BG760" s="41" t="s">
        <v>1024</v>
      </c>
      <c r="BH760" s="40" t="s">
        <v>1319</v>
      </c>
      <c r="BI760" s="39" t="str">
        <f>データ!V760</f>
        <v>ポーカー</v>
      </c>
      <c r="BJ760" s="41" t="s">
        <v>1024</v>
      </c>
      <c r="BK760" s="10" t="s">
        <v>1019</v>
      </c>
    </row>
    <row r="761" spans="1:63" x14ac:dyDescent="0.15">
      <c r="A761" s="10" t="s">
        <v>1016</v>
      </c>
      <c r="B761" s="10" t="s">
        <v>1454</v>
      </c>
      <c r="C761" s="38" t="str">
        <f>"./images/thumbnail/"&amp;データ!B761&amp;".jpg"</f>
        <v>./images/thumbnail/2236.jpg</v>
      </c>
      <c r="D761" s="38" t="s">
        <v>1455</v>
      </c>
      <c r="E761" s="38" t="str">
        <f>"./images/thumbnail/"&amp;データ!B761&amp;".jpg"</f>
        <v>./images/thumbnail/2236.jpg</v>
      </c>
      <c r="F761" s="38" t="s">
        <v>1116</v>
      </c>
      <c r="G761" s="38" t="s">
        <v>1319</v>
      </c>
      <c r="H761" s="38" t="str">
        <f>データ!C761</f>
        <v>アルーシャ</v>
      </c>
      <c r="I761" s="38" t="s">
        <v>1024</v>
      </c>
      <c r="J761" s="38" t="s">
        <v>1319</v>
      </c>
      <c r="K761" s="38" t="str">
        <f>データ!D761</f>
        <v>UR</v>
      </c>
      <c r="L761" s="38" t="s">
        <v>1024</v>
      </c>
      <c r="M761" s="38" t="s">
        <v>1319</v>
      </c>
      <c r="N761" s="38">
        <f>データ!E761</f>
        <v>16</v>
      </c>
      <c r="O761" s="38" t="s">
        <v>1024</v>
      </c>
      <c r="P761" s="38" t="s">
        <v>1319</v>
      </c>
      <c r="Q761" s="38" t="str">
        <f>データ!F761</f>
        <v>斬</v>
      </c>
      <c r="R761" s="38" t="s">
        <v>1024</v>
      </c>
      <c r="S761" s="38" t="s">
        <v>1319</v>
      </c>
      <c r="T761" s="39">
        <f>データ!G761</f>
        <v>22009</v>
      </c>
      <c r="U761" s="40" t="s">
        <v>1024</v>
      </c>
      <c r="V761" s="40" t="s">
        <v>1319</v>
      </c>
      <c r="W761" s="39">
        <f>データ!H761</f>
        <v>10443</v>
      </c>
      <c r="X761" s="40" t="s">
        <v>1024</v>
      </c>
      <c r="Y761" s="40" t="s">
        <v>1319</v>
      </c>
      <c r="Z761" s="39">
        <f>データ!I761</f>
        <v>8500</v>
      </c>
      <c r="AA761" s="40" t="s">
        <v>1024</v>
      </c>
      <c r="AB761" s="40" t="s">
        <v>1319</v>
      </c>
      <c r="AC761" s="39" t="str">
        <f>データ!J761</f>
        <v>SS+</v>
      </c>
      <c r="AD761" s="38" t="s">
        <v>1024</v>
      </c>
      <c r="AE761" s="40" t="s">
        <v>1319</v>
      </c>
      <c r="AF761" s="39">
        <f>データ!K761</f>
        <v>40952</v>
      </c>
      <c r="AG761" s="40" t="s">
        <v>1024</v>
      </c>
      <c r="AH761" s="40" t="s">
        <v>1324</v>
      </c>
      <c r="AI761" s="39" t="str">
        <f>データ!L761</f>
        <v>対蒼の薙風／鳳</v>
      </c>
      <c r="AJ761" s="10" t="s">
        <v>1113</v>
      </c>
      <c r="AK761" s="39" t="str">
        <f>データ!M761</f>
        <v>突に強く斬に弱い横一列攻撃[極大]</v>
      </c>
      <c r="AL761" s="10" t="s">
        <v>1024</v>
      </c>
      <c r="AM761" s="40" t="s">
        <v>1324</v>
      </c>
      <c r="AN761" s="39" t="str">
        <f>データ!N761</f>
        <v>-</v>
      </c>
      <c r="AO761" s="10" t="s">
        <v>1113</v>
      </c>
      <c r="AP761" s="39" t="str">
        <f>データ!O761</f>
        <v>　</v>
      </c>
      <c r="AQ761" s="41" t="s">
        <v>1024</v>
      </c>
      <c r="AR761" s="40" t="s">
        <v>1324</v>
      </c>
      <c r="AS761" s="39" t="str">
        <f>データ!P761</f>
        <v>アサルト／鳳</v>
      </c>
      <c r="AT761" s="10" t="s">
        <v>1113</v>
      </c>
      <c r="AU761" s="39" t="str">
        <f>データ!Q761</f>
        <v>パーティ全体の攻撃力が極大UP＆ユニット1体をタレント状態にする(3分間)</v>
      </c>
      <c r="AV761" s="10" t="s">
        <v>1024</v>
      </c>
      <c r="AW761" s="40" t="s">
        <v>1324</v>
      </c>
      <c r="AX761" s="39" t="str">
        <f>データ!R761</f>
        <v>フォースオブウィッシュ／絶</v>
      </c>
      <c r="AY761" s="10" t="s">
        <v>1113</v>
      </c>
      <c r="AZ761" s="39" t="str">
        <f>データ!S761</f>
        <v>騎士団全員のBPを大回復</v>
      </c>
      <c r="BA761" s="41" t="s">
        <v>1024</v>
      </c>
      <c r="BB761" s="40" t="s">
        <v>1319</v>
      </c>
      <c r="BC761" s="39" t="str">
        <f>データ!T761</f>
        <v>防壁の装衣</v>
      </c>
      <c r="BD761" s="41" t="s">
        <v>1024</v>
      </c>
      <c r="BE761" s="40" t="s">
        <v>1319</v>
      </c>
      <c r="BF761" s="39" t="str">
        <f>データ!U761</f>
        <v>-</v>
      </c>
      <c r="BG761" s="41" t="s">
        <v>1024</v>
      </c>
      <c r="BH761" s="40" t="s">
        <v>1319</v>
      </c>
      <c r="BI761" s="39" t="str">
        <f>データ!V761</f>
        <v>ガチャイベ</v>
      </c>
      <c r="BJ761" s="41" t="s">
        <v>1024</v>
      </c>
      <c r="BK761" s="10" t="s">
        <v>1019</v>
      </c>
    </row>
    <row r="762" spans="1:63" x14ac:dyDescent="0.15">
      <c r="A762" s="10" t="s">
        <v>1016</v>
      </c>
      <c r="B762" s="10" t="s">
        <v>1454</v>
      </c>
      <c r="C762" s="38" t="str">
        <f>"./images/thumbnail/"&amp;データ!B762&amp;".jpg"</f>
        <v>./images/thumbnail/2238.jpg</v>
      </c>
      <c r="D762" s="38" t="s">
        <v>1455</v>
      </c>
      <c r="E762" s="38" t="str">
        <f>"./images/thumbnail/"&amp;データ!B762&amp;".jpg"</f>
        <v>./images/thumbnail/2238.jpg</v>
      </c>
      <c r="F762" s="38" t="s">
        <v>1116</v>
      </c>
      <c r="G762" s="38" t="s">
        <v>1319</v>
      </c>
      <c r="H762" s="38" t="str">
        <f>データ!C762</f>
        <v>ヴィルヘルム</v>
      </c>
      <c r="I762" s="38" t="s">
        <v>1024</v>
      </c>
      <c r="J762" s="38" t="s">
        <v>1319</v>
      </c>
      <c r="K762" s="38" t="str">
        <f>データ!D762</f>
        <v>UR</v>
      </c>
      <c r="L762" s="38" t="s">
        <v>1024</v>
      </c>
      <c r="M762" s="38" t="s">
        <v>1319</v>
      </c>
      <c r="N762" s="38">
        <f>データ!E762</f>
        <v>16</v>
      </c>
      <c r="O762" s="38" t="s">
        <v>1024</v>
      </c>
      <c r="P762" s="38" t="s">
        <v>1319</v>
      </c>
      <c r="Q762" s="38" t="str">
        <f>データ!F762</f>
        <v>打</v>
      </c>
      <c r="R762" s="38" t="s">
        <v>1024</v>
      </c>
      <c r="S762" s="38" t="s">
        <v>1319</v>
      </c>
      <c r="T762" s="39">
        <f>データ!G762</f>
        <v>30815</v>
      </c>
      <c r="U762" s="40" t="s">
        <v>1024</v>
      </c>
      <c r="V762" s="40" t="s">
        <v>1319</v>
      </c>
      <c r="W762" s="39">
        <f>データ!H762</f>
        <v>8833</v>
      </c>
      <c r="X762" s="40" t="s">
        <v>1024</v>
      </c>
      <c r="Y762" s="40" t="s">
        <v>1319</v>
      </c>
      <c r="Z762" s="39">
        <f>データ!I762</f>
        <v>12138</v>
      </c>
      <c r="AA762" s="40" t="s">
        <v>1024</v>
      </c>
      <c r="AB762" s="40" t="s">
        <v>1319</v>
      </c>
      <c r="AC762" s="39" t="str">
        <f>データ!J762</f>
        <v>SS-</v>
      </c>
      <c r="AD762" s="38" t="s">
        <v>1024</v>
      </c>
      <c r="AE762" s="40" t="s">
        <v>1319</v>
      </c>
      <c r="AF762" s="39">
        <f>データ!K762</f>
        <v>51786</v>
      </c>
      <c r="AG762" s="40" t="s">
        <v>1024</v>
      </c>
      <c r="AH762" s="40" t="s">
        <v>1324</v>
      </c>
      <c r="AI762" s="39" t="str">
        <f>データ!L762</f>
        <v>天魔幻の閃光／煌</v>
      </c>
      <c r="AJ762" s="10" t="s">
        <v>1113</v>
      </c>
      <c r="AK762" s="39" t="str">
        <f>データ!M762</f>
        <v>縦一列攻撃[特大]自分の攻撃力UP[特大]</v>
      </c>
      <c r="AL762" s="10" t="s">
        <v>1024</v>
      </c>
      <c r="AM762" s="40" t="s">
        <v>1324</v>
      </c>
      <c r="AN762" s="39" t="str">
        <f>データ!N762</f>
        <v>-</v>
      </c>
      <c r="AO762" s="10" t="s">
        <v>1113</v>
      </c>
      <c r="AP762" s="39" t="str">
        <f>データ!O762</f>
        <v>　</v>
      </c>
      <c r="AQ762" s="41" t="s">
        <v>1024</v>
      </c>
      <c r="AR762" s="40" t="s">
        <v>1324</v>
      </c>
      <c r="AS762" s="39" t="str">
        <f>データ!P762</f>
        <v>アサルト／鳳</v>
      </c>
      <c r="AT762" s="10" t="s">
        <v>1113</v>
      </c>
      <c r="AU762" s="39" t="str">
        <f>データ!Q762</f>
        <v>パーティ全体の攻撃力が極大UP＆ユニット1体をタレント状態にする(3分間)</v>
      </c>
      <c r="AV762" s="10" t="s">
        <v>1024</v>
      </c>
      <c r="AW762" s="40" t="s">
        <v>1324</v>
      </c>
      <c r="AX762" s="39" t="str">
        <f>データ!R762</f>
        <v>ランページ／煌</v>
      </c>
      <c r="AY762" s="10" t="s">
        <v>1113</v>
      </c>
      <c r="AZ762" s="39" t="str">
        <f>データ!S762</f>
        <v>バトルで獲得する騎士団戦スコアが特大アップ(3分間)</v>
      </c>
      <c r="BA762" s="41" t="s">
        <v>1024</v>
      </c>
      <c r="BB762" s="40" t="s">
        <v>1319</v>
      </c>
      <c r="BC762" s="39" t="str">
        <f>データ!T762</f>
        <v>堅守</v>
      </c>
      <c r="BD762" s="41" t="s">
        <v>1024</v>
      </c>
      <c r="BE762" s="40" t="s">
        <v>1319</v>
      </c>
      <c r="BF762" s="39" t="str">
        <f>データ!U762</f>
        <v>-</v>
      </c>
      <c r="BG762" s="41" t="s">
        <v>1024</v>
      </c>
      <c r="BH762" s="40" t="s">
        <v>1319</v>
      </c>
      <c r="BI762" s="39" t="str">
        <f>データ!V762</f>
        <v>ガチャイベ</v>
      </c>
      <c r="BJ762" s="41" t="s">
        <v>1024</v>
      </c>
      <c r="BK762" s="10" t="s">
        <v>1019</v>
      </c>
    </row>
    <row r="763" spans="1:63" x14ac:dyDescent="0.15">
      <c r="A763" s="10" t="s">
        <v>1016</v>
      </c>
      <c r="B763" s="10" t="s">
        <v>1454</v>
      </c>
      <c r="C763" s="38" t="str">
        <f>"./images/thumbnail/"&amp;データ!B763&amp;".jpg"</f>
        <v>./images/thumbnail/2240.jpg</v>
      </c>
      <c r="D763" s="38" t="s">
        <v>1455</v>
      </c>
      <c r="E763" s="38" t="str">
        <f>"./images/thumbnail/"&amp;データ!B763&amp;".jpg"</f>
        <v>./images/thumbnail/2240.jpg</v>
      </c>
      <c r="F763" s="38" t="s">
        <v>1116</v>
      </c>
      <c r="G763" s="38" t="s">
        <v>1319</v>
      </c>
      <c r="H763" s="38" t="str">
        <f>データ!C763</f>
        <v>フォルク</v>
      </c>
      <c r="I763" s="38" t="s">
        <v>1024</v>
      </c>
      <c r="J763" s="38" t="s">
        <v>1319</v>
      </c>
      <c r="K763" s="38" t="str">
        <f>データ!D763</f>
        <v>SSR</v>
      </c>
      <c r="L763" s="38" t="s">
        <v>1024</v>
      </c>
      <c r="M763" s="38" t="s">
        <v>1319</v>
      </c>
      <c r="N763" s="38">
        <f>データ!E763</f>
        <v>14</v>
      </c>
      <c r="O763" s="38" t="s">
        <v>1024</v>
      </c>
      <c r="P763" s="38" t="s">
        <v>1319</v>
      </c>
      <c r="Q763" s="38" t="str">
        <f>データ!F763</f>
        <v>遠</v>
      </c>
      <c r="R763" s="38" t="s">
        <v>1024</v>
      </c>
      <c r="S763" s="38" t="s">
        <v>1319</v>
      </c>
      <c r="T763" s="39">
        <f>データ!G763</f>
        <v>18521</v>
      </c>
      <c r="U763" s="40" t="s">
        <v>1024</v>
      </c>
      <c r="V763" s="40" t="s">
        <v>1319</v>
      </c>
      <c r="W763" s="39">
        <f>データ!H763</f>
        <v>7015</v>
      </c>
      <c r="X763" s="40" t="s">
        <v>1024</v>
      </c>
      <c r="Y763" s="40" t="s">
        <v>1319</v>
      </c>
      <c r="Z763" s="39">
        <f>データ!I763</f>
        <v>6312</v>
      </c>
      <c r="AA763" s="40" t="s">
        <v>1024</v>
      </c>
      <c r="AB763" s="40" t="s">
        <v>1319</v>
      </c>
      <c r="AC763" s="39" t="str">
        <f>データ!J763</f>
        <v>S+</v>
      </c>
      <c r="AD763" s="38" t="s">
        <v>1024</v>
      </c>
      <c r="AE763" s="40" t="s">
        <v>1319</v>
      </c>
      <c r="AF763" s="39">
        <f>データ!K763</f>
        <v>31848</v>
      </c>
      <c r="AG763" s="40" t="s">
        <v>1024</v>
      </c>
      <c r="AH763" s="40" t="s">
        <v>1324</v>
      </c>
      <c r="AI763" s="39" t="str">
        <f>データ!L763</f>
        <v>遠翠の天威</v>
      </c>
      <c r="AJ763" s="10" t="s">
        <v>1113</v>
      </c>
      <c r="AK763" s="39" t="str">
        <f>データ!M763</f>
        <v>味方遠属性の攻撃力をUP[極大]</v>
      </c>
      <c r="AL763" s="10" t="s">
        <v>1024</v>
      </c>
      <c r="AM763" s="40" t="s">
        <v>1324</v>
      </c>
      <c r="AN763" s="39" t="str">
        <f>データ!N763</f>
        <v>-</v>
      </c>
      <c r="AO763" s="10" t="s">
        <v>1113</v>
      </c>
      <c r="AP763" s="39" t="str">
        <f>データ!O763</f>
        <v>　</v>
      </c>
      <c r="AQ763" s="41" t="s">
        <v>1024</v>
      </c>
      <c r="AR763" s="40" t="s">
        <v>1324</v>
      </c>
      <c r="AS763" s="39" t="str">
        <f>データ!P763</f>
        <v>エース／煌</v>
      </c>
      <c r="AT763" s="10" t="s">
        <v>1113</v>
      </c>
      <c r="AU763" s="39" t="str">
        <f>データ!Q763</f>
        <v>パーティ全体の攻・防が特大UP(3分間)</v>
      </c>
      <c r="AV763" s="10" t="s">
        <v>1024</v>
      </c>
      <c r="AW763" s="40" t="s">
        <v>1324</v>
      </c>
      <c r="AX763" s="39" t="str">
        <f>データ!R763</f>
        <v>-</v>
      </c>
      <c r="AY763" s="10" t="s">
        <v>1113</v>
      </c>
      <c r="AZ763" s="39" t="str">
        <f>データ!S763</f>
        <v>　</v>
      </c>
      <c r="BA763" s="41" t="s">
        <v>1024</v>
      </c>
      <c r="BB763" s="40" t="s">
        <v>1319</v>
      </c>
      <c r="BC763" s="39" t="str">
        <f>データ!T763</f>
        <v>-</v>
      </c>
      <c r="BD763" s="41" t="s">
        <v>1024</v>
      </c>
      <c r="BE763" s="40" t="s">
        <v>1319</v>
      </c>
      <c r="BF763" s="39" t="str">
        <f>データ!U763</f>
        <v>遠属性攻撃力中アップ</v>
      </c>
      <c r="BG763" s="41" t="s">
        <v>1024</v>
      </c>
      <c r="BH763" s="40" t="s">
        <v>1319</v>
      </c>
      <c r="BI763" s="39" t="str">
        <f>データ!V763</f>
        <v>ガチャイベ</v>
      </c>
      <c r="BJ763" s="41" t="s">
        <v>1024</v>
      </c>
      <c r="BK763" s="10" t="s">
        <v>1019</v>
      </c>
    </row>
    <row r="764" spans="1:63" x14ac:dyDescent="0.15">
      <c r="A764" s="10" t="s">
        <v>1016</v>
      </c>
      <c r="B764" s="10" t="s">
        <v>1454</v>
      </c>
      <c r="C764" s="38" t="str">
        <f>"./images/thumbnail/"&amp;データ!B764&amp;".jpg"</f>
        <v>./images/thumbnail/2241.jpg</v>
      </c>
      <c r="D764" s="38" t="s">
        <v>1455</v>
      </c>
      <c r="E764" s="38" t="str">
        <f>"./images/thumbnail/"&amp;データ!B764&amp;".jpg"</f>
        <v>./images/thumbnail/2241.jpg</v>
      </c>
      <c r="F764" s="38" t="s">
        <v>1116</v>
      </c>
      <c r="G764" s="38" t="s">
        <v>1319</v>
      </c>
      <c r="H764" s="38" t="str">
        <f>データ!C764</f>
        <v>フロリーヌ</v>
      </c>
      <c r="I764" s="38" t="s">
        <v>1024</v>
      </c>
      <c r="J764" s="38" t="s">
        <v>1319</v>
      </c>
      <c r="K764" s="38" t="str">
        <f>データ!D764</f>
        <v>SSR</v>
      </c>
      <c r="L764" s="38" t="s">
        <v>1024</v>
      </c>
      <c r="M764" s="38" t="s">
        <v>1319</v>
      </c>
      <c r="N764" s="38">
        <f>データ!E764</f>
        <v>14</v>
      </c>
      <c r="O764" s="38" t="s">
        <v>1024</v>
      </c>
      <c r="P764" s="38" t="s">
        <v>1319</v>
      </c>
      <c r="Q764" s="38" t="str">
        <f>データ!F764</f>
        <v>突</v>
      </c>
      <c r="R764" s="38" t="s">
        <v>1024</v>
      </c>
      <c r="S764" s="38" t="s">
        <v>1319</v>
      </c>
      <c r="T764" s="39">
        <f>データ!G764</f>
        <v>19000</v>
      </c>
      <c r="U764" s="40" t="s">
        <v>1024</v>
      </c>
      <c r="V764" s="40" t="s">
        <v>1319</v>
      </c>
      <c r="W764" s="39">
        <f>データ!H764</f>
        <v>6021</v>
      </c>
      <c r="X764" s="40" t="s">
        <v>1024</v>
      </c>
      <c r="Y764" s="40" t="s">
        <v>1319</v>
      </c>
      <c r="Z764" s="39">
        <f>データ!I764</f>
        <v>6396</v>
      </c>
      <c r="AA764" s="40" t="s">
        <v>1024</v>
      </c>
      <c r="AB764" s="40" t="s">
        <v>1319</v>
      </c>
      <c r="AC764" s="39" t="str">
        <f>データ!J764</f>
        <v>SS+</v>
      </c>
      <c r="AD764" s="38" t="s">
        <v>1024</v>
      </c>
      <c r="AE764" s="40" t="s">
        <v>1319</v>
      </c>
      <c r="AF764" s="39">
        <f>データ!K764</f>
        <v>31417</v>
      </c>
      <c r="AG764" s="40" t="s">
        <v>1024</v>
      </c>
      <c r="AH764" s="40" t="s">
        <v>1324</v>
      </c>
      <c r="AI764" s="39" t="str">
        <f>データ!L764</f>
        <v>魔幻の閃光／煌</v>
      </c>
      <c r="AJ764" s="10" t="s">
        <v>1113</v>
      </c>
      <c r="AK764" s="39" t="str">
        <f>データ!M764</f>
        <v>縦一列に攻撃[特大]</v>
      </c>
      <c r="AL764" s="10" t="s">
        <v>1024</v>
      </c>
      <c r="AM764" s="40" t="s">
        <v>1324</v>
      </c>
      <c r="AN764" s="39" t="str">
        <f>データ!N764</f>
        <v>-</v>
      </c>
      <c r="AO764" s="10" t="s">
        <v>1113</v>
      </c>
      <c r="AP764" s="39" t="str">
        <f>データ!O764</f>
        <v>　</v>
      </c>
      <c r="AQ764" s="41" t="s">
        <v>1024</v>
      </c>
      <c r="AR764" s="40" t="s">
        <v>1324</v>
      </c>
      <c r="AS764" s="39" t="str">
        <f>データ!P764</f>
        <v>アサルト／煌</v>
      </c>
      <c r="AT764" s="10" t="s">
        <v>1113</v>
      </c>
      <c r="AU764" s="39" t="str">
        <f>データ!Q764</f>
        <v>パーティ全体の攻撃力が特大UP(3分間)</v>
      </c>
      <c r="AV764" s="10" t="s">
        <v>1024</v>
      </c>
      <c r="AW764" s="40" t="s">
        <v>1324</v>
      </c>
      <c r="AX764" s="39" t="str">
        <f>データ!R764</f>
        <v>-</v>
      </c>
      <c r="AY764" s="10" t="s">
        <v>1113</v>
      </c>
      <c r="AZ764" s="39" t="str">
        <f>データ!S764</f>
        <v>　</v>
      </c>
      <c r="BA764" s="41" t="s">
        <v>1024</v>
      </c>
      <c r="BB764" s="40" t="s">
        <v>1319</v>
      </c>
      <c r="BC764" s="39" t="str">
        <f>データ!T764</f>
        <v>-</v>
      </c>
      <c r="BD764" s="41" t="s">
        <v>1024</v>
      </c>
      <c r="BE764" s="40" t="s">
        <v>1319</v>
      </c>
      <c r="BF764" s="39" t="str">
        <f>データ!U764</f>
        <v>突属性攻撃力小アップ</v>
      </c>
      <c r="BG764" s="41" t="s">
        <v>1024</v>
      </c>
      <c r="BH764" s="40" t="s">
        <v>1319</v>
      </c>
      <c r="BI764" s="39" t="str">
        <f>データ!V764</f>
        <v>マゴニア</v>
      </c>
      <c r="BJ764" s="41" t="s">
        <v>1024</v>
      </c>
      <c r="BK764" s="10" t="s">
        <v>1019</v>
      </c>
    </row>
    <row r="765" spans="1:63" x14ac:dyDescent="0.15">
      <c r="A765" s="10" t="s">
        <v>1016</v>
      </c>
      <c r="B765" s="10" t="s">
        <v>1454</v>
      </c>
      <c r="C765" s="38" t="str">
        <f>"./images/thumbnail/"&amp;データ!B765&amp;".jpg"</f>
        <v>./images/thumbnail/2242.jpg</v>
      </c>
      <c r="D765" s="38" t="s">
        <v>1455</v>
      </c>
      <c r="E765" s="38" t="str">
        <f>"./images/thumbnail/"&amp;データ!B765&amp;".jpg"</f>
        <v>./images/thumbnail/2242.jpg</v>
      </c>
      <c r="F765" s="38" t="s">
        <v>1116</v>
      </c>
      <c r="G765" s="38" t="s">
        <v>1319</v>
      </c>
      <c r="H765" s="38" t="str">
        <f>データ!C765</f>
        <v>シグマ</v>
      </c>
      <c r="I765" s="38" t="s">
        <v>1024</v>
      </c>
      <c r="J765" s="38" t="s">
        <v>1319</v>
      </c>
      <c r="K765" s="38" t="str">
        <f>データ!D765</f>
        <v>UR</v>
      </c>
      <c r="L765" s="38" t="s">
        <v>1024</v>
      </c>
      <c r="M765" s="38" t="s">
        <v>1319</v>
      </c>
      <c r="N765" s="38">
        <f>データ!E765</f>
        <v>16</v>
      </c>
      <c r="O765" s="38" t="s">
        <v>1024</v>
      </c>
      <c r="P765" s="38" t="s">
        <v>1319</v>
      </c>
      <c r="Q765" s="38" t="str">
        <f>データ!F765</f>
        <v>突</v>
      </c>
      <c r="R765" s="38" t="s">
        <v>1024</v>
      </c>
      <c r="S765" s="38" t="s">
        <v>1319</v>
      </c>
      <c r="T765" s="39">
        <f>データ!G765</f>
        <v>26019</v>
      </c>
      <c r="U765" s="40" t="s">
        <v>1024</v>
      </c>
      <c r="V765" s="40" t="s">
        <v>1319</v>
      </c>
      <c r="W765" s="39">
        <f>データ!H765</f>
        <v>7886</v>
      </c>
      <c r="X765" s="40" t="s">
        <v>1024</v>
      </c>
      <c r="Y765" s="40" t="s">
        <v>1319</v>
      </c>
      <c r="Z765" s="39">
        <f>データ!I765</f>
        <v>10132</v>
      </c>
      <c r="AA765" s="40" t="s">
        <v>1024</v>
      </c>
      <c r="AB765" s="40" t="s">
        <v>1319</v>
      </c>
      <c r="AC765" s="39" t="str">
        <f>データ!J765</f>
        <v>SS7</v>
      </c>
      <c r="AD765" s="38" t="s">
        <v>1024</v>
      </c>
      <c r="AE765" s="40" t="s">
        <v>1319</v>
      </c>
      <c r="AF765" s="39">
        <f>データ!K765</f>
        <v>44037</v>
      </c>
      <c r="AG765" s="40" t="s">
        <v>1024</v>
      </c>
      <c r="AH765" s="40" t="s">
        <v>1324</v>
      </c>
      <c r="AI765" s="39" t="str">
        <f>データ!L765</f>
        <v>突鋭の六連撃／絶</v>
      </c>
      <c r="AJ765" s="10" t="s">
        <v>1113</v>
      </c>
      <c r="AK765" s="39" t="str">
        <f>データ!M765</f>
        <v>ﾗﾝﾀﾞﾑ6連続攻撃[大][低確率]でﾀﾞﾒｰｼﾞ2倍</v>
      </c>
      <c r="AL765" s="10" t="s">
        <v>1024</v>
      </c>
      <c r="AM765" s="40" t="s">
        <v>1324</v>
      </c>
      <c r="AN765" s="39" t="str">
        <f>データ!N765</f>
        <v>-</v>
      </c>
      <c r="AO765" s="10" t="s">
        <v>1113</v>
      </c>
      <c r="AP765" s="39" t="str">
        <f>データ!O765</f>
        <v>　</v>
      </c>
      <c r="AQ765" s="41" t="s">
        <v>1024</v>
      </c>
      <c r="AR765" s="40" t="s">
        <v>1324</v>
      </c>
      <c r="AS765" s="39" t="str">
        <f>データ!P765</f>
        <v>ストリーム／煌</v>
      </c>
      <c r="AT765" s="10" t="s">
        <v>1113</v>
      </c>
      <c r="AU765" s="39" t="str">
        <f>データ!Q765</f>
        <v>パーティ全体の攻撃力・速度が特大UP＆ユニット1体をタレント状態にする(5分間)</v>
      </c>
      <c r="AV765" s="10" t="s">
        <v>1024</v>
      </c>
      <c r="AW765" s="40" t="s">
        <v>1324</v>
      </c>
      <c r="AX765" s="39" t="str">
        <f>データ!R765</f>
        <v>アクセラレーター／煌</v>
      </c>
      <c r="AY765" s="10" t="s">
        <v>1113</v>
      </c>
      <c r="AZ765" s="39" t="str">
        <f>データ!S765</f>
        <v>パーティ全体の速度が大UP(4分間)</v>
      </c>
      <c r="BA765" s="41" t="s">
        <v>1024</v>
      </c>
      <c r="BB765" s="40" t="s">
        <v>1319</v>
      </c>
      <c r="BC765" s="39" t="str">
        <f>データ!T765</f>
        <v>神気／真</v>
      </c>
      <c r="BD765" s="41" t="s">
        <v>1024</v>
      </c>
      <c r="BE765" s="40" t="s">
        <v>1319</v>
      </c>
      <c r="BF765" s="39" t="str">
        <f>データ!U765</f>
        <v>-</v>
      </c>
      <c r="BG765" s="41" t="s">
        <v>1024</v>
      </c>
      <c r="BH765" s="40" t="s">
        <v>1319</v>
      </c>
      <c r="BI765" s="39" t="str">
        <f>データ!V765</f>
        <v>ガチャイベ</v>
      </c>
      <c r="BJ765" s="41" t="s">
        <v>1024</v>
      </c>
      <c r="BK765" s="10" t="s">
        <v>1019</v>
      </c>
    </row>
    <row r="766" spans="1:63" x14ac:dyDescent="0.15">
      <c r="A766" s="10" t="s">
        <v>1016</v>
      </c>
      <c r="B766" s="10" t="s">
        <v>1454</v>
      </c>
      <c r="C766" s="38" t="str">
        <f>"./images/thumbnail/"&amp;データ!B766&amp;".jpg"</f>
        <v>./images/thumbnail/2244.jpg</v>
      </c>
      <c r="D766" s="38" t="s">
        <v>1455</v>
      </c>
      <c r="E766" s="38" t="str">
        <f>"./images/thumbnail/"&amp;データ!B766&amp;".jpg"</f>
        <v>./images/thumbnail/2244.jpg</v>
      </c>
      <c r="F766" s="38" t="s">
        <v>1116</v>
      </c>
      <c r="G766" s="38" t="s">
        <v>1319</v>
      </c>
      <c r="H766" s="38" t="str">
        <f>データ!C766</f>
        <v>メルフィ</v>
      </c>
      <c r="I766" s="38" t="s">
        <v>1024</v>
      </c>
      <c r="J766" s="38" t="s">
        <v>1319</v>
      </c>
      <c r="K766" s="38" t="str">
        <f>データ!D766</f>
        <v>SSR</v>
      </c>
      <c r="L766" s="38" t="s">
        <v>1024</v>
      </c>
      <c r="M766" s="38" t="s">
        <v>1319</v>
      </c>
      <c r="N766" s="38">
        <f>データ!E766</f>
        <v>14</v>
      </c>
      <c r="O766" s="38" t="s">
        <v>1024</v>
      </c>
      <c r="P766" s="38" t="s">
        <v>1319</v>
      </c>
      <c r="Q766" s="38" t="str">
        <f>データ!F766</f>
        <v>斬</v>
      </c>
      <c r="R766" s="38" t="s">
        <v>1024</v>
      </c>
      <c r="S766" s="38" t="s">
        <v>1319</v>
      </c>
      <c r="T766" s="39">
        <f>データ!G766</f>
        <v>18299</v>
      </c>
      <c r="U766" s="40" t="s">
        <v>1024</v>
      </c>
      <c r="V766" s="40" t="s">
        <v>1319</v>
      </c>
      <c r="W766" s="39">
        <f>データ!H766</f>
        <v>8278</v>
      </c>
      <c r="X766" s="40" t="s">
        <v>1024</v>
      </c>
      <c r="Y766" s="40" t="s">
        <v>1319</v>
      </c>
      <c r="Z766" s="39">
        <f>データ!I766</f>
        <v>6665</v>
      </c>
      <c r="AA766" s="40" t="s">
        <v>1024</v>
      </c>
      <c r="AB766" s="40" t="s">
        <v>1319</v>
      </c>
      <c r="AC766" s="39" t="str">
        <f>データ!J766</f>
        <v>S</v>
      </c>
      <c r="AD766" s="38" t="s">
        <v>1024</v>
      </c>
      <c r="AE766" s="40" t="s">
        <v>1319</v>
      </c>
      <c r="AF766" s="39">
        <f>データ!K766</f>
        <v>33242</v>
      </c>
      <c r="AG766" s="40" t="s">
        <v>1024</v>
      </c>
      <c r="AH766" s="40" t="s">
        <v>1324</v>
      </c>
      <c r="AI766" s="39" t="str">
        <f>データ!L766</f>
        <v>斬紅の天威</v>
      </c>
      <c r="AJ766" s="10" t="s">
        <v>1113</v>
      </c>
      <c r="AK766" s="39" t="str">
        <f>データ!M766</f>
        <v>味方斬属性の攻撃力をUP[極大]</v>
      </c>
      <c r="AL766" s="10" t="s">
        <v>1024</v>
      </c>
      <c r="AM766" s="40" t="s">
        <v>1324</v>
      </c>
      <c r="AN766" s="39" t="str">
        <f>データ!N766</f>
        <v>-</v>
      </c>
      <c r="AO766" s="10" t="s">
        <v>1113</v>
      </c>
      <c r="AP766" s="39" t="str">
        <f>データ!O766</f>
        <v>　</v>
      </c>
      <c r="AQ766" s="41" t="s">
        <v>1024</v>
      </c>
      <c r="AR766" s="40" t="s">
        <v>1324</v>
      </c>
      <c r="AS766" s="39" t="str">
        <f>データ!P766</f>
        <v>オラトリオ／絶</v>
      </c>
      <c r="AT766" s="10" t="s">
        <v>1113</v>
      </c>
      <c r="AU766" s="39" t="str">
        <f>データ!Q766</f>
        <v>騎士団全体のスキル発動率が中UP(3分間)</v>
      </c>
      <c r="AV766" s="10" t="s">
        <v>1024</v>
      </c>
      <c r="AW766" s="40" t="s">
        <v>1324</v>
      </c>
      <c r="AX766" s="39" t="str">
        <f>データ!R766</f>
        <v>-</v>
      </c>
      <c r="AY766" s="10" t="s">
        <v>1113</v>
      </c>
      <c r="AZ766" s="39" t="str">
        <f>データ!S766</f>
        <v>　</v>
      </c>
      <c r="BA766" s="41" t="s">
        <v>1024</v>
      </c>
      <c r="BB766" s="40" t="s">
        <v>1319</v>
      </c>
      <c r="BC766" s="39" t="str">
        <f>データ!T766</f>
        <v>-</v>
      </c>
      <c r="BD766" s="41" t="s">
        <v>1024</v>
      </c>
      <c r="BE766" s="40" t="s">
        <v>1319</v>
      </c>
      <c r="BF766" s="39" t="str">
        <f>データ!U766</f>
        <v>斬属性防御力中アップ</v>
      </c>
      <c r="BG766" s="41" t="s">
        <v>1024</v>
      </c>
      <c r="BH766" s="40" t="s">
        <v>1319</v>
      </c>
      <c r="BI766" s="39" t="str">
        <f>データ!V766</f>
        <v>ガチャイベ</v>
      </c>
      <c r="BJ766" s="41" t="s">
        <v>1024</v>
      </c>
      <c r="BK766" s="10" t="s">
        <v>1019</v>
      </c>
    </row>
    <row r="767" spans="1:63" x14ac:dyDescent="0.15">
      <c r="A767" s="10" t="s">
        <v>1016</v>
      </c>
      <c r="B767" s="10" t="s">
        <v>1454</v>
      </c>
      <c r="C767" s="38" t="str">
        <f>"./images/thumbnail/"&amp;データ!B767&amp;".jpg"</f>
        <v>./images/thumbnail/2246.jpg</v>
      </c>
      <c r="D767" s="38" t="s">
        <v>1455</v>
      </c>
      <c r="E767" s="38" t="str">
        <f>"./images/thumbnail/"&amp;データ!B767&amp;".jpg"</f>
        <v>./images/thumbnail/2246.jpg</v>
      </c>
      <c r="F767" s="38" t="s">
        <v>1116</v>
      </c>
      <c r="G767" s="38" t="s">
        <v>1319</v>
      </c>
      <c r="H767" s="38" t="str">
        <f>データ!C767</f>
        <v>アンリエット</v>
      </c>
      <c r="I767" s="38" t="s">
        <v>1024</v>
      </c>
      <c r="J767" s="38" t="s">
        <v>1319</v>
      </c>
      <c r="K767" s="38" t="str">
        <f>データ!D767</f>
        <v>UR</v>
      </c>
      <c r="L767" s="38" t="s">
        <v>1024</v>
      </c>
      <c r="M767" s="38" t="s">
        <v>1319</v>
      </c>
      <c r="N767" s="38">
        <f>データ!E767</f>
        <v>16</v>
      </c>
      <c r="O767" s="38" t="s">
        <v>1024</v>
      </c>
      <c r="P767" s="38" t="s">
        <v>1319</v>
      </c>
      <c r="Q767" s="38" t="str">
        <f>データ!F767</f>
        <v>打</v>
      </c>
      <c r="R767" s="38" t="s">
        <v>1024</v>
      </c>
      <c r="S767" s="38" t="s">
        <v>1319</v>
      </c>
      <c r="T767" s="39">
        <f>データ!G767</f>
        <v>31018</v>
      </c>
      <c r="U767" s="40" t="s">
        <v>1024</v>
      </c>
      <c r="V767" s="40" t="s">
        <v>1319</v>
      </c>
      <c r="W767" s="39">
        <f>データ!H767</f>
        <v>8780</v>
      </c>
      <c r="X767" s="40" t="s">
        <v>1024</v>
      </c>
      <c r="Y767" s="40" t="s">
        <v>1319</v>
      </c>
      <c r="Z767" s="39">
        <f>データ!I767</f>
        <v>12856</v>
      </c>
      <c r="AA767" s="40" t="s">
        <v>1024</v>
      </c>
      <c r="AB767" s="40" t="s">
        <v>1319</v>
      </c>
      <c r="AC767" s="39" t="str">
        <f>データ!J767</f>
        <v>SS-</v>
      </c>
      <c r="AD767" s="38" t="s">
        <v>1024</v>
      </c>
      <c r="AE767" s="40" t="s">
        <v>1319</v>
      </c>
      <c r="AF767" s="39">
        <f>データ!K767</f>
        <v>52654</v>
      </c>
      <c r="AG767" s="40" t="s">
        <v>1024</v>
      </c>
      <c r="AH767" s="40" t="s">
        <v>1324</v>
      </c>
      <c r="AI767" s="39" t="str">
        <f>データ!L767</f>
        <v>地幻光の交叉線／鳳</v>
      </c>
      <c r="AJ767" s="10" t="s">
        <v>1113</v>
      </c>
      <c r="AK767" s="39" t="str">
        <f>データ!M767</f>
        <v>X字型攻撃[極大]自分の防御力UP[極大]</v>
      </c>
      <c r="AL767" s="10" t="s">
        <v>1024</v>
      </c>
      <c r="AM767" s="40" t="s">
        <v>1324</v>
      </c>
      <c r="AN767" s="39" t="str">
        <f>データ!N767</f>
        <v>-</v>
      </c>
      <c r="AO767" s="10" t="s">
        <v>1113</v>
      </c>
      <c r="AP767" s="39" t="str">
        <f>データ!O767</f>
        <v>　</v>
      </c>
      <c r="AQ767" s="41" t="s">
        <v>1024</v>
      </c>
      <c r="AR767" s="40" t="s">
        <v>1324</v>
      </c>
      <c r="AS767" s="39" t="str">
        <f>データ!P767</f>
        <v>ブリッツ／煌</v>
      </c>
      <c r="AT767" s="10" t="s">
        <v>1113</v>
      </c>
      <c r="AU767" s="39" t="str">
        <f>データ!Q767</f>
        <v>強襲CBの発生確率・強襲時獲得ポイント特大UP＆ユニット1体をタレント状態にする(3分間)</v>
      </c>
      <c r="AV767" s="10" t="s">
        <v>1024</v>
      </c>
      <c r="AW767" s="40" t="s">
        <v>1324</v>
      </c>
      <c r="AX767" s="39" t="str">
        <f>データ!R767</f>
        <v>キャッスルウィークネス／絶</v>
      </c>
      <c r="AY767" s="10" t="s">
        <v>1113</v>
      </c>
      <c r="AZ767" s="39" t="str">
        <f>データ!S767</f>
        <v>対戦騎士団の城強度Lvが大DOWN(3分間)</v>
      </c>
      <c r="BA767" s="41" t="s">
        <v>1024</v>
      </c>
      <c r="BB767" s="40" t="s">
        <v>1319</v>
      </c>
      <c r="BC767" s="39" t="str">
        <f>データ!T767</f>
        <v>練気／真</v>
      </c>
      <c r="BD767" s="41" t="s">
        <v>1024</v>
      </c>
      <c r="BE767" s="40" t="s">
        <v>1319</v>
      </c>
      <c r="BF767" s="39" t="str">
        <f>データ!U767</f>
        <v>-</v>
      </c>
      <c r="BG767" s="41" t="s">
        <v>1024</v>
      </c>
      <c r="BH767" s="40" t="s">
        <v>1319</v>
      </c>
      <c r="BI767" s="39" t="str">
        <f>データ!V767</f>
        <v>ガチャイベ</v>
      </c>
      <c r="BJ767" s="41" t="s">
        <v>1024</v>
      </c>
      <c r="BK767" s="10" t="s">
        <v>1019</v>
      </c>
    </row>
    <row r="768" spans="1:63" x14ac:dyDescent="0.15">
      <c r="A768" s="10" t="s">
        <v>1016</v>
      </c>
      <c r="B768" s="10" t="s">
        <v>1454</v>
      </c>
      <c r="C768" s="38" t="str">
        <f>"./images/thumbnail/"&amp;データ!B768&amp;".jpg"</f>
        <v>./images/thumbnail/2248.jpg</v>
      </c>
      <c r="D768" s="38" t="s">
        <v>1455</v>
      </c>
      <c r="E768" s="38" t="str">
        <f>"./images/thumbnail/"&amp;データ!B768&amp;".jpg"</f>
        <v>./images/thumbnail/2248.jpg</v>
      </c>
      <c r="F768" s="38" t="s">
        <v>1116</v>
      </c>
      <c r="G768" s="38" t="s">
        <v>1319</v>
      </c>
      <c r="H768" s="38" t="str">
        <f>データ!C768</f>
        <v>リウィア</v>
      </c>
      <c r="I768" s="38" t="s">
        <v>1024</v>
      </c>
      <c r="J768" s="38" t="s">
        <v>1319</v>
      </c>
      <c r="K768" s="38" t="str">
        <f>データ!D768</f>
        <v>UR</v>
      </c>
      <c r="L768" s="38" t="s">
        <v>1024</v>
      </c>
      <c r="M768" s="38" t="s">
        <v>1319</v>
      </c>
      <c r="N768" s="38">
        <f>データ!E768</f>
        <v>16</v>
      </c>
      <c r="O768" s="38" t="s">
        <v>1024</v>
      </c>
      <c r="P768" s="38" t="s">
        <v>1319</v>
      </c>
      <c r="Q768" s="38" t="str">
        <f>データ!F768</f>
        <v>遠</v>
      </c>
      <c r="R768" s="38" t="s">
        <v>1024</v>
      </c>
      <c r="S768" s="38" t="s">
        <v>1319</v>
      </c>
      <c r="T768" s="39">
        <f>データ!G768</f>
        <v>26797</v>
      </c>
      <c r="U768" s="40" t="s">
        <v>1024</v>
      </c>
      <c r="V768" s="40" t="s">
        <v>1319</v>
      </c>
      <c r="W768" s="39">
        <f>データ!H768</f>
        <v>8833</v>
      </c>
      <c r="X768" s="40" t="s">
        <v>1024</v>
      </c>
      <c r="Y768" s="40" t="s">
        <v>1319</v>
      </c>
      <c r="Z768" s="39">
        <f>データ!I768</f>
        <v>8207</v>
      </c>
      <c r="AA768" s="40" t="s">
        <v>1024</v>
      </c>
      <c r="AB768" s="40" t="s">
        <v>1319</v>
      </c>
      <c r="AC768" s="39" t="str">
        <f>データ!J768</f>
        <v>SS1</v>
      </c>
      <c r="AD768" s="38" t="s">
        <v>1024</v>
      </c>
      <c r="AE768" s="40" t="s">
        <v>1319</v>
      </c>
      <c r="AF768" s="39">
        <f>データ!K768</f>
        <v>43837</v>
      </c>
      <c r="AG768" s="40" t="s">
        <v>1024</v>
      </c>
      <c r="AH768" s="40" t="s">
        <v>1324</v>
      </c>
      <c r="AI768" s="39" t="str">
        <f>データ!L768</f>
        <v>癒やしの光／鳳</v>
      </c>
      <c r="AJ768" s="10" t="s">
        <v>1113</v>
      </c>
      <c r="AK768" s="39" t="str">
        <f>データ!M768</f>
        <v>最もダメージが多い味方1人のHP回復[極大]</v>
      </c>
      <c r="AL768" s="10" t="s">
        <v>1024</v>
      </c>
      <c r="AM768" s="40" t="s">
        <v>1324</v>
      </c>
      <c r="AN768" s="39" t="str">
        <f>データ!N768</f>
        <v>-</v>
      </c>
      <c r="AO768" s="10" t="s">
        <v>1113</v>
      </c>
      <c r="AP768" s="39" t="str">
        <f>データ!O768</f>
        <v>　</v>
      </c>
      <c r="AQ768" s="41" t="s">
        <v>1024</v>
      </c>
      <c r="AR768" s="40" t="s">
        <v>1324</v>
      </c>
      <c r="AS768" s="39" t="str">
        <f>データ!P768</f>
        <v>ディバインエトワール／鳳</v>
      </c>
      <c r="AT768" s="10" t="s">
        <v>1113</v>
      </c>
      <c r="AU768" s="39" t="str">
        <f>データ!Q768</f>
        <v>パーティ全体の攻防大UP・最大TP小UP＆ユニット1体をタレント状態にする(5分間)</v>
      </c>
      <c r="AV768" s="10" t="s">
        <v>1024</v>
      </c>
      <c r="AW768" s="40" t="s">
        <v>1324</v>
      </c>
      <c r="AX768" s="39" t="str">
        <f>データ!R768</f>
        <v>オラトリオ／煌</v>
      </c>
      <c r="AY768" s="10" t="s">
        <v>1113</v>
      </c>
      <c r="AZ768" s="39" t="str">
        <f>データ!S768</f>
        <v>強襲無効、攻撃力・スキル発動率特大UP(3分間)</v>
      </c>
      <c r="BA768" s="41" t="s">
        <v>1024</v>
      </c>
      <c r="BB768" s="40" t="s">
        <v>1319</v>
      </c>
      <c r="BC768" s="39" t="str">
        <f>データ!T768</f>
        <v>光芒の練気</v>
      </c>
      <c r="BD768" s="41" t="s">
        <v>1024</v>
      </c>
      <c r="BE768" s="40" t="s">
        <v>1319</v>
      </c>
      <c r="BF768" s="39" t="str">
        <f>データ!U768</f>
        <v>-</v>
      </c>
      <c r="BG768" s="41" t="s">
        <v>1024</v>
      </c>
      <c r="BH768" s="40" t="s">
        <v>1319</v>
      </c>
      <c r="BI768" s="39" t="str">
        <f>データ!V768</f>
        <v>ガチャイベ</v>
      </c>
      <c r="BJ768" s="41" t="s">
        <v>1024</v>
      </c>
      <c r="BK768" s="10" t="s">
        <v>1019</v>
      </c>
    </row>
    <row r="769" spans="1:63" x14ac:dyDescent="0.15">
      <c r="A769" s="10" t="s">
        <v>1016</v>
      </c>
      <c r="B769" s="10" t="s">
        <v>1454</v>
      </c>
      <c r="C769" s="38" t="str">
        <f>"./images/thumbnail/"&amp;データ!B769&amp;".jpg"</f>
        <v>./images/thumbnail/2250.jpg</v>
      </c>
      <c r="D769" s="38" t="s">
        <v>1455</v>
      </c>
      <c r="E769" s="38" t="str">
        <f>"./images/thumbnail/"&amp;データ!B769&amp;".jpg"</f>
        <v>./images/thumbnail/2250.jpg</v>
      </c>
      <c r="F769" s="38" t="s">
        <v>1116</v>
      </c>
      <c r="G769" s="38" t="s">
        <v>1319</v>
      </c>
      <c r="H769" s="38" t="str">
        <f>データ!C769</f>
        <v>レファルド</v>
      </c>
      <c r="I769" s="38" t="s">
        <v>1024</v>
      </c>
      <c r="J769" s="38" t="s">
        <v>1319</v>
      </c>
      <c r="K769" s="38" t="str">
        <f>データ!D769</f>
        <v>UR</v>
      </c>
      <c r="L769" s="38" t="s">
        <v>1024</v>
      </c>
      <c r="M769" s="38" t="s">
        <v>1319</v>
      </c>
      <c r="N769" s="38">
        <f>データ!E769</f>
        <v>16</v>
      </c>
      <c r="O769" s="38" t="s">
        <v>1024</v>
      </c>
      <c r="P769" s="38" t="s">
        <v>1319</v>
      </c>
      <c r="Q769" s="38" t="str">
        <f>データ!F769</f>
        <v>突</v>
      </c>
      <c r="R769" s="38" t="s">
        <v>1024</v>
      </c>
      <c r="S769" s="38" t="s">
        <v>1319</v>
      </c>
      <c r="T769" s="39">
        <f>データ!G769</f>
        <v>25575</v>
      </c>
      <c r="U769" s="40" t="s">
        <v>1024</v>
      </c>
      <c r="V769" s="40" t="s">
        <v>1319</v>
      </c>
      <c r="W769" s="39">
        <f>データ!H769</f>
        <v>7592</v>
      </c>
      <c r="X769" s="40" t="s">
        <v>1024</v>
      </c>
      <c r="Y769" s="40" t="s">
        <v>1319</v>
      </c>
      <c r="Z769" s="39">
        <f>データ!I769</f>
        <v>10104</v>
      </c>
      <c r="AA769" s="40" t="s">
        <v>1024</v>
      </c>
      <c r="AB769" s="40" t="s">
        <v>1319</v>
      </c>
      <c r="AC769" s="39" t="str">
        <f>データ!J769</f>
        <v>SS4</v>
      </c>
      <c r="AD769" s="38" t="s">
        <v>1024</v>
      </c>
      <c r="AE769" s="40" t="s">
        <v>1319</v>
      </c>
      <c r="AF769" s="39">
        <f>データ!K769</f>
        <v>43271</v>
      </c>
      <c r="AG769" s="40" t="s">
        <v>1024</v>
      </c>
      <c r="AH769" s="40" t="s">
        <v>1324</v>
      </c>
      <c r="AI769" s="39" t="str">
        <f>データ!L769</f>
        <v>対紫の突風／鳳</v>
      </c>
      <c r="AJ769" s="10" t="s">
        <v>1113</v>
      </c>
      <c r="AK769" s="39" t="str">
        <f>データ!M769</f>
        <v>打に強く遠に弱い縦一列攻撃[極大]</v>
      </c>
      <c r="AL769" s="10" t="s">
        <v>1024</v>
      </c>
      <c r="AM769" s="40" t="s">
        <v>1324</v>
      </c>
      <c r="AN769" s="39" t="str">
        <f>データ!N769</f>
        <v>-</v>
      </c>
      <c r="AO769" s="10" t="s">
        <v>1113</v>
      </c>
      <c r="AP769" s="39" t="str">
        <f>データ!O769</f>
        <v>　</v>
      </c>
      <c r="AQ769" s="41" t="s">
        <v>1024</v>
      </c>
      <c r="AR769" s="40" t="s">
        <v>1324</v>
      </c>
      <c r="AS769" s="39" t="str">
        <f>データ!P769</f>
        <v>オラクル／鳳</v>
      </c>
      <c r="AT769" s="10" t="s">
        <v>1113</v>
      </c>
      <c r="AU769" s="39" t="str">
        <f>データ!Q769</f>
        <v>パーティ全体のスキル発動率が特大UP＆ユニット1体をタレント状態にする(5分間)</v>
      </c>
      <c r="AV769" s="10" t="s">
        <v>1024</v>
      </c>
      <c r="AW769" s="40" t="s">
        <v>1324</v>
      </c>
      <c r="AX769" s="39" t="str">
        <f>データ!R769</f>
        <v>シャドウ／絶</v>
      </c>
      <c r="AY769" s="10" t="s">
        <v>1113</v>
      </c>
      <c r="AZ769" s="39" t="str">
        <f>データ!S769</f>
        <v>バトル時の強襲CB率が大UP(3分間)</v>
      </c>
      <c r="BA769" s="41" t="s">
        <v>1024</v>
      </c>
      <c r="BB769" s="40" t="s">
        <v>1319</v>
      </c>
      <c r="BC769" s="39" t="str">
        <f>データ!T769</f>
        <v>闘気</v>
      </c>
      <c r="BD769" s="41" t="s">
        <v>1024</v>
      </c>
      <c r="BE769" s="40" t="s">
        <v>1319</v>
      </c>
      <c r="BF769" s="39" t="str">
        <f>データ!U769</f>
        <v>-</v>
      </c>
      <c r="BG769" s="41" t="s">
        <v>1024</v>
      </c>
      <c r="BH769" s="40" t="s">
        <v>1319</v>
      </c>
      <c r="BI769" s="39" t="str">
        <f>データ!V769</f>
        <v>常設</v>
      </c>
      <c r="BJ769" s="41" t="s">
        <v>1024</v>
      </c>
      <c r="BK769" s="10" t="s">
        <v>1019</v>
      </c>
    </row>
    <row r="770" spans="1:63" x14ac:dyDescent="0.15">
      <c r="A770" s="10" t="s">
        <v>1016</v>
      </c>
      <c r="B770" s="10" t="s">
        <v>1454</v>
      </c>
      <c r="C770" s="38" t="str">
        <f>"./images/thumbnail/"&amp;データ!B770&amp;".jpg"</f>
        <v>./images/thumbnail/2252.jpg</v>
      </c>
      <c r="D770" s="38" t="s">
        <v>1455</v>
      </c>
      <c r="E770" s="38" t="str">
        <f>"./images/thumbnail/"&amp;データ!B770&amp;".jpg"</f>
        <v>./images/thumbnail/2252.jpg</v>
      </c>
      <c r="F770" s="38" t="s">
        <v>1116</v>
      </c>
      <c r="G770" s="38" t="s">
        <v>1319</v>
      </c>
      <c r="H770" s="38" t="str">
        <f>データ!C770</f>
        <v>ガレアス</v>
      </c>
      <c r="I770" s="38" t="s">
        <v>1024</v>
      </c>
      <c r="J770" s="38" t="s">
        <v>1319</v>
      </c>
      <c r="K770" s="38" t="str">
        <f>データ!D770</f>
        <v>UR</v>
      </c>
      <c r="L770" s="38" t="s">
        <v>1024</v>
      </c>
      <c r="M770" s="38" t="s">
        <v>1319</v>
      </c>
      <c r="N770" s="38">
        <f>データ!E770</f>
        <v>16</v>
      </c>
      <c r="O770" s="38" t="s">
        <v>1024</v>
      </c>
      <c r="P770" s="38" t="s">
        <v>1319</v>
      </c>
      <c r="Q770" s="38" t="str">
        <f>データ!F770</f>
        <v>打</v>
      </c>
      <c r="R770" s="38" t="s">
        <v>1024</v>
      </c>
      <c r="S770" s="38" t="s">
        <v>1319</v>
      </c>
      <c r="T770" s="39">
        <f>データ!G770</f>
        <v>29293</v>
      </c>
      <c r="U770" s="40" t="s">
        <v>1024</v>
      </c>
      <c r="V770" s="40" t="s">
        <v>1319</v>
      </c>
      <c r="W770" s="39">
        <f>データ!H770</f>
        <v>8517</v>
      </c>
      <c r="X770" s="40" t="s">
        <v>1024</v>
      </c>
      <c r="Y770" s="40" t="s">
        <v>1319</v>
      </c>
      <c r="Z770" s="39">
        <f>データ!I770</f>
        <v>12000</v>
      </c>
      <c r="AA770" s="40" t="s">
        <v>1024</v>
      </c>
      <c r="AB770" s="40" t="s">
        <v>1319</v>
      </c>
      <c r="AC770" s="39" t="str">
        <f>データ!J770</f>
        <v>SS-</v>
      </c>
      <c r="AD770" s="38" t="s">
        <v>1024</v>
      </c>
      <c r="AE770" s="40" t="s">
        <v>1319</v>
      </c>
      <c r="AF770" s="39">
        <f>データ!K770</f>
        <v>49810</v>
      </c>
      <c r="AG770" s="40" t="s">
        <v>1024</v>
      </c>
      <c r="AH770" s="40" t="s">
        <v>1324</v>
      </c>
      <c r="AI770" s="39" t="str">
        <f>データ!L770</f>
        <v>紫打の玲瓏</v>
      </c>
      <c r="AJ770" s="10" t="s">
        <v>1113</v>
      </c>
      <c r="AK770" s="39" t="str">
        <f>データ!M770</f>
        <v>味方打属性の攻撃力をUP[超極大]</v>
      </c>
      <c r="AL770" s="10" t="s">
        <v>1024</v>
      </c>
      <c r="AM770" s="40" t="s">
        <v>1324</v>
      </c>
      <c r="AN770" s="39" t="str">
        <f>データ!N770</f>
        <v>-</v>
      </c>
      <c r="AO770" s="10" t="s">
        <v>1113</v>
      </c>
      <c r="AP770" s="39" t="str">
        <f>データ!O770</f>
        <v>　</v>
      </c>
      <c r="AQ770" s="41" t="s">
        <v>1024</v>
      </c>
      <c r="AR770" s="40" t="s">
        <v>1324</v>
      </c>
      <c r="AS770" s="39" t="str">
        <f>データ!P770</f>
        <v>フォートレス／鳳</v>
      </c>
      <c r="AT770" s="10" t="s">
        <v>1113</v>
      </c>
      <c r="AU770" s="39" t="str">
        <f>データ!Q770</f>
        <v>パーティ全体の防御力が極大UP＆ユニット1体をタレント状態にする(3分間)</v>
      </c>
      <c r="AV770" s="10" t="s">
        <v>1024</v>
      </c>
      <c r="AW770" s="40" t="s">
        <v>1324</v>
      </c>
      <c r="AX770" s="39" t="str">
        <f>データ!R770</f>
        <v>フォートレス／煌</v>
      </c>
      <c r="AY770" s="10" t="s">
        <v>1113</v>
      </c>
      <c r="AZ770" s="39" t="str">
        <f>データ!S770</f>
        <v>パーティ全体の防御力が特大UP(3分間)</v>
      </c>
      <c r="BA770" s="41" t="s">
        <v>1024</v>
      </c>
      <c r="BB770" s="40" t="s">
        <v>1319</v>
      </c>
      <c r="BC770" s="39" t="str">
        <f>データ!T770</f>
        <v>練気</v>
      </c>
      <c r="BD770" s="41" t="s">
        <v>1024</v>
      </c>
      <c r="BE770" s="40" t="s">
        <v>1319</v>
      </c>
      <c r="BF770" s="39" t="str">
        <f>データ!U770</f>
        <v>-</v>
      </c>
      <c r="BG770" s="41" t="s">
        <v>1024</v>
      </c>
      <c r="BH770" s="40" t="s">
        <v>1319</v>
      </c>
      <c r="BI770" s="39" t="str">
        <f>データ!V770</f>
        <v>常設</v>
      </c>
      <c r="BJ770" s="41" t="s">
        <v>1024</v>
      </c>
      <c r="BK770" s="10" t="s">
        <v>1019</v>
      </c>
    </row>
    <row r="771" spans="1:63" x14ac:dyDescent="0.15">
      <c r="A771" s="10" t="s">
        <v>1016</v>
      </c>
      <c r="B771" s="10" t="s">
        <v>1454</v>
      </c>
      <c r="C771" s="38" t="str">
        <f>"./images/thumbnail/"&amp;データ!B771&amp;".jpg"</f>
        <v>./images/thumbnail/2253.jpg</v>
      </c>
      <c r="D771" s="38" t="s">
        <v>1455</v>
      </c>
      <c r="E771" s="38" t="str">
        <f>"./images/thumbnail/"&amp;データ!B771&amp;".jpg"</f>
        <v>./images/thumbnail/2253.jpg</v>
      </c>
      <c r="F771" s="38" t="s">
        <v>1116</v>
      </c>
      <c r="G771" s="38" t="s">
        <v>1319</v>
      </c>
      <c r="H771" s="38" t="str">
        <f>データ!C771</f>
        <v>リーベ</v>
      </c>
      <c r="I771" s="38" t="s">
        <v>1024</v>
      </c>
      <c r="J771" s="38" t="s">
        <v>1319</v>
      </c>
      <c r="K771" s="38" t="str">
        <f>データ!D771</f>
        <v>SSR</v>
      </c>
      <c r="L771" s="38" t="s">
        <v>1024</v>
      </c>
      <c r="M771" s="38" t="s">
        <v>1319</v>
      </c>
      <c r="N771" s="38">
        <f>データ!E771</f>
        <v>14</v>
      </c>
      <c r="O771" s="38" t="s">
        <v>1024</v>
      </c>
      <c r="P771" s="38" t="s">
        <v>1319</v>
      </c>
      <c r="Q771" s="38" t="str">
        <f>データ!F771</f>
        <v>突</v>
      </c>
      <c r="R771" s="38" t="s">
        <v>1024</v>
      </c>
      <c r="S771" s="38" t="s">
        <v>1319</v>
      </c>
      <c r="T771" s="39">
        <f>データ!G771</f>
        <v>19002</v>
      </c>
      <c r="U771" s="40" t="s">
        <v>1024</v>
      </c>
      <c r="V771" s="40" t="s">
        <v>1319</v>
      </c>
      <c r="W771" s="39">
        <f>データ!H771</f>
        <v>6040</v>
      </c>
      <c r="X771" s="40" t="s">
        <v>1024</v>
      </c>
      <c r="Y771" s="40" t="s">
        <v>1319</v>
      </c>
      <c r="Z771" s="39">
        <f>データ!I771</f>
        <v>6404</v>
      </c>
      <c r="AA771" s="40" t="s">
        <v>1024</v>
      </c>
      <c r="AB771" s="40" t="s">
        <v>1319</v>
      </c>
      <c r="AC771" s="39" t="str">
        <f>データ!J771</f>
        <v>SS+</v>
      </c>
      <c r="AD771" s="38" t="s">
        <v>1024</v>
      </c>
      <c r="AE771" s="40" t="s">
        <v>1319</v>
      </c>
      <c r="AF771" s="39">
        <f>データ!K771</f>
        <v>31446</v>
      </c>
      <c r="AG771" s="40" t="s">
        <v>1024</v>
      </c>
      <c r="AH771" s="40" t="s">
        <v>1324</v>
      </c>
      <c r="AI771" s="39" t="str">
        <f>データ!L771</f>
        <v>焔幻の一閃／煌</v>
      </c>
      <c r="AJ771" s="10" t="s">
        <v>1113</v>
      </c>
      <c r="AK771" s="39" t="str">
        <f>データ!M771</f>
        <v>横一列に攻撃[特大]</v>
      </c>
      <c r="AL771" s="10" t="s">
        <v>1024</v>
      </c>
      <c r="AM771" s="40" t="s">
        <v>1324</v>
      </c>
      <c r="AN771" s="39" t="str">
        <f>データ!N771</f>
        <v>-</v>
      </c>
      <c r="AO771" s="10" t="s">
        <v>1113</v>
      </c>
      <c r="AP771" s="39" t="str">
        <f>データ!O771</f>
        <v>　</v>
      </c>
      <c r="AQ771" s="41" t="s">
        <v>1024</v>
      </c>
      <c r="AR771" s="40" t="s">
        <v>1324</v>
      </c>
      <c r="AS771" s="39" t="str">
        <f>データ!P771</f>
        <v>アクセラレーター／絶</v>
      </c>
      <c r="AT771" s="10" t="s">
        <v>1113</v>
      </c>
      <c r="AU771" s="39" t="str">
        <f>データ!Q771</f>
        <v>パーティ全体の速度が大UP(3分間)</v>
      </c>
      <c r="AV771" s="10" t="s">
        <v>1024</v>
      </c>
      <c r="AW771" s="40" t="s">
        <v>1324</v>
      </c>
      <c r="AX771" s="39" t="str">
        <f>データ!R771</f>
        <v>-</v>
      </c>
      <c r="AY771" s="10" t="s">
        <v>1113</v>
      </c>
      <c r="AZ771" s="39" t="str">
        <f>データ!S771</f>
        <v>　</v>
      </c>
      <c r="BA771" s="41" t="s">
        <v>1024</v>
      </c>
      <c r="BB771" s="40" t="s">
        <v>1319</v>
      </c>
      <c r="BC771" s="39" t="str">
        <f>データ!T771</f>
        <v>-</v>
      </c>
      <c r="BD771" s="41" t="s">
        <v>1024</v>
      </c>
      <c r="BE771" s="40" t="s">
        <v>1319</v>
      </c>
      <c r="BF771" s="39" t="str">
        <f>データ!U771</f>
        <v>突属性防御力小アップ</v>
      </c>
      <c r="BG771" s="41" t="s">
        <v>1024</v>
      </c>
      <c r="BH771" s="40" t="s">
        <v>1319</v>
      </c>
      <c r="BI771" s="39" t="str">
        <f>データ!V771</f>
        <v>魔女の追憶イベ</v>
      </c>
      <c r="BJ771" s="41" t="s">
        <v>1024</v>
      </c>
      <c r="BK771" s="10" t="s">
        <v>1019</v>
      </c>
    </row>
    <row r="772" spans="1:63" x14ac:dyDescent="0.15">
      <c r="A772" s="10" t="s">
        <v>1016</v>
      </c>
      <c r="B772" s="10" t="s">
        <v>1454</v>
      </c>
      <c r="C772" s="38" t="str">
        <f>"./images/thumbnail/"&amp;データ!B772&amp;".jpg"</f>
        <v>./images/thumbnail/2254.jpg</v>
      </c>
      <c r="D772" s="38" t="s">
        <v>1455</v>
      </c>
      <c r="E772" s="38" t="str">
        <f>"./images/thumbnail/"&amp;データ!B772&amp;".jpg"</f>
        <v>./images/thumbnail/2254.jpg</v>
      </c>
      <c r="F772" s="38" t="s">
        <v>1116</v>
      </c>
      <c r="G772" s="38" t="s">
        <v>1319</v>
      </c>
      <c r="H772" s="38" t="str">
        <f>データ!C772</f>
        <v>サミュ</v>
      </c>
      <c r="I772" s="38" t="s">
        <v>1024</v>
      </c>
      <c r="J772" s="38" t="s">
        <v>1319</v>
      </c>
      <c r="K772" s="38" t="str">
        <f>データ!D772</f>
        <v>SSR</v>
      </c>
      <c r="L772" s="38" t="s">
        <v>1024</v>
      </c>
      <c r="M772" s="38" t="s">
        <v>1319</v>
      </c>
      <c r="N772" s="38">
        <f>データ!E772</f>
        <v>14</v>
      </c>
      <c r="O772" s="38" t="s">
        <v>1024</v>
      </c>
      <c r="P772" s="38" t="s">
        <v>1319</v>
      </c>
      <c r="Q772" s="38" t="str">
        <f>データ!F772</f>
        <v>遠</v>
      </c>
      <c r="R772" s="38" t="s">
        <v>1024</v>
      </c>
      <c r="S772" s="38" t="s">
        <v>1319</v>
      </c>
      <c r="T772" s="39">
        <f>データ!G772</f>
        <v>18815</v>
      </c>
      <c r="U772" s="40" t="s">
        <v>1024</v>
      </c>
      <c r="V772" s="40" t="s">
        <v>1319</v>
      </c>
      <c r="W772" s="39">
        <f>データ!H772</f>
        <v>7120</v>
      </c>
      <c r="X772" s="40" t="s">
        <v>1024</v>
      </c>
      <c r="Y772" s="40" t="s">
        <v>1319</v>
      </c>
      <c r="Z772" s="39">
        <f>データ!I772</f>
        <v>6215</v>
      </c>
      <c r="AA772" s="40" t="s">
        <v>1024</v>
      </c>
      <c r="AB772" s="40" t="s">
        <v>1319</v>
      </c>
      <c r="AC772" s="39" t="str">
        <f>データ!J772</f>
        <v>S+</v>
      </c>
      <c r="AD772" s="38" t="s">
        <v>1024</v>
      </c>
      <c r="AE772" s="40" t="s">
        <v>1319</v>
      </c>
      <c r="AF772" s="39">
        <f>データ!K772</f>
        <v>32150</v>
      </c>
      <c r="AG772" s="40" t="s">
        <v>1024</v>
      </c>
      <c r="AH772" s="40" t="s">
        <v>1324</v>
      </c>
      <c r="AI772" s="39" t="str">
        <f>データ!L772</f>
        <v>魔幻の閃光／煌</v>
      </c>
      <c r="AJ772" s="10" t="s">
        <v>1113</v>
      </c>
      <c r="AK772" s="39" t="str">
        <f>データ!M772</f>
        <v>縦一列に攻撃[特大]</v>
      </c>
      <c r="AL772" s="10" t="s">
        <v>1024</v>
      </c>
      <c r="AM772" s="40" t="s">
        <v>1324</v>
      </c>
      <c r="AN772" s="39" t="str">
        <f>データ!N772</f>
        <v>-</v>
      </c>
      <c r="AO772" s="10" t="s">
        <v>1113</v>
      </c>
      <c r="AP772" s="39" t="str">
        <f>データ!O772</f>
        <v>　</v>
      </c>
      <c r="AQ772" s="41" t="s">
        <v>1024</v>
      </c>
      <c r="AR772" s="40" t="s">
        <v>1324</v>
      </c>
      <c r="AS772" s="39" t="str">
        <f>データ!P772</f>
        <v>エース／煌</v>
      </c>
      <c r="AT772" s="10" t="s">
        <v>1113</v>
      </c>
      <c r="AU772" s="39" t="str">
        <f>データ!Q772</f>
        <v>パーティ全体の攻・防が特大UP(3分間)</v>
      </c>
      <c r="AV772" s="10" t="s">
        <v>1024</v>
      </c>
      <c r="AW772" s="40" t="s">
        <v>1324</v>
      </c>
      <c r="AX772" s="39" t="str">
        <f>データ!R772</f>
        <v>-</v>
      </c>
      <c r="AY772" s="10" t="s">
        <v>1113</v>
      </c>
      <c r="AZ772" s="39" t="str">
        <f>データ!S772</f>
        <v>　</v>
      </c>
      <c r="BA772" s="41" t="s">
        <v>1024</v>
      </c>
      <c r="BB772" s="40" t="s">
        <v>1319</v>
      </c>
      <c r="BC772" s="39" t="str">
        <f>データ!T772</f>
        <v>-</v>
      </c>
      <c r="BD772" s="41" t="s">
        <v>1024</v>
      </c>
      <c r="BE772" s="40" t="s">
        <v>1319</v>
      </c>
      <c r="BF772" s="39" t="str">
        <f>データ!U772</f>
        <v>遠属性防御力中アップ</v>
      </c>
      <c r="BG772" s="41" t="s">
        <v>1024</v>
      </c>
      <c r="BH772" s="40" t="s">
        <v>1319</v>
      </c>
      <c r="BI772" s="39" t="str">
        <f>データ!V772</f>
        <v>イリュミナシオン</v>
      </c>
      <c r="BJ772" s="41" t="s">
        <v>1024</v>
      </c>
      <c r="BK772" s="10" t="s">
        <v>1019</v>
      </c>
    </row>
    <row r="773" spans="1:63" x14ac:dyDescent="0.15">
      <c r="A773" s="10" t="s">
        <v>1016</v>
      </c>
      <c r="B773" s="10" t="s">
        <v>1454</v>
      </c>
      <c r="C773" s="38" t="str">
        <f>"./images/thumbnail/"&amp;データ!B773&amp;".jpg"</f>
        <v>./images/thumbnail/2255.jpg</v>
      </c>
      <c r="D773" s="38" t="s">
        <v>1455</v>
      </c>
      <c r="E773" s="38" t="str">
        <f>"./images/thumbnail/"&amp;データ!B773&amp;".jpg"</f>
        <v>./images/thumbnail/2255.jpg</v>
      </c>
      <c r="F773" s="38" t="s">
        <v>1116</v>
      </c>
      <c r="G773" s="38" t="s">
        <v>1319</v>
      </c>
      <c r="H773" s="38" t="str">
        <f>データ!C773</f>
        <v>キアラ</v>
      </c>
      <c r="I773" s="38" t="s">
        <v>1024</v>
      </c>
      <c r="J773" s="38" t="s">
        <v>1319</v>
      </c>
      <c r="K773" s="38" t="str">
        <f>データ!D773</f>
        <v>UR</v>
      </c>
      <c r="L773" s="38" t="s">
        <v>1024</v>
      </c>
      <c r="M773" s="38" t="s">
        <v>1319</v>
      </c>
      <c r="N773" s="38">
        <f>データ!E773</f>
        <v>16</v>
      </c>
      <c r="O773" s="38" t="s">
        <v>1024</v>
      </c>
      <c r="P773" s="38" t="s">
        <v>1319</v>
      </c>
      <c r="Q773" s="38" t="str">
        <f>データ!F773</f>
        <v>打</v>
      </c>
      <c r="R773" s="38" t="s">
        <v>1024</v>
      </c>
      <c r="S773" s="38" t="s">
        <v>1319</v>
      </c>
      <c r="T773" s="39">
        <f>データ!G773</f>
        <v>30318</v>
      </c>
      <c r="U773" s="40" t="s">
        <v>1024</v>
      </c>
      <c r="V773" s="40" t="s">
        <v>1319</v>
      </c>
      <c r="W773" s="39">
        <f>データ!H773</f>
        <v>9014</v>
      </c>
      <c r="X773" s="40" t="s">
        <v>1024</v>
      </c>
      <c r="Y773" s="40" t="s">
        <v>1319</v>
      </c>
      <c r="Z773" s="39">
        <f>データ!I773</f>
        <v>12036</v>
      </c>
      <c r="AA773" s="40" t="s">
        <v>1024</v>
      </c>
      <c r="AB773" s="40" t="s">
        <v>1319</v>
      </c>
      <c r="AC773" s="39" t="str">
        <f>データ!J773</f>
        <v>SS-</v>
      </c>
      <c r="AD773" s="38" t="s">
        <v>1024</v>
      </c>
      <c r="AE773" s="40" t="s">
        <v>1319</v>
      </c>
      <c r="AF773" s="39">
        <f>データ!K773</f>
        <v>51368</v>
      </c>
      <c r="AG773" s="40" t="s">
        <v>1024</v>
      </c>
      <c r="AH773" s="40" t="s">
        <v>1324</v>
      </c>
      <c r="AI773" s="39" t="str">
        <f>データ!L773</f>
        <v>地雷幻の一撃／鳳</v>
      </c>
      <c r="AJ773" s="10" t="s">
        <v>1113</v>
      </c>
      <c r="AK773" s="39" t="str">
        <f>データ!M773</f>
        <v>敵単体攻撃[極大]自分の防御力UP[極大]</v>
      </c>
      <c r="AL773" s="10" t="s">
        <v>1024</v>
      </c>
      <c r="AM773" s="40" t="s">
        <v>1324</v>
      </c>
      <c r="AN773" s="39" t="str">
        <f>データ!N773</f>
        <v>-</v>
      </c>
      <c r="AO773" s="10" t="s">
        <v>1113</v>
      </c>
      <c r="AP773" s="39" t="str">
        <f>データ!O773</f>
        <v>　</v>
      </c>
      <c r="AQ773" s="41" t="s">
        <v>1024</v>
      </c>
      <c r="AR773" s="40" t="s">
        <v>1324</v>
      </c>
      <c r="AS773" s="39" t="str">
        <f>データ!P773</f>
        <v>グラビティアサルト／鳳</v>
      </c>
      <c r="AT773" s="10" t="s">
        <v>1113</v>
      </c>
      <c r="AU773" s="39" t="str">
        <f>データ!Q773</f>
        <v>パーティ全体の攻撃力極大UP・速度大DOWN＆ユニット1体をタレント状態にする(3分間)</v>
      </c>
      <c r="AV773" s="10" t="s">
        <v>1024</v>
      </c>
      <c r="AW773" s="40" t="s">
        <v>1324</v>
      </c>
      <c r="AX773" s="39" t="str">
        <f>データ!R773</f>
        <v>エンダーブレイク／煌</v>
      </c>
      <c r="AY773" s="10" t="s">
        <v>1113</v>
      </c>
      <c r="AZ773" s="39" t="str">
        <f>データ!S773</f>
        <v>騎士団スコア特大UP・キリ番CB最大値UP(3回)</v>
      </c>
      <c r="BA773" s="41" t="s">
        <v>1024</v>
      </c>
      <c r="BB773" s="40" t="s">
        <v>1319</v>
      </c>
      <c r="BC773" s="39" t="str">
        <f>データ!T773</f>
        <v>-</v>
      </c>
      <c r="BD773" s="41" t="s">
        <v>1024</v>
      </c>
      <c r="BE773" s="40" t="s">
        <v>1319</v>
      </c>
      <c r="BF773" s="39" t="str">
        <f>データ!U773</f>
        <v>打属性攻撃力大アップ</v>
      </c>
      <c r="BG773" s="41" t="s">
        <v>1024</v>
      </c>
      <c r="BH773" s="40" t="s">
        <v>1319</v>
      </c>
      <c r="BI773" s="39" t="str">
        <f>データ!V773</f>
        <v>限定ガチャ</v>
      </c>
      <c r="BJ773" s="41" t="s">
        <v>1024</v>
      </c>
      <c r="BK773" s="10" t="s">
        <v>1019</v>
      </c>
    </row>
    <row r="774" spans="1:63" x14ac:dyDescent="0.15">
      <c r="A774" s="10" t="s">
        <v>1016</v>
      </c>
      <c r="B774" s="10" t="s">
        <v>1454</v>
      </c>
      <c r="C774" s="38" t="str">
        <f>"./images/thumbnail/"&amp;データ!B774&amp;".jpg"</f>
        <v>./images/thumbnail/2256.jpg</v>
      </c>
      <c r="D774" s="38" t="s">
        <v>1455</v>
      </c>
      <c r="E774" s="38" t="str">
        <f>"./images/thumbnail/"&amp;データ!B774&amp;".jpg"</f>
        <v>./images/thumbnail/2256.jpg</v>
      </c>
      <c r="F774" s="38" t="s">
        <v>1116</v>
      </c>
      <c r="G774" s="38" t="s">
        <v>1319</v>
      </c>
      <c r="H774" s="38" t="str">
        <f>データ!C774</f>
        <v>ユリーカ</v>
      </c>
      <c r="I774" s="38" t="s">
        <v>1024</v>
      </c>
      <c r="J774" s="38" t="s">
        <v>1319</v>
      </c>
      <c r="K774" s="38" t="str">
        <f>データ!D774</f>
        <v>UR</v>
      </c>
      <c r="L774" s="38" t="s">
        <v>1024</v>
      </c>
      <c r="M774" s="38" t="s">
        <v>1319</v>
      </c>
      <c r="N774" s="38">
        <f>データ!E774</f>
        <v>16</v>
      </c>
      <c r="O774" s="38" t="s">
        <v>1024</v>
      </c>
      <c r="P774" s="38" t="s">
        <v>1319</v>
      </c>
      <c r="Q774" s="38" t="str">
        <f>データ!F774</f>
        <v>遠</v>
      </c>
      <c r="R774" s="38" t="s">
        <v>1024</v>
      </c>
      <c r="S774" s="38" t="s">
        <v>1319</v>
      </c>
      <c r="T774" s="39">
        <f>データ!G774</f>
        <v>26323</v>
      </c>
      <c r="U774" s="40" t="s">
        <v>1024</v>
      </c>
      <c r="V774" s="40" t="s">
        <v>1319</v>
      </c>
      <c r="W774" s="39">
        <f>データ!H774</f>
        <v>8675</v>
      </c>
      <c r="X774" s="40" t="s">
        <v>1024</v>
      </c>
      <c r="Y774" s="40" t="s">
        <v>1319</v>
      </c>
      <c r="Z774" s="39">
        <f>データ!I774</f>
        <v>8812</v>
      </c>
      <c r="AA774" s="40" t="s">
        <v>1024</v>
      </c>
      <c r="AB774" s="40" t="s">
        <v>1319</v>
      </c>
      <c r="AC774" s="39" t="str">
        <f>データ!J774</f>
        <v>SS1</v>
      </c>
      <c r="AD774" s="38" t="s">
        <v>1024</v>
      </c>
      <c r="AE774" s="40" t="s">
        <v>1319</v>
      </c>
      <c r="AF774" s="39">
        <f>データ!K774</f>
        <v>43810</v>
      </c>
      <c r="AG774" s="40" t="s">
        <v>1024</v>
      </c>
      <c r="AH774" s="40" t="s">
        <v>1324</v>
      </c>
      <c r="AI774" s="39" t="str">
        <f>データ!L774</f>
        <v>治癒の一撃／煌</v>
      </c>
      <c r="AJ774" s="10" t="s">
        <v>1113</v>
      </c>
      <c r="AK774" s="39" t="str">
        <f>データ!M774</f>
        <v>単体固定ダメージ[特大]+味方状態異常解除</v>
      </c>
      <c r="AL774" s="10" t="s">
        <v>1024</v>
      </c>
      <c r="AM774" s="40" t="s">
        <v>1324</v>
      </c>
      <c r="AN774" s="39" t="str">
        <f>データ!N774</f>
        <v>-</v>
      </c>
      <c r="AO774" s="10" t="s">
        <v>1113</v>
      </c>
      <c r="AP774" s="39" t="str">
        <f>データ!O774</f>
        <v>　</v>
      </c>
      <c r="AQ774" s="41" t="s">
        <v>1024</v>
      </c>
      <c r="AR774" s="40" t="s">
        <v>1324</v>
      </c>
      <c r="AS774" s="39" t="str">
        <f>データ!P774</f>
        <v>バーサク／煌</v>
      </c>
      <c r="AT774" s="10" t="s">
        <v>1113</v>
      </c>
      <c r="AU774" s="39" t="str">
        <f>データ!Q774</f>
        <v>強襲が発生無効、バトル時に攻・防特大UP＆ユニット1体をタレント状態にする(3分間)</v>
      </c>
      <c r="AV774" s="10" t="s">
        <v>1024</v>
      </c>
      <c r="AW774" s="40" t="s">
        <v>1324</v>
      </c>
      <c r="AX774" s="39" t="str">
        <f>データ!R774</f>
        <v>リコントラクト／煌</v>
      </c>
      <c r="AY774" s="10" t="s">
        <v>1113</v>
      </c>
      <c r="AZ774" s="39" t="str">
        <f>データ!S774</f>
        <v>バトルで敵を全滅するとBPが特大回復・TPが中回復(3分間)</v>
      </c>
      <c r="BA774" s="41" t="s">
        <v>1024</v>
      </c>
      <c r="BB774" s="40" t="s">
        <v>1319</v>
      </c>
      <c r="BC774" s="39" t="str">
        <f>データ!T774</f>
        <v>窮地の癒し</v>
      </c>
      <c r="BD774" s="41" t="s">
        <v>1024</v>
      </c>
      <c r="BE774" s="40" t="s">
        <v>1319</v>
      </c>
      <c r="BF774" s="39" t="str">
        <f>データ!U774</f>
        <v>-</v>
      </c>
      <c r="BG774" s="41" t="s">
        <v>1024</v>
      </c>
      <c r="BH774" s="40" t="s">
        <v>1319</v>
      </c>
      <c r="BI774" s="39" t="str">
        <f>データ!V774</f>
        <v>限定ガチャ</v>
      </c>
      <c r="BJ774" s="41" t="s">
        <v>1024</v>
      </c>
      <c r="BK774" s="10" t="s">
        <v>1019</v>
      </c>
    </row>
    <row r="775" spans="1:63" x14ac:dyDescent="0.15">
      <c r="A775" s="10" t="s">
        <v>1016</v>
      </c>
      <c r="B775" s="10" t="s">
        <v>1454</v>
      </c>
      <c r="C775" s="38" t="str">
        <f>"./images/thumbnail/"&amp;データ!B775&amp;".jpg"</f>
        <v>./images/thumbnail/2257.jpg</v>
      </c>
      <c r="D775" s="38" t="s">
        <v>1455</v>
      </c>
      <c r="E775" s="38" t="str">
        <f>"./images/thumbnail/"&amp;データ!B775&amp;".jpg"</f>
        <v>./images/thumbnail/2257.jpg</v>
      </c>
      <c r="F775" s="38" t="s">
        <v>1116</v>
      </c>
      <c r="G775" s="38" t="s">
        <v>1319</v>
      </c>
      <c r="H775" s="38" t="str">
        <f>データ!C775</f>
        <v>ルアーナ</v>
      </c>
      <c r="I775" s="38" t="s">
        <v>1024</v>
      </c>
      <c r="J775" s="38" t="s">
        <v>1319</v>
      </c>
      <c r="K775" s="38" t="str">
        <f>データ!D775</f>
        <v>SSR</v>
      </c>
      <c r="L775" s="38" t="s">
        <v>1024</v>
      </c>
      <c r="M775" s="38" t="s">
        <v>1319</v>
      </c>
      <c r="N775" s="38">
        <f>データ!E775</f>
        <v>14</v>
      </c>
      <c r="O775" s="38" t="s">
        <v>1024</v>
      </c>
      <c r="P775" s="38" t="s">
        <v>1319</v>
      </c>
      <c r="Q775" s="38" t="str">
        <f>データ!F775</f>
        <v>打</v>
      </c>
      <c r="R775" s="38" t="s">
        <v>1024</v>
      </c>
      <c r="S775" s="38" t="s">
        <v>1319</v>
      </c>
      <c r="T775" s="39">
        <f>データ!G775</f>
        <v>22173</v>
      </c>
      <c r="U775" s="40" t="s">
        <v>1024</v>
      </c>
      <c r="V775" s="40" t="s">
        <v>1319</v>
      </c>
      <c r="W775" s="39">
        <f>データ!H775</f>
        <v>6129</v>
      </c>
      <c r="X775" s="40" t="s">
        <v>1024</v>
      </c>
      <c r="Y775" s="40" t="s">
        <v>1319</v>
      </c>
      <c r="Z775" s="39">
        <f>データ!I775</f>
        <v>8103</v>
      </c>
      <c r="AA775" s="40" t="s">
        <v>1024</v>
      </c>
      <c r="AB775" s="40" t="s">
        <v>1319</v>
      </c>
      <c r="AC775" s="39" t="str">
        <f>データ!J775</f>
        <v>A+</v>
      </c>
      <c r="AD775" s="38" t="s">
        <v>1024</v>
      </c>
      <c r="AE775" s="40" t="s">
        <v>1319</v>
      </c>
      <c r="AF775" s="39">
        <f>データ!K775</f>
        <v>36405</v>
      </c>
      <c r="AG775" s="40" t="s">
        <v>1024</v>
      </c>
      <c r="AH775" s="40" t="s">
        <v>1324</v>
      </c>
      <c r="AI775" s="39" t="str">
        <f>データ!L775</f>
        <v>幻光の交叉線／煌</v>
      </c>
      <c r="AJ775" s="10" t="s">
        <v>1113</v>
      </c>
      <c r="AK775" s="39" t="str">
        <f>データ!M775</f>
        <v>X字型に攻撃[特大]</v>
      </c>
      <c r="AL775" s="10" t="s">
        <v>1024</v>
      </c>
      <c r="AM775" s="40" t="s">
        <v>1324</v>
      </c>
      <c r="AN775" s="39" t="str">
        <f>データ!N775</f>
        <v>-</v>
      </c>
      <c r="AO775" s="10" t="s">
        <v>1113</v>
      </c>
      <c r="AP775" s="39" t="str">
        <f>データ!O775</f>
        <v>　</v>
      </c>
      <c r="AQ775" s="41" t="s">
        <v>1024</v>
      </c>
      <c r="AR775" s="40" t="s">
        <v>1324</v>
      </c>
      <c r="AS775" s="39" t="str">
        <f>データ!P775</f>
        <v>アサルト／煌</v>
      </c>
      <c r="AT775" s="10" t="s">
        <v>1113</v>
      </c>
      <c r="AU775" s="39" t="str">
        <f>データ!Q775</f>
        <v>パーティ全体の攻撃力が特大UP(3分間)</v>
      </c>
      <c r="AV775" s="10" t="s">
        <v>1024</v>
      </c>
      <c r="AW775" s="40" t="s">
        <v>1324</v>
      </c>
      <c r="AX775" s="39" t="str">
        <f>データ!R775</f>
        <v>-</v>
      </c>
      <c r="AY775" s="10" t="s">
        <v>1113</v>
      </c>
      <c r="AZ775" s="39" t="str">
        <f>データ!S775</f>
        <v>　</v>
      </c>
      <c r="BA775" s="41" t="s">
        <v>1024</v>
      </c>
      <c r="BB775" s="40" t="s">
        <v>1319</v>
      </c>
      <c r="BC775" s="39" t="str">
        <f>データ!T775</f>
        <v>-</v>
      </c>
      <c r="BD775" s="41" t="s">
        <v>1024</v>
      </c>
      <c r="BE775" s="40" t="s">
        <v>1319</v>
      </c>
      <c r="BF775" s="39" t="str">
        <f>データ!U775</f>
        <v>打属性防御力小アップ</v>
      </c>
      <c r="BG775" s="41" t="s">
        <v>1024</v>
      </c>
      <c r="BH775" s="40" t="s">
        <v>1319</v>
      </c>
      <c r="BI775" s="39" t="str">
        <f>データ!V775</f>
        <v>誓いイベ</v>
      </c>
      <c r="BJ775" s="41" t="s">
        <v>1024</v>
      </c>
      <c r="BK775" s="10" t="s">
        <v>1019</v>
      </c>
    </row>
    <row r="776" spans="1:63" x14ac:dyDescent="0.15">
      <c r="A776" s="10" t="s">
        <v>1016</v>
      </c>
      <c r="B776" s="10" t="s">
        <v>1454</v>
      </c>
      <c r="C776" s="38" t="str">
        <f>"./images/thumbnail/"&amp;データ!B776&amp;".jpg"</f>
        <v>./images/thumbnail/2259.jpg</v>
      </c>
      <c r="D776" s="38" t="s">
        <v>1455</v>
      </c>
      <c r="E776" s="38" t="str">
        <f>"./images/thumbnail/"&amp;データ!B776&amp;".jpg"</f>
        <v>./images/thumbnail/2259.jpg</v>
      </c>
      <c r="F776" s="38" t="s">
        <v>1116</v>
      </c>
      <c r="G776" s="38" t="s">
        <v>1319</v>
      </c>
      <c r="H776" s="38" t="str">
        <f>データ!C776</f>
        <v>グリンド</v>
      </c>
      <c r="I776" s="38" t="s">
        <v>1024</v>
      </c>
      <c r="J776" s="38" t="s">
        <v>1319</v>
      </c>
      <c r="K776" s="38" t="str">
        <f>データ!D776</f>
        <v>UR</v>
      </c>
      <c r="L776" s="38" t="s">
        <v>1024</v>
      </c>
      <c r="M776" s="38" t="s">
        <v>1319</v>
      </c>
      <c r="N776" s="38">
        <f>データ!E776</f>
        <v>16</v>
      </c>
      <c r="O776" s="38" t="s">
        <v>1024</v>
      </c>
      <c r="P776" s="38" t="s">
        <v>1319</v>
      </c>
      <c r="Q776" s="38" t="str">
        <f>データ!F776</f>
        <v>斬</v>
      </c>
      <c r="R776" s="38" t="s">
        <v>1024</v>
      </c>
      <c r="S776" s="38" t="s">
        <v>1319</v>
      </c>
      <c r="T776" s="39">
        <f>データ!G776</f>
        <v>21312</v>
      </c>
      <c r="U776" s="40" t="s">
        <v>1024</v>
      </c>
      <c r="V776" s="40" t="s">
        <v>1319</v>
      </c>
      <c r="W776" s="39">
        <f>データ!H776</f>
        <v>10091</v>
      </c>
      <c r="X776" s="40" t="s">
        <v>1024</v>
      </c>
      <c r="Y776" s="40" t="s">
        <v>1319</v>
      </c>
      <c r="Z776" s="39">
        <f>データ!I776</f>
        <v>8430</v>
      </c>
      <c r="AA776" s="40" t="s">
        <v>1024</v>
      </c>
      <c r="AB776" s="40" t="s">
        <v>1319</v>
      </c>
      <c r="AC776" s="39" t="str">
        <f>データ!J776</f>
        <v>SS+</v>
      </c>
      <c r="AD776" s="38" t="s">
        <v>1024</v>
      </c>
      <c r="AE776" s="40" t="s">
        <v>1319</v>
      </c>
      <c r="AF776" s="39">
        <f>データ!K776</f>
        <v>39833</v>
      </c>
      <c r="AG776" s="40" t="s">
        <v>1024</v>
      </c>
      <c r="AH776" s="40" t="s">
        <v>1324</v>
      </c>
      <c r="AI776" s="39" t="str">
        <f>データ!L776</f>
        <v>斬紅の玲瓏</v>
      </c>
      <c r="AJ776" s="10" t="s">
        <v>1113</v>
      </c>
      <c r="AK776" s="39" t="str">
        <f>データ!M776</f>
        <v>味方斬属性の攻撃力をUP[超極大]</v>
      </c>
      <c r="AL776" s="10" t="s">
        <v>1024</v>
      </c>
      <c r="AM776" s="40" t="s">
        <v>1324</v>
      </c>
      <c r="AN776" s="39" t="str">
        <f>データ!N776</f>
        <v>-</v>
      </c>
      <c r="AO776" s="10" t="s">
        <v>1113</v>
      </c>
      <c r="AP776" s="39" t="str">
        <f>データ!O776</f>
        <v>　</v>
      </c>
      <c r="AQ776" s="41" t="s">
        <v>1024</v>
      </c>
      <c r="AR776" s="40" t="s">
        <v>1324</v>
      </c>
      <c r="AS776" s="39" t="str">
        <f>データ!P776</f>
        <v>フォートレス／鳳</v>
      </c>
      <c r="AT776" s="10" t="s">
        <v>1113</v>
      </c>
      <c r="AU776" s="39" t="str">
        <f>データ!Q776</f>
        <v>パーティ全体の防御力が極大UP＆ユニット1体をタレント状態にする(3分間)</v>
      </c>
      <c r="AV776" s="10" t="s">
        <v>1024</v>
      </c>
      <c r="AW776" s="40" t="s">
        <v>1324</v>
      </c>
      <c r="AX776" s="39" t="str">
        <f>データ!R776</f>
        <v>ポイントライズ／煌</v>
      </c>
      <c r="AY776" s="10" t="s">
        <v>1113</v>
      </c>
      <c r="AZ776" s="39" t="str">
        <f>データ!S776</f>
        <v>獲得する騎士団戦スコアが特大アップ(バトル3回)</v>
      </c>
      <c r="BA776" s="41" t="s">
        <v>1024</v>
      </c>
      <c r="BB776" s="40" t="s">
        <v>1319</v>
      </c>
      <c r="BC776" s="39" t="str">
        <f>データ!T776</f>
        <v>闘気</v>
      </c>
      <c r="BD776" s="41" t="s">
        <v>1024</v>
      </c>
      <c r="BE776" s="40" t="s">
        <v>1319</v>
      </c>
      <c r="BF776" s="39" t="str">
        <f>データ!U776</f>
        <v>-</v>
      </c>
      <c r="BG776" s="41" t="s">
        <v>1024</v>
      </c>
      <c r="BH776" s="40" t="s">
        <v>1319</v>
      </c>
      <c r="BI776" s="39" t="str">
        <f>データ!V776</f>
        <v>常設</v>
      </c>
      <c r="BJ776" s="41" t="s">
        <v>1024</v>
      </c>
      <c r="BK776" s="10" t="s">
        <v>1019</v>
      </c>
    </row>
    <row r="777" spans="1:63" x14ac:dyDescent="0.15">
      <c r="A777" s="10" t="s">
        <v>1016</v>
      </c>
      <c r="B777" s="10" t="s">
        <v>1454</v>
      </c>
      <c r="C777" s="38" t="str">
        <f>"./images/thumbnail/"&amp;データ!B777&amp;".jpg"</f>
        <v>./images/thumbnail/2261.jpg</v>
      </c>
      <c r="D777" s="38" t="s">
        <v>1455</v>
      </c>
      <c r="E777" s="38" t="str">
        <f>"./images/thumbnail/"&amp;データ!B777&amp;".jpg"</f>
        <v>./images/thumbnail/2261.jpg</v>
      </c>
      <c r="F777" s="38" t="s">
        <v>1116</v>
      </c>
      <c r="G777" s="38" t="s">
        <v>1319</v>
      </c>
      <c r="H777" s="38" t="str">
        <f>データ!C777</f>
        <v>ルイズ</v>
      </c>
      <c r="I777" s="38" t="s">
        <v>1024</v>
      </c>
      <c r="J777" s="38" t="s">
        <v>1319</v>
      </c>
      <c r="K777" s="38" t="str">
        <f>データ!D777</f>
        <v>UR</v>
      </c>
      <c r="L777" s="38" t="s">
        <v>1024</v>
      </c>
      <c r="M777" s="38" t="s">
        <v>1319</v>
      </c>
      <c r="N777" s="38">
        <f>データ!E777</f>
        <v>16</v>
      </c>
      <c r="O777" s="38" t="s">
        <v>1024</v>
      </c>
      <c r="P777" s="38" t="s">
        <v>1319</v>
      </c>
      <c r="Q777" s="38" t="str">
        <f>データ!F777</f>
        <v>遠</v>
      </c>
      <c r="R777" s="38" t="s">
        <v>1024</v>
      </c>
      <c r="S777" s="38" t="s">
        <v>1319</v>
      </c>
      <c r="T777" s="39">
        <f>データ!G777</f>
        <v>25361</v>
      </c>
      <c r="U777" s="40" t="s">
        <v>1024</v>
      </c>
      <c r="V777" s="40" t="s">
        <v>1319</v>
      </c>
      <c r="W777" s="39">
        <f>データ!H777</f>
        <v>8421</v>
      </c>
      <c r="X777" s="40" t="s">
        <v>1024</v>
      </c>
      <c r="Y777" s="40" t="s">
        <v>1319</v>
      </c>
      <c r="Z777" s="39">
        <f>データ!I777</f>
        <v>8039</v>
      </c>
      <c r="AA777" s="40" t="s">
        <v>1024</v>
      </c>
      <c r="AB777" s="40" t="s">
        <v>1319</v>
      </c>
      <c r="AC777" s="39" t="str">
        <f>データ!J777</f>
        <v>SS1</v>
      </c>
      <c r="AD777" s="38" t="s">
        <v>1024</v>
      </c>
      <c r="AE777" s="40" t="s">
        <v>1319</v>
      </c>
      <c r="AF777" s="39">
        <f>データ!K777</f>
        <v>41821</v>
      </c>
      <c r="AG777" s="40" t="s">
        <v>1024</v>
      </c>
      <c r="AH777" s="40" t="s">
        <v>1324</v>
      </c>
      <c r="AI777" s="39" t="str">
        <f>データ!L777</f>
        <v>対蒼の薙風／鳳</v>
      </c>
      <c r="AJ777" s="10" t="s">
        <v>1113</v>
      </c>
      <c r="AK777" s="39" t="str">
        <f>データ!M777</f>
        <v>突に強く斬に弱い横一列攻撃[極大]</v>
      </c>
      <c r="AL777" s="10" t="s">
        <v>1024</v>
      </c>
      <c r="AM777" s="40" t="s">
        <v>1324</v>
      </c>
      <c r="AN777" s="39" t="str">
        <f>データ!N777</f>
        <v>-</v>
      </c>
      <c r="AO777" s="10" t="s">
        <v>1113</v>
      </c>
      <c r="AP777" s="39" t="str">
        <f>データ!O777</f>
        <v>　</v>
      </c>
      <c r="AQ777" s="41" t="s">
        <v>1024</v>
      </c>
      <c r="AR777" s="40" t="s">
        <v>1324</v>
      </c>
      <c r="AS777" s="39" t="str">
        <f>データ!P777</f>
        <v>アサルト／鳳</v>
      </c>
      <c r="AT777" s="10" t="s">
        <v>1113</v>
      </c>
      <c r="AU777" s="39" t="str">
        <f>データ!Q777</f>
        <v>パーティ全体の攻撃力が極大UP＆ユニット1体をタレント状態にする(3分間)</v>
      </c>
      <c r="AV777" s="10" t="s">
        <v>1024</v>
      </c>
      <c r="AW777" s="40" t="s">
        <v>1324</v>
      </c>
      <c r="AX777" s="39" t="str">
        <f>データ!R777</f>
        <v>スラッシャー／煌</v>
      </c>
      <c r="AY777" s="10" t="s">
        <v>1113</v>
      </c>
      <c r="AZ777" s="39" t="str">
        <f>データ!S777</f>
        <v>キリ番キャッスルブレイク時の獲得ポイント特大UP(3回)</v>
      </c>
      <c r="BA777" s="41" t="s">
        <v>1024</v>
      </c>
      <c r="BB777" s="40" t="s">
        <v>1319</v>
      </c>
      <c r="BC777" s="39" t="str">
        <f>データ!T777</f>
        <v>練気</v>
      </c>
      <c r="BD777" s="41" t="s">
        <v>1024</v>
      </c>
      <c r="BE777" s="40" t="s">
        <v>1319</v>
      </c>
      <c r="BF777" s="39" t="str">
        <f>データ!U777</f>
        <v>-</v>
      </c>
      <c r="BG777" s="41" t="s">
        <v>1024</v>
      </c>
      <c r="BH777" s="40" t="s">
        <v>1319</v>
      </c>
      <c r="BI777" s="39" t="str">
        <f>データ!V777</f>
        <v>常設</v>
      </c>
      <c r="BJ777" s="41" t="s">
        <v>1024</v>
      </c>
      <c r="BK777" s="10" t="s">
        <v>1019</v>
      </c>
    </row>
    <row r="778" spans="1:63" x14ac:dyDescent="0.15">
      <c r="A778" s="10" t="s">
        <v>1016</v>
      </c>
      <c r="B778" s="10" t="s">
        <v>1454</v>
      </c>
      <c r="C778" s="38" t="str">
        <f>"./images/thumbnail/"&amp;データ!B778&amp;".jpg"</f>
        <v>./images/thumbnail/2263.jpg</v>
      </c>
      <c r="D778" s="38" t="s">
        <v>1455</v>
      </c>
      <c r="E778" s="38" t="str">
        <f>"./images/thumbnail/"&amp;データ!B778&amp;".jpg"</f>
        <v>./images/thumbnail/2263.jpg</v>
      </c>
      <c r="F778" s="38" t="s">
        <v>1116</v>
      </c>
      <c r="G778" s="38" t="s">
        <v>1319</v>
      </c>
      <c r="H778" s="38" t="str">
        <f>データ!C778</f>
        <v>アーシア</v>
      </c>
      <c r="I778" s="38" t="s">
        <v>1024</v>
      </c>
      <c r="J778" s="38" t="s">
        <v>1319</v>
      </c>
      <c r="K778" s="38" t="str">
        <f>データ!D778</f>
        <v>UR</v>
      </c>
      <c r="L778" s="38" t="s">
        <v>1024</v>
      </c>
      <c r="M778" s="38" t="s">
        <v>1319</v>
      </c>
      <c r="N778" s="38">
        <f>データ!E778</f>
        <v>16</v>
      </c>
      <c r="O778" s="38" t="s">
        <v>1024</v>
      </c>
      <c r="P778" s="38" t="s">
        <v>1319</v>
      </c>
      <c r="Q778" s="38" t="str">
        <f>データ!F778</f>
        <v>斬</v>
      </c>
      <c r="R778" s="38" t="s">
        <v>1024</v>
      </c>
      <c r="S778" s="38" t="s">
        <v>1319</v>
      </c>
      <c r="T778" s="39">
        <f>データ!G778</f>
        <v>22119</v>
      </c>
      <c r="U778" s="40" t="s">
        <v>1024</v>
      </c>
      <c r="V778" s="40" t="s">
        <v>1319</v>
      </c>
      <c r="W778" s="39">
        <f>データ!H778</f>
        <v>10499</v>
      </c>
      <c r="X778" s="40" t="s">
        <v>1024</v>
      </c>
      <c r="Y778" s="40" t="s">
        <v>1319</v>
      </c>
      <c r="Z778" s="39">
        <f>データ!I778</f>
        <v>8091</v>
      </c>
      <c r="AA778" s="40" t="s">
        <v>1024</v>
      </c>
      <c r="AB778" s="40" t="s">
        <v>1319</v>
      </c>
      <c r="AC778" s="39" t="str">
        <f>データ!J778</f>
        <v>SS+</v>
      </c>
      <c r="AD778" s="38" t="s">
        <v>1024</v>
      </c>
      <c r="AE778" s="40" t="s">
        <v>1319</v>
      </c>
      <c r="AF778" s="39">
        <f>データ!K778</f>
        <v>40709</v>
      </c>
      <c r="AG778" s="40" t="s">
        <v>1024</v>
      </c>
      <c r="AH778" s="40" t="s">
        <v>1324</v>
      </c>
      <c r="AI778" s="39" t="str">
        <f>データ!L778</f>
        <v>魔幻の閃光／鳳</v>
      </c>
      <c r="AJ778" s="10" t="s">
        <v>1113</v>
      </c>
      <c r="AK778" s="39" t="str">
        <f>データ!M778</f>
        <v>縦一列に攻撃[極大]</v>
      </c>
      <c r="AL778" s="10" t="s">
        <v>1024</v>
      </c>
      <c r="AM778" s="40" t="s">
        <v>1324</v>
      </c>
      <c r="AN778" s="39" t="str">
        <f>データ!N778</f>
        <v>-</v>
      </c>
      <c r="AO778" s="10" t="s">
        <v>1113</v>
      </c>
      <c r="AP778" s="39" t="str">
        <f>データ!O778</f>
        <v>　</v>
      </c>
      <c r="AQ778" s="41" t="s">
        <v>1024</v>
      </c>
      <c r="AR778" s="40" t="s">
        <v>1324</v>
      </c>
      <c r="AS778" s="39" t="str">
        <f>データ!P778</f>
        <v>ブリッツ／煌</v>
      </c>
      <c r="AT778" s="10" t="s">
        <v>1113</v>
      </c>
      <c r="AU778" s="39" t="str">
        <f>データ!Q778</f>
        <v>強襲CBの発生確率・強襲時獲得ポイント特大UP＆ユニット1体をタレント状態にする(3分間)</v>
      </c>
      <c r="AV778" s="10" t="s">
        <v>1024</v>
      </c>
      <c r="AW778" s="40" t="s">
        <v>1324</v>
      </c>
      <c r="AX778" s="39" t="str">
        <f>データ!R778</f>
        <v>アサルトオーダー／絶</v>
      </c>
      <c r="AY778" s="10" t="s">
        <v>1113</v>
      </c>
      <c r="AZ778" s="39" t="str">
        <f>データ!S778</f>
        <v>騎士団全体の攻撃力が大UP(3分間)</v>
      </c>
      <c r="BA778" s="41" t="s">
        <v>1024</v>
      </c>
      <c r="BB778" s="40" t="s">
        <v>1319</v>
      </c>
      <c r="BC778" s="39" t="str">
        <f>データ!T778</f>
        <v>不屈の闘気</v>
      </c>
      <c r="BD778" s="41" t="s">
        <v>1024</v>
      </c>
      <c r="BE778" s="40" t="s">
        <v>1319</v>
      </c>
      <c r="BF778" s="39" t="str">
        <f>データ!U778</f>
        <v>-</v>
      </c>
      <c r="BG778" s="41" t="s">
        <v>1024</v>
      </c>
      <c r="BH778" s="40" t="s">
        <v>1319</v>
      </c>
      <c r="BI778" s="39" t="str">
        <f>データ!V778</f>
        <v>覇者の塔</v>
      </c>
      <c r="BJ778" s="41" t="s">
        <v>1024</v>
      </c>
      <c r="BK778" s="10" t="s">
        <v>1019</v>
      </c>
    </row>
    <row r="779" spans="1:63" x14ac:dyDescent="0.15">
      <c r="A779" s="10" t="s">
        <v>1016</v>
      </c>
      <c r="B779" s="10" t="s">
        <v>1454</v>
      </c>
      <c r="C779" s="38" t="str">
        <f>"./images/thumbnail/"&amp;データ!B779&amp;".jpg"</f>
        <v>./images/thumbnail/2264.jpg</v>
      </c>
      <c r="D779" s="38" t="s">
        <v>1455</v>
      </c>
      <c r="E779" s="38" t="str">
        <f>"./images/thumbnail/"&amp;データ!B779&amp;".jpg"</f>
        <v>./images/thumbnail/2264.jpg</v>
      </c>
      <c r="F779" s="38" t="s">
        <v>1116</v>
      </c>
      <c r="G779" s="38" t="s">
        <v>1319</v>
      </c>
      <c r="H779" s="38" t="str">
        <f>データ!C779</f>
        <v>カエサル</v>
      </c>
      <c r="I779" s="38" t="s">
        <v>1024</v>
      </c>
      <c r="J779" s="38" t="s">
        <v>1319</v>
      </c>
      <c r="K779" s="38" t="str">
        <f>データ!D779</f>
        <v>SSR</v>
      </c>
      <c r="L779" s="38" t="s">
        <v>1024</v>
      </c>
      <c r="M779" s="38" t="s">
        <v>1319</v>
      </c>
      <c r="N779" s="38">
        <f>データ!E779</f>
        <v>13</v>
      </c>
      <c r="O779" s="38" t="s">
        <v>1024</v>
      </c>
      <c r="P779" s="38" t="s">
        <v>1319</v>
      </c>
      <c r="Q779" s="38" t="str">
        <f>データ!F779</f>
        <v>斬</v>
      </c>
      <c r="R779" s="38" t="s">
        <v>1024</v>
      </c>
      <c r="S779" s="38" t="s">
        <v>1319</v>
      </c>
      <c r="T779" s="39">
        <f>データ!G779</f>
        <v>16793</v>
      </c>
      <c r="U779" s="40" t="s">
        <v>1024</v>
      </c>
      <c r="V779" s="40" t="s">
        <v>1319</v>
      </c>
      <c r="W779" s="39">
        <f>データ!H779</f>
        <v>7652</v>
      </c>
      <c r="X779" s="40" t="s">
        <v>1024</v>
      </c>
      <c r="Y779" s="40" t="s">
        <v>1319</v>
      </c>
      <c r="Z779" s="39">
        <f>データ!I779</f>
        <v>5383</v>
      </c>
      <c r="AA779" s="40" t="s">
        <v>1024</v>
      </c>
      <c r="AB779" s="40" t="s">
        <v>1319</v>
      </c>
      <c r="AC779" s="39" t="str">
        <f>データ!J779</f>
        <v>A+</v>
      </c>
      <c r="AD779" s="38" t="s">
        <v>1024</v>
      </c>
      <c r="AE779" s="40" t="s">
        <v>1319</v>
      </c>
      <c r="AF779" s="39">
        <f>データ!K779</f>
        <v>29828</v>
      </c>
      <c r="AG779" s="40" t="s">
        <v>1024</v>
      </c>
      <c r="AH779" s="40" t="s">
        <v>1324</v>
      </c>
      <c r="AI779" s="39" t="str">
        <f>データ!L779</f>
        <v>対翠の突風／絶</v>
      </c>
      <c r="AJ779" s="10" t="s">
        <v>1113</v>
      </c>
      <c r="AK779" s="39" t="str">
        <f>データ!M779</f>
        <v>遠に強く打に弱い縦一列攻撃[大]</v>
      </c>
      <c r="AL779" s="10" t="s">
        <v>1024</v>
      </c>
      <c r="AM779" s="40" t="s">
        <v>1324</v>
      </c>
      <c r="AN779" s="39" t="str">
        <f>データ!N779</f>
        <v>-</v>
      </c>
      <c r="AO779" s="10" t="s">
        <v>1113</v>
      </c>
      <c r="AP779" s="39" t="str">
        <f>データ!O779</f>
        <v>　</v>
      </c>
      <c r="AQ779" s="41" t="s">
        <v>1024</v>
      </c>
      <c r="AR779" s="40" t="s">
        <v>1324</v>
      </c>
      <c r="AS779" s="39" t="str">
        <f>データ!P779</f>
        <v>アサルト／真</v>
      </c>
      <c r="AT779" s="10" t="s">
        <v>1113</v>
      </c>
      <c r="AU779" s="39" t="str">
        <f>データ!Q779</f>
        <v>パーティ全体の攻撃力が中UP(3分間)</v>
      </c>
      <c r="AV779" s="10" t="s">
        <v>1024</v>
      </c>
      <c r="AW779" s="40" t="s">
        <v>1324</v>
      </c>
      <c r="AX779" s="39" t="str">
        <f>データ!R779</f>
        <v>-</v>
      </c>
      <c r="AY779" s="10" t="s">
        <v>1113</v>
      </c>
      <c r="AZ779" s="39" t="str">
        <f>データ!S779</f>
        <v>　</v>
      </c>
      <c r="BA779" s="41" t="s">
        <v>1024</v>
      </c>
      <c r="BB779" s="40" t="s">
        <v>1319</v>
      </c>
      <c r="BC779" s="39" t="str">
        <f>データ!T779</f>
        <v>-</v>
      </c>
      <c r="BD779" s="41" t="s">
        <v>1024</v>
      </c>
      <c r="BE779" s="40" t="s">
        <v>1319</v>
      </c>
      <c r="BF779" s="39" t="str">
        <f>データ!U779</f>
        <v>-</v>
      </c>
      <c r="BG779" s="41" t="s">
        <v>1024</v>
      </c>
      <c r="BH779" s="40" t="s">
        <v>1319</v>
      </c>
      <c r="BI779" s="39" t="str">
        <f>データ!V779</f>
        <v>第19回統一報酬</v>
      </c>
      <c r="BJ779" s="41" t="s">
        <v>1024</v>
      </c>
      <c r="BK779" s="10" t="s">
        <v>1019</v>
      </c>
    </row>
    <row r="780" spans="1:63" x14ac:dyDescent="0.15">
      <c r="A780" s="10" t="s">
        <v>1016</v>
      </c>
      <c r="B780" s="10" t="s">
        <v>1454</v>
      </c>
      <c r="C780" s="38" t="str">
        <f>"./images/thumbnail/"&amp;データ!B780&amp;".jpg"</f>
        <v>./images/thumbnail/2265.jpg</v>
      </c>
      <c r="D780" s="38" t="s">
        <v>1455</v>
      </c>
      <c r="E780" s="38" t="str">
        <f>"./images/thumbnail/"&amp;データ!B780&amp;".jpg"</f>
        <v>./images/thumbnail/2265.jpg</v>
      </c>
      <c r="F780" s="38" t="s">
        <v>1116</v>
      </c>
      <c r="G780" s="38" t="s">
        <v>1319</v>
      </c>
      <c r="H780" s="38" t="str">
        <f>データ!C780</f>
        <v>カエサル</v>
      </c>
      <c r="I780" s="38" t="s">
        <v>1024</v>
      </c>
      <c r="J780" s="38" t="s">
        <v>1319</v>
      </c>
      <c r="K780" s="38" t="str">
        <f>データ!D780</f>
        <v>UR</v>
      </c>
      <c r="L780" s="38" t="s">
        <v>1024</v>
      </c>
      <c r="M780" s="38" t="s">
        <v>1319</v>
      </c>
      <c r="N780" s="38">
        <f>データ!E780</f>
        <v>14</v>
      </c>
      <c r="O780" s="38" t="s">
        <v>1024</v>
      </c>
      <c r="P780" s="38" t="s">
        <v>1319</v>
      </c>
      <c r="Q780" s="38" t="str">
        <f>データ!F780</f>
        <v>斬</v>
      </c>
      <c r="R780" s="38" t="s">
        <v>1024</v>
      </c>
      <c r="S780" s="38" t="s">
        <v>1319</v>
      </c>
      <c r="T780" s="39">
        <f>データ!G780</f>
        <v>19180</v>
      </c>
      <c r="U780" s="40" t="s">
        <v>1024</v>
      </c>
      <c r="V780" s="40" t="s">
        <v>1319</v>
      </c>
      <c r="W780" s="39">
        <f>データ!H780</f>
        <v>8660</v>
      </c>
      <c r="X780" s="40" t="s">
        <v>1024</v>
      </c>
      <c r="Y780" s="40" t="s">
        <v>1319</v>
      </c>
      <c r="Z780" s="39">
        <f>データ!I780</f>
        <v>6318</v>
      </c>
      <c r="AA780" s="40" t="s">
        <v>1024</v>
      </c>
      <c r="AB780" s="40" t="s">
        <v>1319</v>
      </c>
      <c r="AC780" s="39" t="str">
        <f>データ!J780</f>
        <v>S</v>
      </c>
      <c r="AD780" s="38" t="s">
        <v>1024</v>
      </c>
      <c r="AE780" s="40" t="s">
        <v>1319</v>
      </c>
      <c r="AF780" s="39">
        <f>データ!K780</f>
        <v>34158</v>
      </c>
      <c r="AG780" s="40" t="s">
        <v>1024</v>
      </c>
      <c r="AH780" s="40" t="s">
        <v>1324</v>
      </c>
      <c r="AI780" s="39" t="str">
        <f>データ!L780</f>
        <v>対翠の突風／煌</v>
      </c>
      <c r="AJ780" s="10" t="s">
        <v>1113</v>
      </c>
      <c r="AK780" s="39" t="str">
        <f>データ!M780</f>
        <v>遠に強く打に弱い縦一列攻撃[特大]</v>
      </c>
      <c r="AL780" s="10" t="s">
        <v>1024</v>
      </c>
      <c r="AM780" s="40" t="s">
        <v>1324</v>
      </c>
      <c r="AN780" s="39" t="str">
        <f>データ!N780</f>
        <v>-</v>
      </c>
      <c r="AO780" s="10" t="s">
        <v>1113</v>
      </c>
      <c r="AP780" s="39" t="str">
        <f>データ!O780</f>
        <v>　</v>
      </c>
      <c r="AQ780" s="41" t="s">
        <v>1024</v>
      </c>
      <c r="AR780" s="40" t="s">
        <v>1324</v>
      </c>
      <c r="AS780" s="39" t="str">
        <f>データ!P780</f>
        <v>アサルト／絶</v>
      </c>
      <c r="AT780" s="10" t="s">
        <v>1113</v>
      </c>
      <c r="AU780" s="39" t="str">
        <f>データ!Q780</f>
        <v>パーティ全体の攻撃力が大UP(3分間)</v>
      </c>
      <c r="AV780" s="10" t="s">
        <v>1024</v>
      </c>
      <c r="AW780" s="40" t="s">
        <v>1324</v>
      </c>
      <c r="AX780" s="39" t="str">
        <f>データ!R780</f>
        <v>-</v>
      </c>
      <c r="AY780" s="10" t="s">
        <v>1113</v>
      </c>
      <c r="AZ780" s="39" t="str">
        <f>データ!S780</f>
        <v>　</v>
      </c>
      <c r="BA780" s="41" t="s">
        <v>1024</v>
      </c>
      <c r="BB780" s="40" t="s">
        <v>1319</v>
      </c>
      <c r="BC780" s="39" t="str">
        <f>データ!T780</f>
        <v>-</v>
      </c>
      <c r="BD780" s="41" t="s">
        <v>1024</v>
      </c>
      <c r="BE780" s="40" t="s">
        <v>1319</v>
      </c>
      <c r="BF780" s="39" t="str">
        <f>データ!U780</f>
        <v>-</v>
      </c>
      <c r="BG780" s="41" t="s">
        <v>1024</v>
      </c>
      <c r="BH780" s="40" t="s">
        <v>1319</v>
      </c>
      <c r="BI780" s="39" t="str">
        <f>データ!V780</f>
        <v>第19回統一報酬</v>
      </c>
      <c r="BJ780" s="41" t="s">
        <v>1024</v>
      </c>
      <c r="BK780" s="10" t="s">
        <v>1019</v>
      </c>
    </row>
    <row r="781" spans="1:63" x14ac:dyDescent="0.15">
      <c r="A781" s="10" t="s">
        <v>1016</v>
      </c>
      <c r="B781" s="10" t="s">
        <v>1454</v>
      </c>
      <c r="C781" s="38" t="str">
        <f>"./images/thumbnail/"&amp;データ!B781&amp;".jpg"</f>
        <v>./images/thumbnail/2266.jpg</v>
      </c>
      <c r="D781" s="38" t="s">
        <v>1455</v>
      </c>
      <c r="E781" s="38" t="str">
        <f>"./images/thumbnail/"&amp;データ!B781&amp;".jpg"</f>
        <v>./images/thumbnail/2266.jpg</v>
      </c>
      <c r="F781" s="38" t="s">
        <v>1116</v>
      </c>
      <c r="G781" s="38" t="s">
        <v>1319</v>
      </c>
      <c r="H781" s="38" t="str">
        <f>データ!C781</f>
        <v>カエサル</v>
      </c>
      <c r="I781" s="38" t="s">
        <v>1024</v>
      </c>
      <c r="J781" s="38" t="s">
        <v>1319</v>
      </c>
      <c r="K781" s="38" t="str">
        <f>データ!D781</f>
        <v>UR</v>
      </c>
      <c r="L781" s="38" t="s">
        <v>1024</v>
      </c>
      <c r="M781" s="38" t="s">
        <v>1319</v>
      </c>
      <c r="N781" s="38">
        <f>データ!E781</f>
        <v>15</v>
      </c>
      <c r="O781" s="38" t="s">
        <v>1024</v>
      </c>
      <c r="P781" s="38" t="s">
        <v>1319</v>
      </c>
      <c r="Q781" s="38" t="str">
        <f>データ!F781</f>
        <v>斬</v>
      </c>
      <c r="R781" s="38" t="s">
        <v>1024</v>
      </c>
      <c r="S781" s="38" t="s">
        <v>1319</v>
      </c>
      <c r="T781" s="39">
        <f>データ!G781</f>
        <v>21337</v>
      </c>
      <c r="U781" s="40" t="s">
        <v>1024</v>
      </c>
      <c r="V781" s="40" t="s">
        <v>1319</v>
      </c>
      <c r="W781" s="39">
        <f>データ!H781</f>
        <v>9252</v>
      </c>
      <c r="X781" s="40" t="s">
        <v>1024</v>
      </c>
      <c r="Y781" s="40" t="s">
        <v>1319</v>
      </c>
      <c r="Z781" s="39">
        <f>データ!I781</f>
        <v>7474</v>
      </c>
      <c r="AA781" s="40" t="s">
        <v>1024</v>
      </c>
      <c r="AB781" s="40" t="s">
        <v>1319</v>
      </c>
      <c r="AC781" s="39" t="str">
        <f>データ!J781</f>
        <v>SS-</v>
      </c>
      <c r="AD781" s="38" t="s">
        <v>1024</v>
      </c>
      <c r="AE781" s="40" t="s">
        <v>1319</v>
      </c>
      <c r="AF781" s="39">
        <f>データ!K781</f>
        <v>38063</v>
      </c>
      <c r="AG781" s="40" t="s">
        <v>1024</v>
      </c>
      <c r="AH781" s="40" t="s">
        <v>1324</v>
      </c>
      <c r="AI781" s="39" t="str">
        <f>データ!L781</f>
        <v>対翠の突風／煌</v>
      </c>
      <c r="AJ781" s="10" t="s">
        <v>1113</v>
      </c>
      <c r="AK781" s="39" t="str">
        <f>データ!M781</f>
        <v>遠に強く打に弱い縦一列攻撃[特大]</v>
      </c>
      <c r="AL781" s="10" t="s">
        <v>1024</v>
      </c>
      <c r="AM781" s="40" t="s">
        <v>1324</v>
      </c>
      <c r="AN781" s="39" t="str">
        <f>データ!N781</f>
        <v>-</v>
      </c>
      <c r="AO781" s="10" t="s">
        <v>1113</v>
      </c>
      <c r="AP781" s="39" t="str">
        <f>データ!O781</f>
        <v>　</v>
      </c>
      <c r="AQ781" s="41" t="s">
        <v>1024</v>
      </c>
      <c r="AR781" s="40" t="s">
        <v>1324</v>
      </c>
      <c r="AS781" s="39" t="str">
        <f>データ!P781</f>
        <v>アサルト／煌</v>
      </c>
      <c r="AT781" s="10" t="s">
        <v>1113</v>
      </c>
      <c r="AU781" s="39" t="str">
        <f>データ!Q781</f>
        <v>パーティ全体の攻撃力が特大UP(3分間)</v>
      </c>
      <c r="AV781" s="10" t="s">
        <v>1024</v>
      </c>
      <c r="AW781" s="40" t="s">
        <v>1324</v>
      </c>
      <c r="AX781" s="39" t="str">
        <f>データ!R781</f>
        <v>エクスターライズ／真</v>
      </c>
      <c r="AY781" s="10" t="s">
        <v>1113</v>
      </c>
      <c r="AZ781" s="39" t="str">
        <f>データ!S781</f>
        <v>騎士団全体の攻・防が大UP(3分間)</v>
      </c>
      <c r="BA781" s="41" t="s">
        <v>1024</v>
      </c>
      <c r="BB781" s="40" t="s">
        <v>1319</v>
      </c>
      <c r="BC781" s="39" t="str">
        <f>データ!T781</f>
        <v>-</v>
      </c>
      <c r="BD781" s="41" t="s">
        <v>1024</v>
      </c>
      <c r="BE781" s="40" t="s">
        <v>1319</v>
      </c>
      <c r="BF781" s="39" t="str">
        <f>データ!U781</f>
        <v>-</v>
      </c>
      <c r="BG781" s="41" t="s">
        <v>1024</v>
      </c>
      <c r="BH781" s="40" t="s">
        <v>1319</v>
      </c>
      <c r="BI781" s="39" t="str">
        <f>データ!V781</f>
        <v>第19回統一報酬</v>
      </c>
      <c r="BJ781" s="41" t="s">
        <v>1024</v>
      </c>
      <c r="BK781" s="10" t="s">
        <v>1019</v>
      </c>
    </row>
    <row r="782" spans="1:63" x14ac:dyDescent="0.15">
      <c r="A782" s="10" t="s">
        <v>1016</v>
      </c>
      <c r="B782" s="10" t="s">
        <v>1454</v>
      </c>
      <c r="C782" s="38" t="str">
        <f>"./images/thumbnail/"&amp;データ!B782&amp;".jpg"</f>
        <v>./images/thumbnail/2267.jpg</v>
      </c>
      <c r="D782" s="38" t="s">
        <v>1455</v>
      </c>
      <c r="E782" s="38" t="str">
        <f>"./images/thumbnail/"&amp;データ!B782&amp;".jpg"</f>
        <v>./images/thumbnail/2267.jpg</v>
      </c>
      <c r="F782" s="38" t="s">
        <v>1116</v>
      </c>
      <c r="G782" s="38" t="s">
        <v>1319</v>
      </c>
      <c r="H782" s="38" t="str">
        <f>データ!C782</f>
        <v>カエサル</v>
      </c>
      <c r="I782" s="38" t="s">
        <v>1024</v>
      </c>
      <c r="J782" s="38" t="s">
        <v>1319</v>
      </c>
      <c r="K782" s="38" t="str">
        <f>データ!D782</f>
        <v>UR</v>
      </c>
      <c r="L782" s="38" t="s">
        <v>1024</v>
      </c>
      <c r="M782" s="38" t="s">
        <v>1319</v>
      </c>
      <c r="N782" s="38">
        <f>データ!E782</f>
        <v>16</v>
      </c>
      <c r="O782" s="38" t="s">
        <v>1024</v>
      </c>
      <c r="P782" s="38" t="s">
        <v>1319</v>
      </c>
      <c r="Q782" s="38" t="str">
        <f>データ!F782</f>
        <v>斬</v>
      </c>
      <c r="R782" s="38" t="s">
        <v>1024</v>
      </c>
      <c r="S782" s="38" t="s">
        <v>1319</v>
      </c>
      <c r="T782" s="39">
        <f>データ!G782</f>
        <v>22181</v>
      </c>
      <c r="U782" s="40" t="s">
        <v>1024</v>
      </c>
      <c r="V782" s="40" t="s">
        <v>1319</v>
      </c>
      <c r="W782" s="39">
        <f>データ!H782</f>
        <v>10279</v>
      </c>
      <c r="X782" s="40" t="s">
        <v>1024</v>
      </c>
      <c r="Y782" s="40" t="s">
        <v>1319</v>
      </c>
      <c r="Z782" s="39">
        <f>データ!I782</f>
        <v>8345</v>
      </c>
      <c r="AA782" s="40" t="s">
        <v>1024</v>
      </c>
      <c r="AB782" s="40" t="s">
        <v>1319</v>
      </c>
      <c r="AC782" s="39" t="str">
        <f>データ!J782</f>
        <v>SS+</v>
      </c>
      <c r="AD782" s="38" t="s">
        <v>1024</v>
      </c>
      <c r="AE782" s="40" t="s">
        <v>1319</v>
      </c>
      <c r="AF782" s="39">
        <f>データ!K782</f>
        <v>40805</v>
      </c>
      <c r="AG782" s="40" t="s">
        <v>1024</v>
      </c>
      <c r="AH782" s="40" t="s">
        <v>1324</v>
      </c>
      <c r="AI782" s="39" t="str">
        <f>データ!L782</f>
        <v>対翠の突風／鳳</v>
      </c>
      <c r="AJ782" s="10" t="s">
        <v>1113</v>
      </c>
      <c r="AK782" s="39" t="str">
        <f>データ!M782</f>
        <v>遠に強く打に弱い縦一列攻撃[極大]</v>
      </c>
      <c r="AL782" s="10" t="s">
        <v>1024</v>
      </c>
      <c r="AM782" s="40" t="s">
        <v>1324</v>
      </c>
      <c r="AN782" s="39" t="str">
        <f>データ!N782</f>
        <v>-</v>
      </c>
      <c r="AO782" s="10" t="s">
        <v>1113</v>
      </c>
      <c r="AP782" s="39" t="str">
        <f>データ!O782</f>
        <v>　</v>
      </c>
      <c r="AQ782" s="41" t="s">
        <v>1024</v>
      </c>
      <c r="AR782" s="40" t="s">
        <v>1324</v>
      </c>
      <c r="AS782" s="39" t="str">
        <f>データ!P782</f>
        <v>アサルト／鳳</v>
      </c>
      <c r="AT782" s="10" t="s">
        <v>1113</v>
      </c>
      <c r="AU782" s="39" t="str">
        <f>データ!Q782</f>
        <v>パーティ全体の攻撃力が極大UP＆ユニット1体をタレント状態にする(3分間)</v>
      </c>
      <c r="AV782" s="10" t="s">
        <v>1024</v>
      </c>
      <c r="AW782" s="40" t="s">
        <v>1324</v>
      </c>
      <c r="AX782" s="39" t="str">
        <f>データ!R782</f>
        <v>エクスターライズ／絶</v>
      </c>
      <c r="AY782" s="10" t="s">
        <v>1113</v>
      </c>
      <c r="AZ782" s="39" t="str">
        <f>データ!S782</f>
        <v>攻撃回数が多いほどバトル獲得スコアが大UP(3分間)</v>
      </c>
      <c r="BA782" s="41" t="s">
        <v>1024</v>
      </c>
      <c r="BB782" s="40" t="s">
        <v>1319</v>
      </c>
      <c r="BC782" s="39" t="str">
        <f>データ!T782</f>
        <v>不屈の闘気</v>
      </c>
      <c r="BD782" s="41" t="s">
        <v>1024</v>
      </c>
      <c r="BE782" s="40" t="s">
        <v>1319</v>
      </c>
      <c r="BF782" s="39" t="str">
        <f>データ!U782</f>
        <v>-</v>
      </c>
      <c r="BG782" s="41" t="s">
        <v>1024</v>
      </c>
      <c r="BH782" s="40" t="s">
        <v>1319</v>
      </c>
      <c r="BI782" s="39" t="str">
        <f>データ!V782</f>
        <v>第19回統一報酬</v>
      </c>
      <c r="BJ782" s="41" t="s">
        <v>1024</v>
      </c>
      <c r="BK782" s="10" t="s">
        <v>1019</v>
      </c>
    </row>
    <row r="783" spans="1:63" x14ac:dyDescent="0.15">
      <c r="A783" s="10" t="s">
        <v>1016</v>
      </c>
      <c r="B783" s="10" t="s">
        <v>1454</v>
      </c>
      <c r="C783" s="38" t="str">
        <f>"./images/thumbnail/"&amp;データ!B783&amp;".jpg"</f>
        <v>./images/thumbnail/2269.jpg</v>
      </c>
      <c r="D783" s="38" t="s">
        <v>1455</v>
      </c>
      <c r="E783" s="38" t="str">
        <f>"./images/thumbnail/"&amp;データ!B783&amp;".jpg"</f>
        <v>./images/thumbnail/2269.jpg</v>
      </c>
      <c r="F783" s="38" t="s">
        <v>1116</v>
      </c>
      <c r="G783" s="38" t="s">
        <v>1319</v>
      </c>
      <c r="H783" s="38" t="str">
        <f>データ!C783</f>
        <v>エルザ</v>
      </c>
      <c r="I783" s="38" t="s">
        <v>1024</v>
      </c>
      <c r="J783" s="38" t="s">
        <v>1319</v>
      </c>
      <c r="K783" s="38" t="str">
        <f>データ!D783</f>
        <v>SSR</v>
      </c>
      <c r="L783" s="38" t="s">
        <v>1024</v>
      </c>
      <c r="M783" s="38" t="s">
        <v>1319</v>
      </c>
      <c r="N783" s="38">
        <f>データ!E783</f>
        <v>14</v>
      </c>
      <c r="O783" s="38" t="s">
        <v>1024</v>
      </c>
      <c r="P783" s="38" t="s">
        <v>1319</v>
      </c>
      <c r="Q783" s="38" t="str">
        <f>データ!F783</f>
        <v>斬</v>
      </c>
      <c r="R783" s="38" t="s">
        <v>1024</v>
      </c>
      <c r="S783" s="38" t="s">
        <v>1319</v>
      </c>
      <c r="T783" s="39">
        <f>データ!G783</f>
        <v>17451</v>
      </c>
      <c r="U783" s="40" t="s">
        <v>1024</v>
      </c>
      <c r="V783" s="40" t="s">
        <v>1319</v>
      </c>
      <c r="W783" s="39">
        <f>データ!H783</f>
        <v>8352</v>
      </c>
      <c r="X783" s="40" t="s">
        <v>1024</v>
      </c>
      <c r="Y783" s="40" t="s">
        <v>1319</v>
      </c>
      <c r="Z783" s="39">
        <f>データ!I783</f>
        <v>6499</v>
      </c>
      <c r="AA783" s="40" t="s">
        <v>1024</v>
      </c>
      <c r="AB783" s="40" t="s">
        <v>1319</v>
      </c>
      <c r="AC783" s="39" t="str">
        <f>データ!J783</f>
        <v>S</v>
      </c>
      <c r="AD783" s="38" t="s">
        <v>1024</v>
      </c>
      <c r="AE783" s="40" t="s">
        <v>1319</v>
      </c>
      <c r="AF783" s="39">
        <f>データ!K783</f>
        <v>32302</v>
      </c>
      <c r="AG783" s="40" t="s">
        <v>1024</v>
      </c>
      <c r="AH783" s="40" t="s">
        <v>1324</v>
      </c>
      <c r="AI783" s="39" t="str">
        <f>データ!L783</f>
        <v>対紅の突風／煌</v>
      </c>
      <c r="AJ783" s="10" t="s">
        <v>1113</v>
      </c>
      <c r="AK783" s="39" t="str">
        <f>データ!M783</f>
        <v>斬に強く突に弱い縦一列攻撃[特大]</v>
      </c>
      <c r="AL783" s="10" t="s">
        <v>1024</v>
      </c>
      <c r="AM783" s="40" t="s">
        <v>1324</v>
      </c>
      <c r="AN783" s="39" t="str">
        <f>データ!N783</f>
        <v>-</v>
      </c>
      <c r="AO783" s="10" t="s">
        <v>1113</v>
      </c>
      <c r="AP783" s="39" t="str">
        <f>データ!O783</f>
        <v>　</v>
      </c>
      <c r="AQ783" s="41" t="s">
        <v>1024</v>
      </c>
      <c r="AR783" s="40" t="s">
        <v>1324</v>
      </c>
      <c r="AS783" s="39" t="str">
        <f>データ!P783</f>
        <v>グラビティアサルト／絶</v>
      </c>
      <c r="AT783" s="10" t="s">
        <v>1113</v>
      </c>
      <c r="AU783" s="39" t="str">
        <f>データ!Q783</f>
        <v>パーティ全体の攻撃力大UP・速度大DOWN(3分間)</v>
      </c>
      <c r="AV783" s="10" t="s">
        <v>1024</v>
      </c>
      <c r="AW783" s="40" t="s">
        <v>1324</v>
      </c>
      <c r="AX783" s="39" t="str">
        <f>データ!R783</f>
        <v>-</v>
      </c>
      <c r="AY783" s="10" t="s">
        <v>1113</v>
      </c>
      <c r="AZ783" s="39" t="str">
        <f>データ!S783</f>
        <v>　</v>
      </c>
      <c r="BA783" s="41" t="s">
        <v>1024</v>
      </c>
      <c r="BB783" s="40" t="s">
        <v>1319</v>
      </c>
      <c r="BC783" s="39" t="str">
        <f>データ!T783</f>
        <v>-</v>
      </c>
      <c r="BD783" s="41" t="s">
        <v>1024</v>
      </c>
      <c r="BE783" s="40" t="s">
        <v>1319</v>
      </c>
      <c r="BF783" s="39" t="str">
        <f>データ!U783</f>
        <v>斬属性攻撃力中アップ</v>
      </c>
      <c r="BG783" s="41" t="s">
        <v>1024</v>
      </c>
      <c r="BH783" s="40" t="s">
        <v>1319</v>
      </c>
      <c r="BI783" s="39" t="str">
        <f>データ!V783</f>
        <v>エイトガチャ(水着)</v>
      </c>
      <c r="BJ783" s="41" t="s">
        <v>1024</v>
      </c>
      <c r="BK783" s="10" t="s">
        <v>1019</v>
      </c>
    </row>
    <row r="784" spans="1:63" x14ac:dyDescent="0.15">
      <c r="A784" s="10" t="s">
        <v>1016</v>
      </c>
      <c r="B784" s="10" t="s">
        <v>1454</v>
      </c>
      <c r="C784" s="38" t="str">
        <f>"./images/thumbnail/"&amp;データ!B784&amp;".jpg"</f>
        <v>./images/thumbnail/2271.jpg</v>
      </c>
      <c r="D784" s="38" t="s">
        <v>1455</v>
      </c>
      <c r="E784" s="38" t="str">
        <f>"./images/thumbnail/"&amp;データ!B784&amp;".jpg"</f>
        <v>./images/thumbnail/2271.jpg</v>
      </c>
      <c r="F784" s="38" t="s">
        <v>1116</v>
      </c>
      <c r="G784" s="38" t="s">
        <v>1319</v>
      </c>
      <c r="H784" s="38" t="str">
        <f>データ!C784</f>
        <v>デフロット</v>
      </c>
      <c r="I784" s="38" t="s">
        <v>1024</v>
      </c>
      <c r="J784" s="38" t="s">
        <v>1319</v>
      </c>
      <c r="K784" s="38" t="str">
        <f>データ!D784</f>
        <v>UR</v>
      </c>
      <c r="L784" s="38" t="s">
        <v>1024</v>
      </c>
      <c r="M784" s="38" t="s">
        <v>1319</v>
      </c>
      <c r="N784" s="38">
        <f>データ!E784</f>
        <v>16</v>
      </c>
      <c r="O784" s="38" t="s">
        <v>1024</v>
      </c>
      <c r="P784" s="38" t="s">
        <v>1319</v>
      </c>
      <c r="Q784" s="38" t="str">
        <f>データ!F784</f>
        <v>突</v>
      </c>
      <c r="R784" s="38" t="s">
        <v>1024</v>
      </c>
      <c r="S784" s="38" t="s">
        <v>1319</v>
      </c>
      <c r="T784" s="39">
        <f>データ!G784</f>
        <v>26004</v>
      </c>
      <c r="U784" s="40" t="s">
        <v>1024</v>
      </c>
      <c r="V784" s="40" t="s">
        <v>1319</v>
      </c>
      <c r="W784" s="39">
        <f>データ!H784</f>
        <v>7648</v>
      </c>
      <c r="X784" s="40" t="s">
        <v>1024</v>
      </c>
      <c r="Y784" s="40" t="s">
        <v>1319</v>
      </c>
      <c r="Z784" s="39">
        <f>データ!I784</f>
        <v>10196</v>
      </c>
      <c r="AA784" s="40" t="s">
        <v>1024</v>
      </c>
      <c r="AB784" s="40" t="s">
        <v>1319</v>
      </c>
      <c r="AC784" s="39" t="str">
        <f>データ!J784</f>
        <v>SS4</v>
      </c>
      <c r="AD784" s="38" t="s">
        <v>1024</v>
      </c>
      <c r="AE784" s="40" t="s">
        <v>1319</v>
      </c>
      <c r="AF784" s="39">
        <f>データ!K784</f>
        <v>43848</v>
      </c>
      <c r="AG784" s="40" t="s">
        <v>1024</v>
      </c>
      <c r="AH784" s="40" t="s">
        <v>1324</v>
      </c>
      <c r="AI784" s="39" t="str">
        <f>データ!L784</f>
        <v>孤撃の言霊／鳳</v>
      </c>
      <c r="AJ784" s="10" t="s">
        <v>1113</v>
      </c>
      <c r="AK784" s="39" t="str">
        <f>データ!M784</f>
        <v>一定確率でてきを範囲不可にする[超超高確率]</v>
      </c>
      <c r="AL784" s="10" t="s">
        <v>1024</v>
      </c>
      <c r="AM784" s="40" t="s">
        <v>1324</v>
      </c>
      <c r="AN784" s="39" t="str">
        <f>データ!N784</f>
        <v>-</v>
      </c>
      <c r="AO784" s="10" t="s">
        <v>1113</v>
      </c>
      <c r="AP784" s="39" t="str">
        <f>データ!O784</f>
        <v>　</v>
      </c>
      <c r="AQ784" s="41" t="s">
        <v>1024</v>
      </c>
      <c r="AR784" s="40" t="s">
        <v>1324</v>
      </c>
      <c r="AS784" s="39" t="str">
        <f>データ!P784</f>
        <v>アクセラレーター／鳳</v>
      </c>
      <c r="AT784" s="10" t="s">
        <v>1113</v>
      </c>
      <c r="AU784" s="39" t="str">
        <f>データ!Q784</f>
        <v>パーティ全体の速度が大UP＆ユニット1体をタレント状態にする(5分間)</v>
      </c>
      <c r="AV784" s="10" t="s">
        <v>1024</v>
      </c>
      <c r="AW784" s="40" t="s">
        <v>1324</v>
      </c>
      <c r="AX784" s="39" t="str">
        <f>データ!R784</f>
        <v>ディバインスラスト／煌</v>
      </c>
      <c r="AY784" s="10" t="s">
        <v>1113</v>
      </c>
      <c r="AZ784" s="39" t="str">
        <f>データ!S784</f>
        <v>パーティの攻撃力大UP・最大TP小UP(5分間)</v>
      </c>
      <c r="BA784" s="41" t="s">
        <v>1024</v>
      </c>
      <c r="BB784" s="40" t="s">
        <v>1319</v>
      </c>
      <c r="BC784" s="39" t="str">
        <f>データ!T784</f>
        <v>闘気／真</v>
      </c>
      <c r="BD784" s="41" t="s">
        <v>1024</v>
      </c>
      <c r="BE784" s="40" t="s">
        <v>1319</v>
      </c>
      <c r="BF784" s="39" t="str">
        <f>データ!U784</f>
        <v>-</v>
      </c>
      <c r="BG784" s="41" t="s">
        <v>1024</v>
      </c>
      <c r="BH784" s="40" t="s">
        <v>1319</v>
      </c>
      <c r="BI784" s="39" t="str">
        <f>データ!V784</f>
        <v>エイトガチャ(水着)</v>
      </c>
      <c r="BJ784" s="41" t="s">
        <v>1024</v>
      </c>
      <c r="BK784" s="10" t="s">
        <v>1019</v>
      </c>
    </row>
    <row r="785" spans="1:63" x14ac:dyDescent="0.15">
      <c r="A785" s="10" t="s">
        <v>1016</v>
      </c>
      <c r="B785" s="10" t="s">
        <v>1454</v>
      </c>
      <c r="C785" s="38" t="str">
        <f>"./images/thumbnail/"&amp;データ!B785&amp;".jpg"</f>
        <v>./images/thumbnail/2273.jpg</v>
      </c>
      <c r="D785" s="38" t="s">
        <v>1455</v>
      </c>
      <c r="E785" s="38" t="str">
        <f>"./images/thumbnail/"&amp;データ!B785&amp;".jpg"</f>
        <v>./images/thumbnail/2273.jpg</v>
      </c>
      <c r="F785" s="38" t="s">
        <v>1116</v>
      </c>
      <c r="G785" s="38" t="s">
        <v>1319</v>
      </c>
      <c r="H785" s="38" t="str">
        <f>データ!C785</f>
        <v>トト</v>
      </c>
      <c r="I785" s="38" t="s">
        <v>1024</v>
      </c>
      <c r="J785" s="38" t="s">
        <v>1319</v>
      </c>
      <c r="K785" s="38" t="str">
        <f>データ!D785</f>
        <v>UR</v>
      </c>
      <c r="L785" s="38" t="s">
        <v>1024</v>
      </c>
      <c r="M785" s="38" t="s">
        <v>1319</v>
      </c>
      <c r="N785" s="38">
        <f>データ!E785</f>
        <v>16</v>
      </c>
      <c r="O785" s="38" t="s">
        <v>1024</v>
      </c>
      <c r="P785" s="38" t="s">
        <v>1319</v>
      </c>
      <c r="Q785" s="38" t="str">
        <f>データ!F785</f>
        <v>打</v>
      </c>
      <c r="R785" s="38" t="s">
        <v>1024</v>
      </c>
      <c r="S785" s="38" t="s">
        <v>1319</v>
      </c>
      <c r="T785" s="39">
        <f>データ!G785</f>
        <v>30221</v>
      </c>
      <c r="U785" s="40" t="s">
        <v>1024</v>
      </c>
      <c r="V785" s="40" t="s">
        <v>1319</v>
      </c>
      <c r="W785" s="39">
        <f>データ!H785</f>
        <v>8662</v>
      </c>
      <c r="X785" s="40" t="s">
        <v>1024</v>
      </c>
      <c r="Y785" s="40" t="s">
        <v>1319</v>
      </c>
      <c r="Z785" s="39">
        <f>データ!I785</f>
        <v>12530</v>
      </c>
      <c r="AA785" s="40" t="s">
        <v>1024</v>
      </c>
      <c r="AB785" s="40" t="s">
        <v>1319</v>
      </c>
      <c r="AC785" s="39" t="str">
        <f>データ!J785</f>
        <v>SS-</v>
      </c>
      <c r="AD785" s="38" t="s">
        <v>1024</v>
      </c>
      <c r="AE785" s="40" t="s">
        <v>1319</v>
      </c>
      <c r="AF785" s="39">
        <f>データ!K785</f>
        <v>51413</v>
      </c>
      <c r="AG785" s="40" t="s">
        <v>1024</v>
      </c>
      <c r="AH785" s="40" t="s">
        <v>1324</v>
      </c>
      <c r="AI785" s="39" t="str">
        <f>データ!L785</f>
        <v>対蒼の縦十字／煌</v>
      </c>
      <c r="AJ785" s="10" t="s">
        <v>1113</v>
      </c>
      <c r="AK785" s="39" t="str">
        <f>データ!M785</f>
        <v>突に強く斬に弱い十字型攻撃[特大]</v>
      </c>
      <c r="AL785" s="10" t="s">
        <v>1024</v>
      </c>
      <c r="AM785" s="40" t="s">
        <v>1324</v>
      </c>
      <c r="AN785" s="39" t="str">
        <f>データ!N785</f>
        <v>-</v>
      </c>
      <c r="AO785" s="10" t="s">
        <v>1113</v>
      </c>
      <c r="AP785" s="39" t="str">
        <f>データ!O785</f>
        <v>　</v>
      </c>
      <c r="AQ785" s="41" t="s">
        <v>1024</v>
      </c>
      <c r="AR785" s="40" t="s">
        <v>1324</v>
      </c>
      <c r="AS785" s="39" t="str">
        <f>データ!P785</f>
        <v>ランページ／鳳</v>
      </c>
      <c r="AT785" s="10" t="s">
        <v>1113</v>
      </c>
      <c r="AU785" s="39" t="str">
        <f>データ!Q785</f>
        <v>バトルで獲得する騎士団戦スコアが極大アップ＆ユニット1体をタレント状態にする(3分間)</v>
      </c>
      <c r="AV785" s="10" t="s">
        <v>1024</v>
      </c>
      <c r="AW785" s="40" t="s">
        <v>1324</v>
      </c>
      <c r="AX785" s="39" t="str">
        <f>データ!R785</f>
        <v>オラトリオ／煌</v>
      </c>
      <c r="AY785" s="10" t="s">
        <v>1113</v>
      </c>
      <c r="AZ785" s="39" t="str">
        <f>データ!S785</f>
        <v>強襲無効、攻撃力・スキル発動率特大UP(3分間)</v>
      </c>
      <c r="BA785" s="41" t="s">
        <v>1024</v>
      </c>
      <c r="BB785" s="40" t="s">
        <v>1319</v>
      </c>
      <c r="BC785" s="39" t="str">
        <f>データ!T785</f>
        <v>防壁／真</v>
      </c>
      <c r="BD785" s="41" t="s">
        <v>1024</v>
      </c>
      <c r="BE785" s="40" t="s">
        <v>1319</v>
      </c>
      <c r="BF785" s="39" t="str">
        <f>データ!U785</f>
        <v>-</v>
      </c>
      <c r="BG785" s="41" t="s">
        <v>1024</v>
      </c>
      <c r="BH785" s="40" t="s">
        <v>1319</v>
      </c>
      <c r="BI785" s="39" t="str">
        <f>データ!V785</f>
        <v>エイトガチャ(水着)</v>
      </c>
      <c r="BJ785" s="41" t="s">
        <v>1024</v>
      </c>
      <c r="BK785" s="10" t="s">
        <v>1019</v>
      </c>
    </row>
    <row r="786" spans="1:63" x14ac:dyDescent="0.15">
      <c r="A786" s="10" t="s">
        <v>1016</v>
      </c>
      <c r="B786" s="10" t="s">
        <v>1454</v>
      </c>
      <c r="C786" s="38" t="str">
        <f>"./images/thumbnail/"&amp;データ!B786&amp;".jpg"</f>
        <v>./images/thumbnail/2275.jpg</v>
      </c>
      <c r="D786" s="38" t="s">
        <v>1455</v>
      </c>
      <c r="E786" s="38" t="str">
        <f>"./images/thumbnail/"&amp;データ!B786&amp;".jpg"</f>
        <v>./images/thumbnail/2275.jpg</v>
      </c>
      <c r="F786" s="38" t="s">
        <v>1116</v>
      </c>
      <c r="G786" s="38" t="s">
        <v>1319</v>
      </c>
      <c r="H786" s="38" t="str">
        <f>データ!C786</f>
        <v>ショコラ</v>
      </c>
      <c r="I786" s="38" t="s">
        <v>1024</v>
      </c>
      <c r="J786" s="38" t="s">
        <v>1319</v>
      </c>
      <c r="K786" s="38" t="str">
        <f>データ!D786</f>
        <v>UR</v>
      </c>
      <c r="L786" s="38" t="s">
        <v>1024</v>
      </c>
      <c r="M786" s="38" t="s">
        <v>1319</v>
      </c>
      <c r="N786" s="38">
        <f>データ!E786</f>
        <v>16</v>
      </c>
      <c r="O786" s="38" t="s">
        <v>1024</v>
      </c>
      <c r="P786" s="38" t="s">
        <v>1319</v>
      </c>
      <c r="Q786" s="38" t="str">
        <f>データ!F786</f>
        <v>遠</v>
      </c>
      <c r="R786" s="38" t="s">
        <v>1024</v>
      </c>
      <c r="S786" s="38" t="s">
        <v>1319</v>
      </c>
      <c r="T786" s="39">
        <f>データ!G786</f>
        <v>27163</v>
      </c>
      <c r="U786" s="40" t="s">
        <v>1024</v>
      </c>
      <c r="V786" s="40" t="s">
        <v>1319</v>
      </c>
      <c r="W786" s="39">
        <f>データ!H786</f>
        <v>8800</v>
      </c>
      <c r="X786" s="40" t="s">
        <v>1024</v>
      </c>
      <c r="Y786" s="40" t="s">
        <v>1319</v>
      </c>
      <c r="Z786" s="39">
        <f>データ!I786</f>
        <v>9109</v>
      </c>
      <c r="AA786" s="40" t="s">
        <v>1024</v>
      </c>
      <c r="AB786" s="40" t="s">
        <v>1319</v>
      </c>
      <c r="AC786" s="39" t="str">
        <f>データ!J786</f>
        <v>SS1</v>
      </c>
      <c r="AD786" s="38" t="s">
        <v>1024</v>
      </c>
      <c r="AE786" s="40" t="s">
        <v>1319</v>
      </c>
      <c r="AF786" s="39">
        <f>データ!K786</f>
        <v>45072</v>
      </c>
      <c r="AG786" s="40" t="s">
        <v>1024</v>
      </c>
      <c r="AH786" s="40" t="s">
        <v>1324</v>
      </c>
      <c r="AI786" s="39" t="str">
        <f>データ!L786</f>
        <v>地幻射の六連撃／絶</v>
      </c>
      <c r="AJ786" s="10" t="s">
        <v>1113</v>
      </c>
      <c r="AK786" s="39" t="str">
        <f>データ!M786</f>
        <v>ランダム6連続攻撃[大]自分の防御力UP[大]</v>
      </c>
      <c r="AL786" s="10" t="s">
        <v>1024</v>
      </c>
      <c r="AM786" s="40" t="s">
        <v>1324</v>
      </c>
      <c r="AN786" s="39" t="str">
        <f>データ!N786</f>
        <v>-</v>
      </c>
      <c r="AO786" s="10" t="s">
        <v>1113</v>
      </c>
      <c r="AP786" s="39" t="str">
        <f>データ!O786</f>
        <v>　</v>
      </c>
      <c r="AQ786" s="41" t="s">
        <v>1024</v>
      </c>
      <c r="AR786" s="40" t="s">
        <v>1324</v>
      </c>
      <c r="AS786" s="39" t="str">
        <f>データ!P786</f>
        <v>エース／鳳</v>
      </c>
      <c r="AT786" s="10" t="s">
        <v>1113</v>
      </c>
      <c r="AU786" s="39" t="str">
        <f>データ!Q786</f>
        <v>パーティ全体の攻・防が極大UP＆ユニット1体をタレント状態にする(3分間)</v>
      </c>
      <c r="AV786" s="10" t="s">
        <v>1024</v>
      </c>
      <c r="AW786" s="40" t="s">
        <v>1324</v>
      </c>
      <c r="AX786" s="39" t="str">
        <f>データ!R786</f>
        <v>フォートレスオーダー／絶</v>
      </c>
      <c r="AY786" s="10" t="s">
        <v>1113</v>
      </c>
      <c r="AZ786" s="39" t="str">
        <f>データ!S786</f>
        <v>騎士団全体の防御力が大UP(3分間)</v>
      </c>
      <c r="BA786" s="41" t="s">
        <v>1024</v>
      </c>
      <c r="BB786" s="40" t="s">
        <v>1319</v>
      </c>
      <c r="BC786" s="39" t="str">
        <f>データ!T786</f>
        <v>不撓不屈</v>
      </c>
      <c r="BD786" s="41" t="s">
        <v>1024</v>
      </c>
      <c r="BE786" s="40" t="s">
        <v>1319</v>
      </c>
      <c r="BF786" s="39" t="str">
        <f>データ!U786</f>
        <v>-</v>
      </c>
      <c r="BG786" s="41" t="s">
        <v>1024</v>
      </c>
      <c r="BH786" s="40" t="s">
        <v>1319</v>
      </c>
      <c r="BI786" s="39" t="str">
        <f>データ!V786</f>
        <v>エイトガチャ(水着)</v>
      </c>
      <c r="BJ786" s="41" t="s">
        <v>1024</v>
      </c>
      <c r="BK786" s="10" t="s">
        <v>1019</v>
      </c>
    </row>
    <row r="787" spans="1:63" x14ac:dyDescent="0.15">
      <c r="A787" s="10" t="s">
        <v>1016</v>
      </c>
      <c r="B787" s="10" t="s">
        <v>1454</v>
      </c>
      <c r="C787" s="38" t="str">
        <f>"./images/thumbnail/"&amp;データ!B787&amp;".jpg"</f>
        <v>./images/thumbnail/2276.jpg</v>
      </c>
      <c r="D787" s="38" t="s">
        <v>1455</v>
      </c>
      <c r="E787" s="38" t="str">
        <f>"./images/thumbnail/"&amp;データ!B787&amp;".jpg"</f>
        <v>./images/thumbnail/2276.jpg</v>
      </c>
      <c r="F787" s="38" t="s">
        <v>1116</v>
      </c>
      <c r="G787" s="38" t="s">
        <v>1319</v>
      </c>
      <c r="H787" s="38" t="str">
        <f>データ!C787</f>
        <v>カルディナ</v>
      </c>
      <c r="I787" s="38" t="s">
        <v>1024</v>
      </c>
      <c r="J787" s="38" t="s">
        <v>1319</v>
      </c>
      <c r="K787" s="38" t="str">
        <f>データ!D787</f>
        <v>UR</v>
      </c>
      <c r="L787" s="38" t="s">
        <v>1024</v>
      </c>
      <c r="M787" s="38" t="s">
        <v>1319</v>
      </c>
      <c r="N787" s="38">
        <f>データ!E787</f>
        <v>16</v>
      </c>
      <c r="O787" s="38" t="s">
        <v>1024</v>
      </c>
      <c r="P787" s="38" t="s">
        <v>1319</v>
      </c>
      <c r="Q787" s="38" t="str">
        <f>データ!F787</f>
        <v>突</v>
      </c>
      <c r="R787" s="38" t="s">
        <v>1024</v>
      </c>
      <c r="S787" s="38" t="s">
        <v>1319</v>
      </c>
      <c r="T787" s="39">
        <f>データ!G787</f>
        <v>27264</v>
      </c>
      <c r="U787" s="40" t="s">
        <v>1024</v>
      </c>
      <c r="V787" s="40" t="s">
        <v>1319</v>
      </c>
      <c r="W787" s="39">
        <f>データ!H787</f>
        <v>7651</v>
      </c>
      <c r="X787" s="40" t="s">
        <v>1024</v>
      </c>
      <c r="Y787" s="40" t="s">
        <v>1319</v>
      </c>
      <c r="Z787" s="39">
        <f>データ!I787</f>
        <v>11101</v>
      </c>
      <c r="AA787" s="40" t="s">
        <v>1024</v>
      </c>
      <c r="AB787" s="40" t="s">
        <v>1319</v>
      </c>
      <c r="AC787" s="39" t="str">
        <f>データ!J787</f>
        <v>SS4</v>
      </c>
      <c r="AD787" s="38" t="s">
        <v>1024</v>
      </c>
      <c r="AE787" s="40" t="s">
        <v>1319</v>
      </c>
      <c r="AF787" s="39">
        <f>データ!K787</f>
        <v>46016</v>
      </c>
      <c r="AG787" s="40" t="s">
        <v>1024</v>
      </c>
      <c r="AH787" s="40" t="s">
        <v>1324</v>
      </c>
      <c r="AI787" s="39" t="str">
        <f>データ!L787</f>
        <v>地幻神の七連撃／絶</v>
      </c>
      <c r="AJ787" s="10" t="s">
        <v>1113</v>
      </c>
      <c r="AK787" s="39" t="str">
        <f>データ!M787</f>
        <v>ランダム7連続攻撃[大]自分の防御力UP[大]</v>
      </c>
      <c r="AL787" s="10" t="s">
        <v>1024</v>
      </c>
      <c r="AM787" s="40" t="s">
        <v>1324</v>
      </c>
      <c r="AN787" s="39" t="str">
        <f>データ!N787</f>
        <v>-</v>
      </c>
      <c r="AO787" s="10" t="s">
        <v>1113</v>
      </c>
      <c r="AP787" s="39" t="str">
        <f>データ!O787</f>
        <v>　</v>
      </c>
      <c r="AQ787" s="41" t="s">
        <v>1024</v>
      </c>
      <c r="AR787" s="40" t="s">
        <v>1324</v>
      </c>
      <c r="AS787" s="39" t="str">
        <f>データ!P787</f>
        <v>エクスターライズ／煌</v>
      </c>
      <c r="AT787" s="10" t="s">
        <v>1113</v>
      </c>
      <c r="AU787" s="39" t="str">
        <f>データ!Q787</f>
        <v>攻撃回数が多いほどバトル獲得スコアが特大UP＆ユニット1体をタレント状態にする(3分間)</v>
      </c>
      <c r="AV787" s="10" t="s">
        <v>1024</v>
      </c>
      <c r="AW787" s="40" t="s">
        <v>1324</v>
      </c>
      <c r="AX787" s="39" t="str">
        <f>データ!R787</f>
        <v>バーサク／絶</v>
      </c>
      <c r="AY787" s="10" t="s">
        <v>1113</v>
      </c>
      <c r="AZ787" s="39" t="str">
        <f>データ!S787</f>
        <v>強襲が発生無効、バトル時に攻・防大UP(3分間)</v>
      </c>
      <c r="BA787" s="41" t="s">
        <v>1024</v>
      </c>
      <c r="BB787" s="40" t="s">
        <v>1319</v>
      </c>
      <c r="BC787" s="39" t="str">
        <f>データ!T787</f>
        <v>一閃／真</v>
      </c>
      <c r="BD787" s="41" t="s">
        <v>1024</v>
      </c>
      <c r="BE787" s="40" t="s">
        <v>1319</v>
      </c>
      <c r="BF787" s="39" t="str">
        <f>データ!U787</f>
        <v>-</v>
      </c>
      <c r="BG787" s="41" t="s">
        <v>1024</v>
      </c>
      <c r="BH787" s="40" t="s">
        <v>1319</v>
      </c>
      <c r="BI787" s="39" t="str">
        <f>データ!V787</f>
        <v>限定ガチャ</v>
      </c>
      <c r="BJ787" s="41" t="s">
        <v>1024</v>
      </c>
      <c r="BK787" s="10" t="s">
        <v>1019</v>
      </c>
    </row>
    <row r="788" spans="1:63" x14ac:dyDescent="0.15">
      <c r="A788" s="10" t="s">
        <v>1016</v>
      </c>
      <c r="B788" s="10" t="s">
        <v>1454</v>
      </c>
      <c r="C788" s="38" t="str">
        <f>"./images/thumbnail/"&amp;データ!B788&amp;".jpg"</f>
        <v>./images/thumbnail/2277.jpg</v>
      </c>
      <c r="D788" s="38" t="s">
        <v>1455</v>
      </c>
      <c r="E788" s="38" t="str">
        <f>"./images/thumbnail/"&amp;データ!B788&amp;".jpg"</f>
        <v>./images/thumbnail/2277.jpg</v>
      </c>
      <c r="F788" s="38" t="s">
        <v>1116</v>
      </c>
      <c r="G788" s="38" t="s">
        <v>1319</v>
      </c>
      <c r="H788" s="38" t="str">
        <f>データ!C788</f>
        <v>バカラック</v>
      </c>
      <c r="I788" s="38" t="s">
        <v>1024</v>
      </c>
      <c r="J788" s="38" t="s">
        <v>1319</v>
      </c>
      <c r="K788" s="38" t="str">
        <f>データ!D788</f>
        <v>UR</v>
      </c>
      <c r="L788" s="38" t="s">
        <v>1024</v>
      </c>
      <c r="M788" s="38" t="s">
        <v>1319</v>
      </c>
      <c r="N788" s="38">
        <f>データ!E788</f>
        <v>16</v>
      </c>
      <c r="O788" s="38" t="s">
        <v>1024</v>
      </c>
      <c r="P788" s="38" t="s">
        <v>1319</v>
      </c>
      <c r="Q788" s="38" t="str">
        <f>データ!F788</f>
        <v>打</v>
      </c>
      <c r="R788" s="38" t="s">
        <v>1024</v>
      </c>
      <c r="S788" s="38" t="s">
        <v>1319</v>
      </c>
      <c r="T788" s="39">
        <f>データ!G788</f>
        <v>27517</v>
      </c>
      <c r="U788" s="40" t="s">
        <v>1024</v>
      </c>
      <c r="V788" s="40" t="s">
        <v>1319</v>
      </c>
      <c r="W788" s="39">
        <f>データ!H788</f>
        <v>7501</v>
      </c>
      <c r="X788" s="40" t="s">
        <v>1024</v>
      </c>
      <c r="Y788" s="40" t="s">
        <v>1319</v>
      </c>
      <c r="Z788" s="39">
        <f>データ!I788</f>
        <v>10543</v>
      </c>
      <c r="AA788" s="40" t="s">
        <v>1024</v>
      </c>
      <c r="AB788" s="40" t="s">
        <v>1319</v>
      </c>
      <c r="AC788" s="39" t="str">
        <f>データ!J788</f>
        <v>SS-</v>
      </c>
      <c r="AD788" s="38" t="s">
        <v>1024</v>
      </c>
      <c r="AE788" s="40" t="s">
        <v>1319</v>
      </c>
      <c r="AF788" s="39">
        <f>データ!K788</f>
        <v>45561</v>
      </c>
      <c r="AG788" s="40" t="s">
        <v>1024</v>
      </c>
      <c r="AH788" s="40" t="s">
        <v>1324</v>
      </c>
      <c r="AI788" s="39" t="str">
        <f>データ!L788</f>
        <v>対蒼の突風／鳳</v>
      </c>
      <c r="AJ788" s="10" t="s">
        <v>1113</v>
      </c>
      <c r="AK788" s="39" t="str">
        <f>データ!M788</f>
        <v>突に強く斬に弱い縦一列攻撃[極大]</v>
      </c>
      <c r="AL788" s="10" t="s">
        <v>1024</v>
      </c>
      <c r="AM788" s="40" t="s">
        <v>1324</v>
      </c>
      <c r="AN788" s="39" t="str">
        <f>データ!N788</f>
        <v>-</v>
      </c>
      <c r="AO788" s="10" t="s">
        <v>1113</v>
      </c>
      <c r="AP788" s="39" t="str">
        <f>データ!O788</f>
        <v>　</v>
      </c>
      <c r="AQ788" s="41" t="s">
        <v>1024</v>
      </c>
      <c r="AR788" s="40" t="s">
        <v>1324</v>
      </c>
      <c r="AS788" s="39" t="str">
        <f>データ!P788</f>
        <v>フォートレス／鳳</v>
      </c>
      <c r="AT788" s="10" t="s">
        <v>1113</v>
      </c>
      <c r="AU788" s="39" t="str">
        <f>データ!Q788</f>
        <v>パーティ全体の防御力が極大UP＆ユニット1体をタレント状態にする(3分間)</v>
      </c>
      <c r="AV788" s="10" t="s">
        <v>1024</v>
      </c>
      <c r="AW788" s="40" t="s">
        <v>1324</v>
      </c>
      <c r="AX788" s="39" t="str">
        <f>データ!R788</f>
        <v>アサルト／煌</v>
      </c>
      <c r="AY788" s="10" t="s">
        <v>1113</v>
      </c>
      <c r="AZ788" s="39" t="str">
        <f>データ!S788</f>
        <v>パーティ全体の攻撃力が特大UP(3分間)</v>
      </c>
      <c r="BA788" s="41" t="s">
        <v>1024</v>
      </c>
      <c r="BB788" s="40" t="s">
        <v>1319</v>
      </c>
      <c r="BC788" s="39" t="str">
        <f>データ!T788</f>
        <v>闘気</v>
      </c>
      <c r="BD788" s="41" t="s">
        <v>1024</v>
      </c>
      <c r="BE788" s="40" t="s">
        <v>1319</v>
      </c>
      <c r="BF788" s="39" t="str">
        <f>データ!U788</f>
        <v>-</v>
      </c>
      <c r="BG788" s="41" t="s">
        <v>1024</v>
      </c>
      <c r="BH788" s="40" t="s">
        <v>1319</v>
      </c>
      <c r="BI788" s="39" t="str">
        <f>データ!V788</f>
        <v>ポーカー</v>
      </c>
      <c r="BJ788" s="41" t="s">
        <v>1024</v>
      </c>
      <c r="BK788" s="10" t="s">
        <v>1019</v>
      </c>
    </row>
    <row r="789" spans="1:63" x14ac:dyDescent="0.15">
      <c r="A789" s="10" t="s">
        <v>1016</v>
      </c>
      <c r="B789" s="10" t="s">
        <v>1454</v>
      </c>
      <c r="C789" s="38" t="str">
        <f>"./images/thumbnail/"&amp;データ!B789&amp;".jpg"</f>
        <v>./images/thumbnail/2278.jpg</v>
      </c>
      <c r="D789" s="38" t="s">
        <v>1455</v>
      </c>
      <c r="E789" s="38" t="str">
        <f>"./images/thumbnail/"&amp;データ!B789&amp;".jpg"</f>
        <v>./images/thumbnail/2278.jpg</v>
      </c>
      <c r="F789" s="38" t="s">
        <v>1116</v>
      </c>
      <c r="G789" s="38" t="s">
        <v>1319</v>
      </c>
      <c r="H789" s="38" t="str">
        <f>データ!C789</f>
        <v>マーヴェル</v>
      </c>
      <c r="I789" s="38" t="s">
        <v>1024</v>
      </c>
      <c r="J789" s="38" t="s">
        <v>1319</v>
      </c>
      <c r="K789" s="38" t="str">
        <f>データ!D789</f>
        <v>UR</v>
      </c>
      <c r="L789" s="38" t="s">
        <v>1024</v>
      </c>
      <c r="M789" s="38" t="s">
        <v>1319</v>
      </c>
      <c r="N789" s="38">
        <f>データ!E789</f>
        <v>16</v>
      </c>
      <c r="O789" s="38" t="s">
        <v>1024</v>
      </c>
      <c r="P789" s="38" t="s">
        <v>1319</v>
      </c>
      <c r="Q789" s="38" t="str">
        <f>データ!F789</f>
        <v>遠</v>
      </c>
      <c r="R789" s="38" t="s">
        <v>1024</v>
      </c>
      <c r="S789" s="38" t="s">
        <v>1319</v>
      </c>
      <c r="T789" s="39">
        <f>データ!G789</f>
        <v>25233</v>
      </c>
      <c r="U789" s="40" t="s">
        <v>1024</v>
      </c>
      <c r="V789" s="40" t="s">
        <v>1319</v>
      </c>
      <c r="W789" s="39">
        <f>データ!H789</f>
        <v>8504</v>
      </c>
      <c r="X789" s="40" t="s">
        <v>1024</v>
      </c>
      <c r="Y789" s="40" t="s">
        <v>1319</v>
      </c>
      <c r="Z789" s="39">
        <f>データ!I789</f>
        <v>8249</v>
      </c>
      <c r="AA789" s="40" t="s">
        <v>1024</v>
      </c>
      <c r="AB789" s="40" t="s">
        <v>1319</v>
      </c>
      <c r="AC789" s="39" t="str">
        <f>データ!J789</f>
        <v>SS1</v>
      </c>
      <c r="AD789" s="38" t="s">
        <v>1024</v>
      </c>
      <c r="AE789" s="40" t="s">
        <v>1319</v>
      </c>
      <c r="AF789" s="39">
        <f>データ!K789</f>
        <v>41986</v>
      </c>
      <c r="AG789" s="40" t="s">
        <v>1024</v>
      </c>
      <c r="AH789" s="40" t="s">
        <v>1324</v>
      </c>
      <c r="AI789" s="39" t="str">
        <f>データ!L789</f>
        <v>強奪者の閃光／鳳</v>
      </c>
      <c r="AJ789" s="10" t="s">
        <v>1113</v>
      </c>
      <c r="AK789" s="39" t="str">
        <f>データ!M789</f>
        <v>縦一列攻撃（宝箱優先／追加ダメージ）[極大]</v>
      </c>
      <c r="AL789" s="10" t="s">
        <v>1024</v>
      </c>
      <c r="AM789" s="40" t="s">
        <v>1324</v>
      </c>
      <c r="AN789" s="39" t="str">
        <f>データ!N789</f>
        <v>-</v>
      </c>
      <c r="AO789" s="10" t="s">
        <v>1113</v>
      </c>
      <c r="AP789" s="39" t="str">
        <f>データ!O789</f>
        <v>　</v>
      </c>
      <c r="AQ789" s="41" t="s">
        <v>1024</v>
      </c>
      <c r="AR789" s="40" t="s">
        <v>1324</v>
      </c>
      <c r="AS789" s="39" t="str">
        <f>データ!P789</f>
        <v>ディバインスラスト／鳳</v>
      </c>
      <c r="AT789" s="10" t="s">
        <v>1113</v>
      </c>
      <c r="AU789" s="39" t="str">
        <f>データ!Q789</f>
        <v>パーティの攻撃力大UP・最大TP小UP&amp;ユニット1体をタレント状態にする(5分間)</v>
      </c>
      <c r="AV789" s="10" t="s">
        <v>1024</v>
      </c>
      <c r="AW789" s="40" t="s">
        <v>1324</v>
      </c>
      <c r="AX789" s="39" t="str">
        <f>データ!R789</f>
        <v>ポイントライズ／煌</v>
      </c>
      <c r="AY789" s="10" t="s">
        <v>1113</v>
      </c>
      <c r="AZ789" s="39" t="str">
        <f>データ!S789</f>
        <v>獲得する騎士団戦スコアが特大アップ(バトル3回)</v>
      </c>
      <c r="BA789" s="41" t="s">
        <v>1024</v>
      </c>
      <c r="BB789" s="40" t="s">
        <v>1319</v>
      </c>
      <c r="BC789" s="39" t="str">
        <f>データ!T789</f>
        <v>練気</v>
      </c>
      <c r="BD789" s="41" t="s">
        <v>1024</v>
      </c>
      <c r="BE789" s="40" t="s">
        <v>1319</v>
      </c>
      <c r="BF789" s="39" t="str">
        <f>データ!U789</f>
        <v>-</v>
      </c>
      <c r="BG789" s="41" t="s">
        <v>1024</v>
      </c>
      <c r="BH789" s="40" t="s">
        <v>1319</v>
      </c>
      <c r="BI789" s="39" t="str">
        <f>データ!V789</f>
        <v>限定レアガチャ</v>
      </c>
      <c r="BJ789" s="41" t="s">
        <v>1024</v>
      </c>
      <c r="BK789" s="10" t="s">
        <v>1019</v>
      </c>
    </row>
    <row r="790" spans="1:63" x14ac:dyDescent="0.15">
      <c r="A790" s="10" t="s">
        <v>1016</v>
      </c>
      <c r="B790" s="10" t="s">
        <v>1454</v>
      </c>
      <c r="C790" s="38" t="str">
        <f>"./images/thumbnail/"&amp;データ!B790&amp;".jpg"</f>
        <v>./images/thumbnail/2280.jpg</v>
      </c>
      <c r="D790" s="38" t="s">
        <v>1455</v>
      </c>
      <c r="E790" s="38" t="str">
        <f>"./images/thumbnail/"&amp;データ!B790&amp;".jpg"</f>
        <v>./images/thumbnail/2280.jpg</v>
      </c>
      <c r="F790" s="38" t="s">
        <v>1116</v>
      </c>
      <c r="G790" s="38" t="s">
        <v>1319</v>
      </c>
      <c r="H790" s="38" t="str">
        <f>データ!C790</f>
        <v>ガルガイラス</v>
      </c>
      <c r="I790" s="38" t="s">
        <v>1024</v>
      </c>
      <c r="J790" s="38" t="s">
        <v>1319</v>
      </c>
      <c r="K790" s="38" t="str">
        <f>データ!D790</f>
        <v>UR</v>
      </c>
      <c r="L790" s="38" t="s">
        <v>1024</v>
      </c>
      <c r="M790" s="38" t="s">
        <v>1319</v>
      </c>
      <c r="N790" s="38">
        <f>データ!E790</f>
        <v>16</v>
      </c>
      <c r="O790" s="38" t="s">
        <v>1024</v>
      </c>
      <c r="P790" s="38" t="s">
        <v>1319</v>
      </c>
      <c r="Q790" s="38" t="str">
        <f>データ!F790</f>
        <v>突</v>
      </c>
      <c r="R790" s="38" t="s">
        <v>1024</v>
      </c>
      <c r="S790" s="38" t="s">
        <v>1319</v>
      </c>
      <c r="T790" s="39">
        <f>データ!G790</f>
        <v>25015</v>
      </c>
      <c r="U790" s="40" t="s">
        <v>1024</v>
      </c>
      <c r="V790" s="40" t="s">
        <v>1319</v>
      </c>
      <c r="W790" s="39">
        <f>データ!H790</f>
        <v>7612</v>
      </c>
      <c r="X790" s="40" t="s">
        <v>1024</v>
      </c>
      <c r="Y790" s="40" t="s">
        <v>1319</v>
      </c>
      <c r="Z790" s="39">
        <f>データ!I790</f>
        <v>11032</v>
      </c>
      <c r="AA790" s="40" t="s">
        <v>1024</v>
      </c>
      <c r="AB790" s="40" t="s">
        <v>1319</v>
      </c>
      <c r="AC790" s="39" t="str">
        <f>データ!J790</f>
        <v>SS4</v>
      </c>
      <c r="AD790" s="38" t="s">
        <v>1024</v>
      </c>
      <c r="AE790" s="40" t="s">
        <v>1319</v>
      </c>
      <c r="AF790" s="39">
        <f>データ!K790</f>
        <v>43659</v>
      </c>
      <c r="AG790" s="40" t="s">
        <v>1024</v>
      </c>
      <c r="AH790" s="40" t="s">
        <v>1324</v>
      </c>
      <c r="AI790" s="39" t="str">
        <f>データ!L790</f>
        <v>対紅の薙風／鳳</v>
      </c>
      <c r="AJ790" s="10" t="s">
        <v>1113</v>
      </c>
      <c r="AK790" s="39" t="str">
        <f>データ!M790</f>
        <v>斬に強く突に弱い横一列攻撃[極大]</v>
      </c>
      <c r="AL790" s="10" t="s">
        <v>1024</v>
      </c>
      <c r="AM790" s="40" t="s">
        <v>1324</v>
      </c>
      <c r="AN790" s="39" t="str">
        <f>データ!N790</f>
        <v>-</v>
      </c>
      <c r="AO790" s="10" t="s">
        <v>1113</v>
      </c>
      <c r="AP790" s="39" t="str">
        <f>データ!O790</f>
        <v>　</v>
      </c>
      <c r="AQ790" s="41" t="s">
        <v>1024</v>
      </c>
      <c r="AR790" s="40" t="s">
        <v>1324</v>
      </c>
      <c r="AS790" s="39" t="str">
        <f>データ!P790</f>
        <v>アサルト／鳳</v>
      </c>
      <c r="AT790" s="10" t="s">
        <v>1113</v>
      </c>
      <c r="AU790" s="39" t="str">
        <f>データ!Q790</f>
        <v>パーティ全体の攻撃力が極大UP＆ユニット1体をタレント状態にする(3分間)</v>
      </c>
      <c r="AV790" s="10" t="s">
        <v>1024</v>
      </c>
      <c r="AW790" s="40" t="s">
        <v>1324</v>
      </c>
      <c r="AX790" s="39" t="str">
        <f>データ!R790</f>
        <v>ポイントライズ／煌</v>
      </c>
      <c r="AY790" s="10" t="s">
        <v>1113</v>
      </c>
      <c r="AZ790" s="39" t="str">
        <f>データ!S790</f>
        <v>獲得する騎士団戦スコアが特大アップ(バトル3回)</v>
      </c>
      <c r="BA790" s="41" t="s">
        <v>1024</v>
      </c>
      <c r="BB790" s="40" t="s">
        <v>1319</v>
      </c>
      <c r="BC790" s="39" t="str">
        <f>データ!T790</f>
        <v>練気</v>
      </c>
      <c r="BD790" s="41" t="s">
        <v>1024</v>
      </c>
      <c r="BE790" s="40" t="s">
        <v>1319</v>
      </c>
      <c r="BF790" s="39" t="str">
        <f>データ!U790</f>
        <v>-</v>
      </c>
      <c r="BG790" s="41" t="s">
        <v>1024</v>
      </c>
      <c r="BH790" s="40" t="s">
        <v>1319</v>
      </c>
      <c r="BI790" s="39" t="str">
        <f>データ!V790</f>
        <v>常設</v>
      </c>
      <c r="BJ790" s="41" t="s">
        <v>1024</v>
      </c>
      <c r="BK790" s="10" t="s">
        <v>1019</v>
      </c>
    </row>
    <row r="791" spans="1:63" x14ac:dyDescent="0.15">
      <c r="A791" s="10" t="s">
        <v>1016</v>
      </c>
      <c r="B791" s="10" t="s">
        <v>1454</v>
      </c>
      <c r="C791" s="38" t="str">
        <f>"./images/thumbnail/"&amp;データ!B791&amp;".jpg"</f>
        <v>./images/thumbnail/2282.jpg</v>
      </c>
      <c r="D791" s="38" t="s">
        <v>1455</v>
      </c>
      <c r="E791" s="38" t="str">
        <f>"./images/thumbnail/"&amp;データ!B791&amp;".jpg"</f>
        <v>./images/thumbnail/2282.jpg</v>
      </c>
      <c r="F791" s="38" t="s">
        <v>1116</v>
      </c>
      <c r="G791" s="38" t="s">
        <v>1319</v>
      </c>
      <c r="H791" s="38" t="str">
        <f>データ!C791</f>
        <v>ラトゥーム</v>
      </c>
      <c r="I791" s="38" t="s">
        <v>1024</v>
      </c>
      <c r="J791" s="38" t="s">
        <v>1319</v>
      </c>
      <c r="K791" s="38" t="str">
        <f>データ!D791</f>
        <v>UR</v>
      </c>
      <c r="L791" s="38" t="s">
        <v>1024</v>
      </c>
      <c r="M791" s="38" t="s">
        <v>1319</v>
      </c>
      <c r="N791" s="38">
        <f>データ!E791</f>
        <v>16</v>
      </c>
      <c r="O791" s="38" t="s">
        <v>1024</v>
      </c>
      <c r="P791" s="38" t="s">
        <v>1319</v>
      </c>
      <c r="Q791" s="38" t="str">
        <f>データ!F791</f>
        <v>遠</v>
      </c>
      <c r="R791" s="38" t="s">
        <v>1024</v>
      </c>
      <c r="S791" s="38" t="s">
        <v>1319</v>
      </c>
      <c r="T791" s="39">
        <f>データ!G791</f>
        <v>25516</v>
      </c>
      <c r="U791" s="40" t="s">
        <v>1024</v>
      </c>
      <c r="V791" s="40" t="s">
        <v>1319</v>
      </c>
      <c r="W791" s="39">
        <f>データ!H791</f>
        <v>8356</v>
      </c>
      <c r="X791" s="40" t="s">
        <v>1024</v>
      </c>
      <c r="Y791" s="40" t="s">
        <v>1319</v>
      </c>
      <c r="Z791" s="39">
        <f>データ!I791</f>
        <v>8009</v>
      </c>
      <c r="AA791" s="40" t="s">
        <v>1024</v>
      </c>
      <c r="AB791" s="40" t="s">
        <v>1319</v>
      </c>
      <c r="AC791" s="39" t="str">
        <f>データ!J791</f>
        <v>SS1</v>
      </c>
      <c r="AD791" s="38" t="s">
        <v>1024</v>
      </c>
      <c r="AE791" s="40" t="s">
        <v>1319</v>
      </c>
      <c r="AF791" s="39">
        <f>データ!K791</f>
        <v>41881</v>
      </c>
      <c r="AG791" s="40" t="s">
        <v>1024</v>
      </c>
      <c r="AH791" s="40" t="s">
        <v>1324</v>
      </c>
      <c r="AI791" s="39" t="str">
        <f>データ!L791</f>
        <v>遠翠の玲瓏</v>
      </c>
      <c r="AJ791" s="10" t="s">
        <v>1113</v>
      </c>
      <c r="AK791" s="39" t="str">
        <f>データ!M791</f>
        <v>味方遠属性の攻撃力をUP[超極大]</v>
      </c>
      <c r="AL791" s="10" t="s">
        <v>1024</v>
      </c>
      <c r="AM791" s="40" t="s">
        <v>1324</v>
      </c>
      <c r="AN791" s="39" t="str">
        <f>データ!N791</f>
        <v>-</v>
      </c>
      <c r="AO791" s="10" t="s">
        <v>1113</v>
      </c>
      <c r="AP791" s="39" t="str">
        <f>データ!O791</f>
        <v>　</v>
      </c>
      <c r="AQ791" s="41" t="s">
        <v>1024</v>
      </c>
      <c r="AR791" s="40" t="s">
        <v>1324</v>
      </c>
      <c r="AS791" s="39" t="str">
        <f>データ!P791</f>
        <v>オラクル／鳳</v>
      </c>
      <c r="AT791" s="10" t="s">
        <v>1113</v>
      </c>
      <c r="AU791" s="39" t="str">
        <f>データ!Q791</f>
        <v>パーティ全体のスキル発動率が特大UP＆ユニット1体をタレント状態にする(5分間)</v>
      </c>
      <c r="AV791" s="10" t="s">
        <v>1024</v>
      </c>
      <c r="AW791" s="40" t="s">
        <v>1324</v>
      </c>
      <c r="AX791" s="39" t="str">
        <f>データ!R791</f>
        <v>スラッシャー／煌</v>
      </c>
      <c r="AY791" s="10" t="s">
        <v>1113</v>
      </c>
      <c r="AZ791" s="39" t="str">
        <f>データ!S791</f>
        <v>キリ番キャッスルブレイク時の獲得ポイント特大UP(3回)</v>
      </c>
      <c r="BA791" s="41" t="s">
        <v>1024</v>
      </c>
      <c r="BB791" s="40" t="s">
        <v>1319</v>
      </c>
      <c r="BC791" s="39" t="str">
        <f>データ!T791</f>
        <v>闘気</v>
      </c>
      <c r="BD791" s="41" t="s">
        <v>1024</v>
      </c>
      <c r="BE791" s="40" t="s">
        <v>1319</v>
      </c>
      <c r="BF791" s="39" t="str">
        <f>データ!U791</f>
        <v>-</v>
      </c>
      <c r="BG791" s="41" t="s">
        <v>1024</v>
      </c>
      <c r="BH791" s="40" t="s">
        <v>1319</v>
      </c>
      <c r="BI791" s="39" t="str">
        <f>データ!V791</f>
        <v>常設</v>
      </c>
      <c r="BJ791" s="41" t="s">
        <v>1024</v>
      </c>
      <c r="BK791" s="10" t="s">
        <v>1019</v>
      </c>
    </row>
    <row r="792" spans="1:63" x14ac:dyDescent="0.15">
      <c r="A792" s="10" t="s">
        <v>1016</v>
      </c>
      <c r="B792" s="10" t="s">
        <v>1454</v>
      </c>
      <c r="C792" s="38" t="str">
        <f>"./images/thumbnail/"&amp;データ!B792&amp;".jpg"</f>
        <v>./images/thumbnail/2284.jpg</v>
      </c>
      <c r="D792" s="38" t="s">
        <v>1455</v>
      </c>
      <c r="E792" s="38" t="str">
        <f>"./images/thumbnail/"&amp;データ!B792&amp;".jpg"</f>
        <v>./images/thumbnail/2284.jpg</v>
      </c>
      <c r="F792" s="38" t="s">
        <v>1116</v>
      </c>
      <c r="G792" s="38" t="s">
        <v>1319</v>
      </c>
      <c r="H792" s="38" t="str">
        <f>データ!C792</f>
        <v>メルフィ</v>
      </c>
      <c r="I792" s="38" t="s">
        <v>1024</v>
      </c>
      <c r="J792" s="38" t="s">
        <v>1319</v>
      </c>
      <c r="K792" s="38" t="str">
        <f>データ!D792</f>
        <v>UR</v>
      </c>
      <c r="L792" s="38" t="s">
        <v>1024</v>
      </c>
      <c r="M792" s="38" t="s">
        <v>1319</v>
      </c>
      <c r="N792" s="38">
        <f>データ!E792</f>
        <v>16</v>
      </c>
      <c r="O792" s="38" t="s">
        <v>1024</v>
      </c>
      <c r="P792" s="38" t="s">
        <v>1319</v>
      </c>
      <c r="Q792" s="38" t="str">
        <f>データ!F792</f>
        <v>斬</v>
      </c>
      <c r="R792" s="38" t="s">
        <v>1024</v>
      </c>
      <c r="S792" s="38" t="s">
        <v>1319</v>
      </c>
      <c r="T792" s="39">
        <f>データ!G792</f>
        <v>23019</v>
      </c>
      <c r="U792" s="40" t="s">
        <v>1024</v>
      </c>
      <c r="V792" s="40" t="s">
        <v>1319</v>
      </c>
      <c r="W792" s="39">
        <f>データ!H792</f>
        <v>10222</v>
      </c>
      <c r="X792" s="40" t="s">
        <v>1024</v>
      </c>
      <c r="Y792" s="40" t="s">
        <v>1319</v>
      </c>
      <c r="Z792" s="39">
        <f>データ!I792</f>
        <v>8474</v>
      </c>
      <c r="AA792" s="40" t="s">
        <v>1024</v>
      </c>
      <c r="AB792" s="40" t="s">
        <v>1319</v>
      </c>
      <c r="AC792" s="39" t="str">
        <f>データ!J792</f>
        <v>SS3</v>
      </c>
      <c r="AD792" s="38" t="s">
        <v>1024</v>
      </c>
      <c r="AE792" s="40" t="s">
        <v>1319</v>
      </c>
      <c r="AF792" s="39">
        <f>データ!K792</f>
        <v>41715</v>
      </c>
      <c r="AG792" s="40" t="s">
        <v>1024</v>
      </c>
      <c r="AH792" s="40" t="s">
        <v>1324</v>
      </c>
      <c r="AI792" s="39" t="str">
        <f>データ!L792</f>
        <v>地幻氷の縦十字／鳳</v>
      </c>
      <c r="AJ792" s="10" t="s">
        <v>1113</v>
      </c>
      <c r="AK792" s="39" t="str">
        <f>データ!M792</f>
        <v>十字型攻撃[極大]自分の防御力UP[極大]</v>
      </c>
      <c r="AL792" s="10" t="s">
        <v>1024</v>
      </c>
      <c r="AM792" s="40" t="s">
        <v>1324</v>
      </c>
      <c r="AN792" s="39" t="str">
        <f>データ!N792</f>
        <v>-</v>
      </c>
      <c r="AO792" s="10" t="s">
        <v>1113</v>
      </c>
      <c r="AP792" s="39" t="str">
        <f>データ!O792</f>
        <v>　</v>
      </c>
      <c r="AQ792" s="41" t="s">
        <v>1024</v>
      </c>
      <c r="AR792" s="40" t="s">
        <v>1324</v>
      </c>
      <c r="AS792" s="39" t="str">
        <f>データ!P792</f>
        <v>タランテラ／鳳</v>
      </c>
      <c r="AT792" s="10" t="s">
        <v>1113</v>
      </c>
      <c r="AU792" s="39" t="str">
        <f>データ!Q792</f>
        <v>パーティ全体のスキル発動率が特大UP・速度大UP＆ユニット1体をタレント状態にする(5分間)</v>
      </c>
      <c r="AV792" s="10" t="s">
        <v>1024</v>
      </c>
      <c r="AW792" s="40" t="s">
        <v>1324</v>
      </c>
      <c r="AX792" s="39" t="str">
        <f>データ!R792</f>
        <v>オラトリオ／煌</v>
      </c>
      <c r="AY792" s="10" t="s">
        <v>1113</v>
      </c>
      <c r="AZ792" s="39" t="str">
        <f>データ!S792</f>
        <v>強襲無効、攻撃力・スキル発動率特大UP(3分間)</v>
      </c>
      <c r="BA792" s="41" t="s">
        <v>1024</v>
      </c>
      <c r="BB792" s="40" t="s">
        <v>1319</v>
      </c>
      <c r="BC792" s="39" t="str">
        <f>データ!T792</f>
        <v>斬紅の闘気</v>
      </c>
      <c r="BD792" s="41" t="s">
        <v>1024</v>
      </c>
      <c r="BE792" s="40" t="s">
        <v>1319</v>
      </c>
      <c r="BF792" s="39" t="str">
        <f>データ!U792</f>
        <v>-</v>
      </c>
      <c r="BG792" s="41" t="s">
        <v>1024</v>
      </c>
      <c r="BH792" s="40" t="s">
        <v>1319</v>
      </c>
      <c r="BI792" s="39" t="str">
        <f>データ!V792</f>
        <v>エイトガチャ(水着)</v>
      </c>
      <c r="BJ792" s="41" t="s">
        <v>1024</v>
      </c>
      <c r="BK792" s="10" t="s">
        <v>1019</v>
      </c>
    </row>
    <row r="793" spans="1:63" x14ac:dyDescent="0.15">
      <c r="A793" s="10" t="s">
        <v>1016</v>
      </c>
      <c r="B793" s="10" t="s">
        <v>1454</v>
      </c>
      <c r="C793" s="38" t="str">
        <f>"./images/thumbnail/"&amp;データ!B793&amp;".jpg"</f>
        <v>./images/thumbnail/2286.jpg</v>
      </c>
      <c r="D793" s="38" t="s">
        <v>1455</v>
      </c>
      <c r="E793" s="38" t="str">
        <f>"./images/thumbnail/"&amp;データ!B793&amp;".jpg"</f>
        <v>./images/thumbnail/2286.jpg</v>
      </c>
      <c r="F793" s="38" t="s">
        <v>1116</v>
      </c>
      <c r="G793" s="38" t="s">
        <v>1319</v>
      </c>
      <c r="H793" s="38" t="str">
        <f>データ!C793</f>
        <v>テレジア</v>
      </c>
      <c r="I793" s="38" t="s">
        <v>1024</v>
      </c>
      <c r="J793" s="38" t="s">
        <v>1319</v>
      </c>
      <c r="K793" s="38" t="str">
        <f>データ!D793</f>
        <v>UR</v>
      </c>
      <c r="L793" s="38" t="s">
        <v>1024</v>
      </c>
      <c r="M793" s="38" t="s">
        <v>1319</v>
      </c>
      <c r="N793" s="38">
        <f>データ!E793</f>
        <v>16</v>
      </c>
      <c r="O793" s="38" t="s">
        <v>1024</v>
      </c>
      <c r="P793" s="38" t="s">
        <v>1319</v>
      </c>
      <c r="Q793" s="38" t="str">
        <f>データ!F793</f>
        <v>突</v>
      </c>
      <c r="R793" s="38" t="s">
        <v>1024</v>
      </c>
      <c r="S793" s="38" t="s">
        <v>1319</v>
      </c>
      <c r="T793" s="39">
        <f>データ!G793</f>
        <v>26303</v>
      </c>
      <c r="U793" s="40" t="s">
        <v>1024</v>
      </c>
      <c r="V793" s="40" t="s">
        <v>1319</v>
      </c>
      <c r="W793" s="39">
        <f>データ!H793</f>
        <v>7753</v>
      </c>
      <c r="X793" s="40" t="s">
        <v>1024</v>
      </c>
      <c r="Y793" s="40" t="s">
        <v>1319</v>
      </c>
      <c r="Z793" s="39">
        <f>データ!I793</f>
        <v>11378</v>
      </c>
      <c r="AA793" s="40" t="s">
        <v>1024</v>
      </c>
      <c r="AB793" s="40" t="s">
        <v>1319</v>
      </c>
      <c r="AC793" s="39" t="str">
        <f>データ!J793</f>
        <v>SS4</v>
      </c>
      <c r="AD793" s="38" t="s">
        <v>1024</v>
      </c>
      <c r="AE793" s="40" t="s">
        <v>1319</v>
      </c>
      <c r="AF793" s="39">
        <f>データ!K793</f>
        <v>45434</v>
      </c>
      <c r="AG793" s="40" t="s">
        <v>1024</v>
      </c>
      <c r="AH793" s="40" t="s">
        <v>1324</v>
      </c>
      <c r="AI793" s="39" t="str">
        <f>データ!L793</f>
        <v>突鋭の六連撃／絶</v>
      </c>
      <c r="AJ793" s="10" t="s">
        <v>1113</v>
      </c>
      <c r="AK793" s="39" t="str">
        <f>データ!M793</f>
        <v>ﾗﾝﾀﾞﾑ6連続攻撃[大][低確率]でﾀﾞﾒｰｼﾞ2倍</v>
      </c>
      <c r="AL793" s="10" t="s">
        <v>1024</v>
      </c>
      <c r="AM793" s="40" t="s">
        <v>1324</v>
      </c>
      <c r="AN793" s="39" t="str">
        <f>データ!N793</f>
        <v>-</v>
      </c>
      <c r="AO793" s="10" t="s">
        <v>1113</v>
      </c>
      <c r="AP793" s="39" t="str">
        <f>データ!O793</f>
        <v>　</v>
      </c>
      <c r="AQ793" s="41" t="s">
        <v>1024</v>
      </c>
      <c r="AR793" s="40" t="s">
        <v>1324</v>
      </c>
      <c r="AS793" s="39" t="str">
        <f>データ!P793</f>
        <v>アサルト／鳳</v>
      </c>
      <c r="AT793" s="10" t="s">
        <v>1113</v>
      </c>
      <c r="AU793" s="39" t="str">
        <f>データ!Q793</f>
        <v>パーティ全体の攻撃力が極大UP＆ユニット1体をタレント状態にする(3分間)</v>
      </c>
      <c r="AV793" s="10" t="s">
        <v>1024</v>
      </c>
      <c r="AW793" s="40" t="s">
        <v>1324</v>
      </c>
      <c r="AX793" s="39" t="str">
        <f>データ!R793</f>
        <v>エースオーダー／絶</v>
      </c>
      <c r="AY793" s="10" t="s">
        <v>1113</v>
      </c>
      <c r="AZ793" s="39" t="str">
        <f>データ!S793</f>
        <v>騎士団全体の攻・防が大UP(3分間)</v>
      </c>
      <c r="BA793" s="41" t="s">
        <v>1024</v>
      </c>
      <c r="BB793" s="40" t="s">
        <v>1319</v>
      </c>
      <c r="BC793" s="39" t="str">
        <f>データ!T793</f>
        <v>光芒の練気</v>
      </c>
      <c r="BD793" s="41" t="s">
        <v>1024</v>
      </c>
      <c r="BE793" s="40" t="s">
        <v>1319</v>
      </c>
      <c r="BF793" s="39" t="str">
        <f>データ!U793</f>
        <v>-</v>
      </c>
      <c r="BG793" s="41" t="s">
        <v>1024</v>
      </c>
      <c r="BH793" s="40" t="s">
        <v>1319</v>
      </c>
      <c r="BI793" s="39" t="str">
        <f>データ!V793</f>
        <v>エイトガチャ(水着)</v>
      </c>
      <c r="BJ793" s="41" t="s">
        <v>1024</v>
      </c>
      <c r="BK793" s="10" t="s">
        <v>1019</v>
      </c>
    </row>
    <row r="794" spans="1:63" x14ac:dyDescent="0.15">
      <c r="A794" s="10" t="s">
        <v>1016</v>
      </c>
      <c r="B794" s="10" t="s">
        <v>1454</v>
      </c>
      <c r="C794" s="38" t="str">
        <f>"./images/thumbnail/"&amp;データ!B794&amp;".jpg"</f>
        <v>./images/thumbnail/2288.jpg</v>
      </c>
      <c r="D794" s="38" t="s">
        <v>1455</v>
      </c>
      <c r="E794" s="38" t="str">
        <f>"./images/thumbnail/"&amp;データ!B794&amp;".jpg"</f>
        <v>./images/thumbnail/2288.jpg</v>
      </c>
      <c r="F794" s="38" t="s">
        <v>1116</v>
      </c>
      <c r="G794" s="38" t="s">
        <v>1319</v>
      </c>
      <c r="H794" s="38" t="str">
        <f>データ!C794</f>
        <v>アンリエット</v>
      </c>
      <c r="I794" s="38" t="s">
        <v>1024</v>
      </c>
      <c r="J794" s="38" t="s">
        <v>1319</v>
      </c>
      <c r="K794" s="38" t="str">
        <f>データ!D794</f>
        <v>SSR</v>
      </c>
      <c r="L794" s="38" t="s">
        <v>1024</v>
      </c>
      <c r="M794" s="38" t="s">
        <v>1319</v>
      </c>
      <c r="N794" s="38">
        <f>データ!E794</f>
        <v>14</v>
      </c>
      <c r="O794" s="38" t="s">
        <v>1024</v>
      </c>
      <c r="P794" s="38" t="s">
        <v>1319</v>
      </c>
      <c r="Q794" s="38" t="str">
        <f>データ!F794</f>
        <v>打</v>
      </c>
      <c r="R794" s="38" t="s">
        <v>1024</v>
      </c>
      <c r="S794" s="38" t="s">
        <v>1319</v>
      </c>
      <c r="T794" s="39">
        <f>データ!G794</f>
        <v>22087</v>
      </c>
      <c r="U794" s="40" t="s">
        <v>1024</v>
      </c>
      <c r="V794" s="40" t="s">
        <v>1319</v>
      </c>
      <c r="W794" s="39">
        <f>データ!H794</f>
        <v>6606</v>
      </c>
      <c r="X794" s="40" t="s">
        <v>1024</v>
      </c>
      <c r="Y794" s="40" t="s">
        <v>1319</v>
      </c>
      <c r="Z794" s="39">
        <f>データ!I794</f>
        <v>7553</v>
      </c>
      <c r="AA794" s="40" t="s">
        <v>1024</v>
      </c>
      <c r="AB794" s="40" t="s">
        <v>1319</v>
      </c>
      <c r="AC794" s="39" t="str">
        <f>データ!J794</f>
        <v>A+</v>
      </c>
      <c r="AD794" s="38" t="s">
        <v>1024</v>
      </c>
      <c r="AE794" s="40" t="s">
        <v>1319</v>
      </c>
      <c r="AF794" s="39">
        <f>データ!K794</f>
        <v>36246</v>
      </c>
      <c r="AG794" s="40" t="s">
        <v>1024</v>
      </c>
      <c r="AH794" s="40" t="s">
        <v>1324</v>
      </c>
      <c r="AI794" s="39" t="str">
        <f>データ!L794</f>
        <v>紫打の神威</v>
      </c>
      <c r="AJ794" s="10" t="s">
        <v>1113</v>
      </c>
      <c r="AK794" s="39" t="str">
        <f>データ!M794</f>
        <v>味方打属性の攻撃力をUP[特大]</v>
      </c>
      <c r="AL794" s="10" t="s">
        <v>1024</v>
      </c>
      <c r="AM794" s="40" t="s">
        <v>1324</v>
      </c>
      <c r="AN794" s="39" t="str">
        <f>データ!N794</f>
        <v>-</v>
      </c>
      <c r="AO794" s="10" t="s">
        <v>1113</v>
      </c>
      <c r="AP794" s="39" t="str">
        <f>データ!O794</f>
        <v>　</v>
      </c>
      <c r="AQ794" s="41" t="s">
        <v>1024</v>
      </c>
      <c r="AR794" s="40" t="s">
        <v>1324</v>
      </c>
      <c r="AS794" s="39" t="str">
        <f>データ!P794</f>
        <v>フォートレス／煌</v>
      </c>
      <c r="AT794" s="10" t="s">
        <v>1113</v>
      </c>
      <c r="AU794" s="39" t="str">
        <f>データ!Q794</f>
        <v>パーティ全体の防御力が特大UP(3分間)</v>
      </c>
      <c r="AV794" s="10" t="s">
        <v>1024</v>
      </c>
      <c r="AW794" s="40" t="s">
        <v>1324</v>
      </c>
      <c r="AX794" s="39" t="str">
        <f>データ!R794</f>
        <v>-</v>
      </c>
      <c r="AY794" s="10" t="s">
        <v>1113</v>
      </c>
      <c r="AZ794" s="39" t="str">
        <f>データ!S794</f>
        <v>　</v>
      </c>
      <c r="BA794" s="41" t="s">
        <v>1024</v>
      </c>
      <c r="BB794" s="40" t="s">
        <v>1319</v>
      </c>
      <c r="BC794" s="39" t="str">
        <f>データ!T794</f>
        <v>-</v>
      </c>
      <c r="BD794" s="41" t="s">
        <v>1024</v>
      </c>
      <c r="BE794" s="40" t="s">
        <v>1319</v>
      </c>
      <c r="BF794" s="39" t="str">
        <f>データ!U794</f>
        <v>打属性攻撃力中アップ</v>
      </c>
      <c r="BG794" s="41" t="s">
        <v>1024</v>
      </c>
      <c r="BH794" s="40" t="s">
        <v>1319</v>
      </c>
      <c r="BI794" s="39" t="str">
        <f>データ!V794</f>
        <v>エイトガチャ(水着)</v>
      </c>
      <c r="BJ794" s="41" t="s">
        <v>1024</v>
      </c>
      <c r="BK794" s="10" t="s">
        <v>1019</v>
      </c>
    </row>
    <row r="795" spans="1:63" x14ac:dyDescent="0.15">
      <c r="A795" s="10" t="s">
        <v>1016</v>
      </c>
      <c r="B795" s="10" t="s">
        <v>1454</v>
      </c>
      <c r="C795" s="38" t="str">
        <f>"./images/thumbnail/"&amp;データ!B795&amp;".jpg"</f>
        <v>./images/thumbnail/2290.jpg</v>
      </c>
      <c r="D795" s="38" t="s">
        <v>1455</v>
      </c>
      <c r="E795" s="38" t="str">
        <f>"./images/thumbnail/"&amp;データ!B795&amp;".jpg"</f>
        <v>./images/thumbnail/2290.jpg</v>
      </c>
      <c r="F795" s="38" t="s">
        <v>1116</v>
      </c>
      <c r="G795" s="38" t="s">
        <v>1319</v>
      </c>
      <c r="H795" s="38" t="str">
        <f>データ!C795</f>
        <v>オルタンス</v>
      </c>
      <c r="I795" s="38" t="s">
        <v>1024</v>
      </c>
      <c r="J795" s="38" t="s">
        <v>1319</v>
      </c>
      <c r="K795" s="38" t="str">
        <f>データ!D795</f>
        <v>UR</v>
      </c>
      <c r="L795" s="38" t="s">
        <v>1024</v>
      </c>
      <c r="M795" s="38" t="s">
        <v>1319</v>
      </c>
      <c r="N795" s="38">
        <f>データ!E795</f>
        <v>16</v>
      </c>
      <c r="O795" s="38" t="s">
        <v>1024</v>
      </c>
      <c r="P795" s="38" t="s">
        <v>1319</v>
      </c>
      <c r="Q795" s="38" t="str">
        <f>データ!F795</f>
        <v>遠</v>
      </c>
      <c r="R795" s="38" t="s">
        <v>1024</v>
      </c>
      <c r="S795" s="38" t="s">
        <v>1319</v>
      </c>
      <c r="T795" s="39">
        <f>データ!G795</f>
        <v>27091</v>
      </c>
      <c r="U795" s="40" t="s">
        <v>1024</v>
      </c>
      <c r="V795" s="40" t="s">
        <v>1319</v>
      </c>
      <c r="W795" s="39">
        <f>データ!H795</f>
        <v>8507</v>
      </c>
      <c r="X795" s="40" t="s">
        <v>1024</v>
      </c>
      <c r="Y795" s="40" t="s">
        <v>1319</v>
      </c>
      <c r="Z795" s="39">
        <f>データ!I795</f>
        <v>9244</v>
      </c>
      <c r="AA795" s="40" t="s">
        <v>1024</v>
      </c>
      <c r="AB795" s="40" t="s">
        <v>1319</v>
      </c>
      <c r="AC795" s="39" t="str">
        <f>データ!J795</f>
        <v>SS1</v>
      </c>
      <c r="AD795" s="38" t="s">
        <v>1024</v>
      </c>
      <c r="AE795" s="40" t="s">
        <v>1319</v>
      </c>
      <c r="AF795" s="39">
        <f>データ!K795</f>
        <v>44842</v>
      </c>
      <c r="AG795" s="40" t="s">
        <v>1024</v>
      </c>
      <c r="AH795" s="40" t="s">
        <v>1324</v>
      </c>
      <c r="AI795" s="39" t="str">
        <f>データ!L795</f>
        <v>天幻射の五連撃／絶</v>
      </c>
      <c r="AJ795" s="10" t="s">
        <v>1113</v>
      </c>
      <c r="AK795" s="39" t="str">
        <f>データ!M795</f>
        <v>ランダム5連続攻撃[大]自分の攻撃力UP[大]</v>
      </c>
      <c r="AL795" s="10" t="s">
        <v>1024</v>
      </c>
      <c r="AM795" s="40" t="s">
        <v>1324</v>
      </c>
      <c r="AN795" s="39" t="str">
        <f>データ!N795</f>
        <v>-</v>
      </c>
      <c r="AO795" s="10" t="s">
        <v>1113</v>
      </c>
      <c r="AP795" s="39" t="str">
        <f>データ!O795</f>
        <v>　</v>
      </c>
      <c r="AQ795" s="41" t="s">
        <v>1024</v>
      </c>
      <c r="AR795" s="40" t="s">
        <v>1324</v>
      </c>
      <c r="AS795" s="39" t="str">
        <f>データ!P795</f>
        <v>ディバインエトワール／鳳</v>
      </c>
      <c r="AT795" s="10" t="s">
        <v>1113</v>
      </c>
      <c r="AU795" s="39" t="str">
        <f>データ!Q795</f>
        <v>パーティ全体の攻防大UP・最大TP小UP＆ユニット1体をタレント状態にする(5分間)</v>
      </c>
      <c r="AV795" s="10" t="s">
        <v>1024</v>
      </c>
      <c r="AW795" s="40" t="s">
        <v>1324</v>
      </c>
      <c r="AX795" s="39" t="str">
        <f>データ!R795</f>
        <v>ストリーム／絶</v>
      </c>
      <c r="AY795" s="10" t="s">
        <v>1113</v>
      </c>
      <c r="AZ795" s="39" t="str">
        <f>データ!S795</f>
        <v>パーティ全体の攻撃力・速度が大UP(3分間)</v>
      </c>
      <c r="BA795" s="41" t="s">
        <v>1024</v>
      </c>
      <c r="BB795" s="40" t="s">
        <v>1319</v>
      </c>
      <c r="BC795" s="39" t="str">
        <f>データ!T795</f>
        <v>練気／真</v>
      </c>
      <c r="BD795" s="41" t="s">
        <v>1024</v>
      </c>
      <c r="BE795" s="40" t="s">
        <v>1319</v>
      </c>
      <c r="BF795" s="39" t="str">
        <f>データ!U795</f>
        <v>-</v>
      </c>
      <c r="BG795" s="41" t="s">
        <v>1024</v>
      </c>
      <c r="BH795" s="40" t="s">
        <v>1319</v>
      </c>
      <c r="BI795" s="39" t="str">
        <f>データ!V795</f>
        <v>エイトガチャ(水着)</v>
      </c>
      <c r="BJ795" s="41" t="s">
        <v>1024</v>
      </c>
      <c r="BK795" s="10" t="s">
        <v>1019</v>
      </c>
    </row>
    <row r="796" spans="1:63" x14ac:dyDescent="0.15">
      <c r="A796" s="10" t="s">
        <v>1016</v>
      </c>
      <c r="B796" s="10" t="s">
        <v>1454</v>
      </c>
      <c r="C796" s="38" t="str">
        <f>"./images/thumbnail/"&amp;データ!B796&amp;".jpg"</f>
        <v>./images/thumbnail/2291.jpg</v>
      </c>
      <c r="D796" s="38" t="s">
        <v>1455</v>
      </c>
      <c r="E796" s="38" t="str">
        <f>"./images/thumbnail/"&amp;データ!B796&amp;".jpg"</f>
        <v>./images/thumbnail/2291.jpg</v>
      </c>
      <c r="F796" s="38" t="s">
        <v>1116</v>
      </c>
      <c r="G796" s="38" t="s">
        <v>1319</v>
      </c>
      <c r="H796" s="38" t="str">
        <f>データ!C796</f>
        <v>リウィア</v>
      </c>
      <c r="I796" s="38" t="s">
        <v>1024</v>
      </c>
      <c r="J796" s="38" t="s">
        <v>1319</v>
      </c>
      <c r="K796" s="38" t="str">
        <f>データ!D796</f>
        <v>UR</v>
      </c>
      <c r="L796" s="38" t="s">
        <v>1024</v>
      </c>
      <c r="M796" s="38" t="s">
        <v>1319</v>
      </c>
      <c r="N796" s="38">
        <f>データ!E796</f>
        <v>16</v>
      </c>
      <c r="O796" s="38" t="s">
        <v>1024</v>
      </c>
      <c r="P796" s="38" t="s">
        <v>1319</v>
      </c>
      <c r="Q796" s="38" t="str">
        <f>データ!F796</f>
        <v>遠</v>
      </c>
      <c r="R796" s="38" t="s">
        <v>1024</v>
      </c>
      <c r="S796" s="38" t="s">
        <v>1319</v>
      </c>
      <c r="T796" s="39">
        <f>データ!G796</f>
        <v>27222</v>
      </c>
      <c r="U796" s="40" t="s">
        <v>1024</v>
      </c>
      <c r="V796" s="40" t="s">
        <v>1319</v>
      </c>
      <c r="W796" s="39">
        <f>データ!H796</f>
        <v>8701</v>
      </c>
      <c r="X796" s="40" t="s">
        <v>1024</v>
      </c>
      <c r="Y796" s="40" t="s">
        <v>1319</v>
      </c>
      <c r="Z796" s="39">
        <f>データ!I796</f>
        <v>9106</v>
      </c>
      <c r="AA796" s="40" t="s">
        <v>1024</v>
      </c>
      <c r="AB796" s="40" t="s">
        <v>1319</v>
      </c>
      <c r="AC796" s="39" t="str">
        <f>データ!J796</f>
        <v>SS1</v>
      </c>
      <c r="AD796" s="38" t="s">
        <v>1024</v>
      </c>
      <c r="AE796" s="40" t="s">
        <v>1319</v>
      </c>
      <c r="AF796" s="39">
        <f>データ!K796</f>
        <v>45029</v>
      </c>
      <c r="AG796" s="40" t="s">
        <v>1024</v>
      </c>
      <c r="AH796" s="40" t="s">
        <v>1324</v>
      </c>
      <c r="AI796" s="39" t="str">
        <f>データ!L796</f>
        <v>天幻瞑の包囲陣／鳳</v>
      </c>
      <c r="AJ796" s="10" t="s">
        <v>1113</v>
      </c>
      <c r="AK796" s="39" t="str">
        <f>データ!M796</f>
        <v>敵全体攻撃[極大]自分の攻撃力UP[極大]</v>
      </c>
      <c r="AL796" s="10" t="s">
        <v>1024</v>
      </c>
      <c r="AM796" s="40" t="s">
        <v>1324</v>
      </c>
      <c r="AN796" s="39" t="str">
        <f>データ!N796</f>
        <v>-</v>
      </c>
      <c r="AO796" s="10" t="s">
        <v>1113</v>
      </c>
      <c r="AP796" s="39" t="str">
        <f>データ!O796</f>
        <v>　</v>
      </c>
      <c r="AQ796" s="41" t="s">
        <v>1024</v>
      </c>
      <c r="AR796" s="40" t="s">
        <v>1324</v>
      </c>
      <c r="AS796" s="39" t="str">
        <f>データ!P796</f>
        <v>ランページ／鳳</v>
      </c>
      <c r="AT796" s="10" t="s">
        <v>1113</v>
      </c>
      <c r="AU796" s="39" t="str">
        <f>データ!Q796</f>
        <v>バトルで獲得する騎士団戦スコアが極大アップ＆ユニット1体をタレント状態にする(3分間)</v>
      </c>
      <c r="AV796" s="10" t="s">
        <v>1024</v>
      </c>
      <c r="AW796" s="40" t="s">
        <v>1324</v>
      </c>
      <c r="AX796" s="39" t="str">
        <f>データ!R796</f>
        <v>エースオーダー／絶</v>
      </c>
      <c r="AY796" s="10" t="s">
        <v>1113</v>
      </c>
      <c r="AZ796" s="39" t="str">
        <f>データ!S796</f>
        <v>騎士団全体の攻・防が大UP(3分間)</v>
      </c>
      <c r="BA796" s="41" t="s">
        <v>1024</v>
      </c>
      <c r="BB796" s="40" t="s">
        <v>1319</v>
      </c>
      <c r="BC796" s="39" t="str">
        <f>データ!T796</f>
        <v>窮地の癒し／真</v>
      </c>
      <c r="BD796" s="41" t="s">
        <v>1024</v>
      </c>
      <c r="BE796" s="40" t="s">
        <v>1319</v>
      </c>
      <c r="BF796" s="39" t="str">
        <f>データ!U796</f>
        <v>-</v>
      </c>
      <c r="BG796" s="41" t="s">
        <v>1024</v>
      </c>
      <c r="BH796" s="40" t="s">
        <v>1319</v>
      </c>
      <c r="BI796" s="39" t="str">
        <f>データ!V796</f>
        <v>限定ガチャ</v>
      </c>
      <c r="BJ796" s="41" t="s">
        <v>1024</v>
      </c>
      <c r="BK796" s="10" t="s">
        <v>1019</v>
      </c>
    </row>
    <row r="797" spans="1:63" x14ac:dyDescent="0.15">
      <c r="A797" s="10" t="s">
        <v>1016</v>
      </c>
      <c r="B797" s="10" t="s">
        <v>1454</v>
      </c>
      <c r="C797" s="38" t="str">
        <f>"./images/thumbnail/"&amp;データ!B797&amp;".jpg"</f>
        <v>./images/thumbnail/2292.jpg</v>
      </c>
      <c r="D797" s="38" t="s">
        <v>1455</v>
      </c>
      <c r="E797" s="38" t="str">
        <f>"./images/thumbnail/"&amp;データ!B797&amp;".jpg"</f>
        <v>./images/thumbnail/2292.jpg</v>
      </c>
      <c r="F797" s="38" t="s">
        <v>1116</v>
      </c>
      <c r="G797" s="38" t="s">
        <v>1319</v>
      </c>
      <c r="H797" s="38" t="str">
        <f>データ!C797</f>
        <v>ミリアーナ</v>
      </c>
      <c r="I797" s="38" t="s">
        <v>1024</v>
      </c>
      <c r="J797" s="38" t="s">
        <v>1319</v>
      </c>
      <c r="K797" s="38" t="str">
        <f>データ!D797</f>
        <v>SSR</v>
      </c>
      <c r="L797" s="38" t="s">
        <v>1024</v>
      </c>
      <c r="M797" s="38" t="s">
        <v>1319</v>
      </c>
      <c r="N797" s="38">
        <f>データ!E797</f>
        <v>14</v>
      </c>
      <c r="O797" s="38" t="s">
        <v>1024</v>
      </c>
      <c r="P797" s="38" t="s">
        <v>1319</v>
      </c>
      <c r="Q797" s="38" t="str">
        <f>データ!F797</f>
        <v>突</v>
      </c>
      <c r="R797" s="38" t="s">
        <v>1024</v>
      </c>
      <c r="S797" s="38" t="s">
        <v>1319</v>
      </c>
      <c r="T797" s="39">
        <f>データ!G797</f>
        <v>19072</v>
      </c>
      <c r="U797" s="40" t="s">
        <v>1024</v>
      </c>
      <c r="V797" s="40" t="s">
        <v>1319</v>
      </c>
      <c r="W797" s="39">
        <f>データ!H797</f>
        <v>6310</v>
      </c>
      <c r="X797" s="40" t="s">
        <v>1024</v>
      </c>
      <c r="Y797" s="40" t="s">
        <v>1319</v>
      </c>
      <c r="Z797" s="39">
        <f>データ!I797</f>
        <v>6089</v>
      </c>
      <c r="AA797" s="40" t="s">
        <v>1024</v>
      </c>
      <c r="AB797" s="40" t="s">
        <v>1319</v>
      </c>
      <c r="AC797" s="39" t="str">
        <f>データ!J797</f>
        <v>SS+</v>
      </c>
      <c r="AD797" s="38" t="s">
        <v>1024</v>
      </c>
      <c r="AE797" s="40" t="s">
        <v>1319</v>
      </c>
      <c r="AF797" s="39">
        <f>データ!K797</f>
        <v>31471</v>
      </c>
      <c r="AG797" s="40" t="s">
        <v>1024</v>
      </c>
      <c r="AH797" s="40" t="s">
        <v>1324</v>
      </c>
      <c r="AI797" s="39" t="str">
        <f>データ!L797</f>
        <v>焔幻の一閃／煌</v>
      </c>
      <c r="AJ797" s="10" t="s">
        <v>1113</v>
      </c>
      <c r="AK797" s="39" t="str">
        <f>データ!M797</f>
        <v>横一列に攻撃[特大]</v>
      </c>
      <c r="AL797" s="10" t="s">
        <v>1024</v>
      </c>
      <c r="AM797" s="40" t="s">
        <v>1324</v>
      </c>
      <c r="AN797" s="39" t="str">
        <f>データ!N797</f>
        <v>-</v>
      </c>
      <c r="AO797" s="10" t="s">
        <v>1113</v>
      </c>
      <c r="AP797" s="39" t="str">
        <f>データ!O797</f>
        <v>　</v>
      </c>
      <c r="AQ797" s="41" t="s">
        <v>1024</v>
      </c>
      <c r="AR797" s="40" t="s">
        <v>1324</v>
      </c>
      <c r="AS797" s="39" t="str">
        <f>データ!P797</f>
        <v>アクセラレーター／絶</v>
      </c>
      <c r="AT797" s="10" t="s">
        <v>1113</v>
      </c>
      <c r="AU797" s="39" t="str">
        <f>データ!Q797</f>
        <v>パーティ全体の速度が大UP(3分間)</v>
      </c>
      <c r="AV797" s="10" t="s">
        <v>1024</v>
      </c>
      <c r="AW797" s="40" t="s">
        <v>1324</v>
      </c>
      <c r="AX797" s="39" t="str">
        <f>データ!R797</f>
        <v>-</v>
      </c>
      <c r="AY797" s="10" t="s">
        <v>1113</v>
      </c>
      <c r="AZ797" s="39" t="str">
        <f>データ!S797</f>
        <v>　</v>
      </c>
      <c r="BA797" s="41" t="s">
        <v>1024</v>
      </c>
      <c r="BB797" s="40" t="s">
        <v>1319</v>
      </c>
      <c r="BC797" s="39" t="str">
        <f>データ!T797</f>
        <v>-</v>
      </c>
      <c r="BD797" s="41" t="s">
        <v>1024</v>
      </c>
      <c r="BE797" s="40" t="s">
        <v>1319</v>
      </c>
      <c r="BF797" s="39" t="str">
        <f>データ!U797</f>
        <v>突属性攻撃力小アップ</v>
      </c>
      <c r="BG797" s="41" t="s">
        <v>1024</v>
      </c>
      <c r="BH797" s="40" t="s">
        <v>1319</v>
      </c>
      <c r="BI797" s="39" t="str">
        <f>データ!V797</f>
        <v>誓いイベ</v>
      </c>
      <c r="BJ797" s="41" t="s">
        <v>1024</v>
      </c>
      <c r="BK797" s="10" t="s">
        <v>1019</v>
      </c>
    </row>
    <row r="798" spans="1:63" x14ac:dyDescent="0.15">
      <c r="A798" s="10" t="s">
        <v>1016</v>
      </c>
      <c r="B798" s="10" t="s">
        <v>1454</v>
      </c>
      <c r="C798" s="38" t="str">
        <f>"./images/thumbnail/"&amp;データ!B798&amp;".jpg"</f>
        <v>./images/thumbnail/2294.jpg</v>
      </c>
      <c r="D798" s="38" t="s">
        <v>1455</v>
      </c>
      <c r="E798" s="38" t="str">
        <f>"./images/thumbnail/"&amp;データ!B798&amp;".jpg"</f>
        <v>./images/thumbnail/2294.jpg</v>
      </c>
      <c r="F798" s="38" t="s">
        <v>1116</v>
      </c>
      <c r="G798" s="38" t="s">
        <v>1319</v>
      </c>
      <c r="H798" s="38" t="str">
        <f>データ!C798</f>
        <v>ジナーチェ</v>
      </c>
      <c r="I798" s="38" t="s">
        <v>1024</v>
      </c>
      <c r="J798" s="38" t="s">
        <v>1319</v>
      </c>
      <c r="K798" s="38" t="str">
        <f>データ!D798</f>
        <v>UR</v>
      </c>
      <c r="L798" s="38" t="s">
        <v>1024</v>
      </c>
      <c r="M798" s="38" t="s">
        <v>1319</v>
      </c>
      <c r="N798" s="38">
        <f>データ!E798</f>
        <v>16</v>
      </c>
      <c r="O798" s="38" t="s">
        <v>1024</v>
      </c>
      <c r="P798" s="38" t="s">
        <v>1319</v>
      </c>
      <c r="Q798" s="38" t="str">
        <f>データ!F798</f>
        <v>斬</v>
      </c>
      <c r="R798" s="38" t="s">
        <v>1024</v>
      </c>
      <c r="S798" s="38" t="s">
        <v>1319</v>
      </c>
      <c r="T798" s="39">
        <f>データ!G798</f>
        <v>22105</v>
      </c>
      <c r="U798" s="40" t="s">
        <v>1024</v>
      </c>
      <c r="V798" s="40" t="s">
        <v>1319</v>
      </c>
      <c r="W798" s="39">
        <f>データ!H798</f>
        <v>11000</v>
      </c>
      <c r="X798" s="40" t="s">
        <v>1024</v>
      </c>
      <c r="Y798" s="40" t="s">
        <v>1319</v>
      </c>
      <c r="Z798" s="39">
        <f>データ!I798</f>
        <v>8203</v>
      </c>
      <c r="AA798" s="40" t="s">
        <v>1024</v>
      </c>
      <c r="AB798" s="40" t="s">
        <v>1319</v>
      </c>
      <c r="AC798" s="39" t="str">
        <f>データ!J798</f>
        <v>SS+</v>
      </c>
      <c r="AD798" s="38" t="s">
        <v>1024</v>
      </c>
      <c r="AE798" s="40" t="s">
        <v>1319</v>
      </c>
      <c r="AF798" s="39">
        <f>データ!K798</f>
        <v>41308</v>
      </c>
      <c r="AG798" s="40" t="s">
        <v>1024</v>
      </c>
      <c r="AH798" s="40" t="s">
        <v>1324</v>
      </c>
      <c r="AI798" s="39" t="str">
        <f>データ!L798</f>
        <v>地雷幻の一撃／鳳</v>
      </c>
      <c r="AJ798" s="10" t="s">
        <v>1113</v>
      </c>
      <c r="AK798" s="39" t="str">
        <f>データ!M798</f>
        <v>敵単体攻撃[極大]自分の防御力UP[極大]</v>
      </c>
      <c r="AL798" s="10" t="s">
        <v>1024</v>
      </c>
      <c r="AM798" s="40" t="s">
        <v>1324</v>
      </c>
      <c r="AN798" s="39" t="str">
        <f>データ!N798</f>
        <v>-</v>
      </c>
      <c r="AO798" s="10" t="s">
        <v>1113</v>
      </c>
      <c r="AP798" s="39" t="str">
        <f>データ!O798</f>
        <v>　</v>
      </c>
      <c r="AQ798" s="41" t="s">
        <v>1024</v>
      </c>
      <c r="AR798" s="40" t="s">
        <v>1324</v>
      </c>
      <c r="AS798" s="39" t="str">
        <f>データ!P798</f>
        <v>グラビティアサルト／鳳</v>
      </c>
      <c r="AT798" s="10" t="s">
        <v>1113</v>
      </c>
      <c r="AU798" s="39" t="str">
        <f>データ!Q798</f>
        <v>パーティ全体の攻撃力極大UP・速度大DOWN＆ユニット1体をタレント状態にする(3分間)</v>
      </c>
      <c r="AV798" s="10" t="s">
        <v>1024</v>
      </c>
      <c r="AW798" s="40" t="s">
        <v>1324</v>
      </c>
      <c r="AX798" s="39" t="str">
        <f>データ!R798</f>
        <v>エクスドライブ／煌</v>
      </c>
      <c r="AY798" s="10" t="s">
        <v>1113</v>
      </c>
      <c r="AZ798" s="39" t="str">
        <f>データ!S798</f>
        <v>キリ番CB時の獲得ポイント特大UP(3分間)</v>
      </c>
      <c r="BA798" s="41" t="s">
        <v>1024</v>
      </c>
      <c r="BB798" s="40" t="s">
        <v>1319</v>
      </c>
      <c r="BC798" s="39" t="str">
        <f>データ!T798</f>
        <v>不屈の闘志／真</v>
      </c>
      <c r="BD798" s="41" t="s">
        <v>1024</v>
      </c>
      <c r="BE798" s="40" t="s">
        <v>1319</v>
      </c>
      <c r="BF798" s="39" t="str">
        <f>データ!U798</f>
        <v>-</v>
      </c>
      <c r="BG798" s="41" t="s">
        <v>1024</v>
      </c>
      <c r="BH798" s="40" t="s">
        <v>1319</v>
      </c>
      <c r="BI798" s="39" t="str">
        <f>データ!V798</f>
        <v>エイトガチャ</v>
      </c>
      <c r="BJ798" s="41" t="s">
        <v>1024</v>
      </c>
      <c r="BK798" s="10" t="s">
        <v>1019</v>
      </c>
    </row>
    <row r="799" spans="1:63" x14ac:dyDescent="0.15">
      <c r="A799" s="10" t="s">
        <v>1016</v>
      </c>
      <c r="B799" s="10" t="s">
        <v>1454</v>
      </c>
      <c r="C799" s="38" t="str">
        <f>"./images/thumbnail/"&amp;データ!B799&amp;".jpg"</f>
        <v>./images/thumbnail/2296.jpg</v>
      </c>
      <c r="D799" s="38" t="s">
        <v>1455</v>
      </c>
      <c r="E799" s="38" t="str">
        <f>"./images/thumbnail/"&amp;データ!B799&amp;".jpg"</f>
        <v>./images/thumbnail/2296.jpg</v>
      </c>
      <c r="F799" s="38" t="s">
        <v>1116</v>
      </c>
      <c r="G799" s="38" t="s">
        <v>1319</v>
      </c>
      <c r="H799" s="38" t="str">
        <f>データ!C799</f>
        <v>ジョルジオ</v>
      </c>
      <c r="I799" s="38" t="s">
        <v>1024</v>
      </c>
      <c r="J799" s="38" t="s">
        <v>1319</v>
      </c>
      <c r="K799" s="38" t="str">
        <f>データ!D799</f>
        <v>UR</v>
      </c>
      <c r="L799" s="38" t="s">
        <v>1024</v>
      </c>
      <c r="M799" s="38" t="s">
        <v>1319</v>
      </c>
      <c r="N799" s="38">
        <f>データ!E799</f>
        <v>16</v>
      </c>
      <c r="O799" s="38" t="s">
        <v>1024</v>
      </c>
      <c r="P799" s="38" t="s">
        <v>1319</v>
      </c>
      <c r="Q799" s="38" t="str">
        <f>データ!F799</f>
        <v>打</v>
      </c>
      <c r="R799" s="38" t="s">
        <v>1024</v>
      </c>
      <c r="S799" s="38" t="s">
        <v>1319</v>
      </c>
      <c r="T799" s="39">
        <f>データ!G799</f>
        <v>30511</v>
      </c>
      <c r="U799" s="40" t="s">
        <v>1024</v>
      </c>
      <c r="V799" s="40" t="s">
        <v>1319</v>
      </c>
      <c r="W799" s="39">
        <f>データ!H799</f>
        <v>8652</v>
      </c>
      <c r="X799" s="40" t="s">
        <v>1024</v>
      </c>
      <c r="Y799" s="40" t="s">
        <v>1319</v>
      </c>
      <c r="Z799" s="39">
        <f>データ!I799</f>
        <v>12906</v>
      </c>
      <c r="AA799" s="40" t="s">
        <v>1024</v>
      </c>
      <c r="AB799" s="40" t="s">
        <v>1319</v>
      </c>
      <c r="AC799" s="39" t="str">
        <f>データ!J799</f>
        <v>SS-</v>
      </c>
      <c r="AD799" s="38" t="s">
        <v>1024</v>
      </c>
      <c r="AE799" s="40" t="s">
        <v>1319</v>
      </c>
      <c r="AF799" s="39">
        <f>データ!K799</f>
        <v>52069</v>
      </c>
      <c r="AG799" s="40" t="s">
        <v>1024</v>
      </c>
      <c r="AH799" s="40" t="s">
        <v>1324</v>
      </c>
      <c r="AI799" s="39" t="str">
        <f>データ!L799</f>
        <v>地幻光の交叉線／鳳</v>
      </c>
      <c r="AJ799" s="10" t="s">
        <v>1113</v>
      </c>
      <c r="AK799" s="39" t="str">
        <f>データ!M799</f>
        <v>X字型攻撃[極大]自分の防御力UP[極大]</v>
      </c>
      <c r="AL799" s="10" t="s">
        <v>1024</v>
      </c>
      <c r="AM799" s="40" t="s">
        <v>1324</v>
      </c>
      <c r="AN799" s="39" t="str">
        <f>データ!N799</f>
        <v>-</v>
      </c>
      <c r="AO799" s="10" t="s">
        <v>1113</v>
      </c>
      <c r="AP799" s="39" t="str">
        <f>データ!O799</f>
        <v>　</v>
      </c>
      <c r="AQ799" s="41" t="s">
        <v>1024</v>
      </c>
      <c r="AR799" s="40" t="s">
        <v>1324</v>
      </c>
      <c r="AS799" s="39" t="str">
        <f>データ!P799</f>
        <v>フォートレスオーダー／煌</v>
      </c>
      <c r="AT799" s="10" t="s">
        <v>1113</v>
      </c>
      <c r="AU799" s="39" t="str">
        <f>データ!Q799</f>
        <v>騎士団全体の防御力が特大UP＆ユニット1体をタレント状態にする(3分間)</v>
      </c>
      <c r="AV799" s="10" t="s">
        <v>1024</v>
      </c>
      <c r="AW799" s="40" t="s">
        <v>1324</v>
      </c>
      <c r="AX799" s="39" t="str">
        <f>データ!R799</f>
        <v>フォースオブウィッシュ／絶</v>
      </c>
      <c r="AY799" s="10" t="s">
        <v>1113</v>
      </c>
      <c r="AZ799" s="39" t="str">
        <f>データ!S799</f>
        <v>騎士団全員のBPを大回復</v>
      </c>
      <c r="BA799" s="41" t="s">
        <v>1024</v>
      </c>
      <c r="BB799" s="40" t="s">
        <v>1319</v>
      </c>
      <c r="BC799" s="39" t="str">
        <f>データ!T799</f>
        <v>紫打の練気</v>
      </c>
      <c r="BD799" s="41" t="s">
        <v>1024</v>
      </c>
      <c r="BE799" s="40" t="s">
        <v>1319</v>
      </c>
      <c r="BF799" s="39" t="str">
        <f>データ!U799</f>
        <v>-</v>
      </c>
      <c r="BG799" s="41" t="s">
        <v>1024</v>
      </c>
      <c r="BH799" s="40" t="s">
        <v>1319</v>
      </c>
      <c r="BI799" s="39" t="str">
        <f>データ!V799</f>
        <v>エイトガチャ</v>
      </c>
      <c r="BJ799" s="41" t="s">
        <v>1024</v>
      </c>
      <c r="BK799" s="10" t="s">
        <v>1019</v>
      </c>
    </row>
    <row r="800" spans="1:63" x14ac:dyDescent="0.15">
      <c r="A800" s="10" t="s">
        <v>1016</v>
      </c>
      <c r="B800" s="10" t="s">
        <v>1454</v>
      </c>
      <c r="C800" s="38" t="str">
        <f>"./images/thumbnail/"&amp;データ!B800&amp;".jpg"</f>
        <v>./images/thumbnail/2298.jpg</v>
      </c>
      <c r="D800" s="38" t="s">
        <v>1455</v>
      </c>
      <c r="E800" s="38" t="str">
        <f>"./images/thumbnail/"&amp;データ!B800&amp;".jpg"</f>
        <v>./images/thumbnail/2298.jpg</v>
      </c>
      <c r="F800" s="38" t="s">
        <v>1116</v>
      </c>
      <c r="G800" s="38" t="s">
        <v>1319</v>
      </c>
      <c r="H800" s="38" t="str">
        <f>データ!C800</f>
        <v>ピアーネ</v>
      </c>
      <c r="I800" s="38" t="s">
        <v>1024</v>
      </c>
      <c r="J800" s="38" t="s">
        <v>1319</v>
      </c>
      <c r="K800" s="38" t="str">
        <f>データ!D800</f>
        <v>SSR</v>
      </c>
      <c r="L800" s="38" t="s">
        <v>1024</v>
      </c>
      <c r="M800" s="38" t="s">
        <v>1319</v>
      </c>
      <c r="N800" s="38">
        <f>データ!E800</f>
        <v>14</v>
      </c>
      <c r="O800" s="38" t="s">
        <v>1024</v>
      </c>
      <c r="P800" s="38" t="s">
        <v>1319</v>
      </c>
      <c r="Q800" s="38" t="str">
        <f>データ!F800</f>
        <v>遠</v>
      </c>
      <c r="R800" s="38" t="s">
        <v>1024</v>
      </c>
      <c r="S800" s="38" t="s">
        <v>1319</v>
      </c>
      <c r="T800" s="39">
        <f>データ!G800</f>
        <v>18605</v>
      </c>
      <c r="U800" s="40" t="s">
        <v>1024</v>
      </c>
      <c r="V800" s="40" t="s">
        <v>1319</v>
      </c>
      <c r="W800" s="39">
        <f>データ!H800</f>
        <v>6900</v>
      </c>
      <c r="X800" s="40" t="s">
        <v>1024</v>
      </c>
      <c r="Y800" s="40" t="s">
        <v>1319</v>
      </c>
      <c r="Z800" s="39">
        <f>データ!I800</f>
        <v>6300</v>
      </c>
      <c r="AA800" s="40" t="s">
        <v>1024</v>
      </c>
      <c r="AB800" s="40" t="s">
        <v>1319</v>
      </c>
      <c r="AC800" s="39" t="str">
        <f>データ!J800</f>
        <v>S+</v>
      </c>
      <c r="AD800" s="38" t="s">
        <v>1024</v>
      </c>
      <c r="AE800" s="40" t="s">
        <v>1319</v>
      </c>
      <c r="AF800" s="39">
        <f>データ!K800</f>
        <v>31805</v>
      </c>
      <c r="AG800" s="40" t="s">
        <v>1024</v>
      </c>
      <c r="AH800" s="40" t="s">
        <v>1324</v>
      </c>
      <c r="AI800" s="39" t="str">
        <f>データ!L800</f>
        <v>魔幻の閃光／煌</v>
      </c>
      <c r="AJ800" s="10" t="s">
        <v>1113</v>
      </c>
      <c r="AK800" s="39" t="str">
        <f>データ!M800</f>
        <v>縦一列に攻撃[特大]</v>
      </c>
      <c r="AL800" s="10" t="s">
        <v>1024</v>
      </c>
      <c r="AM800" s="40" t="s">
        <v>1324</v>
      </c>
      <c r="AN800" s="39" t="str">
        <f>データ!N800</f>
        <v>-</v>
      </c>
      <c r="AO800" s="10" t="s">
        <v>1113</v>
      </c>
      <c r="AP800" s="39" t="str">
        <f>データ!O800</f>
        <v>　</v>
      </c>
      <c r="AQ800" s="41" t="s">
        <v>1024</v>
      </c>
      <c r="AR800" s="40" t="s">
        <v>1324</v>
      </c>
      <c r="AS800" s="39" t="str">
        <f>データ!P800</f>
        <v>アサルト／煌</v>
      </c>
      <c r="AT800" s="10" t="s">
        <v>1113</v>
      </c>
      <c r="AU800" s="39" t="str">
        <f>データ!Q800</f>
        <v>パーティ全体の攻撃力が特大UP(3分間)</v>
      </c>
      <c r="AV800" s="10" t="s">
        <v>1024</v>
      </c>
      <c r="AW800" s="40" t="s">
        <v>1324</v>
      </c>
      <c r="AX800" s="39" t="str">
        <f>データ!R800</f>
        <v>-</v>
      </c>
      <c r="AY800" s="10" t="s">
        <v>1113</v>
      </c>
      <c r="AZ800" s="39" t="str">
        <f>データ!S800</f>
        <v>　</v>
      </c>
      <c r="BA800" s="41" t="s">
        <v>1024</v>
      </c>
      <c r="BB800" s="40" t="s">
        <v>1319</v>
      </c>
      <c r="BC800" s="39" t="str">
        <f>データ!T800</f>
        <v>-</v>
      </c>
      <c r="BD800" s="41" t="s">
        <v>1024</v>
      </c>
      <c r="BE800" s="40" t="s">
        <v>1319</v>
      </c>
      <c r="BF800" s="39" t="str">
        <f>データ!U800</f>
        <v>遠属性攻撃力中アップ</v>
      </c>
      <c r="BG800" s="41" t="s">
        <v>1024</v>
      </c>
      <c r="BH800" s="40" t="s">
        <v>1319</v>
      </c>
      <c r="BI800" s="39" t="str">
        <f>データ!V800</f>
        <v>エイトガチャ</v>
      </c>
      <c r="BJ800" s="41" t="s">
        <v>1024</v>
      </c>
      <c r="BK800" s="10" t="s">
        <v>1019</v>
      </c>
    </row>
    <row r="801" spans="1:63" x14ac:dyDescent="0.15">
      <c r="A801" s="10" t="s">
        <v>1016</v>
      </c>
      <c r="B801" s="10" t="s">
        <v>1454</v>
      </c>
      <c r="C801" s="38" t="str">
        <f>"./images/thumbnail/"&amp;データ!B801&amp;".jpg"</f>
        <v>./images/thumbnail/2300.jpg</v>
      </c>
      <c r="D801" s="38" t="s">
        <v>1455</v>
      </c>
      <c r="E801" s="38" t="str">
        <f>"./images/thumbnail/"&amp;データ!B801&amp;".jpg"</f>
        <v>./images/thumbnail/2300.jpg</v>
      </c>
      <c r="F801" s="38" t="s">
        <v>1116</v>
      </c>
      <c r="G801" s="38" t="s">
        <v>1319</v>
      </c>
      <c r="H801" s="38" t="str">
        <f>データ!C801</f>
        <v>リュナ</v>
      </c>
      <c r="I801" s="38" t="s">
        <v>1024</v>
      </c>
      <c r="J801" s="38" t="s">
        <v>1319</v>
      </c>
      <c r="K801" s="38" t="str">
        <f>データ!D801</f>
        <v>UR</v>
      </c>
      <c r="L801" s="38" t="s">
        <v>1024</v>
      </c>
      <c r="M801" s="38" t="s">
        <v>1319</v>
      </c>
      <c r="N801" s="38">
        <f>データ!E801</f>
        <v>16</v>
      </c>
      <c r="O801" s="38" t="s">
        <v>1024</v>
      </c>
      <c r="P801" s="38" t="s">
        <v>1319</v>
      </c>
      <c r="Q801" s="38" t="str">
        <f>データ!F801</f>
        <v>斬</v>
      </c>
      <c r="R801" s="38" t="s">
        <v>1024</v>
      </c>
      <c r="S801" s="38" t="s">
        <v>1319</v>
      </c>
      <c r="T801" s="39">
        <f>データ!G801</f>
        <v>22003</v>
      </c>
      <c r="U801" s="40" t="s">
        <v>1024</v>
      </c>
      <c r="V801" s="40" t="s">
        <v>1319</v>
      </c>
      <c r="W801" s="39">
        <f>データ!H801</f>
        <v>10420</v>
      </c>
      <c r="X801" s="40" t="s">
        <v>1024</v>
      </c>
      <c r="Y801" s="40" t="s">
        <v>1319</v>
      </c>
      <c r="Z801" s="39">
        <f>データ!I801</f>
        <v>8015</v>
      </c>
      <c r="AA801" s="40" t="s">
        <v>1024</v>
      </c>
      <c r="AB801" s="40" t="s">
        <v>1319</v>
      </c>
      <c r="AC801" s="39" t="str">
        <f>データ!J801</f>
        <v>SS+</v>
      </c>
      <c r="AD801" s="38" t="s">
        <v>1024</v>
      </c>
      <c r="AE801" s="40" t="s">
        <v>1319</v>
      </c>
      <c r="AF801" s="39">
        <f>データ!K801</f>
        <v>40438</v>
      </c>
      <c r="AG801" s="40" t="s">
        <v>1024</v>
      </c>
      <c r="AH801" s="40" t="s">
        <v>1324</v>
      </c>
      <c r="AI801" s="39" t="str">
        <f>データ!L801</f>
        <v>対紫の薙風／鳳</v>
      </c>
      <c r="AJ801" s="10" t="s">
        <v>1113</v>
      </c>
      <c r="AK801" s="39" t="str">
        <f>データ!M801</f>
        <v>打に強く遠に弱い横一列攻撃[極大]</v>
      </c>
      <c r="AL801" s="10" t="s">
        <v>1024</v>
      </c>
      <c r="AM801" s="40" t="s">
        <v>1324</v>
      </c>
      <c r="AN801" s="39" t="str">
        <f>データ!N801</f>
        <v>-</v>
      </c>
      <c r="AO801" s="10" t="s">
        <v>1113</v>
      </c>
      <c r="AP801" s="39" t="str">
        <f>データ!O801</f>
        <v>　</v>
      </c>
      <c r="AQ801" s="41" t="s">
        <v>1024</v>
      </c>
      <c r="AR801" s="40" t="s">
        <v>1324</v>
      </c>
      <c r="AS801" s="39" t="str">
        <f>データ!P801</f>
        <v>アサルト／鳳</v>
      </c>
      <c r="AT801" s="10" t="s">
        <v>1113</v>
      </c>
      <c r="AU801" s="39" t="str">
        <f>データ!Q801</f>
        <v>パーティ全体の攻撃力が極大UP＆ユニット1体をタレント状態にする(3分間)</v>
      </c>
      <c r="AV801" s="10" t="s">
        <v>1024</v>
      </c>
      <c r="AW801" s="40" t="s">
        <v>1324</v>
      </c>
      <c r="AX801" s="39" t="str">
        <f>データ!R801</f>
        <v>シャドウ／絶</v>
      </c>
      <c r="AY801" s="10" t="s">
        <v>1113</v>
      </c>
      <c r="AZ801" s="39" t="str">
        <f>データ!S801</f>
        <v>バトル時の強襲CB率が大UP(3分間)</v>
      </c>
      <c r="BA801" s="41" t="s">
        <v>1024</v>
      </c>
      <c r="BB801" s="40" t="s">
        <v>1319</v>
      </c>
      <c r="BC801" s="39" t="str">
        <f>データ!T801</f>
        <v>闘気</v>
      </c>
      <c r="BD801" s="41" t="s">
        <v>1024</v>
      </c>
      <c r="BE801" s="40" t="s">
        <v>1319</v>
      </c>
      <c r="BF801" s="39" t="str">
        <f>データ!U801</f>
        <v>-</v>
      </c>
      <c r="BG801" s="41" t="s">
        <v>1024</v>
      </c>
      <c r="BH801" s="40" t="s">
        <v>1319</v>
      </c>
      <c r="BI801" s="39" t="str">
        <f>データ!V801</f>
        <v>常設</v>
      </c>
      <c r="BJ801" s="41" t="s">
        <v>1024</v>
      </c>
      <c r="BK801" s="10" t="s">
        <v>1019</v>
      </c>
    </row>
    <row r="802" spans="1:63" x14ac:dyDescent="0.15">
      <c r="A802" s="10" t="s">
        <v>1016</v>
      </c>
      <c r="B802" s="10" t="s">
        <v>1454</v>
      </c>
      <c r="C802" s="38" t="str">
        <f>"./images/thumbnail/"&amp;データ!B802&amp;".jpg"</f>
        <v>./images/thumbnail/2301.jpg</v>
      </c>
      <c r="D802" s="38" t="s">
        <v>1455</v>
      </c>
      <c r="E802" s="38" t="str">
        <f>"./images/thumbnail/"&amp;データ!B802&amp;".jpg"</f>
        <v>./images/thumbnail/2301.jpg</v>
      </c>
      <c r="F802" s="38" t="s">
        <v>1116</v>
      </c>
      <c r="G802" s="38" t="s">
        <v>1319</v>
      </c>
      <c r="H802" s="38" t="str">
        <f>データ!C802</f>
        <v>マーカス</v>
      </c>
      <c r="I802" s="38" t="s">
        <v>1024</v>
      </c>
      <c r="J802" s="38" t="s">
        <v>1319</v>
      </c>
      <c r="K802" s="38" t="str">
        <f>データ!D802</f>
        <v>SSR</v>
      </c>
      <c r="L802" s="38" t="s">
        <v>1024</v>
      </c>
      <c r="M802" s="38" t="s">
        <v>1319</v>
      </c>
      <c r="N802" s="38">
        <f>データ!E802</f>
        <v>14</v>
      </c>
      <c r="O802" s="38" t="s">
        <v>1024</v>
      </c>
      <c r="P802" s="38" t="s">
        <v>1319</v>
      </c>
      <c r="Q802" s="38" t="str">
        <f>データ!F802</f>
        <v>打</v>
      </c>
      <c r="R802" s="38" t="s">
        <v>1024</v>
      </c>
      <c r="S802" s="38" t="s">
        <v>1319</v>
      </c>
      <c r="T802" s="39">
        <f>データ!G802</f>
        <v>22153</v>
      </c>
      <c r="U802" s="40" t="s">
        <v>1024</v>
      </c>
      <c r="V802" s="40" t="s">
        <v>1319</v>
      </c>
      <c r="W802" s="39">
        <f>データ!H802</f>
        <v>6261</v>
      </c>
      <c r="X802" s="40" t="s">
        <v>1024</v>
      </c>
      <c r="Y802" s="40" t="s">
        <v>1319</v>
      </c>
      <c r="Z802" s="39">
        <f>データ!I802</f>
        <v>8149</v>
      </c>
      <c r="AA802" s="40" t="s">
        <v>1024</v>
      </c>
      <c r="AB802" s="40" t="s">
        <v>1319</v>
      </c>
      <c r="AC802" s="39" t="str">
        <f>データ!J802</f>
        <v>A+</v>
      </c>
      <c r="AD802" s="38" t="s">
        <v>1024</v>
      </c>
      <c r="AE802" s="40" t="s">
        <v>1319</v>
      </c>
      <c r="AF802" s="39">
        <f>データ!K802</f>
        <v>36563</v>
      </c>
      <c r="AG802" s="40" t="s">
        <v>1024</v>
      </c>
      <c r="AH802" s="40" t="s">
        <v>1324</v>
      </c>
      <c r="AI802" s="39" t="str">
        <f>データ!L802</f>
        <v>幻氷の縦十字／煌</v>
      </c>
      <c r="AJ802" s="10" t="s">
        <v>1113</v>
      </c>
      <c r="AK802" s="39" t="str">
        <f>データ!M802</f>
        <v>十字型に攻撃[特大]</v>
      </c>
      <c r="AL802" s="10" t="s">
        <v>1024</v>
      </c>
      <c r="AM802" s="40" t="s">
        <v>1324</v>
      </c>
      <c r="AN802" s="39" t="str">
        <f>データ!N802</f>
        <v>-</v>
      </c>
      <c r="AO802" s="10" t="s">
        <v>1113</v>
      </c>
      <c r="AP802" s="39" t="str">
        <f>データ!O802</f>
        <v>　</v>
      </c>
      <c r="AQ802" s="41" t="s">
        <v>1024</v>
      </c>
      <c r="AR802" s="40" t="s">
        <v>1324</v>
      </c>
      <c r="AS802" s="39" t="str">
        <f>データ!P802</f>
        <v>フォートレス／煌</v>
      </c>
      <c r="AT802" s="10" t="s">
        <v>1113</v>
      </c>
      <c r="AU802" s="39" t="str">
        <f>データ!Q802</f>
        <v>パーティ全体の防御力が特大UP(3分間)</v>
      </c>
      <c r="AV802" s="10" t="s">
        <v>1024</v>
      </c>
      <c r="AW802" s="40" t="s">
        <v>1324</v>
      </c>
      <c r="AX802" s="39" t="str">
        <f>データ!R802</f>
        <v>-</v>
      </c>
      <c r="AY802" s="10" t="s">
        <v>1113</v>
      </c>
      <c r="AZ802" s="39" t="str">
        <f>データ!S802</f>
        <v>　</v>
      </c>
      <c r="BA802" s="41" t="s">
        <v>1024</v>
      </c>
      <c r="BB802" s="40" t="s">
        <v>1319</v>
      </c>
      <c r="BC802" s="39" t="str">
        <f>データ!T802</f>
        <v>-</v>
      </c>
      <c r="BD802" s="41" t="s">
        <v>1024</v>
      </c>
      <c r="BE802" s="40" t="s">
        <v>1319</v>
      </c>
      <c r="BF802" s="39" t="str">
        <f>データ!U802</f>
        <v>打属性攻撃力小アップ</v>
      </c>
      <c r="BG802" s="41" t="s">
        <v>1024</v>
      </c>
      <c r="BH802" s="40" t="s">
        <v>1319</v>
      </c>
      <c r="BI802" s="39" t="str">
        <f>データ!V802</f>
        <v>マゴニア</v>
      </c>
      <c r="BJ802" s="41" t="s">
        <v>1024</v>
      </c>
      <c r="BK802" s="10" t="s">
        <v>1019</v>
      </c>
    </row>
    <row r="803" spans="1:63" x14ac:dyDescent="0.15">
      <c r="A803" s="10" t="s">
        <v>1016</v>
      </c>
      <c r="B803" s="10" t="s">
        <v>1454</v>
      </c>
      <c r="C803" s="38" t="str">
        <f>"./images/thumbnail/"&amp;データ!B803&amp;".jpg"</f>
        <v>./images/thumbnail/2303.jpg</v>
      </c>
      <c r="D803" s="38" t="s">
        <v>1455</v>
      </c>
      <c r="E803" s="38" t="str">
        <f>"./images/thumbnail/"&amp;データ!B803&amp;".jpg"</f>
        <v>./images/thumbnail/2303.jpg</v>
      </c>
      <c r="F803" s="38" t="s">
        <v>1116</v>
      </c>
      <c r="G803" s="38" t="s">
        <v>1319</v>
      </c>
      <c r="H803" s="38" t="str">
        <f>データ!C803</f>
        <v>カタリナ</v>
      </c>
      <c r="I803" s="38" t="s">
        <v>1024</v>
      </c>
      <c r="J803" s="38" t="s">
        <v>1319</v>
      </c>
      <c r="K803" s="38" t="str">
        <f>データ!D803</f>
        <v>UR</v>
      </c>
      <c r="L803" s="38" t="s">
        <v>1024</v>
      </c>
      <c r="M803" s="38" t="s">
        <v>1319</v>
      </c>
      <c r="N803" s="38">
        <f>データ!E803</f>
        <v>16</v>
      </c>
      <c r="O803" s="38" t="s">
        <v>1024</v>
      </c>
      <c r="P803" s="38" t="s">
        <v>1319</v>
      </c>
      <c r="Q803" s="38" t="str">
        <f>データ!F803</f>
        <v>斬</v>
      </c>
      <c r="R803" s="38" t="s">
        <v>1024</v>
      </c>
      <c r="S803" s="38" t="s">
        <v>1319</v>
      </c>
      <c r="T803" s="39">
        <f>データ!G803</f>
        <v>22102</v>
      </c>
      <c r="U803" s="40" t="s">
        <v>1024</v>
      </c>
      <c r="V803" s="40" t="s">
        <v>1319</v>
      </c>
      <c r="W803" s="39">
        <f>データ!H803</f>
        <v>11181</v>
      </c>
      <c r="X803" s="40" t="s">
        <v>1024</v>
      </c>
      <c r="Y803" s="40" t="s">
        <v>1319</v>
      </c>
      <c r="Z803" s="39">
        <f>データ!I803</f>
        <v>8147</v>
      </c>
      <c r="AA803" s="40" t="s">
        <v>1024</v>
      </c>
      <c r="AB803" s="40" t="s">
        <v>1319</v>
      </c>
      <c r="AC803" s="39" t="str">
        <f>データ!J803</f>
        <v>SS+</v>
      </c>
      <c r="AD803" s="38" t="s">
        <v>1024</v>
      </c>
      <c r="AE803" s="40" t="s">
        <v>1319</v>
      </c>
      <c r="AF803" s="39">
        <f>データ!K803</f>
        <v>41430</v>
      </c>
      <c r="AG803" s="40" t="s">
        <v>1024</v>
      </c>
      <c r="AH803" s="40" t="s">
        <v>1324</v>
      </c>
      <c r="AI803" s="39" t="str">
        <f>データ!L803</f>
        <v>天焔幻の一閃／鳳</v>
      </c>
      <c r="AJ803" s="10" t="s">
        <v>1113</v>
      </c>
      <c r="AK803" s="39" t="str">
        <f>データ!M803</f>
        <v>横一列攻撃[極大]自分の攻撃力UP[極大]</v>
      </c>
      <c r="AL803" s="10" t="s">
        <v>1024</v>
      </c>
      <c r="AM803" s="40" t="s">
        <v>1324</v>
      </c>
      <c r="AN803" s="39" t="str">
        <f>データ!N803</f>
        <v>-</v>
      </c>
      <c r="AO803" s="10" t="s">
        <v>1113</v>
      </c>
      <c r="AP803" s="39" t="str">
        <f>データ!O803</f>
        <v>　</v>
      </c>
      <c r="AQ803" s="41" t="s">
        <v>1024</v>
      </c>
      <c r="AR803" s="40" t="s">
        <v>1324</v>
      </c>
      <c r="AS803" s="39" t="str">
        <f>データ!P803</f>
        <v>ディバインスラスト／鳳</v>
      </c>
      <c r="AT803" s="10" t="s">
        <v>1113</v>
      </c>
      <c r="AU803" s="39" t="str">
        <f>データ!Q803</f>
        <v>パーティの攻撃力大UP・最大TP小UP&amp;ユニット1体をタレント状態にする(5分間)</v>
      </c>
      <c r="AV803" s="10" t="s">
        <v>1024</v>
      </c>
      <c r="AW803" s="40" t="s">
        <v>1324</v>
      </c>
      <c r="AX803" s="39" t="str">
        <f>データ!R803</f>
        <v>リコントラクト／煌</v>
      </c>
      <c r="AY803" s="10" t="s">
        <v>1113</v>
      </c>
      <c r="AZ803" s="39" t="str">
        <f>データ!S803</f>
        <v>バトルで敵を全滅するとBPが特大回復・TPが中回復(3分間)</v>
      </c>
      <c r="BA803" s="41" t="s">
        <v>1024</v>
      </c>
      <c r="BB803" s="40" t="s">
        <v>1319</v>
      </c>
      <c r="BC803" s="39" t="str">
        <f>データ!T803</f>
        <v>闘気／真</v>
      </c>
      <c r="BD803" s="41" t="s">
        <v>1024</v>
      </c>
      <c r="BE803" s="40" t="s">
        <v>1319</v>
      </c>
      <c r="BF803" s="39" t="str">
        <f>データ!U803</f>
        <v>-</v>
      </c>
      <c r="BG803" s="41" t="s">
        <v>1024</v>
      </c>
      <c r="BH803" s="40" t="s">
        <v>1319</v>
      </c>
      <c r="BI803" s="39" t="str">
        <f>データ!V803</f>
        <v>エイトガチャ</v>
      </c>
      <c r="BJ803" s="41" t="s">
        <v>1024</v>
      </c>
      <c r="BK803" s="10" t="s">
        <v>1019</v>
      </c>
    </row>
    <row r="804" spans="1:63" x14ac:dyDescent="0.15">
      <c r="A804" s="10" t="s">
        <v>1016</v>
      </c>
      <c r="B804" s="10" t="s">
        <v>1454</v>
      </c>
      <c r="C804" s="38" t="str">
        <f>"./images/thumbnail/"&amp;データ!B804&amp;".jpg"</f>
        <v>./images/thumbnail/2305.jpg</v>
      </c>
      <c r="D804" s="38" t="s">
        <v>1455</v>
      </c>
      <c r="E804" s="38" t="str">
        <f>"./images/thumbnail/"&amp;データ!B804&amp;".jpg"</f>
        <v>./images/thumbnail/2305.jpg</v>
      </c>
      <c r="F804" s="38" t="s">
        <v>1116</v>
      </c>
      <c r="G804" s="38" t="s">
        <v>1319</v>
      </c>
      <c r="H804" s="38" t="str">
        <f>データ!C804</f>
        <v>リヴェルタ</v>
      </c>
      <c r="I804" s="38" t="s">
        <v>1024</v>
      </c>
      <c r="J804" s="38" t="s">
        <v>1319</v>
      </c>
      <c r="K804" s="38" t="str">
        <f>データ!D804</f>
        <v>UR</v>
      </c>
      <c r="L804" s="38" t="s">
        <v>1024</v>
      </c>
      <c r="M804" s="38" t="s">
        <v>1319</v>
      </c>
      <c r="N804" s="38">
        <f>データ!E804</f>
        <v>16</v>
      </c>
      <c r="O804" s="38" t="s">
        <v>1024</v>
      </c>
      <c r="P804" s="38" t="s">
        <v>1319</v>
      </c>
      <c r="Q804" s="38" t="str">
        <f>データ!F804</f>
        <v>突</v>
      </c>
      <c r="R804" s="38" t="s">
        <v>1024</v>
      </c>
      <c r="S804" s="38" t="s">
        <v>1319</v>
      </c>
      <c r="T804" s="39">
        <f>データ!G804</f>
        <v>27012</v>
      </c>
      <c r="U804" s="40" t="s">
        <v>1024</v>
      </c>
      <c r="V804" s="40" t="s">
        <v>1319</v>
      </c>
      <c r="W804" s="39">
        <f>データ!H804</f>
        <v>7582</v>
      </c>
      <c r="X804" s="40" t="s">
        <v>1024</v>
      </c>
      <c r="Y804" s="40" t="s">
        <v>1319</v>
      </c>
      <c r="Z804" s="39">
        <f>データ!I804</f>
        <v>11009</v>
      </c>
      <c r="AA804" s="40" t="s">
        <v>1024</v>
      </c>
      <c r="AB804" s="40" t="s">
        <v>1319</v>
      </c>
      <c r="AC804" s="39" t="str">
        <f>データ!J804</f>
        <v>SS4</v>
      </c>
      <c r="AD804" s="38" t="s">
        <v>1024</v>
      </c>
      <c r="AE804" s="40" t="s">
        <v>1319</v>
      </c>
      <c r="AF804" s="39">
        <f>データ!K804</f>
        <v>45603</v>
      </c>
      <c r="AG804" s="40" t="s">
        <v>1024</v>
      </c>
      <c r="AH804" s="40" t="s">
        <v>1324</v>
      </c>
      <c r="AI804" s="39" t="str">
        <f>データ!L804</f>
        <v>闘神消滅／光芒</v>
      </c>
      <c r="AJ804" s="10" t="s">
        <v>1113</v>
      </c>
      <c r="AK804" s="39" t="str">
        <f>データ!M804</f>
        <v>敵全体の攻撃力と防御力をDOWN[極大]</v>
      </c>
      <c r="AL804" s="10" t="s">
        <v>1024</v>
      </c>
      <c r="AM804" s="40" t="s">
        <v>1324</v>
      </c>
      <c r="AN804" s="39" t="str">
        <f>データ!N804</f>
        <v>-</v>
      </c>
      <c r="AO804" s="10" t="s">
        <v>1113</v>
      </c>
      <c r="AP804" s="39" t="str">
        <f>データ!O804</f>
        <v>　</v>
      </c>
      <c r="AQ804" s="41" t="s">
        <v>1024</v>
      </c>
      <c r="AR804" s="40" t="s">
        <v>1324</v>
      </c>
      <c r="AS804" s="39" t="str">
        <f>データ!P804</f>
        <v>アサルトオーダー／煌</v>
      </c>
      <c r="AT804" s="10" t="s">
        <v>1113</v>
      </c>
      <c r="AU804" s="39" t="str">
        <f>データ!Q804</f>
        <v>騎士団全体の攻撃力が特大UP＆ユニット1体をタレント状態にする(3分間)</v>
      </c>
      <c r="AV804" s="10" t="s">
        <v>1024</v>
      </c>
      <c r="AW804" s="40" t="s">
        <v>1324</v>
      </c>
      <c r="AX804" s="39" t="str">
        <f>データ!R804</f>
        <v>フォートレスオーダー／絶</v>
      </c>
      <c r="AY804" s="10" t="s">
        <v>1113</v>
      </c>
      <c r="AZ804" s="39" t="str">
        <f>データ!S804</f>
        <v>騎士団全体の防御力が大UP(3分間)</v>
      </c>
      <c r="BA804" s="41" t="s">
        <v>1024</v>
      </c>
      <c r="BB804" s="40" t="s">
        <v>1319</v>
      </c>
      <c r="BC804" s="39" t="str">
        <f>データ!T804</f>
        <v>防壁／真</v>
      </c>
      <c r="BD804" s="41" t="s">
        <v>1024</v>
      </c>
      <c r="BE804" s="40" t="s">
        <v>1319</v>
      </c>
      <c r="BF804" s="39" t="str">
        <f>データ!U804</f>
        <v>-</v>
      </c>
      <c r="BG804" s="41" t="s">
        <v>1024</v>
      </c>
      <c r="BH804" s="40" t="s">
        <v>1319</v>
      </c>
      <c r="BI804" s="39" t="str">
        <f>データ!V804</f>
        <v>エイトガチャ</v>
      </c>
      <c r="BJ804" s="41" t="s">
        <v>1024</v>
      </c>
      <c r="BK804" s="10" t="s">
        <v>1019</v>
      </c>
    </row>
    <row r="805" spans="1:63" x14ac:dyDescent="0.15">
      <c r="A805" s="10" t="s">
        <v>1016</v>
      </c>
      <c r="B805" s="10" t="s">
        <v>1454</v>
      </c>
      <c r="C805" s="38" t="str">
        <f>"./images/thumbnail/"&amp;データ!B805&amp;".jpg"</f>
        <v>./images/thumbnail/2307.jpg</v>
      </c>
      <c r="D805" s="38" t="s">
        <v>1455</v>
      </c>
      <c r="E805" s="38" t="str">
        <f>"./images/thumbnail/"&amp;データ!B805&amp;".jpg"</f>
        <v>./images/thumbnail/2307.jpg</v>
      </c>
      <c r="F805" s="38" t="s">
        <v>1116</v>
      </c>
      <c r="G805" s="38" t="s">
        <v>1319</v>
      </c>
      <c r="H805" s="38" t="str">
        <f>データ!C805</f>
        <v>アーニャ</v>
      </c>
      <c r="I805" s="38" t="s">
        <v>1024</v>
      </c>
      <c r="J805" s="38" t="s">
        <v>1319</v>
      </c>
      <c r="K805" s="38" t="str">
        <f>データ!D805</f>
        <v>UR</v>
      </c>
      <c r="L805" s="38" t="s">
        <v>1024</v>
      </c>
      <c r="M805" s="38" t="s">
        <v>1319</v>
      </c>
      <c r="N805" s="38">
        <f>データ!E805</f>
        <v>16</v>
      </c>
      <c r="O805" s="38" t="s">
        <v>1024</v>
      </c>
      <c r="P805" s="38" t="s">
        <v>1319</v>
      </c>
      <c r="Q805" s="38" t="str">
        <f>データ!F805</f>
        <v>打</v>
      </c>
      <c r="R805" s="38" t="s">
        <v>1024</v>
      </c>
      <c r="S805" s="38" t="s">
        <v>1319</v>
      </c>
      <c r="T805" s="39">
        <f>データ!G805</f>
        <v>30179</v>
      </c>
      <c r="U805" s="40" t="s">
        <v>1024</v>
      </c>
      <c r="V805" s="40" t="s">
        <v>1319</v>
      </c>
      <c r="W805" s="39">
        <f>データ!H805</f>
        <v>8850</v>
      </c>
      <c r="X805" s="40" t="s">
        <v>1024</v>
      </c>
      <c r="Y805" s="40" t="s">
        <v>1319</v>
      </c>
      <c r="Z805" s="39">
        <f>データ!I805</f>
        <v>12250</v>
      </c>
      <c r="AA805" s="40" t="s">
        <v>1024</v>
      </c>
      <c r="AB805" s="40" t="s">
        <v>1319</v>
      </c>
      <c r="AC805" s="39" t="str">
        <f>データ!J805</f>
        <v>SS-</v>
      </c>
      <c r="AD805" s="38" t="s">
        <v>1024</v>
      </c>
      <c r="AE805" s="40" t="s">
        <v>1319</v>
      </c>
      <c r="AF805" s="39">
        <f>データ!K805</f>
        <v>51279</v>
      </c>
      <c r="AG805" s="40" t="s">
        <v>1024</v>
      </c>
      <c r="AH805" s="40" t="s">
        <v>1324</v>
      </c>
      <c r="AI805" s="39" t="str">
        <f>データ!L805</f>
        <v>打鋭の六連天／真</v>
      </c>
      <c r="AJ805" s="10" t="s">
        <v>1113</v>
      </c>
      <c r="AK805" s="39" t="str">
        <f>データ!M805</f>
        <v>ﾗﾝﾀﾞﾑで3～5連撃。攻撃毎に与ﾀﾞﾒ2倍[低確率]</v>
      </c>
      <c r="AL805" s="10" t="s">
        <v>1024</v>
      </c>
      <c r="AM805" s="40" t="s">
        <v>1324</v>
      </c>
      <c r="AN805" s="39" t="str">
        <f>データ!N805</f>
        <v>-</v>
      </c>
      <c r="AO805" s="10" t="s">
        <v>1113</v>
      </c>
      <c r="AP805" s="39" t="str">
        <f>データ!O805</f>
        <v>　</v>
      </c>
      <c r="AQ805" s="41" t="s">
        <v>1024</v>
      </c>
      <c r="AR805" s="40" t="s">
        <v>1324</v>
      </c>
      <c r="AS805" s="39" t="str">
        <f>データ!P805</f>
        <v>バーサク／煌</v>
      </c>
      <c r="AT805" s="10" t="s">
        <v>1113</v>
      </c>
      <c r="AU805" s="39" t="str">
        <f>データ!Q805</f>
        <v>強襲が発生無効、バトル時に攻・防特大UP＆ユニット1体をタレント状態にする(3分間)</v>
      </c>
      <c r="AV805" s="10" t="s">
        <v>1024</v>
      </c>
      <c r="AW805" s="40" t="s">
        <v>1324</v>
      </c>
      <c r="AX805" s="39" t="str">
        <f>データ!R805</f>
        <v>エクスターライズ／絶</v>
      </c>
      <c r="AY805" s="10" t="s">
        <v>1113</v>
      </c>
      <c r="AZ805" s="39" t="str">
        <f>データ!S805</f>
        <v>攻撃回数が多いほどバトル獲得スコアが大UP(3分間)</v>
      </c>
      <c r="BA805" s="41" t="s">
        <v>1024</v>
      </c>
      <c r="BB805" s="40" t="s">
        <v>1319</v>
      </c>
      <c r="BC805" s="39" t="str">
        <f>データ!T805</f>
        <v>不撓不屈</v>
      </c>
      <c r="BD805" s="41" t="s">
        <v>1024</v>
      </c>
      <c r="BE805" s="40" t="s">
        <v>1319</v>
      </c>
      <c r="BF805" s="39" t="str">
        <f>データ!U805</f>
        <v>-</v>
      </c>
      <c r="BG805" s="41" t="s">
        <v>1024</v>
      </c>
      <c r="BH805" s="40" t="s">
        <v>1319</v>
      </c>
      <c r="BI805" s="39" t="str">
        <f>データ!V805</f>
        <v>エイトガチャ</v>
      </c>
      <c r="BJ805" s="41" t="s">
        <v>1024</v>
      </c>
      <c r="BK805" s="10" t="s">
        <v>1019</v>
      </c>
    </row>
    <row r="806" spans="1:63" x14ac:dyDescent="0.15">
      <c r="A806" s="10" t="s">
        <v>1016</v>
      </c>
      <c r="B806" s="10" t="s">
        <v>1454</v>
      </c>
      <c r="C806" s="38" t="str">
        <f>"./images/thumbnail/"&amp;データ!B806&amp;".jpg"</f>
        <v>./images/thumbnail/2308.jpg</v>
      </c>
      <c r="D806" s="38" t="s">
        <v>1455</v>
      </c>
      <c r="E806" s="38" t="str">
        <f>"./images/thumbnail/"&amp;データ!B806&amp;".jpg"</f>
        <v>./images/thumbnail/2308.jpg</v>
      </c>
      <c r="F806" s="38" t="s">
        <v>1116</v>
      </c>
      <c r="G806" s="38" t="s">
        <v>1319</v>
      </c>
      <c r="H806" s="38" t="str">
        <f>データ!C806</f>
        <v>オズ</v>
      </c>
      <c r="I806" s="38" t="s">
        <v>1024</v>
      </c>
      <c r="J806" s="38" t="s">
        <v>1319</v>
      </c>
      <c r="K806" s="38" t="str">
        <f>データ!D806</f>
        <v>SSR</v>
      </c>
      <c r="L806" s="38" t="s">
        <v>1024</v>
      </c>
      <c r="M806" s="38" t="s">
        <v>1319</v>
      </c>
      <c r="N806" s="38">
        <f>データ!E806</f>
        <v>14</v>
      </c>
      <c r="O806" s="38" t="s">
        <v>1024</v>
      </c>
      <c r="P806" s="38" t="s">
        <v>1319</v>
      </c>
      <c r="Q806" s="38" t="str">
        <f>データ!F806</f>
        <v>遠</v>
      </c>
      <c r="R806" s="38" t="s">
        <v>1024</v>
      </c>
      <c r="S806" s="38" t="s">
        <v>1319</v>
      </c>
      <c r="T806" s="39">
        <f>データ!G806</f>
        <v>18713</v>
      </c>
      <c r="U806" s="40" t="s">
        <v>1024</v>
      </c>
      <c r="V806" s="40" t="s">
        <v>1319</v>
      </c>
      <c r="W806" s="39">
        <f>データ!H806</f>
        <v>6821</v>
      </c>
      <c r="X806" s="40" t="s">
        <v>1024</v>
      </c>
      <c r="Y806" s="40" t="s">
        <v>1319</v>
      </c>
      <c r="Z806" s="39">
        <f>データ!I806</f>
        <v>6406</v>
      </c>
      <c r="AA806" s="40" t="s">
        <v>1024</v>
      </c>
      <c r="AB806" s="40" t="s">
        <v>1319</v>
      </c>
      <c r="AC806" s="39" t="str">
        <f>データ!J806</f>
        <v>S+</v>
      </c>
      <c r="AD806" s="38" t="s">
        <v>1024</v>
      </c>
      <c r="AE806" s="40" t="s">
        <v>1319</v>
      </c>
      <c r="AF806" s="39">
        <f>データ!K806</f>
        <v>31940</v>
      </c>
      <c r="AG806" s="40" t="s">
        <v>1024</v>
      </c>
      <c r="AH806" s="40" t="s">
        <v>1324</v>
      </c>
      <c r="AI806" s="39" t="str">
        <f>データ!L806</f>
        <v>魔幻の閃光／煌</v>
      </c>
      <c r="AJ806" s="10" t="s">
        <v>1113</v>
      </c>
      <c r="AK806" s="39" t="str">
        <f>データ!M806</f>
        <v>縦一列に攻撃[特大]</v>
      </c>
      <c r="AL806" s="10" t="s">
        <v>1024</v>
      </c>
      <c r="AM806" s="40" t="s">
        <v>1324</v>
      </c>
      <c r="AN806" s="39" t="str">
        <f>データ!N806</f>
        <v>-</v>
      </c>
      <c r="AO806" s="10" t="s">
        <v>1113</v>
      </c>
      <c r="AP806" s="39" t="str">
        <f>データ!O806</f>
        <v>　</v>
      </c>
      <c r="AQ806" s="41" t="s">
        <v>1024</v>
      </c>
      <c r="AR806" s="40" t="s">
        <v>1324</v>
      </c>
      <c r="AS806" s="39" t="str">
        <f>データ!P806</f>
        <v>アサルト／煌</v>
      </c>
      <c r="AT806" s="10" t="s">
        <v>1113</v>
      </c>
      <c r="AU806" s="39" t="str">
        <f>データ!Q806</f>
        <v>パーティ全体の攻撃力が特大UP(3分間)</v>
      </c>
      <c r="AV806" s="10" t="s">
        <v>1024</v>
      </c>
      <c r="AW806" s="40" t="s">
        <v>1324</v>
      </c>
      <c r="AX806" s="39" t="str">
        <f>データ!R806</f>
        <v>-</v>
      </c>
      <c r="AY806" s="10" t="s">
        <v>1113</v>
      </c>
      <c r="AZ806" s="39" t="str">
        <f>データ!S806</f>
        <v>　</v>
      </c>
      <c r="BA806" s="41" t="s">
        <v>1024</v>
      </c>
      <c r="BB806" s="40" t="s">
        <v>1319</v>
      </c>
      <c r="BC806" s="39" t="str">
        <f>データ!T806</f>
        <v>-</v>
      </c>
      <c r="BD806" s="41" t="s">
        <v>1024</v>
      </c>
      <c r="BE806" s="40" t="s">
        <v>1319</v>
      </c>
      <c r="BF806" s="39" t="str">
        <f>データ!U806</f>
        <v>遠属性攻撃力小アップ</v>
      </c>
      <c r="BG806" s="41" t="s">
        <v>1024</v>
      </c>
      <c r="BH806" s="40" t="s">
        <v>1319</v>
      </c>
      <c r="BI806" s="39" t="str">
        <f>データ!V806</f>
        <v>魔女の追憶イベ</v>
      </c>
      <c r="BJ806" s="41" t="s">
        <v>1024</v>
      </c>
      <c r="BK806" s="10" t="s">
        <v>1019</v>
      </c>
    </row>
    <row r="807" spans="1:63" x14ac:dyDescent="0.15">
      <c r="A807" s="10" t="s">
        <v>1016</v>
      </c>
      <c r="B807" s="10" t="s">
        <v>1454</v>
      </c>
      <c r="C807" s="38" t="str">
        <f>"./images/thumbnail/"&amp;データ!B807&amp;".jpg"</f>
        <v>./images/thumbnail/2309.jpg</v>
      </c>
      <c r="D807" s="38" t="s">
        <v>1455</v>
      </c>
      <c r="E807" s="38" t="str">
        <f>"./images/thumbnail/"&amp;データ!B807&amp;".jpg"</f>
        <v>./images/thumbnail/2309.jpg</v>
      </c>
      <c r="F807" s="38" t="s">
        <v>1116</v>
      </c>
      <c r="G807" s="38" t="s">
        <v>1319</v>
      </c>
      <c r="H807" s="38" t="str">
        <f>データ!C807</f>
        <v>ジュビリー</v>
      </c>
      <c r="I807" s="38" t="s">
        <v>1024</v>
      </c>
      <c r="J807" s="38" t="s">
        <v>1319</v>
      </c>
      <c r="K807" s="38" t="str">
        <f>データ!D807</f>
        <v>UR</v>
      </c>
      <c r="L807" s="38" t="s">
        <v>1024</v>
      </c>
      <c r="M807" s="38" t="s">
        <v>1319</v>
      </c>
      <c r="N807" s="38">
        <f>データ!E807</f>
        <v>16</v>
      </c>
      <c r="O807" s="38" t="s">
        <v>1024</v>
      </c>
      <c r="P807" s="38" t="s">
        <v>1319</v>
      </c>
      <c r="Q807" s="38" t="str">
        <f>データ!F807</f>
        <v>突</v>
      </c>
      <c r="R807" s="38" t="s">
        <v>1024</v>
      </c>
      <c r="S807" s="38" t="s">
        <v>1319</v>
      </c>
      <c r="T807" s="39">
        <f>データ!G807</f>
        <v>26501</v>
      </c>
      <c r="U807" s="40" t="s">
        <v>1024</v>
      </c>
      <c r="V807" s="40" t="s">
        <v>1319</v>
      </c>
      <c r="W807" s="39">
        <f>データ!H807</f>
        <v>7914</v>
      </c>
      <c r="X807" s="40" t="s">
        <v>1024</v>
      </c>
      <c r="Y807" s="40" t="s">
        <v>1319</v>
      </c>
      <c r="Z807" s="39">
        <f>データ!I807</f>
        <v>11121</v>
      </c>
      <c r="AA807" s="40" t="s">
        <v>1024</v>
      </c>
      <c r="AB807" s="40" t="s">
        <v>1319</v>
      </c>
      <c r="AC807" s="39" t="str">
        <f>データ!J807</f>
        <v>SS4</v>
      </c>
      <c r="AD807" s="38" t="s">
        <v>1024</v>
      </c>
      <c r="AE807" s="40" t="s">
        <v>1319</v>
      </c>
      <c r="AF807" s="39">
        <f>データ!K807</f>
        <v>45536</v>
      </c>
      <c r="AG807" s="40" t="s">
        <v>1024</v>
      </c>
      <c r="AH807" s="40" t="s">
        <v>1324</v>
      </c>
      <c r="AI807" s="39" t="str">
        <f>データ!L807</f>
        <v>天幻神の五連撃／煌</v>
      </c>
      <c r="AJ807" s="10" t="s">
        <v>1113</v>
      </c>
      <c r="AK807" s="39" t="str">
        <f>データ!M807</f>
        <v>ランダムで5連続攻撃[特大]自分の攻撃力UP[特大]</v>
      </c>
      <c r="AL807" s="10" t="s">
        <v>1024</v>
      </c>
      <c r="AM807" s="40" t="s">
        <v>1324</v>
      </c>
      <c r="AN807" s="39" t="str">
        <f>データ!N807</f>
        <v>-</v>
      </c>
      <c r="AO807" s="10" t="s">
        <v>1113</v>
      </c>
      <c r="AP807" s="39" t="str">
        <f>データ!O807</f>
        <v>　</v>
      </c>
      <c r="AQ807" s="41" t="s">
        <v>1024</v>
      </c>
      <c r="AR807" s="40" t="s">
        <v>1324</v>
      </c>
      <c r="AS807" s="39" t="str">
        <f>データ!P807</f>
        <v>オラトリオ／鳳</v>
      </c>
      <c r="AT807" s="10" t="s">
        <v>1113</v>
      </c>
      <c r="AU807" s="39" t="str">
        <f>データ!Q807</f>
        <v>強襲無効、攻撃力・スキル発動率極大UP＆ユニット1体をタレント状態にする(5分間)</v>
      </c>
      <c r="AV807" s="10" t="s">
        <v>1024</v>
      </c>
      <c r="AW807" s="40" t="s">
        <v>1324</v>
      </c>
      <c r="AX807" s="39" t="str">
        <f>データ!R807</f>
        <v>ディバインエトワール／煌</v>
      </c>
      <c r="AY807" s="10" t="s">
        <v>1113</v>
      </c>
      <c r="AZ807" s="39" t="str">
        <f>データ!S807</f>
        <v>パーティ全体の攻防大UP・最大TP小UP(5分間)</v>
      </c>
      <c r="BA807" s="41" t="s">
        <v>1024</v>
      </c>
      <c r="BB807" s="40" t="s">
        <v>1319</v>
      </c>
      <c r="BC807" s="39" t="str">
        <f>データ!T807</f>
        <v>遠翠烈撃／真</v>
      </c>
      <c r="BD807" s="41" t="s">
        <v>1024</v>
      </c>
      <c r="BE807" s="40" t="s">
        <v>1319</v>
      </c>
      <c r="BF807" s="39" t="str">
        <f>データ!U807</f>
        <v>-</v>
      </c>
      <c r="BG807" s="41" t="s">
        <v>1024</v>
      </c>
      <c r="BH807" s="40" t="s">
        <v>1319</v>
      </c>
      <c r="BI807" s="39" t="str">
        <f>データ!V807</f>
        <v>限定ガチャ</v>
      </c>
      <c r="BJ807" s="41" t="s">
        <v>1024</v>
      </c>
      <c r="BK807" s="10" t="s">
        <v>1019</v>
      </c>
    </row>
    <row r="808" spans="1:63" x14ac:dyDescent="0.15">
      <c r="A808" s="10" t="s">
        <v>1016</v>
      </c>
      <c r="B808" s="10" t="s">
        <v>1454</v>
      </c>
      <c r="C808" s="38" t="str">
        <f>"./images/thumbnail/"&amp;データ!B808&amp;".jpg"</f>
        <v>./images/thumbnail/2310.jpg</v>
      </c>
      <c r="D808" s="38" t="s">
        <v>1455</v>
      </c>
      <c r="E808" s="38" t="str">
        <f>"./images/thumbnail/"&amp;データ!B808&amp;".jpg"</f>
        <v>./images/thumbnail/2310.jpg</v>
      </c>
      <c r="F808" s="38" t="s">
        <v>1116</v>
      </c>
      <c r="G808" s="38" t="s">
        <v>1319</v>
      </c>
      <c r="H808" s="38" t="str">
        <f>データ!C808</f>
        <v>ウィンザール</v>
      </c>
      <c r="I808" s="38" t="s">
        <v>1024</v>
      </c>
      <c r="J808" s="38" t="s">
        <v>1319</v>
      </c>
      <c r="K808" s="38" t="str">
        <f>データ!D808</f>
        <v>SSR</v>
      </c>
      <c r="L808" s="38" t="s">
        <v>1024</v>
      </c>
      <c r="M808" s="38" t="s">
        <v>1319</v>
      </c>
      <c r="N808" s="38">
        <f>データ!E808</f>
        <v>13</v>
      </c>
      <c r="O808" s="38" t="s">
        <v>1024</v>
      </c>
      <c r="P808" s="38" t="s">
        <v>1319</v>
      </c>
      <c r="Q808" s="38" t="str">
        <f>データ!F808</f>
        <v>遠</v>
      </c>
      <c r="R808" s="38" t="s">
        <v>1024</v>
      </c>
      <c r="S808" s="38" t="s">
        <v>1319</v>
      </c>
      <c r="T808" s="39">
        <f>データ!G808</f>
        <v>19032</v>
      </c>
      <c r="U808" s="40" t="s">
        <v>1024</v>
      </c>
      <c r="V808" s="40" t="s">
        <v>1319</v>
      </c>
      <c r="W808" s="39">
        <f>データ!H808</f>
        <v>6756</v>
      </c>
      <c r="X808" s="40" t="s">
        <v>1024</v>
      </c>
      <c r="Y808" s="40" t="s">
        <v>1319</v>
      </c>
      <c r="Z808" s="39">
        <f>データ!I808</f>
        <v>6032</v>
      </c>
      <c r="AA808" s="40" t="s">
        <v>1024</v>
      </c>
      <c r="AB808" s="40" t="s">
        <v>1319</v>
      </c>
      <c r="AC808" s="39" t="str">
        <f>データ!J808</f>
        <v>S-</v>
      </c>
      <c r="AD808" s="38" t="s">
        <v>1024</v>
      </c>
      <c r="AE808" s="40" t="s">
        <v>1319</v>
      </c>
      <c r="AF808" s="39">
        <f>データ!K808</f>
        <v>31820</v>
      </c>
      <c r="AG808" s="40" t="s">
        <v>1024</v>
      </c>
      <c r="AH808" s="40" t="s">
        <v>1324</v>
      </c>
      <c r="AI808" s="39" t="str">
        <f>データ!L808</f>
        <v>対紅の薙風／絶</v>
      </c>
      <c r="AJ808" s="10" t="s">
        <v>1113</v>
      </c>
      <c r="AK808" s="39" t="str">
        <f>データ!M808</f>
        <v>斬に強く突に弱い横一列攻撃[大]</v>
      </c>
      <c r="AL808" s="10" t="s">
        <v>1024</v>
      </c>
      <c r="AM808" s="40" t="s">
        <v>1324</v>
      </c>
      <c r="AN808" s="39" t="str">
        <f>データ!N808</f>
        <v>-</v>
      </c>
      <c r="AO808" s="10" t="s">
        <v>1113</v>
      </c>
      <c r="AP808" s="39" t="str">
        <f>データ!O808</f>
        <v>　</v>
      </c>
      <c r="AQ808" s="41" t="s">
        <v>1024</v>
      </c>
      <c r="AR808" s="40" t="s">
        <v>1324</v>
      </c>
      <c r="AS808" s="39" t="str">
        <f>データ!P808</f>
        <v>フォートレスオーダー</v>
      </c>
      <c r="AT808" s="10" t="s">
        <v>1113</v>
      </c>
      <c r="AU808" s="39" t="str">
        <f>データ!Q808</f>
        <v>騎士団全体の防御力が小UP(3分間)</v>
      </c>
      <c r="AV808" s="10" t="s">
        <v>1024</v>
      </c>
      <c r="AW808" s="40" t="s">
        <v>1324</v>
      </c>
      <c r="AX808" s="39" t="str">
        <f>データ!R808</f>
        <v>-</v>
      </c>
      <c r="AY808" s="10" t="s">
        <v>1113</v>
      </c>
      <c r="AZ808" s="39" t="str">
        <f>データ!S808</f>
        <v>　</v>
      </c>
      <c r="BA808" s="41" t="s">
        <v>1024</v>
      </c>
      <c r="BB808" s="40" t="s">
        <v>1319</v>
      </c>
      <c r="BC808" s="39" t="str">
        <f>データ!T808</f>
        <v>-</v>
      </c>
      <c r="BD808" s="41" t="s">
        <v>1024</v>
      </c>
      <c r="BE808" s="40" t="s">
        <v>1319</v>
      </c>
      <c r="BF808" s="39" t="str">
        <f>データ!U808</f>
        <v>-</v>
      </c>
      <c r="BG808" s="41" t="s">
        <v>1024</v>
      </c>
      <c r="BH808" s="40" t="s">
        <v>1319</v>
      </c>
      <c r="BI808" s="39" t="str">
        <f>データ!V808</f>
        <v>第20回統一報酬</v>
      </c>
      <c r="BJ808" s="41" t="s">
        <v>1024</v>
      </c>
      <c r="BK808" s="10" t="s">
        <v>1019</v>
      </c>
    </row>
    <row r="809" spans="1:63" x14ac:dyDescent="0.15">
      <c r="A809" s="10" t="s">
        <v>1016</v>
      </c>
      <c r="B809" s="10" t="s">
        <v>1454</v>
      </c>
      <c r="C809" s="38" t="str">
        <f>"./images/thumbnail/"&amp;データ!B809&amp;".jpg"</f>
        <v>./images/thumbnail/2311.jpg</v>
      </c>
      <c r="D809" s="38" t="s">
        <v>1455</v>
      </c>
      <c r="E809" s="38" t="str">
        <f>"./images/thumbnail/"&amp;データ!B809&amp;".jpg"</f>
        <v>./images/thumbnail/2311.jpg</v>
      </c>
      <c r="F809" s="38" t="s">
        <v>1116</v>
      </c>
      <c r="G809" s="38" t="s">
        <v>1319</v>
      </c>
      <c r="H809" s="38" t="str">
        <f>データ!C809</f>
        <v>ウィンザール</v>
      </c>
      <c r="I809" s="38" t="s">
        <v>1024</v>
      </c>
      <c r="J809" s="38" t="s">
        <v>1319</v>
      </c>
      <c r="K809" s="38" t="str">
        <f>データ!D809</f>
        <v>UR</v>
      </c>
      <c r="L809" s="38" t="s">
        <v>1024</v>
      </c>
      <c r="M809" s="38" t="s">
        <v>1319</v>
      </c>
      <c r="N809" s="38">
        <f>データ!E809</f>
        <v>14</v>
      </c>
      <c r="O809" s="38" t="s">
        <v>1024</v>
      </c>
      <c r="P809" s="38" t="s">
        <v>1319</v>
      </c>
      <c r="Q809" s="38" t="str">
        <f>データ!F809</f>
        <v>遠</v>
      </c>
      <c r="R809" s="38" t="s">
        <v>1024</v>
      </c>
      <c r="S809" s="38" t="s">
        <v>1319</v>
      </c>
      <c r="T809" s="39">
        <f>データ!G809</f>
        <v>20593</v>
      </c>
      <c r="U809" s="40" t="s">
        <v>1024</v>
      </c>
      <c r="V809" s="40" t="s">
        <v>1319</v>
      </c>
      <c r="W809" s="39">
        <f>データ!H809</f>
        <v>7194</v>
      </c>
      <c r="X809" s="40" t="s">
        <v>1024</v>
      </c>
      <c r="Y809" s="40" t="s">
        <v>1319</v>
      </c>
      <c r="Z809" s="39">
        <f>データ!I809</f>
        <v>6430</v>
      </c>
      <c r="AA809" s="40" t="s">
        <v>1024</v>
      </c>
      <c r="AB809" s="40" t="s">
        <v>1319</v>
      </c>
      <c r="AC809" s="39" t="str">
        <f>データ!J809</f>
        <v>S+</v>
      </c>
      <c r="AD809" s="38" t="s">
        <v>1024</v>
      </c>
      <c r="AE809" s="40" t="s">
        <v>1319</v>
      </c>
      <c r="AF809" s="39">
        <f>データ!K809</f>
        <v>34217</v>
      </c>
      <c r="AG809" s="40" t="s">
        <v>1024</v>
      </c>
      <c r="AH809" s="40" t="s">
        <v>1324</v>
      </c>
      <c r="AI809" s="39" t="str">
        <f>データ!L809</f>
        <v>対紅の薙風／煌</v>
      </c>
      <c r="AJ809" s="10" t="s">
        <v>1113</v>
      </c>
      <c r="AK809" s="39" t="str">
        <f>データ!M809</f>
        <v>斬に強く突に弱い横一列攻撃[特大]</v>
      </c>
      <c r="AL809" s="10" t="s">
        <v>1024</v>
      </c>
      <c r="AM809" s="40" t="s">
        <v>1324</v>
      </c>
      <c r="AN809" s="39" t="str">
        <f>データ!N809</f>
        <v>-</v>
      </c>
      <c r="AO809" s="10" t="s">
        <v>1113</v>
      </c>
      <c r="AP809" s="39" t="str">
        <f>データ!O809</f>
        <v>　</v>
      </c>
      <c r="AQ809" s="41" t="s">
        <v>1024</v>
      </c>
      <c r="AR809" s="40" t="s">
        <v>1324</v>
      </c>
      <c r="AS809" s="39" t="str">
        <f>データ!P809</f>
        <v>フォートレスオーダー／真</v>
      </c>
      <c r="AT809" s="10" t="s">
        <v>1113</v>
      </c>
      <c r="AU809" s="39" t="str">
        <f>データ!Q809</f>
        <v>騎士団全体の防御力が中UP(3分間)</v>
      </c>
      <c r="AV809" s="10" t="s">
        <v>1024</v>
      </c>
      <c r="AW809" s="40" t="s">
        <v>1324</v>
      </c>
      <c r="AX809" s="39" t="str">
        <f>データ!R809</f>
        <v>-</v>
      </c>
      <c r="AY809" s="10" t="s">
        <v>1113</v>
      </c>
      <c r="AZ809" s="39" t="str">
        <f>データ!S809</f>
        <v>　</v>
      </c>
      <c r="BA809" s="41" t="s">
        <v>1024</v>
      </c>
      <c r="BB809" s="40" t="s">
        <v>1319</v>
      </c>
      <c r="BC809" s="39" t="str">
        <f>データ!T809</f>
        <v>-</v>
      </c>
      <c r="BD809" s="41" t="s">
        <v>1024</v>
      </c>
      <c r="BE809" s="40" t="s">
        <v>1319</v>
      </c>
      <c r="BF809" s="39" t="str">
        <f>データ!U809</f>
        <v>-</v>
      </c>
      <c r="BG809" s="41" t="s">
        <v>1024</v>
      </c>
      <c r="BH809" s="40" t="s">
        <v>1319</v>
      </c>
      <c r="BI809" s="39" t="str">
        <f>データ!V809</f>
        <v>第20回統一報酬</v>
      </c>
      <c r="BJ809" s="41" t="s">
        <v>1024</v>
      </c>
      <c r="BK809" s="10" t="s">
        <v>1019</v>
      </c>
    </row>
    <row r="810" spans="1:63" x14ac:dyDescent="0.15">
      <c r="A810" s="10" t="s">
        <v>1016</v>
      </c>
      <c r="B810" s="10" t="s">
        <v>1454</v>
      </c>
      <c r="C810" s="38" t="str">
        <f>"./images/thumbnail/"&amp;データ!B810&amp;".jpg"</f>
        <v>./images/thumbnail/2312.jpg</v>
      </c>
      <c r="D810" s="38" t="s">
        <v>1455</v>
      </c>
      <c r="E810" s="38" t="str">
        <f>"./images/thumbnail/"&amp;データ!B810&amp;".jpg"</f>
        <v>./images/thumbnail/2312.jpg</v>
      </c>
      <c r="F810" s="38" t="s">
        <v>1116</v>
      </c>
      <c r="G810" s="38" t="s">
        <v>1319</v>
      </c>
      <c r="H810" s="38" t="str">
        <f>データ!C810</f>
        <v>ウィンザール</v>
      </c>
      <c r="I810" s="38" t="s">
        <v>1024</v>
      </c>
      <c r="J810" s="38" t="s">
        <v>1319</v>
      </c>
      <c r="K810" s="38" t="str">
        <f>データ!D810</f>
        <v>UR</v>
      </c>
      <c r="L810" s="38" t="s">
        <v>1024</v>
      </c>
      <c r="M810" s="38" t="s">
        <v>1319</v>
      </c>
      <c r="N810" s="38">
        <f>データ!E810</f>
        <v>15</v>
      </c>
      <c r="O810" s="38" t="s">
        <v>1024</v>
      </c>
      <c r="P810" s="38" t="s">
        <v>1319</v>
      </c>
      <c r="Q810" s="38" t="str">
        <f>データ!F810</f>
        <v>遠</v>
      </c>
      <c r="R810" s="38" t="s">
        <v>1024</v>
      </c>
      <c r="S810" s="38" t="s">
        <v>1319</v>
      </c>
      <c r="T810" s="39">
        <f>データ!G810</f>
        <v>24514</v>
      </c>
      <c r="U810" s="40" t="s">
        <v>1024</v>
      </c>
      <c r="V810" s="40" t="s">
        <v>1319</v>
      </c>
      <c r="W810" s="39">
        <f>データ!H810</f>
        <v>7507</v>
      </c>
      <c r="X810" s="40" t="s">
        <v>1024</v>
      </c>
      <c r="Y810" s="40" t="s">
        <v>1319</v>
      </c>
      <c r="Z810" s="39">
        <f>データ!I810</f>
        <v>7896</v>
      </c>
      <c r="AA810" s="40" t="s">
        <v>1024</v>
      </c>
      <c r="AB810" s="40" t="s">
        <v>1319</v>
      </c>
      <c r="AC810" s="39" t="str">
        <f>データ!J810</f>
        <v>SS</v>
      </c>
      <c r="AD810" s="38" t="s">
        <v>1024</v>
      </c>
      <c r="AE810" s="40" t="s">
        <v>1319</v>
      </c>
      <c r="AF810" s="39">
        <f>データ!K810</f>
        <v>39917</v>
      </c>
      <c r="AG810" s="40" t="s">
        <v>1024</v>
      </c>
      <c r="AH810" s="40" t="s">
        <v>1324</v>
      </c>
      <c r="AI810" s="39" t="str">
        <f>データ!L810</f>
        <v>対紅の薙風／煌</v>
      </c>
      <c r="AJ810" s="10" t="s">
        <v>1113</v>
      </c>
      <c r="AK810" s="39" t="str">
        <f>データ!M810</f>
        <v>斬に強く突に弱い横一列攻撃[特大]</v>
      </c>
      <c r="AL810" s="10" t="s">
        <v>1024</v>
      </c>
      <c r="AM810" s="40" t="s">
        <v>1324</v>
      </c>
      <c r="AN810" s="39" t="str">
        <f>データ!N810</f>
        <v>-</v>
      </c>
      <c r="AO810" s="10" t="s">
        <v>1113</v>
      </c>
      <c r="AP810" s="39" t="str">
        <f>データ!O810</f>
        <v>　</v>
      </c>
      <c r="AQ810" s="41" t="s">
        <v>1024</v>
      </c>
      <c r="AR810" s="40" t="s">
        <v>1324</v>
      </c>
      <c r="AS810" s="39" t="str">
        <f>データ!P810</f>
        <v>フォートレスオーダー／絶</v>
      </c>
      <c r="AT810" s="10" t="s">
        <v>1113</v>
      </c>
      <c r="AU810" s="39" t="str">
        <f>データ!Q810</f>
        <v>騎士団全体の防御力が大UP(3分間)</v>
      </c>
      <c r="AV810" s="10" t="s">
        <v>1024</v>
      </c>
      <c r="AW810" s="40" t="s">
        <v>1324</v>
      </c>
      <c r="AX810" s="39" t="str">
        <f>データ!R810</f>
        <v>-</v>
      </c>
      <c r="AY810" s="10" t="s">
        <v>1113</v>
      </c>
      <c r="AZ810" s="39" t="str">
        <f>データ!S810</f>
        <v>　</v>
      </c>
      <c r="BA810" s="41" t="s">
        <v>1024</v>
      </c>
      <c r="BB810" s="40" t="s">
        <v>1319</v>
      </c>
      <c r="BC810" s="39" t="str">
        <f>データ!T810</f>
        <v>-</v>
      </c>
      <c r="BD810" s="41" t="s">
        <v>1024</v>
      </c>
      <c r="BE810" s="40" t="s">
        <v>1319</v>
      </c>
      <c r="BF810" s="39" t="str">
        <f>データ!U810</f>
        <v>-</v>
      </c>
      <c r="BG810" s="41" t="s">
        <v>1024</v>
      </c>
      <c r="BH810" s="40" t="s">
        <v>1319</v>
      </c>
      <c r="BI810" s="39" t="str">
        <f>データ!V810</f>
        <v>第20回統一報酬</v>
      </c>
      <c r="BJ810" s="41" t="s">
        <v>1024</v>
      </c>
      <c r="BK810" s="10" t="s">
        <v>1019</v>
      </c>
    </row>
    <row r="811" spans="1:63" x14ac:dyDescent="0.15">
      <c r="A811" s="10" t="s">
        <v>1016</v>
      </c>
      <c r="B811" s="10" t="s">
        <v>1454</v>
      </c>
      <c r="C811" s="38" t="str">
        <f>"./images/thumbnail/"&amp;データ!B811&amp;".jpg"</f>
        <v>./images/thumbnail/2313.jpg</v>
      </c>
      <c r="D811" s="38" t="s">
        <v>1455</v>
      </c>
      <c r="E811" s="38" t="str">
        <f>"./images/thumbnail/"&amp;データ!B811&amp;".jpg"</f>
        <v>./images/thumbnail/2313.jpg</v>
      </c>
      <c r="F811" s="38" t="s">
        <v>1116</v>
      </c>
      <c r="G811" s="38" t="s">
        <v>1319</v>
      </c>
      <c r="H811" s="38" t="str">
        <f>データ!C811</f>
        <v>ウィンザール</v>
      </c>
      <c r="I811" s="38" t="s">
        <v>1024</v>
      </c>
      <c r="J811" s="38" t="s">
        <v>1319</v>
      </c>
      <c r="K811" s="38" t="str">
        <f>データ!D811</f>
        <v>UR</v>
      </c>
      <c r="L811" s="38" t="s">
        <v>1024</v>
      </c>
      <c r="M811" s="38" t="s">
        <v>1319</v>
      </c>
      <c r="N811" s="38">
        <f>データ!E811</f>
        <v>16</v>
      </c>
      <c r="O811" s="38" t="s">
        <v>1024</v>
      </c>
      <c r="P811" s="38" t="s">
        <v>1319</v>
      </c>
      <c r="Q811" s="38" t="str">
        <f>データ!F811</f>
        <v>遠</v>
      </c>
      <c r="R811" s="38" t="s">
        <v>1024</v>
      </c>
      <c r="S811" s="38" t="s">
        <v>1319</v>
      </c>
      <c r="T811" s="39">
        <f>データ!G811</f>
        <v>26204</v>
      </c>
      <c r="U811" s="40" t="s">
        <v>1024</v>
      </c>
      <c r="V811" s="40" t="s">
        <v>1319</v>
      </c>
      <c r="W811" s="39">
        <f>データ!H811</f>
        <v>8692</v>
      </c>
      <c r="X811" s="40" t="s">
        <v>1024</v>
      </c>
      <c r="Y811" s="40" t="s">
        <v>1319</v>
      </c>
      <c r="Z811" s="39">
        <f>データ!I811</f>
        <v>8750</v>
      </c>
      <c r="AA811" s="40" t="s">
        <v>1024</v>
      </c>
      <c r="AB811" s="40" t="s">
        <v>1319</v>
      </c>
      <c r="AC811" s="39" t="str">
        <f>データ!J811</f>
        <v>SS1</v>
      </c>
      <c r="AD811" s="38" t="s">
        <v>1024</v>
      </c>
      <c r="AE811" s="40" t="s">
        <v>1319</v>
      </c>
      <c r="AF811" s="39">
        <f>データ!K811</f>
        <v>43646</v>
      </c>
      <c r="AG811" s="40" t="s">
        <v>1024</v>
      </c>
      <c r="AH811" s="40" t="s">
        <v>1324</v>
      </c>
      <c r="AI811" s="39" t="str">
        <f>データ!L811</f>
        <v>対紅の薙風／鳳</v>
      </c>
      <c r="AJ811" s="10" t="s">
        <v>1113</v>
      </c>
      <c r="AK811" s="39" t="str">
        <f>データ!M811</f>
        <v>斬に強く突に弱い横一列攻撃[極大]</v>
      </c>
      <c r="AL811" s="10" t="s">
        <v>1024</v>
      </c>
      <c r="AM811" s="40" t="s">
        <v>1324</v>
      </c>
      <c r="AN811" s="39" t="str">
        <f>データ!N811</f>
        <v>偽神の減光</v>
      </c>
      <c r="AO811" s="10" t="s">
        <v>1113</v>
      </c>
      <c r="AP811" s="39" t="str">
        <f>データ!O811</f>
        <v>ランダムで6連続攻撃[極大]ランダムで状態異常付加</v>
      </c>
      <c r="AQ811" s="41" t="s">
        <v>1024</v>
      </c>
      <c r="AR811" s="40" t="s">
        <v>1324</v>
      </c>
      <c r="AS811" s="39" t="str">
        <f>データ!P811</f>
        <v>フォートレスオーダー／煌</v>
      </c>
      <c r="AT811" s="10" t="s">
        <v>1113</v>
      </c>
      <c r="AU811" s="39" t="str">
        <f>データ!Q811</f>
        <v>騎士団全体の防御力が特大UP＆ユニット1体をタレント状態にする(3分間)</v>
      </c>
      <c r="AV811" s="10" t="s">
        <v>1024</v>
      </c>
      <c r="AW811" s="40" t="s">
        <v>1324</v>
      </c>
      <c r="AX811" s="39" t="str">
        <f>データ!R811</f>
        <v>エースオーダー／絶</v>
      </c>
      <c r="AY811" s="10" t="s">
        <v>1113</v>
      </c>
      <c r="AZ811" s="39" t="str">
        <f>データ!S811</f>
        <v>騎士団全体の攻・防が大UP(3分間)</v>
      </c>
      <c r="BA811" s="41" t="s">
        <v>1024</v>
      </c>
      <c r="BB811" s="40" t="s">
        <v>1319</v>
      </c>
      <c r="BC811" s="39" t="str">
        <f>データ!T811</f>
        <v>光芒の練気</v>
      </c>
      <c r="BD811" s="41" t="s">
        <v>1024</v>
      </c>
      <c r="BE811" s="40" t="s">
        <v>1319</v>
      </c>
      <c r="BF811" s="39" t="str">
        <f>データ!U811</f>
        <v>-</v>
      </c>
      <c r="BG811" s="41" t="s">
        <v>1024</v>
      </c>
      <c r="BH811" s="40" t="s">
        <v>1319</v>
      </c>
      <c r="BI811" s="39" t="str">
        <f>データ!V811</f>
        <v>第20回統一報酬</v>
      </c>
      <c r="BJ811" s="41" t="s">
        <v>1024</v>
      </c>
      <c r="BK811" s="10" t="s">
        <v>1019</v>
      </c>
    </row>
    <row r="812" spans="1:63" x14ac:dyDescent="0.15">
      <c r="A812" s="10" t="s">
        <v>1016</v>
      </c>
      <c r="B812" s="10" t="s">
        <v>1454</v>
      </c>
      <c r="C812" s="38" t="str">
        <f>"./images/thumbnail/"&amp;データ!B812&amp;".jpg"</f>
        <v>./images/thumbnail/2315.jpg</v>
      </c>
      <c r="D812" s="38" t="s">
        <v>1455</v>
      </c>
      <c r="E812" s="38" t="str">
        <f>"./images/thumbnail/"&amp;データ!B812&amp;".jpg"</f>
        <v>./images/thumbnail/2315.jpg</v>
      </c>
      <c r="F812" s="38" t="s">
        <v>1116</v>
      </c>
      <c r="G812" s="38" t="s">
        <v>1319</v>
      </c>
      <c r="H812" s="38" t="str">
        <f>データ!C812</f>
        <v>マリユス</v>
      </c>
      <c r="I812" s="38" t="s">
        <v>1024</v>
      </c>
      <c r="J812" s="38" t="s">
        <v>1319</v>
      </c>
      <c r="K812" s="38" t="str">
        <f>データ!D812</f>
        <v>UR</v>
      </c>
      <c r="L812" s="38" t="s">
        <v>1024</v>
      </c>
      <c r="M812" s="38" t="s">
        <v>1319</v>
      </c>
      <c r="N812" s="38">
        <f>データ!E812</f>
        <v>16</v>
      </c>
      <c r="O812" s="38" t="s">
        <v>1024</v>
      </c>
      <c r="P812" s="38" t="s">
        <v>1319</v>
      </c>
      <c r="Q812" s="38" t="str">
        <f>データ!F812</f>
        <v>斬</v>
      </c>
      <c r="R812" s="38" t="s">
        <v>1024</v>
      </c>
      <c r="S812" s="38" t="s">
        <v>1319</v>
      </c>
      <c r="T812" s="39">
        <f>データ!G812</f>
        <v>23001</v>
      </c>
      <c r="U812" s="40" t="s">
        <v>1024</v>
      </c>
      <c r="V812" s="40" t="s">
        <v>1319</v>
      </c>
      <c r="W812" s="39">
        <f>データ!H812</f>
        <v>10522</v>
      </c>
      <c r="X812" s="40" t="s">
        <v>1024</v>
      </c>
      <c r="Y812" s="40" t="s">
        <v>1319</v>
      </c>
      <c r="Z812" s="39">
        <f>データ!I812</f>
        <v>8411</v>
      </c>
      <c r="AA812" s="40" t="s">
        <v>1024</v>
      </c>
      <c r="AB812" s="40" t="s">
        <v>1319</v>
      </c>
      <c r="AC812" s="39" t="str">
        <f>データ!J812</f>
        <v>SS+</v>
      </c>
      <c r="AD812" s="38" t="s">
        <v>1024</v>
      </c>
      <c r="AE812" s="40" t="s">
        <v>1319</v>
      </c>
      <c r="AF812" s="39">
        <f>データ!K812</f>
        <v>41934</v>
      </c>
      <c r="AG812" s="40" t="s">
        <v>1024</v>
      </c>
      <c r="AH812" s="40" t="s">
        <v>1324</v>
      </c>
      <c r="AI812" s="39" t="str">
        <f>データ!L812</f>
        <v>地焔幻の一閃／鳳</v>
      </c>
      <c r="AJ812" s="10" t="s">
        <v>1113</v>
      </c>
      <c r="AK812" s="39" t="str">
        <f>データ!M812</f>
        <v>横一列攻撃[極大]自分の防御力UP[極大]</v>
      </c>
      <c r="AL812" s="10" t="s">
        <v>1024</v>
      </c>
      <c r="AM812" s="40" t="s">
        <v>1324</v>
      </c>
      <c r="AN812" s="39" t="str">
        <f>データ!N812</f>
        <v>-</v>
      </c>
      <c r="AO812" s="10" t="s">
        <v>1113</v>
      </c>
      <c r="AP812" s="39" t="str">
        <f>データ!O812</f>
        <v>　</v>
      </c>
      <c r="AQ812" s="41" t="s">
        <v>1024</v>
      </c>
      <c r="AR812" s="40" t="s">
        <v>1324</v>
      </c>
      <c r="AS812" s="39" t="str">
        <f>データ!P812</f>
        <v>エクスターライズ／煌</v>
      </c>
      <c r="AT812" s="10" t="s">
        <v>1113</v>
      </c>
      <c r="AU812" s="39" t="str">
        <f>データ!Q812</f>
        <v>攻撃回数が多いほどバトル獲得スコアが特大UP＆ユニット1体をタレント状態にする(3分間)</v>
      </c>
      <c r="AV812" s="10" t="s">
        <v>1024</v>
      </c>
      <c r="AW812" s="40" t="s">
        <v>1324</v>
      </c>
      <c r="AX812" s="39" t="str">
        <f>データ!R812</f>
        <v>オラトリオ／煌</v>
      </c>
      <c r="AY812" s="10" t="s">
        <v>1113</v>
      </c>
      <c r="AZ812" s="39" t="str">
        <f>データ!S812</f>
        <v>強襲無効、攻撃力・スキル発動率特大UP(3分間)</v>
      </c>
      <c r="BA812" s="41" t="s">
        <v>1024</v>
      </c>
      <c r="BB812" s="40" t="s">
        <v>1319</v>
      </c>
      <c r="BC812" s="39" t="str">
        <f>データ!T812</f>
        <v>斬紅の練気</v>
      </c>
      <c r="BD812" s="41" t="s">
        <v>1024</v>
      </c>
      <c r="BE812" s="40" t="s">
        <v>1319</v>
      </c>
      <c r="BF812" s="39" t="str">
        <f>データ!U812</f>
        <v>-</v>
      </c>
      <c r="BG812" s="41" t="s">
        <v>1024</v>
      </c>
      <c r="BH812" s="40" t="s">
        <v>1319</v>
      </c>
      <c r="BI812" s="39" t="str">
        <f>データ!V812</f>
        <v>エイトガチャ(浴衣)</v>
      </c>
      <c r="BJ812" s="41" t="s">
        <v>1024</v>
      </c>
      <c r="BK812" s="10" t="s">
        <v>1019</v>
      </c>
    </row>
    <row r="813" spans="1:63" x14ac:dyDescent="0.15">
      <c r="A813" s="10" t="s">
        <v>1016</v>
      </c>
      <c r="B813" s="10" t="s">
        <v>1454</v>
      </c>
      <c r="C813" s="38" t="str">
        <f>"./images/thumbnail/"&amp;データ!B813&amp;".jpg"</f>
        <v>./images/thumbnail/2317.jpg</v>
      </c>
      <c r="D813" s="38" t="s">
        <v>1455</v>
      </c>
      <c r="E813" s="38" t="str">
        <f>"./images/thumbnail/"&amp;データ!B813&amp;".jpg"</f>
        <v>./images/thumbnail/2317.jpg</v>
      </c>
      <c r="F813" s="38" t="s">
        <v>1116</v>
      </c>
      <c r="G813" s="38" t="s">
        <v>1319</v>
      </c>
      <c r="H813" s="38" t="str">
        <f>データ!C813</f>
        <v>スレヴィ</v>
      </c>
      <c r="I813" s="38" t="s">
        <v>1024</v>
      </c>
      <c r="J813" s="38" t="s">
        <v>1319</v>
      </c>
      <c r="K813" s="38" t="str">
        <f>データ!D813</f>
        <v>UR</v>
      </c>
      <c r="L813" s="38" t="s">
        <v>1024</v>
      </c>
      <c r="M813" s="38" t="s">
        <v>1319</v>
      </c>
      <c r="N813" s="38">
        <f>データ!E813</f>
        <v>16</v>
      </c>
      <c r="O813" s="38" t="s">
        <v>1024</v>
      </c>
      <c r="P813" s="38" t="s">
        <v>1319</v>
      </c>
      <c r="Q813" s="38" t="str">
        <f>データ!F813</f>
        <v>突</v>
      </c>
      <c r="R813" s="38" t="s">
        <v>1024</v>
      </c>
      <c r="S813" s="38" t="s">
        <v>1319</v>
      </c>
      <c r="T813" s="39">
        <f>データ!G813</f>
        <v>26418</v>
      </c>
      <c r="U813" s="40" t="s">
        <v>1024</v>
      </c>
      <c r="V813" s="40" t="s">
        <v>1319</v>
      </c>
      <c r="W813" s="39">
        <f>データ!H813</f>
        <v>7602</v>
      </c>
      <c r="X813" s="40" t="s">
        <v>1024</v>
      </c>
      <c r="Y813" s="40" t="s">
        <v>1319</v>
      </c>
      <c r="Z813" s="39">
        <f>データ!I813</f>
        <v>10353</v>
      </c>
      <c r="AA813" s="40" t="s">
        <v>1024</v>
      </c>
      <c r="AB813" s="40" t="s">
        <v>1319</v>
      </c>
      <c r="AC813" s="39" t="str">
        <f>データ!J813</f>
        <v>SS4</v>
      </c>
      <c r="AD813" s="38" t="s">
        <v>1024</v>
      </c>
      <c r="AE813" s="40" t="s">
        <v>1319</v>
      </c>
      <c r="AF813" s="39">
        <f>データ!K813</f>
        <v>44373</v>
      </c>
      <c r="AG813" s="40" t="s">
        <v>1024</v>
      </c>
      <c r="AH813" s="40" t="s">
        <v>1324</v>
      </c>
      <c r="AI813" s="39" t="str">
        <f>データ!L813</f>
        <v>暗闇の言霊／鳳</v>
      </c>
      <c r="AJ813" s="10" t="s">
        <v>1113</v>
      </c>
      <c r="AK813" s="39" t="str">
        <f>データ!M813</f>
        <v>一定確率で敵を暗闇状態にする[超超高確率]</v>
      </c>
      <c r="AL813" s="10" t="s">
        <v>1024</v>
      </c>
      <c r="AM813" s="40" t="s">
        <v>1324</v>
      </c>
      <c r="AN813" s="39" t="str">
        <f>データ!N813</f>
        <v>-</v>
      </c>
      <c r="AO813" s="10" t="s">
        <v>1113</v>
      </c>
      <c r="AP813" s="39" t="str">
        <f>データ!O813</f>
        <v>　</v>
      </c>
      <c r="AQ813" s="41" t="s">
        <v>1024</v>
      </c>
      <c r="AR813" s="40" t="s">
        <v>1324</v>
      </c>
      <c r="AS813" s="39" t="str">
        <f>データ!P813</f>
        <v>エースオーダー／煌</v>
      </c>
      <c r="AT813" s="10" t="s">
        <v>1113</v>
      </c>
      <c r="AU813" s="39" t="str">
        <f>データ!Q813</f>
        <v>騎士団全体の攻・防が特大UP＆ユニット1体をタレント状態にする(3分間)</v>
      </c>
      <c r="AV813" s="10" t="s">
        <v>1024</v>
      </c>
      <c r="AW813" s="40" t="s">
        <v>1324</v>
      </c>
      <c r="AX813" s="39" t="str">
        <f>データ!R813</f>
        <v>ランページ／煌</v>
      </c>
      <c r="AY813" s="10" t="s">
        <v>1113</v>
      </c>
      <c r="AZ813" s="39" t="str">
        <f>データ!S813</f>
        <v>バトルで獲得する騎士団戦スコアが特大アップ(3分間)</v>
      </c>
      <c r="BA813" s="41" t="s">
        <v>1024</v>
      </c>
      <c r="BB813" s="40" t="s">
        <v>1319</v>
      </c>
      <c r="BC813" s="39" t="str">
        <f>データ!T813</f>
        <v>蒼突の闘気</v>
      </c>
      <c r="BD813" s="41" t="s">
        <v>1024</v>
      </c>
      <c r="BE813" s="40" t="s">
        <v>1319</v>
      </c>
      <c r="BF813" s="39" t="str">
        <f>データ!U813</f>
        <v>-</v>
      </c>
      <c r="BG813" s="41" t="s">
        <v>1024</v>
      </c>
      <c r="BH813" s="40" t="s">
        <v>1319</v>
      </c>
      <c r="BI813" s="39" t="str">
        <f>データ!V813</f>
        <v>エイトガチャ(浴衣)</v>
      </c>
      <c r="BJ813" s="41" t="s">
        <v>1024</v>
      </c>
      <c r="BK813" s="10" t="s">
        <v>1019</v>
      </c>
    </row>
    <row r="814" spans="1:63" x14ac:dyDescent="0.15">
      <c r="A814" s="10" t="s">
        <v>1016</v>
      </c>
      <c r="B814" s="10" t="s">
        <v>1454</v>
      </c>
      <c r="C814" s="38" t="str">
        <f>"./images/thumbnail/"&amp;データ!B814&amp;".jpg"</f>
        <v>./images/thumbnail/2319.jpg</v>
      </c>
      <c r="D814" s="38" t="s">
        <v>1455</v>
      </c>
      <c r="E814" s="38" t="str">
        <f>"./images/thumbnail/"&amp;データ!B814&amp;".jpg"</f>
        <v>./images/thumbnail/2319.jpg</v>
      </c>
      <c r="F814" s="38" t="s">
        <v>1116</v>
      </c>
      <c r="G814" s="38" t="s">
        <v>1319</v>
      </c>
      <c r="H814" s="38" t="str">
        <f>データ!C814</f>
        <v>ラム</v>
      </c>
      <c r="I814" s="38" t="s">
        <v>1024</v>
      </c>
      <c r="J814" s="38" t="s">
        <v>1319</v>
      </c>
      <c r="K814" s="38" t="str">
        <f>データ!D814</f>
        <v>SSR</v>
      </c>
      <c r="L814" s="38" t="s">
        <v>1024</v>
      </c>
      <c r="M814" s="38" t="s">
        <v>1319</v>
      </c>
      <c r="N814" s="38">
        <f>データ!E814</f>
        <v>14</v>
      </c>
      <c r="O814" s="38" t="s">
        <v>1024</v>
      </c>
      <c r="P814" s="38" t="s">
        <v>1319</v>
      </c>
      <c r="Q814" s="38" t="str">
        <f>データ!F814</f>
        <v>打</v>
      </c>
      <c r="R814" s="38" t="s">
        <v>1024</v>
      </c>
      <c r="S814" s="38" t="s">
        <v>1319</v>
      </c>
      <c r="T814" s="39">
        <f>データ!G814</f>
        <v>21944</v>
      </c>
      <c r="U814" s="40" t="s">
        <v>1024</v>
      </c>
      <c r="V814" s="40" t="s">
        <v>1319</v>
      </c>
      <c r="W814" s="39">
        <f>データ!H814</f>
        <v>6704</v>
      </c>
      <c r="X814" s="40" t="s">
        <v>1024</v>
      </c>
      <c r="Y814" s="40" t="s">
        <v>1319</v>
      </c>
      <c r="Z814" s="39">
        <f>データ!I814</f>
        <v>8031</v>
      </c>
      <c r="AA814" s="40" t="s">
        <v>1024</v>
      </c>
      <c r="AB814" s="40" t="s">
        <v>1319</v>
      </c>
      <c r="AC814" s="39" t="str">
        <f>データ!J814</f>
        <v>A+</v>
      </c>
      <c r="AD814" s="38" t="s">
        <v>1024</v>
      </c>
      <c r="AE814" s="40" t="s">
        <v>1319</v>
      </c>
      <c r="AF814" s="39">
        <f>データ!K814</f>
        <v>36679</v>
      </c>
      <c r="AG814" s="40" t="s">
        <v>1024</v>
      </c>
      <c r="AH814" s="40" t="s">
        <v>1324</v>
      </c>
      <c r="AI814" s="39" t="str">
        <f>データ!L814</f>
        <v>紫打の神護</v>
      </c>
      <c r="AJ814" s="10" t="s">
        <v>1113</v>
      </c>
      <c r="AK814" s="39" t="str">
        <f>データ!M814</f>
        <v>味方打属性の防御力をUP[特大]</v>
      </c>
      <c r="AL814" s="10" t="s">
        <v>1024</v>
      </c>
      <c r="AM814" s="40" t="s">
        <v>1324</v>
      </c>
      <c r="AN814" s="39" t="str">
        <f>データ!N814</f>
        <v>-</v>
      </c>
      <c r="AO814" s="10" t="s">
        <v>1113</v>
      </c>
      <c r="AP814" s="39" t="str">
        <f>データ!O814</f>
        <v>　</v>
      </c>
      <c r="AQ814" s="41" t="s">
        <v>1024</v>
      </c>
      <c r="AR814" s="40" t="s">
        <v>1324</v>
      </c>
      <c r="AS814" s="39" t="str">
        <f>データ!P814</f>
        <v>エース／煌</v>
      </c>
      <c r="AT814" s="10" t="s">
        <v>1113</v>
      </c>
      <c r="AU814" s="39" t="str">
        <f>データ!Q814</f>
        <v>パーティ全体の攻・防が特大UP(3分間)</v>
      </c>
      <c r="AV814" s="10" t="s">
        <v>1024</v>
      </c>
      <c r="AW814" s="40" t="s">
        <v>1324</v>
      </c>
      <c r="AX814" s="39" t="str">
        <f>データ!R814</f>
        <v>-</v>
      </c>
      <c r="AY814" s="10" t="s">
        <v>1113</v>
      </c>
      <c r="AZ814" s="39" t="str">
        <f>データ!S814</f>
        <v>　</v>
      </c>
      <c r="BA814" s="41" t="s">
        <v>1024</v>
      </c>
      <c r="BB814" s="40" t="s">
        <v>1319</v>
      </c>
      <c r="BC814" s="39" t="str">
        <f>データ!T814</f>
        <v>-</v>
      </c>
      <c r="BD814" s="41" t="s">
        <v>1024</v>
      </c>
      <c r="BE814" s="40" t="s">
        <v>1319</v>
      </c>
      <c r="BF814" s="39" t="str">
        <f>データ!U814</f>
        <v>打属性防御力中アップ</v>
      </c>
      <c r="BG814" s="41" t="s">
        <v>1024</v>
      </c>
      <c r="BH814" s="40" t="s">
        <v>1319</v>
      </c>
      <c r="BI814" s="39" t="str">
        <f>データ!V814</f>
        <v>エイトガチャ(浴衣)</v>
      </c>
      <c r="BJ814" s="41" t="s">
        <v>1024</v>
      </c>
      <c r="BK814" s="10" t="s">
        <v>1019</v>
      </c>
    </row>
    <row r="815" spans="1:63" x14ac:dyDescent="0.15">
      <c r="A815" s="10" t="s">
        <v>1016</v>
      </c>
      <c r="B815" s="10" t="s">
        <v>1454</v>
      </c>
      <c r="C815" s="38" t="str">
        <f>"./images/thumbnail/"&amp;データ!B815&amp;".jpg"</f>
        <v>./images/thumbnail/2321.jpg</v>
      </c>
      <c r="D815" s="38" t="s">
        <v>1455</v>
      </c>
      <c r="E815" s="38" t="str">
        <f>"./images/thumbnail/"&amp;データ!B815&amp;".jpg"</f>
        <v>./images/thumbnail/2321.jpg</v>
      </c>
      <c r="F815" s="38" t="s">
        <v>1116</v>
      </c>
      <c r="G815" s="38" t="s">
        <v>1319</v>
      </c>
      <c r="H815" s="38" t="str">
        <f>データ!C815</f>
        <v>メビウス</v>
      </c>
      <c r="I815" s="38" t="s">
        <v>1024</v>
      </c>
      <c r="J815" s="38" t="s">
        <v>1319</v>
      </c>
      <c r="K815" s="38" t="str">
        <f>データ!D815</f>
        <v>UR</v>
      </c>
      <c r="L815" s="38" t="s">
        <v>1024</v>
      </c>
      <c r="M815" s="38" t="s">
        <v>1319</v>
      </c>
      <c r="N815" s="38">
        <f>データ!E815</f>
        <v>16</v>
      </c>
      <c r="O815" s="38" t="s">
        <v>1024</v>
      </c>
      <c r="P815" s="38" t="s">
        <v>1319</v>
      </c>
      <c r="Q815" s="38" t="str">
        <f>データ!F815</f>
        <v>斬</v>
      </c>
      <c r="R815" s="38" t="s">
        <v>1024</v>
      </c>
      <c r="S815" s="38" t="s">
        <v>1319</v>
      </c>
      <c r="T815" s="39">
        <f>データ!G815</f>
        <v>22095</v>
      </c>
      <c r="U815" s="40" t="s">
        <v>1024</v>
      </c>
      <c r="V815" s="40" t="s">
        <v>1319</v>
      </c>
      <c r="W815" s="39">
        <f>データ!H815</f>
        <v>10193</v>
      </c>
      <c r="X815" s="40" t="s">
        <v>1024</v>
      </c>
      <c r="Y815" s="40" t="s">
        <v>1319</v>
      </c>
      <c r="Z815" s="39">
        <f>データ!I815</f>
        <v>8256</v>
      </c>
      <c r="AA815" s="40" t="s">
        <v>1024</v>
      </c>
      <c r="AB815" s="40" t="s">
        <v>1319</v>
      </c>
      <c r="AC815" s="39" t="str">
        <f>データ!J815</f>
        <v>SS+</v>
      </c>
      <c r="AD815" s="38" t="s">
        <v>1024</v>
      </c>
      <c r="AE815" s="40" t="s">
        <v>1319</v>
      </c>
      <c r="AF815" s="39">
        <f>データ!K815</f>
        <v>40544</v>
      </c>
      <c r="AG815" s="40" t="s">
        <v>1024</v>
      </c>
      <c r="AH815" s="40" t="s">
        <v>1324</v>
      </c>
      <c r="AI815" s="39" t="str">
        <f>データ!L815</f>
        <v>対翠の薙風／鳳</v>
      </c>
      <c r="AJ815" s="10" t="s">
        <v>1113</v>
      </c>
      <c r="AK815" s="39" t="str">
        <f>データ!M815</f>
        <v>遠に強く打に弱い横一列攻撃[極大]</v>
      </c>
      <c r="AL815" s="10" t="s">
        <v>1024</v>
      </c>
      <c r="AM815" s="40" t="s">
        <v>1324</v>
      </c>
      <c r="AN815" s="39" t="str">
        <f>データ!N815</f>
        <v>-</v>
      </c>
      <c r="AO815" s="10" t="s">
        <v>1113</v>
      </c>
      <c r="AP815" s="39" t="str">
        <f>データ!O815</f>
        <v>　</v>
      </c>
      <c r="AQ815" s="41" t="s">
        <v>1024</v>
      </c>
      <c r="AR815" s="40" t="s">
        <v>1324</v>
      </c>
      <c r="AS815" s="39" t="str">
        <f>データ!P815</f>
        <v>オラクル／鳳</v>
      </c>
      <c r="AT815" s="10" t="s">
        <v>1113</v>
      </c>
      <c r="AU815" s="39" t="str">
        <f>データ!Q815</f>
        <v>パーティ全体のスキル発動率が特大UP＆ユニット1体をタレント状態にする(5分間)</v>
      </c>
      <c r="AV815" s="10" t="s">
        <v>1024</v>
      </c>
      <c r="AW815" s="40" t="s">
        <v>1324</v>
      </c>
      <c r="AX815" s="39" t="str">
        <f>データ!R815</f>
        <v>フォートレス／煌</v>
      </c>
      <c r="AY815" s="10" t="s">
        <v>1113</v>
      </c>
      <c r="AZ815" s="39" t="str">
        <f>データ!S815</f>
        <v>パーティ全体の防御力が特大UP(3分間)</v>
      </c>
      <c r="BA815" s="41" t="s">
        <v>1024</v>
      </c>
      <c r="BB815" s="40" t="s">
        <v>1319</v>
      </c>
      <c r="BC815" s="39" t="str">
        <f>データ!T815</f>
        <v>練気</v>
      </c>
      <c r="BD815" s="41" t="s">
        <v>1024</v>
      </c>
      <c r="BE815" s="40" t="s">
        <v>1319</v>
      </c>
      <c r="BF815" s="39" t="str">
        <f>データ!U815</f>
        <v>-</v>
      </c>
      <c r="BG815" s="41" t="s">
        <v>1024</v>
      </c>
      <c r="BH815" s="40" t="s">
        <v>1319</v>
      </c>
      <c r="BI815" s="39" t="str">
        <f>データ!V815</f>
        <v>常設</v>
      </c>
      <c r="BJ815" s="41" t="s">
        <v>1024</v>
      </c>
      <c r="BK815" s="10" t="s">
        <v>1019</v>
      </c>
    </row>
    <row r="816" spans="1:63" x14ac:dyDescent="0.15">
      <c r="A816" s="10" t="s">
        <v>1016</v>
      </c>
      <c r="B816" s="10" t="s">
        <v>1454</v>
      </c>
      <c r="C816" s="38" t="str">
        <f>"./images/thumbnail/"&amp;データ!B816&amp;".jpg"</f>
        <v>./images/thumbnail/2322.jpg</v>
      </c>
      <c r="D816" s="38" t="s">
        <v>1455</v>
      </c>
      <c r="E816" s="38" t="str">
        <f>"./images/thumbnail/"&amp;データ!B816&amp;".jpg"</f>
        <v>./images/thumbnail/2322.jpg</v>
      </c>
      <c r="F816" s="38" t="s">
        <v>1116</v>
      </c>
      <c r="G816" s="38" t="s">
        <v>1319</v>
      </c>
      <c r="H816" s="38" t="str">
        <f>データ!C816</f>
        <v>リュナ</v>
      </c>
      <c r="I816" s="38" t="s">
        <v>1024</v>
      </c>
      <c r="J816" s="38" t="s">
        <v>1319</v>
      </c>
      <c r="K816" s="38" t="str">
        <f>データ!D816</f>
        <v>SSR</v>
      </c>
      <c r="L816" s="38" t="s">
        <v>1024</v>
      </c>
      <c r="M816" s="38" t="s">
        <v>1319</v>
      </c>
      <c r="N816" s="38">
        <f>データ!E816</f>
        <v>14</v>
      </c>
      <c r="O816" s="38" t="s">
        <v>1024</v>
      </c>
      <c r="P816" s="38" t="s">
        <v>1319</v>
      </c>
      <c r="Q816" s="38" t="str">
        <f>データ!F816</f>
        <v>斬</v>
      </c>
      <c r="R816" s="38" t="s">
        <v>1024</v>
      </c>
      <c r="S816" s="38" t="s">
        <v>1319</v>
      </c>
      <c r="T816" s="39">
        <f>データ!G816</f>
        <v>18012</v>
      </c>
      <c r="U816" s="40" t="s">
        <v>1024</v>
      </c>
      <c r="V816" s="40" t="s">
        <v>1319</v>
      </c>
      <c r="W816" s="39">
        <f>データ!H816</f>
        <v>8303</v>
      </c>
      <c r="X816" s="40" t="s">
        <v>1024</v>
      </c>
      <c r="Y816" s="40" t="s">
        <v>1319</v>
      </c>
      <c r="Z816" s="39">
        <f>データ!I816</f>
        <v>6580</v>
      </c>
      <c r="AA816" s="40" t="s">
        <v>1024</v>
      </c>
      <c r="AB816" s="40" t="s">
        <v>1319</v>
      </c>
      <c r="AC816" s="39" t="str">
        <f>データ!J816</f>
        <v>S</v>
      </c>
      <c r="AD816" s="38" t="s">
        <v>1024</v>
      </c>
      <c r="AE816" s="40" t="s">
        <v>1319</v>
      </c>
      <c r="AF816" s="39">
        <f>データ!K816</f>
        <v>32895</v>
      </c>
      <c r="AG816" s="40" t="s">
        <v>1024</v>
      </c>
      <c r="AH816" s="40" t="s">
        <v>1324</v>
      </c>
      <c r="AI816" s="39" t="str">
        <f>データ!L816</f>
        <v>幻氷の縦十字／煌</v>
      </c>
      <c r="AJ816" s="10" t="s">
        <v>1113</v>
      </c>
      <c r="AK816" s="39" t="str">
        <f>データ!M816</f>
        <v>十字型に攻撃[特大]</v>
      </c>
      <c r="AL816" s="10" t="s">
        <v>1024</v>
      </c>
      <c r="AM816" s="40" t="s">
        <v>1324</v>
      </c>
      <c r="AN816" s="39" t="str">
        <f>データ!N816</f>
        <v>-</v>
      </c>
      <c r="AO816" s="10" t="s">
        <v>1113</v>
      </c>
      <c r="AP816" s="39" t="str">
        <f>データ!O816</f>
        <v>　</v>
      </c>
      <c r="AQ816" s="41" t="s">
        <v>1024</v>
      </c>
      <c r="AR816" s="40" t="s">
        <v>1324</v>
      </c>
      <c r="AS816" s="39" t="str">
        <f>データ!P816</f>
        <v>エース／煌</v>
      </c>
      <c r="AT816" s="10" t="s">
        <v>1113</v>
      </c>
      <c r="AU816" s="39" t="str">
        <f>データ!Q816</f>
        <v>パーティ全体の攻・防が特大UP(3分間)</v>
      </c>
      <c r="AV816" s="10" t="s">
        <v>1024</v>
      </c>
      <c r="AW816" s="40" t="s">
        <v>1324</v>
      </c>
      <c r="AX816" s="39" t="str">
        <f>データ!R816</f>
        <v>-</v>
      </c>
      <c r="AY816" s="10" t="s">
        <v>1113</v>
      </c>
      <c r="AZ816" s="39" t="str">
        <f>データ!S816</f>
        <v>　</v>
      </c>
      <c r="BA816" s="41" t="s">
        <v>1024</v>
      </c>
      <c r="BB816" s="40" t="s">
        <v>1319</v>
      </c>
      <c r="BC816" s="39" t="str">
        <f>データ!T816</f>
        <v>-</v>
      </c>
      <c r="BD816" s="41" t="s">
        <v>1024</v>
      </c>
      <c r="BE816" s="40" t="s">
        <v>1319</v>
      </c>
      <c r="BF816" s="39" t="str">
        <f>データ!U816</f>
        <v>斬属性防御力小アップ</v>
      </c>
      <c r="BG816" s="41" t="s">
        <v>1024</v>
      </c>
      <c r="BH816" s="40" t="s">
        <v>1319</v>
      </c>
      <c r="BI816" s="39" t="str">
        <f>データ!V816</f>
        <v>誓いイベ</v>
      </c>
      <c r="BJ816" s="41" t="s">
        <v>1024</v>
      </c>
      <c r="BK816" s="10" t="s">
        <v>1019</v>
      </c>
    </row>
    <row r="817" spans="1:63" x14ac:dyDescent="0.15">
      <c r="A817" s="10" t="s">
        <v>1016</v>
      </c>
      <c r="B817" s="10" t="s">
        <v>1454</v>
      </c>
      <c r="C817" s="38" t="str">
        <f>"./images/thumbnail/"&amp;データ!B817&amp;".jpg"</f>
        <v>./images/thumbnail/2323.jpg</v>
      </c>
      <c r="D817" s="38" t="s">
        <v>1455</v>
      </c>
      <c r="E817" s="38" t="str">
        <f>"./images/thumbnail/"&amp;データ!B817&amp;".jpg"</f>
        <v>./images/thumbnail/2323.jpg</v>
      </c>
      <c r="F817" s="38" t="s">
        <v>1116</v>
      </c>
      <c r="G817" s="38" t="s">
        <v>1319</v>
      </c>
      <c r="H817" s="38" t="str">
        <f>データ!C817</f>
        <v>アウグスト</v>
      </c>
      <c r="I817" s="38" t="s">
        <v>1024</v>
      </c>
      <c r="J817" s="38" t="s">
        <v>1319</v>
      </c>
      <c r="K817" s="38" t="str">
        <f>データ!D817</f>
        <v>UR</v>
      </c>
      <c r="L817" s="38" t="s">
        <v>1024</v>
      </c>
      <c r="M817" s="38" t="s">
        <v>1319</v>
      </c>
      <c r="N817" s="38">
        <f>データ!E817</f>
        <v>16</v>
      </c>
      <c r="O817" s="38" t="s">
        <v>1024</v>
      </c>
      <c r="P817" s="38" t="s">
        <v>1319</v>
      </c>
      <c r="Q817" s="38" t="str">
        <f>データ!F817</f>
        <v>突</v>
      </c>
      <c r="R817" s="38" t="s">
        <v>1024</v>
      </c>
      <c r="S817" s="38" t="s">
        <v>1319</v>
      </c>
      <c r="T817" s="39">
        <f>データ!G817</f>
        <v>26821</v>
      </c>
      <c r="U817" s="40" t="s">
        <v>1024</v>
      </c>
      <c r="V817" s="40" t="s">
        <v>1319</v>
      </c>
      <c r="W817" s="39">
        <f>データ!H817</f>
        <v>7812</v>
      </c>
      <c r="X817" s="40" t="s">
        <v>1024</v>
      </c>
      <c r="Y817" s="40" t="s">
        <v>1319</v>
      </c>
      <c r="Z817" s="39">
        <f>データ!I817</f>
        <v>10907</v>
      </c>
      <c r="AA817" s="40" t="s">
        <v>1024</v>
      </c>
      <c r="AB817" s="40" t="s">
        <v>1319</v>
      </c>
      <c r="AC817" s="39" t="str">
        <f>データ!J817</f>
        <v>SS4</v>
      </c>
      <c r="AD817" s="38" t="s">
        <v>1024</v>
      </c>
      <c r="AE817" s="40" t="s">
        <v>1319</v>
      </c>
      <c r="AF817" s="39">
        <f>データ!K817</f>
        <v>45540</v>
      </c>
      <c r="AG817" s="40" t="s">
        <v>1024</v>
      </c>
      <c r="AH817" s="40" t="s">
        <v>1324</v>
      </c>
      <c r="AI817" s="39" t="str">
        <f>データ!L817</f>
        <v>地幻神の七連撃／絶</v>
      </c>
      <c r="AJ817" s="10" t="s">
        <v>1113</v>
      </c>
      <c r="AK817" s="39" t="str">
        <f>データ!M817</f>
        <v>ランダム7連続攻撃[大]自分の防御力UP[大]</v>
      </c>
      <c r="AL817" s="10" t="s">
        <v>1024</v>
      </c>
      <c r="AM817" s="40" t="s">
        <v>1324</v>
      </c>
      <c r="AN817" s="39" t="str">
        <f>データ!N817</f>
        <v>悪魔の暴挙</v>
      </c>
      <c r="AO817" s="10" t="s">
        <v>1113</v>
      </c>
      <c r="AP817" s="39" t="str">
        <f>データ!O817</f>
        <v>自分の攻撃力と防御力をUP[超極大]</v>
      </c>
      <c r="AQ817" s="41" t="s">
        <v>1024</v>
      </c>
      <c r="AR817" s="40" t="s">
        <v>1324</v>
      </c>
      <c r="AS817" s="39" t="str">
        <f>データ!P817</f>
        <v>バーサク／煌</v>
      </c>
      <c r="AT817" s="10" t="s">
        <v>1113</v>
      </c>
      <c r="AU817" s="39" t="str">
        <f>データ!Q817</f>
        <v>強襲が発生無効、バトル時に攻・防特大UP＆ユニット1体をタレント状態にする(3分間)</v>
      </c>
      <c r="AV817" s="10" t="s">
        <v>1024</v>
      </c>
      <c r="AW817" s="40" t="s">
        <v>1324</v>
      </c>
      <c r="AX817" s="39" t="str">
        <f>データ!R817</f>
        <v>ディバインラピッド／絶</v>
      </c>
      <c r="AY817" s="10" t="s">
        <v>1113</v>
      </c>
      <c r="AZ817" s="39" t="str">
        <f>データ!S817</f>
        <v>パーティ全体の速度が大UP・最大TP小UP(3分間)</v>
      </c>
      <c r="BA817" s="41" t="s">
        <v>1024</v>
      </c>
      <c r="BB817" s="40" t="s">
        <v>1319</v>
      </c>
      <c r="BC817" s="39" t="str">
        <f>データ!T817</f>
        <v>神気／真</v>
      </c>
      <c r="BD817" s="41" t="s">
        <v>1024</v>
      </c>
      <c r="BE817" s="40" t="s">
        <v>1319</v>
      </c>
      <c r="BF817" s="39" t="str">
        <f>データ!U817</f>
        <v>-</v>
      </c>
      <c r="BG817" s="41" t="s">
        <v>1024</v>
      </c>
      <c r="BH817" s="40" t="s">
        <v>1319</v>
      </c>
      <c r="BI817" s="39" t="str">
        <f>データ!V817</f>
        <v>限定ガチャ</v>
      </c>
      <c r="BJ817" s="41" t="s">
        <v>1024</v>
      </c>
      <c r="BK817" s="10" t="s">
        <v>1019</v>
      </c>
    </row>
    <row r="818" spans="1:63" x14ac:dyDescent="0.15">
      <c r="A818" s="10" t="s">
        <v>1016</v>
      </c>
      <c r="B818" s="10" t="s">
        <v>1454</v>
      </c>
      <c r="C818" s="38" t="str">
        <f>"./images/thumbnail/"&amp;データ!B818&amp;".jpg"</f>
        <v>./images/thumbnail/2325.jpg</v>
      </c>
      <c r="D818" s="38" t="s">
        <v>1455</v>
      </c>
      <c r="E818" s="38" t="str">
        <f>"./images/thumbnail/"&amp;データ!B818&amp;".jpg"</f>
        <v>./images/thumbnail/2325.jpg</v>
      </c>
      <c r="F818" s="38" t="s">
        <v>1116</v>
      </c>
      <c r="G818" s="38" t="s">
        <v>1319</v>
      </c>
      <c r="H818" s="38" t="str">
        <f>データ!C818</f>
        <v>テイラ</v>
      </c>
      <c r="I818" s="38" t="s">
        <v>1024</v>
      </c>
      <c r="J818" s="38" t="s">
        <v>1319</v>
      </c>
      <c r="K818" s="38" t="str">
        <f>データ!D818</f>
        <v>SSR</v>
      </c>
      <c r="L818" s="38" t="s">
        <v>1024</v>
      </c>
      <c r="M818" s="38" t="s">
        <v>1319</v>
      </c>
      <c r="N818" s="38">
        <f>データ!E818</f>
        <v>14</v>
      </c>
      <c r="O818" s="38" t="s">
        <v>1024</v>
      </c>
      <c r="P818" s="38" t="s">
        <v>1319</v>
      </c>
      <c r="Q818" s="38" t="str">
        <f>データ!F818</f>
        <v>突</v>
      </c>
      <c r="R818" s="38" t="s">
        <v>1024</v>
      </c>
      <c r="S818" s="38" t="s">
        <v>1319</v>
      </c>
      <c r="T818" s="39">
        <f>データ!G818</f>
        <v>19042</v>
      </c>
      <c r="U818" s="40" t="s">
        <v>1024</v>
      </c>
      <c r="V818" s="40" t="s">
        <v>1319</v>
      </c>
      <c r="W818" s="39">
        <f>データ!H818</f>
        <v>6356</v>
      </c>
      <c r="X818" s="40" t="s">
        <v>1024</v>
      </c>
      <c r="Y818" s="40" t="s">
        <v>1319</v>
      </c>
      <c r="Z818" s="39">
        <f>データ!I818</f>
        <v>6032</v>
      </c>
      <c r="AA818" s="40" t="s">
        <v>1024</v>
      </c>
      <c r="AB818" s="40" t="s">
        <v>1319</v>
      </c>
      <c r="AC818" s="39" t="str">
        <f>データ!J818</f>
        <v>SS+</v>
      </c>
      <c r="AD818" s="38" t="s">
        <v>1024</v>
      </c>
      <c r="AE818" s="40" t="s">
        <v>1319</v>
      </c>
      <c r="AF818" s="39">
        <f>データ!K818</f>
        <v>31430</v>
      </c>
      <c r="AG818" s="40" t="s">
        <v>1024</v>
      </c>
      <c r="AH818" s="40" t="s">
        <v>1324</v>
      </c>
      <c r="AI818" s="39" t="str">
        <f>データ!L818</f>
        <v>魔幻の閃光／煌</v>
      </c>
      <c r="AJ818" s="10" t="s">
        <v>1113</v>
      </c>
      <c r="AK818" s="39" t="str">
        <f>データ!M818</f>
        <v>縦一列に攻撃[特大]</v>
      </c>
      <c r="AL818" s="10" t="s">
        <v>1024</v>
      </c>
      <c r="AM818" s="40" t="s">
        <v>1324</v>
      </c>
      <c r="AN818" s="39" t="str">
        <f>データ!N818</f>
        <v>-</v>
      </c>
      <c r="AO818" s="10" t="s">
        <v>1113</v>
      </c>
      <c r="AP818" s="39" t="str">
        <f>データ!O818</f>
        <v>　</v>
      </c>
      <c r="AQ818" s="41" t="s">
        <v>1024</v>
      </c>
      <c r="AR818" s="40" t="s">
        <v>1324</v>
      </c>
      <c r="AS818" s="39" t="str">
        <f>データ!P818</f>
        <v>グラビティアサルト／絶</v>
      </c>
      <c r="AT818" s="10" t="s">
        <v>1113</v>
      </c>
      <c r="AU818" s="39" t="str">
        <f>データ!Q818</f>
        <v>パーティ全体の攻撃力大UP・速度大DOWN(3分間)</v>
      </c>
      <c r="AV818" s="10" t="s">
        <v>1024</v>
      </c>
      <c r="AW818" s="40" t="s">
        <v>1324</v>
      </c>
      <c r="AX818" s="39" t="str">
        <f>データ!R818</f>
        <v>-</v>
      </c>
      <c r="AY818" s="10" t="s">
        <v>1113</v>
      </c>
      <c r="AZ818" s="39" t="str">
        <f>データ!S818</f>
        <v>　</v>
      </c>
      <c r="BA818" s="41" t="s">
        <v>1024</v>
      </c>
      <c r="BB818" s="40" t="s">
        <v>1319</v>
      </c>
      <c r="BC818" s="39" t="str">
        <f>データ!T818</f>
        <v>-</v>
      </c>
      <c r="BD818" s="41" t="s">
        <v>1024</v>
      </c>
      <c r="BE818" s="40" t="s">
        <v>1319</v>
      </c>
      <c r="BF818" s="39" t="str">
        <f>データ!U818</f>
        <v>突属性攻撃力中アップ</v>
      </c>
      <c r="BG818" s="41" t="s">
        <v>1024</v>
      </c>
      <c r="BH818" s="40" t="s">
        <v>1319</v>
      </c>
      <c r="BI818" s="39" t="str">
        <f>データ!V818</f>
        <v>2020年ハロウィンイベ</v>
      </c>
      <c r="BJ818" s="41" t="s">
        <v>1024</v>
      </c>
      <c r="BK818" s="10" t="s">
        <v>1019</v>
      </c>
    </row>
    <row r="819" spans="1:63" x14ac:dyDescent="0.15">
      <c r="A819" s="10" t="s">
        <v>1016</v>
      </c>
      <c r="B819" s="10" t="s">
        <v>1454</v>
      </c>
      <c r="C819" s="38" t="str">
        <f>"./images/thumbnail/"&amp;データ!B819&amp;".jpg"</f>
        <v>./images/thumbnail/2327.jpg</v>
      </c>
      <c r="D819" s="38" t="s">
        <v>1455</v>
      </c>
      <c r="E819" s="38" t="str">
        <f>"./images/thumbnail/"&amp;データ!B819&amp;".jpg"</f>
        <v>./images/thumbnail/2327.jpg</v>
      </c>
      <c r="F819" s="38" t="s">
        <v>1116</v>
      </c>
      <c r="G819" s="38" t="s">
        <v>1319</v>
      </c>
      <c r="H819" s="38" t="str">
        <f>データ!C819</f>
        <v>リベカ</v>
      </c>
      <c r="I819" s="38" t="s">
        <v>1024</v>
      </c>
      <c r="J819" s="38" t="s">
        <v>1319</v>
      </c>
      <c r="K819" s="38" t="str">
        <f>データ!D819</f>
        <v>UR</v>
      </c>
      <c r="L819" s="38" t="s">
        <v>1024</v>
      </c>
      <c r="M819" s="38" t="s">
        <v>1319</v>
      </c>
      <c r="N819" s="38">
        <f>データ!E819</f>
        <v>16</v>
      </c>
      <c r="O819" s="38" t="s">
        <v>1024</v>
      </c>
      <c r="P819" s="38" t="s">
        <v>1319</v>
      </c>
      <c r="Q819" s="38" t="str">
        <f>データ!F819</f>
        <v>打</v>
      </c>
      <c r="R819" s="38" t="s">
        <v>1024</v>
      </c>
      <c r="S819" s="38" t="s">
        <v>1319</v>
      </c>
      <c r="T819" s="39">
        <f>データ!G819</f>
        <v>30304</v>
      </c>
      <c r="U819" s="40" t="s">
        <v>1024</v>
      </c>
      <c r="V819" s="40" t="s">
        <v>1319</v>
      </c>
      <c r="W819" s="39">
        <f>データ!H819</f>
        <v>8902</v>
      </c>
      <c r="X819" s="40" t="s">
        <v>1024</v>
      </c>
      <c r="Y819" s="40" t="s">
        <v>1319</v>
      </c>
      <c r="Z819" s="39">
        <f>データ!I819</f>
        <v>12083</v>
      </c>
      <c r="AA819" s="40" t="s">
        <v>1024</v>
      </c>
      <c r="AB819" s="40" t="s">
        <v>1319</v>
      </c>
      <c r="AC819" s="39" t="str">
        <f>データ!J819</f>
        <v>SS-</v>
      </c>
      <c r="AD819" s="38" t="s">
        <v>1024</v>
      </c>
      <c r="AE819" s="40" t="s">
        <v>1319</v>
      </c>
      <c r="AF819" s="39">
        <f>データ!K819</f>
        <v>51289</v>
      </c>
      <c r="AG819" s="40" t="s">
        <v>1024</v>
      </c>
      <c r="AH819" s="40" t="s">
        <v>1324</v>
      </c>
      <c r="AI819" s="39" t="str">
        <f>データ!L819</f>
        <v>天雷幻の一撃／鳳</v>
      </c>
      <c r="AJ819" s="10" t="s">
        <v>1113</v>
      </c>
      <c r="AK819" s="39" t="str">
        <f>データ!M819</f>
        <v>敵単体攻撃[極大]自分の攻撃力UP[極大]</v>
      </c>
      <c r="AL819" s="10" t="s">
        <v>1024</v>
      </c>
      <c r="AM819" s="40" t="s">
        <v>1324</v>
      </c>
      <c r="AN819" s="39" t="str">
        <f>データ!N819</f>
        <v>-</v>
      </c>
      <c r="AO819" s="10" t="s">
        <v>1113</v>
      </c>
      <c r="AP819" s="39" t="str">
        <f>データ!O819</f>
        <v>　</v>
      </c>
      <c r="AQ819" s="41" t="s">
        <v>1024</v>
      </c>
      <c r="AR819" s="40" t="s">
        <v>1324</v>
      </c>
      <c r="AS819" s="39" t="str">
        <f>データ!P819</f>
        <v>アサルトオーダー／煌</v>
      </c>
      <c r="AT819" s="10" t="s">
        <v>1113</v>
      </c>
      <c r="AU819" s="39" t="str">
        <f>データ!Q819</f>
        <v>騎士団全体の攻撃力が特大UP＆ユニット1体をタレント状態にする(3分間)</v>
      </c>
      <c r="AV819" s="10" t="s">
        <v>1024</v>
      </c>
      <c r="AW819" s="40" t="s">
        <v>1324</v>
      </c>
      <c r="AX819" s="39" t="str">
        <f>データ!R819</f>
        <v>リコントラクト／煌</v>
      </c>
      <c r="AY819" s="10" t="s">
        <v>1113</v>
      </c>
      <c r="AZ819" s="39" t="str">
        <f>データ!S819</f>
        <v>バトルで敵を全滅するとBPが特大回復・TPが中回復(3分間)</v>
      </c>
      <c r="BA819" s="41" t="s">
        <v>1024</v>
      </c>
      <c r="BB819" s="40" t="s">
        <v>1319</v>
      </c>
      <c r="BC819" s="39" t="str">
        <f>データ!T819</f>
        <v>紫打の闘気</v>
      </c>
      <c r="BD819" s="41" t="s">
        <v>1024</v>
      </c>
      <c r="BE819" s="40" t="s">
        <v>1319</v>
      </c>
      <c r="BF819" s="39" t="str">
        <f>データ!U819</f>
        <v>-</v>
      </c>
      <c r="BG819" s="41" t="s">
        <v>1024</v>
      </c>
      <c r="BH819" s="40" t="s">
        <v>1319</v>
      </c>
      <c r="BI819" s="39" t="str">
        <f>データ!V819</f>
        <v>2020年ハロウィンイベ</v>
      </c>
      <c r="BJ819" s="41" t="s">
        <v>1024</v>
      </c>
      <c r="BK819" s="10" t="s">
        <v>1019</v>
      </c>
    </row>
    <row r="820" spans="1:63" x14ac:dyDescent="0.15">
      <c r="A820" s="10" t="s">
        <v>1016</v>
      </c>
      <c r="B820" s="10" t="s">
        <v>1454</v>
      </c>
      <c r="C820" s="38" t="str">
        <f>"./images/thumbnail/"&amp;データ!B820&amp;".jpg"</f>
        <v>./images/thumbnail/2329.jpg</v>
      </c>
      <c r="D820" s="38" t="s">
        <v>1455</v>
      </c>
      <c r="E820" s="38" t="str">
        <f>"./images/thumbnail/"&amp;データ!B820&amp;".jpg"</f>
        <v>./images/thumbnail/2329.jpg</v>
      </c>
      <c r="F820" s="38" t="s">
        <v>1116</v>
      </c>
      <c r="G820" s="38" t="s">
        <v>1319</v>
      </c>
      <c r="H820" s="38" t="str">
        <f>データ!C820</f>
        <v>エレナ</v>
      </c>
      <c r="I820" s="38" t="s">
        <v>1024</v>
      </c>
      <c r="J820" s="38" t="s">
        <v>1319</v>
      </c>
      <c r="K820" s="38" t="str">
        <f>データ!D820</f>
        <v>UR</v>
      </c>
      <c r="L820" s="38" t="s">
        <v>1024</v>
      </c>
      <c r="M820" s="38" t="s">
        <v>1319</v>
      </c>
      <c r="N820" s="38">
        <f>データ!E820</f>
        <v>16</v>
      </c>
      <c r="O820" s="38" t="s">
        <v>1024</v>
      </c>
      <c r="P820" s="38" t="s">
        <v>1319</v>
      </c>
      <c r="Q820" s="38" t="str">
        <f>データ!F820</f>
        <v>遠</v>
      </c>
      <c r="R820" s="38" t="s">
        <v>1024</v>
      </c>
      <c r="S820" s="38" t="s">
        <v>1319</v>
      </c>
      <c r="T820" s="39">
        <f>データ!G820</f>
        <v>27002</v>
      </c>
      <c r="U820" s="40" t="s">
        <v>1024</v>
      </c>
      <c r="V820" s="40" t="s">
        <v>1319</v>
      </c>
      <c r="W820" s="39">
        <f>データ!H820</f>
        <v>8652</v>
      </c>
      <c r="X820" s="40" t="s">
        <v>1024</v>
      </c>
      <c r="Y820" s="40" t="s">
        <v>1319</v>
      </c>
      <c r="Z820" s="39">
        <f>データ!I820</f>
        <v>9201</v>
      </c>
      <c r="AA820" s="40" t="s">
        <v>1024</v>
      </c>
      <c r="AB820" s="40" t="s">
        <v>1319</v>
      </c>
      <c r="AC820" s="39" t="str">
        <f>データ!J820</f>
        <v>SS1</v>
      </c>
      <c r="AD820" s="38" t="s">
        <v>1024</v>
      </c>
      <c r="AE820" s="40" t="s">
        <v>1319</v>
      </c>
      <c r="AF820" s="39">
        <f>データ!K820</f>
        <v>44855</v>
      </c>
      <c r="AG820" s="40" t="s">
        <v>1024</v>
      </c>
      <c r="AH820" s="40" t="s">
        <v>1324</v>
      </c>
      <c r="AI820" s="39" t="str">
        <f>データ!L820</f>
        <v>遠鋭の六連撃／絶</v>
      </c>
      <c r="AJ820" s="10" t="s">
        <v>1113</v>
      </c>
      <c r="AK820" s="39" t="str">
        <f>データ!M820</f>
        <v>ﾗﾝﾀﾞﾑ6連続攻撃[大][低確率]でﾀﾞﾒｰｼﾞ2倍</v>
      </c>
      <c r="AL820" s="10" t="s">
        <v>1024</v>
      </c>
      <c r="AM820" s="40" t="s">
        <v>1324</v>
      </c>
      <c r="AN820" s="39" t="str">
        <f>データ!N820</f>
        <v>-</v>
      </c>
      <c r="AO820" s="10" t="s">
        <v>1113</v>
      </c>
      <c r="AP820" s="39" t="str">
        <f>データ!O820</f>
        <v>　</v>
      </c>
      <c r="AQ820" s="41" t="s">
        <v>1024</v>
      </c>
      <c r="AR820" s="40" t="s">
        <v>1324</v>
      </c>
      <c r="AS820" s="39" t="str">
        <f>データ!P820</f>
        <v>ストリーム／煌</v>
      </c>
      <c r="AT820" s="10" t="s">
        <v>1113</v>
      </c>
      <c r="AU820" s="39" t="str">
        <f>データ!Q820</f>
        <v>パーティ全体の攻撃力・速度が特大UP＆ユニット1体をタレント状態にする(5分間)</v>
      </c>
      <c r="AV820" s="10" t="s">
        <v>1024</v>
      </c>
      <c r="AW820" s="40" t="s">
        <v>1324</v>
      </c>
      <c r="AX820" s="39" t="str">
        <f>データ!R820</f>
        <v>エクスターライズ／絶</v>
      </c>
      <c r="AY820" s="10" t="s">
        <v>1113</v>
      </c>
      <c r="AZ820" s="39" t="str">
        <f>データ!S820</f>
        <v>攻撃回数が多いほどバトル獲得スコアが大UP(3分間)</v>
      </c>
      <c r="BA820" s="41" t="s">
        <v>1024</v>
      </c>
      <c r="BB820" s="40" t="s">
        <v>1319</v>
      </c>
      <c r="BC820" s="39" t="str">
        <f>データ!T820</f>
        <v>不撓不屈</v>
      </c>
      <c r="BD820" s="41" t="s">
        <v>1024</v>
      </c>
      <c r="BE820" s="40" t="s">
        <v>1319</v>
      </c>
      <c r="BF820" s="39" t="str">
        <f>データ!U820</f>
        <v>-</v>
      </c>
      <c r="BG820" s="41" t="s">
        <v>1024</v>
      </c>
      <c r="BH820" s="40" t="s">
        <v>1319</v>
      </c>
      <c r="BI820" s="39" t="str">
        <f>データ!V820</f>
        <v>2020年ハロウィンイベ</v>
      </c>
      <c r="BJ820" s="41" t="s">
        <v>1024</v>
      </c>
      <c r="BK820" s="10" t="s">
        <v>1019</v>
      </c>
    </row>
    <row r="821" spans="1:63" x14ac:dyDescent="0.15">
      <c r="A821" s="10" t="s">
        <v>1016</v>
      </c>
      <c r="B821" s="10" t="s">
        <v>1454</v>
      </c>
      <c r="C821" s="38" t="str">
        <f>"./images/thumbnail/"&amp;データ!B821&amp;".jpg"</f>
        <v>./images/thumbnail/2331.jpg</v>
      </c>
      <c r="D821" s="38" t="s">
        <v>1455</v>
      </c>
      <c r="E821" s="38" t="str">
        <f>"./images/thumbnail/"&amp;データ!B821&amp;".jpg"</f>
        <v>./images/thumbnail/2331.jpg</v>
      </c>
      <c r="F821" s="38" t="s">
        <v>1116</v>
      </c>
      <c r="G821" s="38" t="s">
        <v>1319</v>
      </c>
      <c r="H821" s="38" t="str">
        <f>データ!C821</f>
        <v>ヴィド</v>
      </c>
      <c r="I821" s="38" t="s">
        <v>1024</v>
      </c>
      <c r="J821" s="38" t="s">
        <v>1319</v>
      </c>
      <c r="K821" s="38" t="str">
        <f>データ!D821</f>
        <v>UR</v>
      </c>
      <c r="L821" s="38" t="s">
        <v>1024</v>
      </c>
      <c r="M821" s="38" t="s">
        <v>1319</v>
      </c>
      <c r="N821" s="38">
        <f>データ!E821</f>
        <v>16</v>
      </c>
      <c r="O821" s="38" t="s">
        <v>1024</v>
      </c>
      <c r="P821" s="38" t="s">
        <v>1319</v>
      </c>
      <c r="Q821" s="38" t="str">
        <f>データ!F821</f>
        <v>突</v>
      </c>
      <c r="R821" s="38" t="s">
        <v>1024</v>
      </c>
      <c r="S821" s="38" t="s">
        <v>1319</v>
      </c>
      <c r="T821" s="39">
        <f>データ!G821</f>
        <v>25253</v>
      </c>
      <c r="U821" s="40" t="s">
        <v>1024</v>
      </c>
      <c r="V821" s="40" t="s">
        <v>1319</v>
      </c>
      <c r="W821" s="39">
        <f>データ!H821</f>
        <v>7700</v>
      </c>
      <c r="X821" s="40" t="s">
        <v>1024</v>
      </c>
      <c r="Y821" s="40" t="s">
        <v>1319</v>
      </c>
      <c r="Z821" s="39">
        <f>データ!I821</f>
        <v>10324</v>
      </c>
      <c r="AA821" s="40" t="s">
        <v>1024</v>
      </c>
      <c r="AB821" s="40" t="s">
        <v>1319</v>
      </c>
      <c r="AC821" s="39" t="str">
        <f>データ!J821</f>
        <v>SS4</v>
      </c>
      <c r="AD821" s="38" t="s">
        <v>1024</v>
      </c>
      <c r="AE821" s="40" t="s">
        <v>1319</v>
      </c>
      <c r="AF821" s="39">
        <f>データ!K821</f>
        <v>43277</v>
      </c>
      <c r="AG821" s="40" t="s">
        <v>1024</v>
      </c>
      <c r="AH821" s="40" t="s">
        <v>1324</v>
      </c>
      <c r="AI821" s="39" t="str">
        <f>データ!L821</f>
        <v>蒼突の玲瓏</v>
      </c>
      <c r="AJ821" s="10" t="s">
        <v>1113</v>
      </c>
      <c r="AK821" s="39" t="str">
        <f>データ!M821</f>
        <v>味方突属性の攻撃力をUP[超極大]</v>
      </c>
      <c r="AL821" s="10" t="s">
        <v>1024</v>
      </c>
      <c r="AM821" s="40" t="s">
        <v>1324</v>
      </c>
      <c r="AN821" s="39" t="str">
        <f>データ!N821</f>
        <v>-</v>
      </c>
      <c r="AO821" s="10" t="s">
        <v>1113</v>
      </c>
      <c r="AP821" s="39" t="str">
        <f>データ!O821</f>
        <v>　</v>
      </c>
      <c r="AQ821" s="41" t="s">
        <v>1024</v>
      </c>
      <c r="AR821" s="40" t="s">
        <v>1324</v>
      </c>
      <c r="AS821" s="39" t="str">
        <f>データ!P821</f>
        <v>フォートレス／鳳</v>
      </c>
      <c r="AT821" s="10" t="s">
        <v>1113</v>
      </c>
      <c r="AU821" s="39" t="str">
        <f>データ!Q821</f>
        <v>パーティ全体の防御力が極大UP＆ユニット1体をタレント状態にする(3分間)</v>
      </c>
      <c r="AV821" s="10" t="s">
        <v>1024</v>
      </c>
      <c r="AW821" s="40" t="s">
        <v>1324</v>
      </c>
      <c r="AX821" s="39" t="str">
        <f>データ!R821</f>
        <v>エクスドライブ／煌</v>
      </c>
      <c r="AY821" s="10" t="s">
        <v>1113</v>
      </c>
      <c r="AZ821" s="39" t="str">
        <f>データ!S821</f>
        <v>キリ番CB時の獲得ポイント特大UP(3分間)</v>
      </c>
      <c r="BA821" s="41" t="s">
        <v>1024</v>
      </c>
      <c r="BB821" s="40" t="s">
        <v>1319</v>
      </c>
      <c r="BC821" s="39" t="str">
        <f>データ!T821</f>
        <v>闘気</v>
      </c>
      <c r="BD821" s="41" t="s">
        <v>1024</v>
      </c>
      <c r="BE821" s="40" t="s">
        <v>1319</v>
      </c>
      <c r="BF821" s="39" t="str">
        <f>データ!U821</f>
        <v>-</v>
      </c>
      <c r="BG821" s="41" t="s">
        <v>1024</v>
      </c>
      <c r="BH821" s="40" t="s">
        <v>1319</v>
      </c>
      <c r="BI821" s="39" t="str">
        <f>データ!V821</f>
        <v>常設</v>
      </c>
      <c r="BJ821" s="41" t="s">
        <v>1024</v>
      </c>
      <c r="BK821" s="10" t="s">
        <v>1019</v>
      </c>
    </row>
    <row r="822" spans="1:63" x14ac:dyDescent="0.15">
      <c r="A822" s="10" t="s">
        <v>1016</v>
      </c>
      <c r="B822" s="10" t="s">
        <v>1454</v>
      </c>
      <c r="C822" s="38" t="str">
        <f>"./images/thumbnail/"&amp;データ!B822&amp;".jpg"</f>
        <v>./images/thumbnail/2333.jpg</v>
      </c>
      <c r="D822" s="38" t="s">
        <v>1455</v>
      </c>
      <c r="E822" s="38" t="str">
        <f>"./images/thumbnail/"&amp;データ!B822&amp;".jpg"</f>
        <v>./images/thumbnail/2333.jpg</v>
      </c>
      <c r="F822" s="38" t="s">
        <v>1116</v>
      </c>
      <c r="G822" s="38" t="s">
        <v>1319</v>
      </c>
      <c r="H822" s="38" t="str">
        <f>データ!C822</f>
        <v>クトゥーリア</v>
      </c>
      <c r="I822" s="38" t="s">
        <v>1024</v>
      </c>
      <c r="J822" s="38" t="s">
        <v>1319</v>
      </c>
      <c r="K822" s="38" t="str">
        <f>データ!D822</f>
        <v>UR</v>
      </c>
      <c r="L822" s="38" t="s">
        <v>1024</v>
      </c>
      <c r="M822" s="38" t="s">
        <v>1319</v>
      </c>
      <c r="N822" s="38">
        <f>データ!E822</f>
        <v>16</v>
      </c>
      <c r="O822" s="38" t="s">
        <v>1024</v>
      </c>
      <c r="P822" s="38" t="s">
        <v>1319</v>
      </c>
      <c r="Q822" s="38" t="str">
        <f>データ!F822</f>
        <v>遠</v>
      </c>
      <c r="R822" s="38" t="s">
        <v>1024</v>
      </c>
      <c r="S822" s="38" t="s">
        <v>1319</v>
      </c>
      <c r="T822" s="39">
        <f>データ!G822</f>
        <v>24232</v>
      </c>
      <c r="U822" s="40" t="s">
        <v>1024</v>
      </c>
      <c r="V822" s="40" t="s">
        <v>1319</v>
      </c>
      <c r="W822" s="39">
        <f>データ!H822</f>
        <v>8652</v>
      </c>
      <c r="X822" s="40" t="s">
        <v>1024</v>
      </c>
      <c r="Y822" s="40" t="s">
        <v>1319</v>
      </c>
      <c r="Z822" s="39">
        <f>データ!I822</f>
        <v>8046</v>
      </c>
      <c r="AA822" s="40" t="s">
        <v>1024</v>
      </c>
      <c r="AB822" s="40" t="s">
        <v>1319</v>
      </c>
      <c r="AC822" s="39" t="str">
        <f>データ!J822</f>
        <v>SS1</v>
      </c>
      <c r="AD822" s="38" t="s">
        <v>1024</v>
      </c>
      <c r="AE822" s="40" t="s">
        <v>1319</v>
      </c>
      <c r="AF822" s="39">
        <f>データ!K822</f>
        <v>40930</v>
      </c>
      <c r="AG822" s="40" t="s">
        <v>1024</v>
      </c>
      <c r="AH822" s="40" t="s">
        <v>1324</v>
      </c>
      <c r="AI822" s="39" t="str">
        <f>データ!L822</f>
        <v xml:space="preserve">対紅の突風／鳳 </v>
      </c>
      <c r="AJ822" s="10" t="s">
        <v>1113</v>
      </c>
      <c r="AK822" s="39" t="str">
        <f>データ!M822</f>
        <v>斬に強く突に弱い縦一列攻撃[極大]</v>
      </c>
      <c r="AL822" s="10" t="s">
        <v>1024</v>
      </c>
      <c r="AM822" s="40" t="s">
        <v>1324</v>
      </c>
      <c r="AN822" s="39" t="str">
        <f>データ!N822</f>
        <v>-</v>
      </c>
      <c r="AO822" s="10" t="s">
        <v>1113</v>
      </c>
      <c r="AP822" s="39" t="str">
        <f>データ!O822</f>
        <v>　</v>
      </c>
      <c r="AQ822" s="41" t="s">
        <v>1024</v>
      </c>
      <c r="AR822" s="40" t="s">
        <v>1324</v>
      </c>
      <c r="AS822" s="39" t="str">
        <f>データ!P822</f>
        <v>アサルト／鳳</v>
      </c>
      <c r="AT822" s="10" t="s">
        <v>1113</v>
      </c>
      <c r="AU822" s="39" t="str">
        <f>データ!Q822</f>
        <v>パーティ全体の攻撃力が極大UP＆ユニット1体をタレント状態にする(3分間)</v>
      </c>
      <c r="AV822" s="10" t="s">
        <v>1024</v>
      </c>
      <c r="AW822" s="40" t="s">
        <v>1324</v>
      </c>
      <c r="AX822" s="39" t="str">
        <f>データ!R822</f>
        <v>フォートレスオーダー／絶</v>
      </c>
      <c r="AY822" s="10" t="s">
        <v>1113</v>
      </c>
      <c r="AZ822" s="39" t="str">
        <f>データ!S822</f>
        <v>騎士団全体の防御力が大UP(3分間)</v>
      </c>
      <c r="BA822" s="41" t="s">
        <v>1024</v>
      </c>
      <c r="BB822" s="40" t="s">
        <v>1319</v>
      </c>
      <c r="BC822" s="39" t="str">
        <f>データ!T822</f>
        <v>練気</v>
      </c>
      <c r="BD822" s="41" t="s">
        <v>1024</v>
      </c>
      <c r="BE822" s="40" t="s">
        <v>1319</v>
      </c>
      <c r="BF822" s="39" t="str">
        <f>データ!U822</f>
        <v>-</v>
      </c>
      <c r="BG822" s="41" t="s">
        <v>1024</v>
      </c>
      <c r="BH822" s="40" t="s">
        <v>1319</v>
      </c>
      <c r="BI822" s="39" t="str">
        <f>データ!V822</f>
        <v>常設</v>
      </c>
      <c r="BJ822" s="41" t="s">
        <v>1024</v>
      </c>
      <c r="BK822" s="10" t="s">
        <v>1019</v>
      </c>
    </row>
    <row r="823" spans="1:63" x14ac:dyDescent="0.15">
      <c r="A823" s="10" t="s">
        <v>1016</v>
      </c>
      <c r="B823" s="10" t="s">
        <v>1454</v>
      </c>
      <c r="C823" s="38" t="str">
        <f>"./images/thumbnail/"&amp;データ!B823&amp;".jpg"</f>
        <v>./images/thumbnail/2334.jpg</v>
      </c>
      <c r="D823" s="38" t="s">
        <v>1455</v>
      </c>
      <c r="E823" s="38" t="str">
        <f>"./images/thumbnail/"&amp;データ!B823&amp;".jpg"</f>
        <v>./images/thumbnail/2334.jpg</v>
      </c>
      <c r="F823" s="38" t="s">
        <v>1116</v>
      </c>
      <c r="G823" s="38" t="s">
        <v>1319</v>
      </c>
      <c r="H823" s="38" t="str">
        <f>データ!C823</f>
        <v>ヴィルヘルム</v>
      </c>
      <c r="I823" s="38" t="s">
        <v>1024</v>
      </c>
      <c r="J823" s="38" t="s">
        <v>1319</v>
      </c>
      <c r="K823" s="38" t="str">
        <f>データ!D823</f>
        <v>UR</v>
      </c>
      <c r="L823" s="38" t="s">
        <v>1024</v>
      </c>
      <c r="M823" s="38" t="s">
        <v>1319</v>
      </c>
      <c r="N823" s="38">
        <f>データ!E823</f>
        <v>16</v>
      </c>
      <c r="O823" s="38" t="s">
        <v>1024</v>
      </c>
      <c r="P823" s="38" t="s">
        <v>1319</v>
      </c>
      <c r="Q823" s="38" t="str">
        <f>データ!F823</f>
        <v>打</v>
      </c>
      <c r="R823" s="38" t="s">
        <v>1024</v>
      </c>
      <c r="S823" s="38" t="s">
        <v>1319</v>
      </c>
      <c r="T823" s="39">
        <f>データ!G823</f>
        <v>8760</v>
      </c>
      <c r="U823" s="40" t="s">
        <v>1024</v>
      </c>
      <c r="V823" s="40" t="s">
        <v>1319</v>
      </c>
      <c r="W823" s="39">
        <f>データ!H823</f>
        <v>2430</v>
      </c>
      <c r="X823" s="40" t="s">
        <v>1024</v>
      </c>
      <c r="Y823" s="40" t="s">
        <v>1319</v>
      </c>
      <c r="Z823" s="39">
        <f>データ!I823</f>
        <v>3006</v>
      </c>
      <c r="AA823" s="40" t="s">
        <v>1024</v>
      </c>
      <c r="AB823" s="40" t="s">
        <v>1319</v>
      </c>
      <c r="AC823" s="39" t="str">
        <f>データ!J823</f>
        <v>SS-</v>
      </c>
      <c r="AD823" s="38" t="s">
        <v>1024</v>
      </c>
      <c r="AE823" s="40" t="s">
        <v>1319</v>
      </c>
      <c r="AF823" s="39">
        <f>データ!K823</f>
        <v>14196</v>
      </c>
      <c r="AG823" s="40" t="s">
        <v>1024</v>
      </c>
      <c r="AH823" s="40" t="s">
        <v>1324</v>
      </c>
      <c r="AI823" s="39" t="str">
        <f>データ!L823</f>
        <v xml:space="preserve">対翠の突風／鳳 </v>
      </c>
      <c r="AJ823" s="10" t="s">
        <v>1113</v>
      </c>
      <c r="AK823" s="39" t="str">
        <f>データ!M823</f>
        <v>遠に強く打に弱い縦一列攻撃[極大]</v>
      </c>
      <c r="AL823" s="10" t="s">
        <v>1024</v>
      </c>
      <c r="AM823" s="40" t="s">
        <v>1324</v>
      </c>
      <c r="AN823" s="39" t="str">
        <f>データ!N823</f>
        <v>人狼狂気</v>
      </c>
      <c r="AO823" s="10" t="s">
        <v>1113</v>
      </c>
      <c r="AP823" s="39" t="str">
        <f>データ!O823</f>
        <v>一定時間HP最大値をUP[超極大]</v>
      </c>
      <c r="AQ823" s="41" t="s">
        <v>1024</v>
      </c>
      <c r="AR823" s="40" t="s">
        <v>1324</v>
      </c>
      <c r="AS823" s="39" t="str">
        <f>データ!P823</f>
        <v>エース／鳳</v>
      </c>
      <c r="AT823" s="10" t="s">
        <v>1113</v>
      </c>
      <c r="AU823" s="39" t="str">
        <f>データ!Q823</f>
        <v>パーティ全体の攻・防が極大UP＆ユニット1体をタレント状態にする(3分間)</v>
      </c>
      <c r="AV823" s="10" t="s">
        <v>1024</v>
      </c>
      <c r="AW823" s="40" t="s">
        <v>1324</v>
      </c>
      <c r="AX823" s="39" t="str">
        <f>データ!R823</f>
        <v>ポイントライズ／煌</v>
      </c>
      <c r="AY823" s="10" t="s">
        <v>1113</v>
      </c>
      <c r="AZ823" s="39" t="str">
        <f>データ!S823</f>
        <v>獲得する騎士団戦スコアが特大アップ(バトル3回)</v>
      </c>
      <c r="BA823" s="41" t="s">
        <v>1024</v>
      </c>
      <c r="BB823" s="40" t="s">
        <v>1319</v>
      </c>
      <c r="BC823" s="39" t="str">
        <f>データ!T823</f>
        <v>練気／真</v>
      </c>
      <c r="BD823" s="41" t="s">
        <v>1024</v>
      </c>
      <c r="BE823" s="40" t="s">
        <v>1319</v>
      </c>
      <c r="BF823" s="39" t="str">
        <f>データ!U823</f>
        <v>-</v>
      </c>
      <c r="BG823" s="41" t="s">
        <v>1024</v>
      </c>
      <c r="BH823" s="40" t="s">
        <v>1319</v>
      </c>
      <c r="BI823" s="39" t="str">
        <f>データ!V823</f>
        <v>スペシャル任務報酬</v>
      </c>
      <c r="BJ823" s="41" t="s">
        <v>1024</v>
      </c>
      <c r="BK823" s="10" t="s">
        <v>1019</v>
      </c>
    </row>
    <row r="824" spans="1:63" x14ac:dyDescent="0.15">
      <c r="A824" s="10" t="s">
        <v>1016</v>
      </c>
      <c r="B824" s="10" t="s">
        <v>1454</v>
      </c>
      <c r="C824" s="38" t="str">
        <f>"./images/thumbnail/"&amp;データ!B824&amp;".jpg"</f>
        <v>./images/thumbnail/2336.jpg</v>
      </c>
      <c r="D824" s="38" t="s">
        <v>1455</v>
      </c>
      <c r="E824" s="38" t="str">
        <f>"./images/thumbnail/"&amp;データ!B824&amp;".jpg"</f>
        <v>./images/thumbnail/2336.jpg</v>
      </c>
      <c r="F824" s="38" t="s">
        <v>1116</v>
      </c>
      <c r="G824" s="38" t="s">
        <v>1319</v>
      </c>
      <c r="H824" s="38" t="str">
        <f>データ!C824</f>
        <v>シャルロ</v>
      </c>
      <c r="I824" s="38" t="s">
        <v>1024</v>
      </c>
      <c r="J824" s="38" t="s">
        <v>1319</v>
      </c>
      <c r="K824" s="38" t="str">
        <f>データ!D824</f>
        <v>SSR</v>
      </c>
      <c r="L824" s="38" t="s">
        <v>1024</v>
      </c>
      <c r="M824" s="38" t="s">
        <v>1319</v>
      </c>
      <c r="N824" s="38">
        <f>データ!E824</f>
        <v>14</v>
      </c>
      <c r="O824" s="38" t="s">
        <v>1024</v>
      </c>
      <c r="P824" s="38" t="s">
        <v>1319</v>
      </c>
      <c r="Q824" s="38" t="str">
        <f>データ!F824</f>
        <v>斬</v>
      </c>
      <c r="R824" s="38" t="s">
        <v>1024</v>
      </c>
      <c r="S824" s="38" t="s">
        <v>1319</v>
      </c>
      <c r="T824" s="39">
        <f>データ!G824</f>
        <v>18103</v>
      </c>
      <c r="U824" s="40" t="s">
        <v>1024</v>
      </c>
      <c r="V824" s="40" t="s">
        <v>1319</v>
      </c>
      <c r="W824" s="39">
        <f>データ!H824</f>
        <v>8203</v>
      </c>
      <c r="X824" s="40" t="s">
        <v>1024</v>
      </c>
      <c r="Y824" s="40" t="s">
        <v>1319</v>
      </c>
      <c r="Z824" s="39">
        <f>データ!I824</f>
        <v>6648</v>
      </c>
      <c r="AA824" s="40" t="s">
        <v>1024</v>
      </c>
      <c r="AB824" s="40" t="s">
        <v>1319</v>
      </c>
      <c r="AC824" s="39" t="str">
        <f>データ!J824</f>
        <v>S</v>
      </c>
      <c r="AD824" s="38" t="s">
        <v>1024</v>
      </c>
      <c r="AE824" s="40" t="s">
        <v>1319</v>
      </c>
      <c r="AF824" s="39">
        <f>データ!K824</f>
        <v>32954</v>
      </c>
      <c r="AG824" s="40" t="s">
        <v>1024</v>
      </c>
      <c r="AH824" s="40" t="s">
        <v>1324</v>
      </c>
      <c r="AI824" s="39" t="str">
        <f>データ!L824</f>
        <v>斬紅の神護</v>
      </c>
      <c r="AJ824" s="10" t="s">
        <v>1113</v>
      </c>
      <c r="AK824" s="39" t="str">
        <f>データ!M824</f>
        <v>味方斬属性の防御力をUP[特大]</v>
      </c>
      <c r="AL824" s="10" t="s">
        <v>1024</v>
      </c>
      <c r="AM824" s="40" t="s">
        <v>1324</v>
      </c>
      <c r="AN824" s="39" t="str">
        <f>データ!N824</f>
        <v>-</v>
      </c>
      <c r="AO824" s="10" t="s">
        <v>1113</v>
      </c>
      <c r="AP824" s="39" t="str">
        <f>データ!O824</f>
        <v>　</v>
      </c>
      <c r="AQ824" s="41" t="s">
        <v>1024</v>
      </c>
      <c r="AR824" s="40" t="s">
        <v>1324</v>
      </c>
      <c r="AS824" s="39" t="str">
        <f>データ!P824</f>
        <v>フォートレス／煌</v>
      </c>
      <c r="AT824" s="10" t="s">
        <v>1113</v>
      </c>
      <c r="AU824" s="39" t="str">
        <f>データ!Q824</f>
        <v>パーティ全体の防御力が特大UP(3分間)</v>
      </c>
      <c r="AV824" s="10" t="s">
        <v>1024</v>
      </c>
      <c r="AW824" s="40" t="s">
        <v>1324</v>
      </c>
      <c r="AX824" s="39" t="str">
        <f>データ!R824</f>
        <v>-</v>
      </c>
      <c r="AY824" s="10" t="s">
        <v>1113</v>
      </c>
      <c r="AZ824" s="39" t="str">
        <f>データ!S824</f>
        <v>　</v>
      </c>
      <c r="BA824" s="41" t="s">
        <v>1024</v>
      </c>
      <c r="BB824" s="40" t="s">
        <v>1319</v>
      </c>
      <c r="BC824" s="39" t="str">
        <f>データ!T824</f>
        <v>-</v>
      </c>
      <c r="BD824" s="41" t="s">
        <v>1024</v>
      </c>
      <c r="BE824" s="40" t="s">
        <v>1319</v>
      </c>
      <c r="BF824" s="39" t="str">
        <f>データ!U824</f>
        <v>斬属性防御力中アップ</v>
      </c>
      <c r="BG824" s="41" t="s">
        <v>1024</v>
      </c>
      <c r="BH824" s="40" t="s">
        <v>1319</v>
      </c>
      <c r="BI824" s="39" t="str">
        <f>データ!V824</f>
        <v>限定レアガチャ(温泉)</v>
      </c>
      <c r="BJ824" s="41" t="s">
        <v>1024</v>
      </c>
      <c r="BK824" s="10" t="s">
        <v>1019</v>
      </c>
    </row>
    <row r="825" spans="1:63" x14ac:dyDescent="0.15">
      <c r="A825" s="10" t="s">
        <v>1016</v>
      </c>
      <c r="B825" s="10" t="s">
        <v>1454</v>
      </c>
      <c r="C825" s="38" t="str">
        <f>"./images/thumbnail/"&amp;データ!B825&amp;".jpg"</f>
        <v>./images/thumbnail/2338.jpg</v>
      </c>
      <c r="D825" s="38" t="s">
        <v>1455</v>
      </c>
      <c r="E825" s="38" t="str">
        <f>"./images/thumbnail/"&amp;データ!B825&amp;".jpg"</f>
        <v>./images/thumbnail/2338.jpg</v>
      </c>
      <c r="F825" s="38" t="s">
        <v>1116</v>
      </c>
      <c r="G825" s="38" t="s">
        <v>1319</v>
      </c>
      <c r="H825" s="38" t="str">
        <f>データ!C825</f>
        <v>アーデルハイド</v>
      </c>
      <c r="I825" s="38" t="s">
        <v>1024</v>
      </c>
      <c r="J825" s="38" t="s">
        <v>1319</v>
      </c>
      <c r="K825" s="38" t="str">
        <f>データ!D825</f>
        <v>UR</v>
      </c>
      <c r="L825" s="38" t="s">
        <v>1024</v>
      </c>
      <c r="M825" s="38" t="s">
        <v>1319</v>
      </c>
      <c r="N825" s="38">
        <f>データ!E825</f>
        <v>16</v>
      </c>
      <c r="O825" s="38" t="s">
        <v>1024</v>
      </c>
      <c r="P825" s="38" t="s">
        <v>1319</v>
      </c>
      <c r="Q825" s="38" t="str">
        <f>データ!F825</f>
        <v>突</v>
      </c>
      <c r="R825" s="38" t="s">
        <v>1024</v>
      </c>
      <c r="S825" s="38" t="s">
        <v>1319</v>
      </c>
      <c r="T825" s="39">
        <f>データ!G825</f>
        <v>26907</v>
      </c>
      <c r="U825" s="40" t="s">
        <v>1024</v>
      </c>
      <c r="V825" s="40" t="s">
        <v>1319</v>
      </c>
      <c r="W825" s="39">
        <f>データ!H825</f>
        <v>7803</v>
      </c>
      <c r="X825" s="40" t="s">
        <v>1024</v>
      </c>
      <c r="Y825" s="40" t="s">
        <v>1319</v>
      </c>
      <c r="Z825" s="39">
        <f>データ!I825</f>
        <v>10305</v>
      </c>
      <c r="AA825" s="40" t="s">
        <v>1024</v>
      </c>
      <c r="AB825" s="40" t="s">
        <v>1319</v>
      </c>
      <c r="AC825" s="39" t="str">
        <f>データ!J825</f>
        <v>SS4</v>
      </c>
      <c r="AD825" s="38" t="s">
        <v>1024</v>
      </c>
      <c r="AE825" s="40" t="s">
        <v>1319</v>
      </c>
      <c r="AF825" s="39">
        <f>データ!K825</f>
        <v>45015</v>
      </c>
      <c r="AG825" s="40" t="s">
        <v>1024</v>
      </c>
      <c r="AH825" s="40" t="s">
        <v>1324</v>
      </c>
      <c r="AI825" s="39" t="str">
        <f>データ!L825</f>
        <v>天魔幻の閃光／煌</v>
      </c>
      <c r="AJ825" s="10" t="s">
        <v>1113</v>
      </c>
      <c r="AK825" s="39" t="str">
        <f>データ!M825</f>
        <v>縦一列攻撃[特大]自分の攻撃力UP[特大]</v>
      </c>
      <c r="AL825" s="10" t="s">
        <v>1024</v>
      </c>
      <c r="AM825" s="40" t="s">
        <v>1324</v>
      </c>
      <c r="AN825" s="39" t="str">
        <f>データ!N825</f>
        <v>-</v>
      </c>
      <c r="AO825" s="10" t="s">
        <v>1113</v>
      </c>
      <c r="AP825" s="39" t="str">
        <f>データ!O825</f>
        <v>　</v>
      </c>
      <c r="AQ825" s="41" t="s">
        <v>1024</v>
      </c>
      <c r="AR825" s="40" t="s">
        <v>1324</v>
      </c>
      <c r="AS825" s="39" t="str">
        <f>データ!P825</f>
        <v>グラビティアサルト／鳳</v>
      </c>
      <c r="AT825" s="10" t="s">
        <v>1113</v>
      </c>
      <c r="AU825" s="39" t="str">
        <f>データ!Q825</f>
        <v>パーティ全体の攻撃力極大UP・速度大DOWN＆ユニット1体をタレント状態にする(3分間)</v>
      </c>
      <c r="AV825" s="10" t="s">
        <v>1024</v>
      </c>
      <c r="AW825" s="40" t="s">
        <v>1324</v>
      </c>
      <c r="AX825" s="39" t="str">
        <f>データ!R825</f>
        <v>ブリッツ／絶</v>
      </c>
      <c r="AY825" s="10" t="s">
        <v>1113</v>
      </c>
      <c r="AZ825" s="39" t="str">
        <f>データ!S825</f>
        <v>強襲CBの発生率・強襲時獲得ポイント大アップ(3分)</v>
      </c>
      <c r="BA825" s="41" t="s">
        <v>1024</v>
      </c>
      <c r="BB825" s="40" t="s">
        <v>1319</v>
      </c>
      <c r="BC825" s="39" t="str">
        <f>データ!T825</f>
        <v>不屈の闘気</v>
      </c>
      <c r="BD825" s="41" t="s">
        <v>1024</v>
      </c>
      <c r="BE825" s="40" t="s">
        <v>1319</v>
      </c>
      <c r="BF825" s="39" t="str">
        <f>データ!U825</f>
        <v>-</v>
      </c>
      <c r="BG825" s="41" t="s">
        <v>1024</v>
      </c>
      <c r="BH825" s="40" t="s">
        <v>1319</v>
      </c>
      <c r="BI825" s="39" t="str">
        <f>データ!V825</f>
        <v>限定レアガチャ(温泉)</v>
      </c>
      <c r="BJ825" s="41" t="s">
        <v>1024</v>
      </c>
      <c r="BK825" s="10" t="s">
        <v>1019</v>
      </c>
    </row>
    <row r="826" spans="1:63" x14ac:dyDescent="0.15">
      <c r="A826" s="10" t="s">
        <v>1016</v>
      </c>
      <c r="B826" s="10" t="s">
        <v>1454</v>
      </c>
      <c r="C826" s="38" t="str">
        <f>"./images/thumbnail/"&amp;データ!B826&amp;".jpg"</f>
        <v>./images/thumbnail/2340.jpg</v>
      </c>
      <c r="D826" s="38" t="s">
        <v>1455</v>
      </c>
      <c r="E826" s="38" t="str">
        <f>"./images/thumbnail/"&amp;データ!B826&amp;".jpg"</f>
        <v>./images/thumbnail/2340.jpg</v>
      </c>
      <c r="F826" s="38" t="s">
        <v>1116</v>
      </c>
      <c r="G826" s="38" t="s">
        <v>1319</v>
      </c>
      <c r="H826" s="38" t="str">
        <f>データ!C826</f>
        <v>ノンノリア</v>
      </c>
      <c r="I826" s="38" t="s">
        <v>1024</v>
      </c>
      <c r="J826" s="38" t="s">
        <v>1319</v>
      </c>
      <c r="K826" s="38" t="str">
        <f>データ!D826</f>
        <v>UR</v>
      </c>
      <c r="L826" s="38" t="s">
        <v>1024</v>
      </c>
      <c r="M826" s="38" t="s">
        <v>1319</v>
      </c>
      <c r="N826" s="38">
        <f>データ!E826</f>
        <v>16</v>
      </c>
      <c r="O826" s="38" t="s">
        <v>1024</v>
      </c>
      <c r="P826" s="38" t="s">
        <v>1319</v>
      </c>
      <c r="Q826" s="38" t="str">
        <f>データ!F826</f>
        <v>遠</v>
      </c>
      <c r="R826" s="38" t="s">
        <v>1024</v>
      </c>
      <c r="S826" s="38" t="s">
        <v>1319</v>
      </c>
      <c r="T826" s="39">
        <f>データ!G826</f>
        <v>26004</v>
      </c>
      <c r="U826" s="40" t="s">
        <v>1024</v>
      </c>
      <c r="V826" s="40" t="s">
        <v>1319</v>
      </c>
      <c r="W826" s="39">
        <f>データ!H826</f>
        <v>8820</v>
      </c>
      <c r="X826" s="40" t="s">
        <v>1024</v>
      </c>
      <c r="Y826" s="40" t="s">
        <v>1319</v>
      </c>
      <c r="Z826" s="39">
        <f>データ!I826</f>
        <v>9001</v>
      </c>
      <c r="AA826" s="40" t="s">
        <v>1024</v>
      </c>
      <c r="AB826" s="40" t="s">
        <v>1319</v>
      </c>
      <c r="AC826" s="39" t="str">
        <f>データ!J826</f>
        <v>SS1</v>
      </c>
      <c r="AD826" s="38" t="s">
        <v>1024</v>
      </c>
      <c r="AE826" s="40" t="s">
        <v>1319</v>
      </c>
      <c r="AF826" s="39">
        <f>データ!K826</f>
        <v>43825</v>
      </c>
      <c r="AG826" s="40" t="s">
        <v>1024</v>
      </c>
      <c r="AH826" s="40" t="s">
        <v>1324</v>
      </c>
      <c r="AI826" s="39" t="str">
        <f>データ!L826</f>
        <v>幻射の六連撃／絶</v>
      </c>
      <c r="AJ826" s="10" t="s">
        <v>1113</v>
      </c>
      <c r="AK826" s="39" t="str">
        <f>データ!M826</f>
        <v>ランダムで6連続攻撃[大]</v>
      </c>
      <c r="AL826" s="10" t="s">
        <v>1024</v>
      </c>
      <c r="AM826" s="40" t="s">
        <v>1324</v>
      </c>
      <c r="AN826" s="39" t="str">
        <f>データ!N826</f>
        <v>-</v>
      </c>
      <c r="AO826" s="10" t="s">
        <v>1113</v>
      </c>
      <c r="AP826" s="39" t="str">
        <f>データ!O826</f>
        <v>　</v>
      </c>
      <c r="AQ826" s="41" t="s">
        <v>1024</v>
      </c>
      <c r="AR826" s="40" t="s">
        <v>1324</v>
      </c>
      <c r="AS826" s="39" t="str">
        <f>データ!P826</f>
        <v>アクセラレーター／鳳</v>
      </c>
      <c r="AT826" s="10" t="s">
        <v>1113</v>
      </c>
      <c r="AU826" s="39" t="str">
        <f>データ!Q826</f>
        <v>パーティ全体の速度が大UP＆ユニット1体をタレント状態にする(5分間)</v>
      </c>
      <c r="AV826" s="10" t="s">
        <v>1024</v>
      </c>
      <c r="AW826" s="40" t="s">
        <v>1324</v>
      </c>
      <c r="AX826" s="39" t="str">
        <f>データ!R826</f>
        <v>ディバインスラスト／煌</v>
      </c>
      <c r="AY826" s="10" t="s">
        <v>1113</v>
      </c>
      <c r="AZ826" s="39" t="str">
        <f>データ!S826</f>
        <v>パーティの攻撃力大UP・最大TP小UP(5分間)</v>
      </c>
      <c r="BA826" s="41" t="s">
        <v>1024</v>
      </c>
      <c r="BB826" s="40" t="s">
        <v>1319</v>
      </c>
      <c r="BC826" s="39" t="str">
        <f>データ!T826</f>
        <v>不撓不屈</v>
      </c>
      <c r="BD826" s="41" t="s">
        <v>1024</v>
      </c>
      <c r="BE826" s="40" t="s">
        <v>1319</v>
      </c>
      <c r="BF826" s="39" t="str">
        <f>データ!U826</f>
        <v>-</v>
      </c>
      <c r="BG826" s="41" t="s">
        <v>1024</v>
      </c>
      <c r="BH826" s="40" t="s">
        <v>1319</v>
      </c>
      <c r="BI826" s="39" t="str">
        <f>データ!V826</f>
        <v>限定レアガチャ(温泉)</v>
      </c>
      <c r="BJ826" s="41" t="s">
        <v>1024</v>
      </c>
      <c r="BK826" s="10" t="s">
        <v>1019</v>
      </c>
    </row>
    <row r="827" spans="1:63" x14ac:dyDescent="0.15">
      <c r="A827" s="10" t="s">
        <v>1016</v>
      </c>
      <c r="B827" s="10" t="s">
        <v>1454</v>
      </c>
      <c r="C827" s="38" t="str">
        <f>"./images/thumbnail/"&amp;データ!B827&amp;".jpg"</f>
        <v>./images/thumbnail/.jpg</v>
      </c>
      <c r="D827" s="38" t="s">
        <v>1455</v>
      </c>
      <c r="E827" s="38" t="str">
        <f>"./images/thumbnail/"&amp;データ!B827&amp;".jpg"</f>
        <v>./images/thumbnail/.jpg</v>
      </c>
      <c r="F827" s="38" t="s">
        <v>1116</v>
      </c>
      <c r="G827" s="38" t="s">
        <v>1319</v>
      </c>
      <c r="H827" s="38">
        <f>データ!C827</f>
        <v>0</v>
      </c>
      <c r="I827" s="38" t="s">
        <v>1024</v>
      </c>
      <c r="J827" s="38" t="s">
        <v>1319</v>
      </c>
      <c r="K827" s="38">
        <f>データ!D827</f>
        <v>0</v>
      </c>
      <c r="L827" s="38" t="s">
        <v>1024</v>
      </c>
      <c r="M827" s="38" t="s">
        <v>1319</v>
      </c>
      <c r="N827" s="38">
        <f>データ!E827</f>
        <v>0</v>
      </c>
      <c r="O827" s="38" t="s">
        <v>1024</v>
      </c>
      <c r="P827" s="38" t="s">
        <v>1319</v>
      </c>
      <c r="Q827" s="38">
        <f>データ!F827</f>
        <v>0</v>
      </c>
      <c r="R827" s="38" t="s">
        <v>1024</v>
      </c>
      <c r="S827" s="38" t="s">
        <v>1319</v>
      </c>
      <c r="T827" s="39">
        <f>データ!G827</f>
        <v>0</v>
      </c>
      <c r="U827" s="40" t="s">
        <v>1024</v>
      </c>
      <c r="V827" s="40" t="s">
        <v>1319</v>
      </c>
      <c r="W827" s="39">
        <f>データ!H827</f>
        <v>0</v>
      </c>
      <c r="X827" s="40" t="s">
        <v>1024</v>
      </c>
      <c r="Y827" s="40" t="s">
        <v>1319</v>
      </c>
      <c r="Z827" s="39">
        <f>データ!I827</f>
        <v>0</v>
      </c>
      <c r="AA827" s="40" t="s">
        <v>1024</v>
      </c>
      <c r="AB827" s="40" t="s">
        <v>1319</v>
      </c>
      <c r="AC827" s="39">
        <f>データ!J827</f>
        <v>0</v>
      </c>
      <c r="AD827" s="38" t="s">
        <v>1024</v>
      </c>
      <c r="AE827" s="40" t="s">
        <v>1319</v>
      </c>
      <c r="AF827" s="39">
        <f>データ!K827</f>
        <v>0</v>
      </c>
      <c r="AG827" s="40" t="s">
        <v>1024</v>
      </c>
      <c r="AH827" s="40" t="s">
        <v>1324</v>
      </c>
      <c r="AI827" s="39">
        <f>データ!L827</f>
        <v>0</v>
      </c>
      <c r="AJ827" s="10" t="s">
        <v>1113</v>
      </c>
      <c r="AK827" s="39">
        <f>データ!M827</f>
        <v>0</v>
      </c>
      <c r="AL827" s="10" t="s">
        <v>1024</v>
      </c>
      <c r="AM827" s="40" t="s">
        <v>1324</v>
      </c>
      <c r="AN827" s="39">
        <f>データ!N827</f>
        <v>0</v>
      </c>
      <c r="AO827" s="10" t="s">
        <v>1113</v>
      </c>
      <c r="AP827" s="39">
        <f>データ!O827</f>
        <v>0</v>
      </c>
      <c r="AQ827" s="41" t="s">
        <v>1024</v>
      </c>
      <c r="AR827" s="40" t="s">
        <v>1324</v>
      </c>
      <c r="AS827" s="39">
        <f>データ!P827</f>
        <v>0</v>
      </c>
      <c r="AT827" s="10" t="s">
        <v>1113</v>
      </c>
      <c r="AU827" s="39">
        <f>データ!Q827</f>
        <v>0</v>
      </c>
      <c r="AV827" s="10" t="s">
        <v>1024</v>
      </c>
      <c r="AW827" s="40" t="s">
        <v>1324</v>
      </c>
      <c r="AX827" s="39">
        <f>データ!R827</f>
        <v>0</v>
      </c>
      <c r="AY827" s="10" t="s">
        <v>1113</v>
      </c>
      <c r="AZ827" s="39">
        <f>データ!S827</f>
        <v>0</v>
      </c>
      <c r="BA827" s="41" t="s">
        <v>1024</v>
      </c>
      <c r="BB827" s="40" t="s">
        <v>1319</v>
      </c>
      <c r="BC827" s="39">
        <f>データ!T827</f>
        <v>0</v>
      </c>
      <c r="BD827" s="41" t="s">
        <v>1024</v>
      </c>
      <c r="BE827" s="40" t="s">
        <v>1319</v>
      </c>
      <c r="BF827" s="39">
        <f>データ!U827</f>
        <v>0</v>
      </c>
      <c r="BG827" s="41" t="s">
        <v>1024</v>
      </c>
      <c r="BH827" s="40" t="s">
        <v>1319</v>
      </c>
      <c r="BI827" s="39">
        <f>データ!V827</f>
        <v>0</v>
      </c>
      <c r="BJ827" s="41" t="s">
        <v>1024</v>
      </c>
      <c r="BK827" s="10" t="s">
        <v>1019</v>
      </c>
    </row>
    <row r="828" spans="1:63" x14ac:dyDescent="0.15">
      <c r="A828" s="10" t="s">
        <v>1016</v>
      </c>
      <c r="B828" s="10" t="s">
        <v>1454</v>
      </c>
      <c r="C828" s="38" t="str">
        <f>"./images/thumbnail/"&amp;データ!B828&amp;".jpg"</f>
        <v>./images/thumbnail/.jpg</v>
      </c>
      <c r="D828" s="38" t="s">
        <v>1455</v>
      </c>
      <c r="E828" s="38" t="str">
        <f>"./images/thumbnail/"&amp;データ!B828&amp;".jpg"</f>
        <v>./images/thumbnail/.jpg</v>
      </c>
      <c r="F828" s="38" t="s">
        <v>1116</v>
      </c>
      <c r="G828" s="38" t="s">
        <v>1319</v>
      </c>
      <c r="H828" s="38">
        <f>データ!C828</f>
        <v>0</v>
      </c>
      <c r="I828" s="38" t="s">
        <v>1024</v>
      </c>
      <c r="J828" s="38" t="s">
        <v>1319</v>
      </c>
      <c r="K828" s="38">
        <f>データ!D828</f>
        <v>0</v>
      </c>
      <c r="L828" s="38" t="s">
        <v>1024</v>
      </c>
      <c r="M828" s="38" t="s">
        <v>1319</v>
      </c>
      <c r="N828" s="38">
        <f>データ!E828</f>
        <v>0</v>
      </c>
      <c r="O828" s="38" t="s">
        <v>1024</v>
      </c>
      <c r="P828" s="38" t="s">
        <v>1319</v>
      </c>
      <c r="Q828" s="38">
        <f>データ!F828</f>
        <v>0</v>
      </c>
      <c r="R828" s="38" t="s">
        <v>1024</v>
      </c>
      <c r="S828" s="38" t="s">
        <v>1319</v>
      </c>
      <c r="T828" s="39">
        <f>データ!G828</f>
        <v>0</v>
      </c>
      <c r="U828" s="40" t="s">
        <v>1024</v>
      </c>
      <c r="V828" s="40" t="s">
        <v>1319</v>
      </c>
      <c r="W828" s="39">
        <f>データ!H828</f>
        <v>0</v>
      </c>
      <c r="X828" s="40" t="s">
        <v>1024</v>
      </c>
      <c r="Y828" s="40" t="s">
        <v>1319</v>
      </c>
      <c r="Z828" s="39">
        <f>データ!I828</f>
        <v>0</v>
      </c>
      <c r="AA828" s="40" t="s">
        <v>1024</v>
      </c>
      <c r="AB828" s="40" t="s">
        <v>1319</v>
      </c>
      <c r="AC828" s="39">
        <f>データ!J828</f>
        <v>0</v>
      </c>
      <c r="AD828" s="38" t="s">
        <v>1024</v>
      </c>
      <c r="AE828" s="40" t="s">
        <v>1319</v>
      </c>
      <c r="AF828" s="39">
        <f>データ!K828</f>
        <v>0</v>
      </c>
      <c r="AG828" s="40" t="s">
        <v>1024</v>
      </c>
      <c r="AH828" s="40" t="s">
        <v>1324</v>
      </c>
      <c r="AI828" s="39">
        <f>データ!L828</f>
        <v>0</v>
      </c>
      <c r="AJ828" s="10" t="s">
        <v>1113</v>
      </c>
      <c r="AK828" s="39">
        <f>データ!M828</f>
        <v>0</v>
      </c>
      <c r="AL828" s="10" t="s">
        <v>1024</v>
      </c>
      <c r="AM828" s="40" t="s">
        <v>1324</v>
      </c>
      <c r="AN828" s="39">
        <f>データ!N828</f>
        <v>0</v>
      </c>
      <c r="AO828" s="10" t="s">
        <v>1113</v>
      </c>
      <c r="AP828" s="39">
        <f>データ!O828</f>
        <v>0</v>
      </c>
      <c r="AQ828" s="41" t="s">
        <v>1024</v>
      </c>
      <c r="AR828" s="40" t="s">
        <v>1324</v>
      </c>
      <c r="AS828" s="39">
        <f>データ!P828</f>
        <v>0</v>
      </c>
      <c r="AT828" s="10" t="s">
        <v>1113</v>
      </c>
      <c r="AU828" s="39">
        <f>データ!Q828</f>
        <v>0</v>
      </c>
      <c r="AV828" s="10" t="s">
        <v>1024</v>
      </c>
      <c r="AW828" s="40" t="s">
        <v>1324</v>
      </c>
      <c r="AX828" s="39">
        <f>データ!R828</f>
        <v>0</v>
      </c>
      <c r="AY828" s="10" t="s">
        <v>1113</v>
      </c>
      <c r="AZ828" s="39">
        <f>データ!S828</f>
        <v>0</v>
      </c>
      <c r="BA828" s="41" t="s">
        <v>1024</v>
      </c>
      <c r="BB828" s="40" t="s">
        <v>1319</v>
      </c>
      <c r="BC828" s="39">
        <f>データ!T828</f>
        <v>0</v>
      </c>
      <c r="BD828" s="41" t="s">
        <v>1024</v>
      </c>
      <c r="BE828" s="40" t="s">
        <v>1319</v>
      </c>
      <c r="BF828" s="39">
        <f>データ!U828</f>
        <v>0</v>
      </c>
      <c r="BG828" s="41" t="s">
        <v>1024</v>
      </c>
      <c r="BH828" s="40" t="s">
        <v>1319</v>
      </c>
      <c r="BI828" s="39">
        <f>データ!V828</f>
        <v>0</v>
      </c>
      <c r="BJ828" s="41" t="s">
        <v>1024</v>
      </c>
      <c r="BK828" s="10" t="s">
        <v>1019</v>
      </c>
    </row>
    <row r="829" spans="1:63" x14ac:dyDescent="0.15">
      <c r="A829" s="10" t="s">
        <v>1016</v>
      </c>
      <c r="B829" s="10" t="s">
        <v>1454</v>
      </c>
      <c r="C829" s="38" t="str">
        <f>"./images/thumbnail/"&amp;データ!B829&amp;".jpg"</f>
        <v>./images/thumbnail/.jpg</v>
      </c>
      <c r="D829" s="38" t="s">
        <v>1455</v>
      </c>
      <c r="E829" s="38" t="str">
        <f>"./images/thumbnail/"&amp;データ!B829&amp;".jpg"</f>
        <v>./images/thumbnail/.jpg</v>
      </c>
      <c r="F829" s="38" t="s">
        <v>1116</v>
      </c>
      <c r="G829" s="38" t="s">
        <v>1319</v>
      </c>
      <c r="H829" s="38">
        <f>データ!C829</f>
        <v>0</v>
      </c>
      <c r="I829" s="38" t="s">
        <v>1024</v>
      </c>
      <c r="J829" s="38" t="s">
        <v>1319</v>
      </c>
      <c r="K829" s="38">
        <f>データ!D829</f>
        <v>0</v>
      </c>
      <c r="L829" s="38" t="s">
        <v>1024</v>
      </c>
      <c r="M829" s="38" t="s">
        <v>1319</v>
      </c>
      <c r="N829" s="38">
        <f>データ!E829</f>
        <v>0</v>
      </c>
      <c r="O829" s="38" t="s">
        <v>1024</v>
      </c>
      <c r="P829" s="38" t="s">
        <v>1319</v>
      </c>
      <c r="Q829" s="38">
        <f>データ!F829</f>
        <v>0</v>
      </c>
      <c r="R829" s="38" t="s">
        <v>1024</v>
      </c>
      <c r="S829" s="38" t="s">
        <v>1319</v>
      </c>
      <c r="T829" s="39">
        <f>データ!G829</f>
        <v>0</v>
      </c>
      <c r="U829" s="40" t="s">
        <v>1024</v>
      </c>
      <c r="V829" s="40" t="s">
        <v>1319</v>
      </c>
      <c r="W829" s="39">
        <f>データ!H829</f>
        <v>0</v>
      </c>
      <c r="X829" s="40" t="s">
        <v>1024</v>
      </c>
      <c r="Y829" s="40" t="s">
        <v>1319</v>
      </c>
      <c r="Z829" s="39">
        <f>データ!I829</f>
        <v>0</v>
      </c>
      <c r="AA829" s="40" t="s">
        <v>1024</v>
      </c>
      <c r="AB829" s="40" t="s">
        <v>1319</v>
      </c>
      <c r="AC829" s="39">
        <f>データ!J829</f>
        <v>0</v>
      </c>
      <c r="AD829" s="38" t="s">
        <v>1024</v>
      </c>
      <c r="AE829" s="40" t="s">
        <v>1319</v>
      </c>
      <c r="AF829" s="39">
        <f>データ!K829</f>
        <v>0</v>
      </c>
      <c r="AG829" s="40" t="s">
        <v>1024</v>
      </c>
      <c r="AH829" s="40" t="s">
        <v>1324</v>
      </c>
      <c r="AI829" s="39">
        <f>データ!L829</f>
        <v>0</v>
      </c>
      <c r="AJ829" s="10" t="s">
        <v>1113</v>
      </c>
      <c r="AK829" s="39">
        <f>データ!M829</f>
        <v>0</v>
      </c>
      <c r="AL829" s="10" t="s">
        <v>1024</v>
      </c>
      <c r="AM829" s="40" t="s">
        <v>1324</v>
      </c>
      <c r="AN829" s="39">
        <f>データ!N829</f>
        <v>0</v>
      </c>
      <c r="AO829" s="10" t="s">
        <v>1113</v>
      </c>
      <c r="AP829" s="39">
        <f>データ!O829</f>
        <v>0</v>
      </c>
      <c r="AQ829" s="41" t="s">
        <v>1024</v>
      </c>
      <c r="AR829" s="40" t="s">
        <v>1324</v>
      </c>
      <c r="AS829" s="39">
        <f>データ!P829</f>
        <v>0</v>
      </c>
      <c r="AT829" s="10" t="s">
        <v>1113</v>
      </c>
      <c r="AU829" s="39">
        <f>データ!Q829</f>
        <v>0</v>
      </c>
      <c r="AV829" s="10" t="s">
        <v>1024</v>
      </c>
      <c r="AW829" s="40" t="s">
        <v>1324</v>
      </c>
      <c r="AX829" s="39">
        <f>データ!R829</f>
        <v>0</v>
      </c>
      <c r="AY829" s="10" t="s">
        <v>1113</v>
      </c>
      <c r="AZ829" s="39">
        <f>データ!S829</f>
        <v>0</v>
      </c>
      <c r="BA829" s="41" t="s">
        <v>1024</v>
      </c>
      <c r="BB829" s="40" t="s">
        <v>1319</v>
      </c>
      <c r="BC829" s="39">
        <f>データ!T829</f>
        <v>0</v>
      </c>
      <c r="BD829" s="41" t="s">
        <v>1024</v>
      </c>
      <c r="BE829" s="40" t="s">
        <v>1319</v>
      </c>
      <c r="BF829" s="39">
        <f>データ!U829</f>
        <v>0</v>
      </c>
      <c r="BG829" s="41" t="s">
        <v>1024</v>
      </c>
      <c r="BH829" s="40" t="s">
        <v>1319</v>
      </c>
      <c r="BI829" s="39">
        <f>データ!V829</f>
        <v>0</v>
      </c>
      <c r="BJ829" s="41" t="s">
        <v>1024</v>
      </c>
      <c r="BK829" s="10" t="s">
        <v>1019</v>
      </c>
    </row>
    <row r="830" spans="1:63" x14ac:dyDescent="0.15">
      <c r="A830" s="10" t="s">
        <v>1016</v>
      </c>
      <c r="B830" s="10" t="s">
        <v>1454</v>
      </c>
      <c r="C830" s="38" t="str">
        <f>"./images/thumbnail/"&amp;データ!B830&amp;".jpg"</f>
        <v>./images/thumbnail/.jpg</v>
      </c>
      <c r="D830" s="38" t="s">
        <v>1455</v>
      </c>
      <c r="E830" s="38" t="str">
        <f>"./images/thumbnail/"&amp;データ!B830&amp;".jpg"</f>
        <v>./images/thumbnail/.jpg</v>
      </c>
      <c r="F830" s="38" t="s">
        <v>1116</v>
      </c>
      <c r="G830" s="38" t="s">
        <v>1319</v>
      </c>
      <c r="H830" s="38">
        <f>データ!C830</f>
        <v>0</v>
      </c>
      <c r="I830" s="38" t="s">
        <v>1024</v>
      </c>
      <c r="J830" s="38" t="s">
        <v>1319</v>
      </c>
      <c r="K830" s="38">
        <f>データ!D830</f>
        <v>0</v>
      </c>
      <c r="L830" s="38" t="s">
        <v>1024</v>
      </c>
      <c r="M830" s="38" t="s">
        <v>1319</v>
      </c>
      <c r="N830" s="38">
        <f>データ!E830</f>
        <v>0</v>
      </c>
      <c r="O830" s="38" t="s">
        <v>1024</v>
      </c>
      <c r="P830" s="38" t="s">
        <v>1319</v>
      </c>
      <c r="Q830" s="38">
        <f>データ!F830</f>
        <v>0</v>
      </c>
      <c r="R830" s="38" t="s">
        <v>1024</v>
      </c>
      <c r="S830" s="38" t="s">
        <v>1319</v>
      </c>
      <c r="T830" s="39">
        <f>データ!G830</f>
        <v>0</v>
      </c>
      <c r="U830" s="40" t="s">
        <v>1024</v>
      </c>
      <c r="V830" s="40" t="s">
        <v>1319</v>
      </c>
      <c r="W830" s="39">
        <f>データ!H830</f>
        <v>0</v>
      </c>
      <c r="X830" s="40" t="s">
        <v>1024</v>
      </c>
      <c r="Y830" s="40" t="s">
        <v>1319</v>
      </c>
      <c r="Z830" s="39">
        <f>データ!I830</f>
        <v>0</v>
      </c>
      <c r="AA830" s="40" t="s">
        <v>1024</v>
      </c>
      <c r="AB830" s="40" t="s">
        <v>1319</v>
      </c>
      <c r="AC830" s="39">
        <f>データ!J830</f>
        <v>0</v>
      </c>
      <c r="AD830" s="38" t="s">
        <v>1024</v>
      </c>
      <c r="AE830" s="40" t="s">
        <v>1319</v>
      </c>
      <c r="AF830" s="39">
        <f>データ!K830</f>
        <v>0</v>
      </c>
      <c r="AG830" s="40" t="s">
        <v>1024</v>
      </c>
      <c r="AH830" s="40" t="s">
        <v>1324</v>
      </c>
      <c r="AI830" s="39">
        <f>データ!L830</f>
        <v>0</v>
      </c>
      <c r="AJ830" s="10" t="s">
        <v>1113</v>
      </c>
      <c r="AK830" s="39">
        <f>データ!M830</f>
        <v>0</v>
      </c>
      <c r="AL830" s="10" t="s">
        <v>1024</v>
      </c>
      <c r="AM830" s="40" t="s">
        <v>1324</v>
      </c>
      <c r="AN830" s="39">
        <f>データ!N830</f>
        <v>0</v>
      </c>
      <c r="AO830" s="10" t="s">
        <v>1113</v>
      </c>
      <c r="AP830" s="39">
        <f>データ!O830</f>
        <v>0</v>
      </c>
      <c r="AQ830" s="41" t="s">
        <v>1024</v>
      </c>
      <c r="AR830" s="40" t="s">
        <v>1324</v>
      </c>
      <c r="AS830" s="39">
        <f>データ!P830</f>
        <v>0</v>
      </c>
      <c r="AT830" s="10" t="s">
        <v>1113</v>
      </c>
      <c r="AU830" s="39">
        <f>データ!Q830</f>
        <v>0</v>
      </c>
      <c r="AV830" s="10" t="s">
        <v>1024</v>
      </c>
      <c r="AW830" s="40" t="s">
        <v>1324</v>
      </c>
      <c r="AX830" s="39">
        <f>データ!R830</f>
        <v>0</v>
      </c>
      <c r="AY830" s="10" t="s">
        <v>1113</v>
      </c>
      <c r="AZ830" s="39">
        <f>データ!S830</f>
        <v>0</v>
      </c>
      <c r="BA830" s="41" t="s">
        <v>1024</v>
      </c>
      <c r="BB830" s="40" t="s">
        <v>1319</v>
      </c>
      <c r="BC830" s="39">
        <f>データ!T830</f>
        <v>0</v>
      </c>
      <c r="BD830" s="41" t="s">
        <v>1024</v>
      </c>
      <c r="BE830" s="40" t="s">
        <v>1319</v>
      </c>
      <c r="BF830" s="39">
        <f>データ!U830</f>
        <v>0</v>
      </c>
      <c r="BG830" s="41" t="s">
        <v>1024</v>
      </c>
      <c r="BH830" s="40" t="s">
        <v>1319</v>
      </c>
      <c r="BI830" s="39">
        <f>データ!V830</f>
        <v>0</v>
      </c>
      <c r="BJ830" s="41" t="s">
        <v>1024</v>
      </c>
      <c r="BK830" s="10" t="s">
        <v>1019</v>
      </c>
    </row>
    <row r="831" spans="1:63" x14ac:dyDescent="0.15">
      <c r="A831" s="10" t="s">
        <v>1016</v>
      </c>
      <c r="B831" s="10" t="s">
        <v>1454</v>
      </c>
      <c r="C831" s="38" t="str">
        <f>"./images/thumbnail/"&amp;データ!B831&amp;".jpg"</f>
        <v>./images/thumbnail/.jpg</v>
      </c>
      <c r="D831" s="38" t="s">
        <v>1455</v>
      </c>
      <c r="E831" s="38" t="str">
        <f>"./images/thumbnail/"&amp;データ!B831&amp;".jpg"</f>
        <v>./images/thumbnail/.jpg</v>
      </c>
      <c r="F831" s="38" t="s">
        <v>1116</v>
      </c>
      <c r="G831" s="38" t="s">
        <v>1319</v>
      </c>
      <c r="H831" s="38">
        <f>データ!C831</f>
        <v>0</v>
      </c>
      <c r="I831" s="38" t="s">
        <v>1024</v>
      </c>
      <c r="J831" s="38" t="s">
        <v>1319</v>
      </c>
      <c r="K831" s="38">
        <f>データ!D831</f>
        <v>0</v>
      </c>
      <c r="L831" s="38" t="s">
        <v>1024</v>
      </c>
      <c r="M831" s="38" t="s">
        <v>1319</v>
      </c>
      <c r="N831" s="38">
        <f>データ!E831</f>
        <v>0</v>
      </c>
      <c r="O831" s="38" t="s">
        <v>1024</v>
      </c>
      <c r="P831" s="38" t="s">
        <v>1319</v>
      </c>
      <c r="Q831" s="38">
        <f>データ!F831</f>
        <v>0</v>
      </c>
      <c r="R831" s="38" t="s">
        <v>1024</v>
      </c>
      <c r="S831" s="38" t="s">
        <v>1319</v>
      </c>
      <c r="T831" s="39">
        <f>データ!G831</f>
        <v>0</v>
      </c>
      <c r="U831" s="40" t="s">
        <v>1024</v>
      </c>
      <c r="V831" s="40" t="s">
        <v>1319</v>
      </c>
      <c r="W831" s="39">
        <f>データ!H831</f>
        <v>0</v>
      </c>
      <c r="X831" s="40" t="s">
        <v>1024</v>
      </c>
      <c r="Y831" s="40" t="s">
        <v>1319</v>
      </c>
      <c r="Z831" s="39">
        <f>データ!I831</f>
        <v>0</v>
      </c>
      <c r="AA831" s="40" t="s">
        <v>1024</v>
      </c>
      <c r="AB831" s="40" t="s">
        <v>1319</v>
      </c>
      <c r="AC831" s="39">
        <f>データ!J831</f>
        <v>0</v>
      </c>
      <c r="AD831" s="38" t="s">
        <v>1024</v>
      </c>
      <c r="AE831" s="40" t="s">
        <v>1319</v>
      </c>
      <c r="AF831" s="39">
        <f>データ!K831</f>
        <v>0</v>
      </c>
      <c r="AG831" s="40" t="s">
        <v>1024</v>
      </c>
      <c r="AH831" s="40" t="s">
        <v>1324</v>
      </c>
      <c r="AI831" s="39">
        <f>データ!L831</f>
        <v>0</v>
      </c>
      <c r="AJ831" s="10" t="s">
        <v>1113</v>
      </c>
      <c r="AK831" s="39">
        <f>データ!M831</f>
        <v>0</v>
      </c>
      <c r="AL831" s="10" t="s">
        <v>1024</v>
      </c>
      <c r="AM831" s="40" t="s">
        <v>1324</v>
      </c>
      <c r="AN831" s="39">
        <f>データ!N831</f>
        <v>0</v>
      </c>
      <c r="AO831" s="10" t="s">
        <v>1113</v>
      </c>
      <c r="AP831" s="39">
        <f>データ!O831</f>
        <v>0</v>
      </c>
      <c r="AQ831" s="41" t="s">
        <v>1024</v>
      </c>
      <c r="AR831" s="40" t="s">
        <v>1324</v>
      </c>
      <c r="AS831" s="39">
        <f>データ!P831</f>
        <v>0</v>
      </c>
      <c r="AT831" s="10" t="s">
        <v>1113</v>
      </c>
      <c r="AU831" s="39">
        <f>データ!Q831</f>
        <v>0</v>
      </c>
      <c r="AV831" s="10" t="s">
        <v>1024</v>
      </c>
      <c r="AW831" s="40" t="s">
        <v>1324</v>
      </c>
      <c r="AX831" s="39">
        <f>データ!R831</f>
        <v>0</v>
      </c>
      <c r="AY831" s="10" t="s">
        <v>1113</v>
      </c>
      <c r="AZ831" s="39">
        <f>データ!S831</f>
        <v>0</v>
      </c>
      <c r="BA831" s="41" t="s">
        <v>1024</v>
      </c>
      <c r="BB831" s="40" t="s">
        <v>1319</v>
      </c>
      <c r="BC831" s="39">
        <f>データ!T831</f>
        <v>0</v>
      </c>
      <c r="BD831" s="41" t="s">
        <v>1024</v>
      </c>
      <c r="BE831" s="40" t="s">
        <v>1319</v>
      </c>
      <c r="BF831" s="39">
        <f>データ!U831</f>
        <v>0</v>
      </c>
      <c r="BG831" s="41" t="s">
        <v>1024</v>
      </c>
      <c r="BH831" s="40" t="s">
        <v>1319</v>
      </c>
      <c r="BI831" s="39">
        <f>データ!V831</f>
        <v>0</v>
      </c>
      <c r="BJ831" s="41" t="s">
        <v>1024</v>
      </c>
      <c r="BK831" s="10" t="s">
        <v>1019</v>
      </c>
    </row>
    <row r="832" spans="1:63" x14ac:dyDescent="0.15">
      <c r="A832" s="10" t="s">
        <v>1016</v>
      </c>
      <c r="B832" s="10" t="s">
        <v>1454</v>
      </c>
      <c r="C832" s="38" t="str">
        <f>"./images/thumbnail/"&amp;データ!B832&amp;".jpg"</f>
        <v>./images/thumbnail/.jpg</v>
      </c>
      <c r="D832" s="38" t="s">
        <v>1455</v>
      </c>
      <c r="E832" s="38" t="str">
        <f>"./images/thumbnail/"&amp;データ!B832&amp;".jpg"</f>
        <v>./images/thumbnail/.jpg</v>
      </c>
      <c r="F832" s="38" t="s">
        <v>1116</v>
      </c>
      <c r="G832" s="38" t="s">
        <v>1319</v>
      </c>
      <c r="H832" s="38">
        <f>データ!C832</f>
        <v>0</v>
      </c>
      <c r="I832" s="38" t="s">
        <v>1024</v>
      </c>
      <c r="J832" s="38" t="s">
        <v>1319</v>
      </c>
      <c r="K832" s="38">
        <f>データ!D832</f>
        <v>0</v>
      </c>
      <c r="L832" s="38" t="s">
        <v>1024</v>
      </c>
      <c r="M832" s="38" t="s">
        <v>1319</v>
      </c>
      <c r="N832" s="38">
        <f>データ!E832</f>
        <v>0</v>
      </c>
      <c r="O832" s="38" t="s">
        <v>1024</v>
      </c>
      <c r="P832" s="38" t="s">
        <v>1319</v>
      </c>
      <c r="Q832" s="38">
        <f>データ!F832</f>
        <v>0</v>
      </c>
      <c r="R832" s="38" t="s">
        <v>1024</v>
      </c>
      <c r="S832" s="38" t="s">
        <v>1319</v>
      </c>
      <c r="T832" s="39">
        <f>データ!G832</f>
        <v>0</v>
      </c>
      <c r="U832" s="40" t="s">
        <v>1024</v>
      </c>
      <c r="V832" s="40" t="s">
        <v>1319</v>
      </c>
      <c r="W832" s="39">
        <f>データ!H832</f>
        <v>0</v>
      </c>
      <c r="X832" s="40" t="s">
        <v>1024</v>
      </c>
      <c r="Y832" s="40" t="s">
        <v>1319</v>
      </c>
      <c r="Z832" s="39">
        <f>データ!I832</f>
        <v>0</v>
      </c>
      <c r="AA832" s="40" t="s">
        <v>1024</v>
      </c>
      <c r="AB832" s="40" t="s">
        <v>1319</v>
      </c>
      <c r="AC832" s="39">
        <f>データ!J832</f>
        <v>0</v>
      </c>
      <c r="AD832" s="38" t="s">
        <v>1024</v>
      </c>
      <c r="AE832" s="40" t="s">
        <v>1319</v>
      </c>
      <c r="AF832" s="39">
        <f>データ!K832</f>
        <v>0</v>
      </c>
      <c r="AG832" s="40" t="s">
        <v>1024</v>
      </c>
      <c r="AH832" s="40" t="s">
        <v>1324</v>
      </c>
      <c r="AI832" s="39">
        <f>データ!L832</f>
        <v>0</v>
      </c>
      <c r="AJ832" s="10" t="s">
        <v>1113</v>
      </c>
      <c r="AK832" s="39">
        <f>データ!M832</f>
        <v>0</v>
      </c>
      <c r="AL832" s="10" t="s">
        <v>1024</v>
      </c>
      <c r="AM832" s="40" t="s">
        <v>1324</v>
      </c>
      <c r="AN832" s="39">
        <f>データ!N832</f>
        <v>0</v>
      </c>
      <c r="AO832" s="10" t="s">
        <v>1113</v>
      </c>
      <c r="AP832" s="39">
        <f>データ!O832</f>
        <v>0</v>
      </c>
      <c r="AQ832" s="41" t="s">
        <v>1024</v>
      </c>
      <c r="AR832" s="40" t="s">
        <v>1324</v>
      </c>
      <c r="AS832" s="39">
        <f>データ!P832</f>
        <v>0</v>
      </c>
      <c r="AT832" s="10" t="s">
        <v>1113</v>
      </c>
      <c r="AU832" s="39">
        <f>データ!Q832</f>
        <v>0</v>
      </c>
      <c r="AV832" s="10" t="s">
        <v>1024</v>
      </c>
      <c r="AW832" s="40" t="s">
        <v>1324</v>
      </c>
      <c r="AX832" s="39">
        <f>データ!R832</f>
        <v>0</v>
      </c>
      <c r="AY832" s="10" t="s">
        <v>1113</v>
      </c>
      <c r="AZ832" s="39">
        <f>データ!S832</f>
        <v>0</v>
      </c>
      <c r="BA832" s="41" t="s">
        <v>1024</v>
      </c>
      <c r="BB832" s="40" t="s">
        <v>1319</v>
      </c>
      <c r="BC832" s="39">
        <f>データ!T832</f>
        <v>0</v>
      </c>
      <c r="BD832" s="41" t="s">
        <v>1024</v>
      </c>
      <c r="BE832" s="40" t="s">
        <v>1319</v>
      </c>
      <c r="BF832" s="39">
        <f>データ!U832</f>
        <v>0</v>
      </c>
      <c r="BG832" s="41" t="s">
        <v>1024</v>
      </c>
      <c r="BH832" s="40" t="s">
        <v>1319</v>
      </c>
      <c r="BI832" s="39">
        <f>データ!V832</f>
        <v>0</v>
      </c>
      <c r="BJ832" s="41" t="s">
        <v>1024</v>
      </c>
      <c r="BK832" s="10" t="s">
        <v>1019</v>
      </c>
    </row>
    <row r="833" spans="1:63" x14ac:dyDescent="0.15">
      <c r="A833" s="10" t="s">
        <v>1016</v>
      </c>
      <c r="B833" s="10" t="s">
        <v>1454</v>
      </c>
      <c r="C833" s="38" t="str">
        <f>"./images/thumbnail/"&amp;データ!B833&amp;".jpg"</f>
        <v>./images/thumbnail/.jpg</v>
      </c>
      <c r="D833" s="38" t="s">
        <v>1455</v>
      </c>
      <c r="E833" s="38" t="str">
        <f>"./images/thumbnail/"&amp;データ!B833&amp;".jpg"</f>
        <v>./images/thumbnail/.jpg</v>
      </c>
      <c r="F833" s="38" t="s">
        <v>1116</v>
      </c>
      <c r="G833" s="38" t="s">
        <v>1319</v>
      </c>
      <c r="H833" s="38">
        <f>データ!C833</f>
        <v>0</v>
      </c>
      <c r="I833" s="38" t="s">
        <v>1024</v>
      </c>
      <c r="J833" s="38" t="s">
        <v>1319</v>
      </c>
      <c r="K833" s="38">
        <f>データ!D833</f>
        <v>0</v>
      </c>
      <c r="L833" s="38" t="s">
        <v>1024</v>
      </c>
      <c r="M833" s="38" t="s">
        <v>1319</v>
      </c>
      <c r="N833" s="38">
        <f>データ!E833</f>
        <v>0</v>
      </c>
      <c r="O833" s="38" t="s">
        <v>1024</v>
      </c>
      <c r="P833" s="38" t="s">
        <v>1319</v>
      </c>
      <c r="Q833" s="38">
        <f>データ!F833</f>
        <v>0</v>
      </c>
      <c r="R833" s="38" t="s">
        <v>1024</v>
      </c>
      <c r="S833" s="38" t="s">
        <v>1319</v>
      </c>
      <c r="T833" s="39">
        <f>データ!G833</f>
        <v>0</v>
      </c>
      <c r="U833" s="40" t="s">
        <v>1024</v>
      </c>
      <c r="V833" s="40" t="s">
        <v>1319</v>
      </c>
      <c r="W833" s="39">
        <f>データ!H833</f>
        <v>0</v>
      </c>
      <c r="X833" s="40" t="s">
        <v>1024</v>
      </c>
      <c r="Y833" s="40" t="s">
        <v>1319</v>
      </c>
      <c r="Z833" s="39">
        <f>データ!I833</f>
        <v>0</v>
      </c>
      <c r="AA833" s="40" t="s">
        <v>1024</v>
      </c>
      <c r="AB833" s="40" t="s">
        <v>1319</v>
      </c>
      <c r="AC833" s="39">
        <f>データ!J833</f>
        <v>0</v>
      </c>
      <c r="AD833" s="38" t="s">
        <v>1024</v>
      </c>
      <c r="AE833" s="40" t="s">
        <v>1319</v>
      </c>
      <c r="AF833" s="39">
        <f>データ!K833</f>
        <v>0</v>
      </c>
      <c r="AG833" s="40" t="s">
        <v>1024</v>
      </c>
      <c r="AH833" s="40" t="s">
        <v>1324</v>
      </c>
      <c r="AI833" s="39">
        <f>データ!L833</f>
        <v>0</v>
      </c>
      <c r="AJ833" s="10" t="s">
        <v>1113</v>
      </c>
      <c r="AK833" s="39">
        <f>データ!M833</f>
        <v>0</v>
      </c>
      <c r="AL833" s="10" t="s">
        <v>1024</v>
      </c>
      <c r="AM833" s="40" t="s">
        <v>1324</v>
      </c>
      <c r="AN833" s="39">
        <f>データ!N833</f>
        <v>0</v>
      </c>
      <c r="AO833" s="10" t="s">
        <v>1113</v>
      </c>
      <c r="AP833" s="39">
        <f>データ!O833</f>
        <v>0</v>
      </c>
      <c r="AQ833" s="41" t="s">
        <v>1024</v>
      </c>
      <c r="AR833" s="40" t="s">
        <v>1324</v>
      </c>
      <c r="AS833" s="39">
        <f>データ!P833</f>
        <v>0</v>
      </c>
      <c r="AT833" s="10" t="s">
        <v>1113</v>
      </c>
      <c r="AU833" s="39">
        <f>データ!Q833</f>
        <v>0</v>
      </c>
      <c r="AV833" s="10" t="s">
        <v>1024</v>
      </c>
      <c r="AW833" s="40" t="s">
        <v>1324</v>
      </c>
      <c r="AX833" s="39">
        <f>データ!R833</f>
        <v>0</v>
      </c>
      <c r="AY833" s="10" t="s">
        <v>1113</v>
      </c>
      <c r="AZ833" s="39">
        <f>データ!S833</f>
        <v>0</v>
      </c>
      <c r="BA833" s="41" t="s">
        <v>1024</v>
      </c>
      <c r="BB833" s="40" t="s">
        <v>1319</v>
      </c>
      <c r="BC833" s="39">
        <f>データ!T833</f>
        <v>0</v>
      </c>
      <c r="BD833" s="41" t="s">
        <v>1024</v>
      </c>
      <c r="BE833" s="40" t="s">
        <v>1319</v>
      </c>
      <c r="BF833" s="39">
        <f>データ!U833</f>
        <v>0</v>
      </c>
      <c r="BG833" s="41" t="s">
        <v>1024</v>
      </c>
      <c r="BH833" s="40" t="s">
        <v>1319</v>
      </c>
      <c r="BI833" s="39">
        <f>データ!V833</f>
        <v>0</v>
      </c>
      <c r="BJ833" s="41" t="s">
        <v>1024</v>
      </c>
      <c r="BK833" s="10" t="s">
        <v>1019</v>
      </c>
    </row>
    <row r="834" spans="1:63" x14ac:dyDescent="0.15">
      <c r="A834" s="10" t="s">
        <v>1016</v>
      </c>
      <c r="B834" s="10" t="s">
        <v>1454</v>
      </c>
      <c r="C834" s="38" t="str">
        <f>"./images/thumbnail/"&amp;データ!B834&amp;".jpg"</f>
        <v>./images/thumbnail/.jpg</v>
      </c>
      <c r="D834" s="38" t="s">
        <v>1455</v>
      </c>
      <c r="E834" s="38" t="str">
        <f>"./images/thumbnail/"&amp;データ!B834&amp;".jpg"</f>
        <v>./images/thumbnail/.jpg</v>
      </c>
      <c r="F834" s="38" t="s">
        <v>1116</v>
      </c>
      <c r="G834" s="38" t="s">
        <v>1319</v>
      </c>
      <c r="H834" s="38">
        <f>データ!C834</f>
        <v>0</v>
      </c>
      <c r="I834" s="38" t="s">
        <v>1024</v>
      </c>
      <c r="J834" s="38" t="s">
        <v>1319</v>
      </c>
      <c r="K834" s="38">
        <f>データ!D834</f>
        <v>0</v>
      </c>
      <c r="L834" s="38" t="s">
        <v>1024</v>
      </c>
      <c r="M834" s="38" t="s">
        <v>1319</v>
      </c>
      <c r="N834" s="38">
        <f>データ!E834</f>
        <v>0</v>
      </c>
      <c r="O834" s="38" t="s">
        <v>1024</v>
      </c>
      <c r="P834" s="38" t="s">
        <v>1319</v>
      </c>
      <c r="Q834" s="38">
        <f>データ!F834</f>
        <v>0</v>
      </c>
      <c r="R834" s="38" t="s">
        <v>1024</v>
      </c>
      <c r="S834" s="38" t="s">
        <v>1319</v>
      </c>
      <c r="T834" s="39">
        <f>データ!G834</f>
        <v>0</v>
      </c>
      <c r="U834" s="40" t="s">
        <v>1024</v>
      </c>
      <c r="V834" s="40" t="s">
        <v>1319</v>
      </c>
      <c r="W834" s="39">
        <f>データ!H834</f>
        <v>0</v>
      </c>
      <c r="X834" s="40" t="s">
        <v>1024</v>
      </c>
      <c r="Y834" s="40" t="s">
        <v>1319</v>
      </c>
      <c r="Z834" s="39">
        <f>データ!I834</f>
        <v>0</v>
      </c>
      <c r="AA834" s="40" t="s">
        <v>1024</v>
      </c>
      <c r="AB834" s="40" t="s">
        <v>1319</v>
      </c>
      <c r="AC834" s="39">
        <f>データ!J834</f>
        <v>0</v>
      </c>
      <c r="AD834" s="38" t="s">
        <v>1024</v>
      </c>
      <c r="AE834" s="40" t="s">
        <v>1319</v>
      </c>
      <c r="AF834" s="39">
        <f>データ!K834</f>
        <v>0</v>
      </c>
      <c r="AG834" s="40" t="s">
        <v>1024</v>
      </c>
      <c r="AH834" s="40" t="s">
        <v>1324</v>
      </c>
      <c r="AI834" s="39">
        <f>データ!L834</f>
        <v>0</v>
      </c>
      <c r="AJ834" s="10" t="s">
        <v>1113</v>
      </c>
      <c r="AK834" s="39">
        <f>データ!M834</f>
        <v>0</v>
      </c>
      <c r="AL834" s="10" t="s">
        <v>1024</v>
      </c>
      <c r="AM834" s="40" t="s">
        <v>1324</v>
      </c>
      <c r="AN834" s="39">
        <f>データ!N834</f>
        <v>0</v>
      </c>
      <c r="AO834" s="10" t="s">
        <v>1113</v>
      </c>
      <c r="AP834" s="39">
        <f>データ!O834</f>
        <v>0</v>
      </c>
      <c r="AQ834" s="41" t="s">
        <v>1024</v>
      </c>
      <c r="AR834" s="40" t="s">
        <v>1324</v>
      </c>
      <c r="AS834" s="39">
        <f>データ!P834</f>
        <v>0</v>
      </c>
      <c r="AT834" s="10" t="s">
        <v>1113</v>
      </c>
      <c r="AU834" s="39">
        <f>データ!Q834</f>
        <v>0</v>
      </c>
      <c r="AV834" s="10" t="s">
        <v>1024</v>
      </c>
      <c r="AW834" s="40" t="s">
        <v>1324</v>
      </c>
      <c r="AX834" s="39">
        <f>データ!R834</f>
        <v>0</v>
      </c>
      <c r="AY834" s="10" t="s">
        <v>1113</v>
      </c>
      <c r="AZ834" s="39">
        <f>データ!S834</f>
        <v>0</v>
      </c>
      <c r="BA834" s="41" t="s">
        <v>1024</v>
      </c>
      <c r="BB834" s="40" t="s">
        <v>1319</v>
      </c>
      <c r="BC834" s="39">
        <f>データ!T834</f>
        <v>0</v>
      </c>
      <c r="BD834" s="41" t="s">
        <v>1024</v>
      </c>
      <c r="BE834" s="40" t="s">
        <v>1319</v>
      </c>
      <c r="BF834" s="39">
        <f>データ!U834</f>
        <v>0</v>
      </c>
      <c r="BG834" s="41" t="s">
        <v>1024</v>
      </c>
      <c r="BH834" s="40" t="s">
        <v>1319</v>
      </c>
      <c r="BI834" s="39">
        <f>データ!V834</f>
        <v>0</v>
      </c>
      <c r="BJ834" s="41" t="s">
        <v>1024</v>
      </c>
      <c r="BK834" s="10" t="s">
        <v>1019</v>
      </c>
    </row>
    <row r="835" spans="1:63" x14ac:dyDescent="0.15">
      <c r="A835" s="10" t="s">
        <v>1016</v>
      </c>
      <c r="B835" s="10" t="s">
        <v>1454</v>
      </c>
      <c r="C835" s="38" t="str">
        <f>"./images/thumbnail/"&amp;データ!B835&amp;".jpg"</f>
        <v>./images/thumbnail/.jpg</v>
      </c>
      <c r="D835" s="38" t="s">
        <v>1455</v>
      </c>
      <c r="E835" s="38" t="str">
        <f>"./images/thumbnail/"&amp;データ!B835&amp;".jpg"</f>
        <v>./images/thumbnail/.jpg</v>
      </c>
      <c r="F835" s="38" t="s">
        <v>1116</v>
      </c>
      <c r="G835" s="38" t="s">
        <v>1319</v>
      </c>
      <c r="H835" s="38">
        <f>データ!C835</f>
        <v>0</v>
      </c>
      <c r="I835" s="38" t="s">
        <v>1024</v>
      </c>
      <c r="J835" s="38" t="s">
        <v>1319</v>
      </c>
      <c r="K835" s="38">
        <f>データ!D835</f>
        <v>0</v>
      </c>
      <c r="L835" s="38" t="s">
        <v>1024</v>
      </c>
      <c r="M835" s="38" t="s">
        <v>1319</v>
      </c>
      <c r="N835" s="38">
        <f>データ!E835</f>
        <v>0</v>
      </c>
      <c r="O835" s="38" t="s">
        <v>1024</v>
      </c>
      <c r="P835" s="38" t="s">
        <v>1319</v>
      </c>
      <c r="Q835" s="38">
        <f>データ!F835</f>
        <v>0</v>
      </c>
      <c r="R835" s="38" t="s">
        <v>1024</v>
      </c>
      <c r="S835" s="38" t="s">
        <v>1319</v>
      </c>
      <c r="T835" s="39">
        <f>データ!G835</f>
        <v>0</v>
      </c>
      <c r="U835" s="40" t="s">
        <v>1024</v>
      </c>
      <c r="V835" s="40" t="s">
        <v>1319</v>
      </c>
      <c r="W835" s="39">
        <f>データ!H835</f>
        <v>0</v>
      </c>
      <c r="X835" s="40" t="s">
        <v>1024</v>
      </c>
      <c r="Y835" s="40" t="s">
        <v>1319</v>
      </c>
      <c r="Z835" s="39">
        <f>データ!I835</f>
        <v>0</v>
      </c>
      <c r="AA835" s="40" t="s">
        <v>1024</v>
      </c>
      <c r="AB835" s="40" t="s">
        <v>1319</v>
      </c>
      <c r="AC835" s="39">
        <f>データ!J835</f>
        <v>0</v>
      </c>
      <c r="AD835" s="38" t="s">
        <v>1024</v>
      </c>
      <c r="AE835" s="40" t="s">
        <v>1319</v>
      </c>
      <c r="AF835" s="39">
        <f>データ!K835</f>
        <v>0</v>
      </c>
      <c r="AG835" s="40" t="s">
        <v>1024</v>
      </c>
      <c r="AH835" s="40" t="s">
        <v>1324</v>
      </c>
      <c r="AI835" s="39">
        <f>データ!L835</f>
        <v>0</v>
      </c>
      <c r="AJ835" s="10" t="s">
        <v>1113</v>
      </c>
      <c r="AK835" s="39">
        <f>データ!M835</f>
        <v>0</v>
      </c>
      <c r="AL835" s="10" t="s">
        <v>1024</v>
      </c>
      <c r="AM835" s="40" t="s">
        <v>1324</v>
      </c>
      <c r="AN835" s="39">
        <f>データ!N835</f>
        <v>0</v>
      </c>
      <c r="AO835" s="10" t="s">
        <v>1113</v>
      </c>
      <c r="AP835" s="39">
        <f>データ!O835</f>
        <v>0</v>
      </c>
      <c r="AQ835" s="41" t="s">
        <v>1024</v>
      </c>
      <c r="AR835" s="40" t="s">
        <v>1324</v>
      </c>
      <c r="AS835" s="39">
        <f>データ!P835</f>
        <v>0</v>
      </c>
      <c r="AT835" s="10" t="s">
        <v>1113</v>
      </c>
      <c r="AU835" s="39">
        <f>データ!Q835</f>
        <v>0</v>
      </c>
      <c r="AV835" s="10" t="s">
        <v>1024</v>
      </c>
      <c r="AW835" s="40" t="s">
        <v>1324</v>
      </c>
      <c r="AX835" s="39">
        <f>データ!R835</f>
        <v>0</v>
      </c>
      <c r="AY835" s="10" t="s">
        <v>1113</v>
      </c>
      <c r="AZ835" s="39">
        <f>データ!S835</f>
        <v>0</v>
      </c>
      <c r="BA835" s="41" t="s">
        <v>1024</v>
      </c>
      <c r="BB835" s="40" t="s">
        <v>1319</v>
      </c>
      <c r="BC835" s="39">
        <f>データ!T835</f>
        <v>0</v>
      </c>
      <c r="BD835" s="41" t="s">
        <v>1024</v>
      </c>
      <c r="BE835" s="40" t="s">
        <v>1319</v>
      </c>
      <c r="BF835" s="39">
        <f>データ!U835</f>
        <v>0</v>
      </c>
      <c r="BG835" s="41" t="s">
        <v>1024</v>
      </c>
      <c r="BH835" s="40" t="s">
        <v>1319</v>
      </c>
      <c r="BI835" s="39">
        <f>データ!V835</f>
        <v>0</v>
      </c>
      <c r="BJ835" s="41" t="s">
        <v>1024</v>
      </c>
      <c r="BK835" s="10" t="s">
        <v>1019</v>
      </c>
    </row>
    <row r="836" spans="1:63" x14ac:dyDescent="0.15">
      <c r="A836" s="10" t="s">
        <v>1016</v>
      </c>
      <c r="B836" s="10" t="s">
        <v>1454</v>
      </c>
      <c r="C836" s="38" t="str">
        <f>"./images/thumbnail/"&amp;データ!B836&amp;".jpg"</f>
        <v>./images/thumbnail/.jpg</v>
      </c>
      <c r="D836" s="38" t="s">
        <v>1455</v>
      </c>
      <c r="E836" s="38" t="str">
        <f>"./images/thumbnail/"&amp;データ!B836&amp;".jpg"</f>
        <v>./images/thumbnail/.jpg</v>
      </c>
      <c r="F836" s="38" t="s">
        <v>1116</v>
      </c>
      <c r="G836" s="38" t="s">
        <v>1319</v>
      </c>
      <c r="H836" s="38">
        <f>データ!C836</f>
        <v>0</v>
      </c>
      <c r="I836" s="38" t="s">
        <v>1024</v>
      </c>
      <c r="J836" s="38" t="s">
        <v>1319</v>
      </c>
      <c r="K836" s="38">
        <f>データ!D836</f>
        <v>0</v>
      </c>
      <c r="L836" s="38" t="s">
        <v>1024</v>
      </c>
      <c r="M836" s="38" t="s">
        <v>1319</v>
      </c>
      <c r="N836" s="38">
        <f>データ!E836</f>
        <v>0</v>
      </c>
      <c r="O836" s="38" t="s">
        <v>1024</v>
      </c>
      <c r="P836" s="38" t="s">
        <v>1319</v>
      </c>
      <c r="Q836" s="38">
        <f>データ!F836</f>
        <v>0</v>
      </c>
      <c r="R836" s="38" t="s">
        <v>1024</v>
      </c>
      <c r="S836" s="38" t="s">
        <v>1319</v>
      </c>
      <c r="T836" s="39">
        <f>データ!G836</f>
        <v>0</v>
      </c>
      <c r="U836" s="40" t="s">
        <v>1024</v>
      </c>
      <c r="V836" s="40" t="s">
        <v>1319</v>
      </c>
      <c r="W836" s="39">
        <f>データ!H836</f>
        <v>0</v>
      </c>
      <c r="X836" s="40" t="s">
        <v>1024</v>
      </c>
      <c r="Y836" s="40" t="s">
        <v>1319</v>
      </c>
      <c r="Z836" s="39">
        <f>データ!I836</f>
        <v>0</v>
      </c>
      <c r="AA836" s="40" t="s">
        <v>1024</v>
      </c>
      <c r="AB836" s="40" t="s">
        <v>1319</v>
      </c>
      <c r="AC836" s="39">
        <f>データ!J836</f>
        <v>0</v>
      </c>
      <c r="AD836" s="38" t="s">
        <v>1024</v>
      </c>
      <c r="AE836" s="40" t="s">
        <v>1319</v>
      </c>
      <c r="AF836" s="39">
        <f>データ!K836</f>
        <v>0</v>
      </c>
      <c r="AG836" s="40" t="s">
        <v>1024</v>
      </c>
      <c r="AH836" s="40" t="s">
        <v>1324</v>
      </c>
      <c r="AI836" s="39">
        <f>データ!L836</f>
        <v>0</v>
      </c>
      <c r="AJ836" s="10" t="s">
        <v>1113</v>
      </c>
      <c r="AK836" s="39">
        <f>データ!M836</f>
        <v>0</v>
      </c>
      <c r="AL836" s="10" t="s">
        <v>1024</v>
      </c>
      <c r="AM836" s="40" t="s">
        <v>1324</v>
      </c>
      <c r="AN836" s="39">
        <f>データ!N836</f>
        <v>0</v>
      </c>
      <c r="AO836" s="10" t="s">
        <v>1113</v>
      </c>
      <c r="AP836" s="39">
        <f>データ!O836</f>
        <v>0</v>
      </c>
      <c r="AQ836" s="41" t="s">
        <v>1024</v>
      </c>
      <c r="AR836" s="40" t="s">
        <v>1324</v>
      </c>
      <c r="AS836" s="39">
        <f>データ!P836</f>
        <v>0</v>
      </c>
      <c r="AT836" s="10" t="s">
        <v>1113</v>
      </c>
      <c r="AU836" s="39">
        <f>データ!Q836</f>
        <v>0</v>
      </c>
      <c r="AV836" s="10" t="s">
        <v>1024</v>
      </c>
      <c r="AW836" s="40" t="s">
        <v>1324</v>
      </c>
      <c r="AX836" s="39">
        <f>データ!R836</f>
        <v>0</v>
      </c>
      <c r="AY836" s="10" t="s">
        <v>1113</v>
      </c>
      <c r="AZ836" s="39">
        <f>データ!S836</f>
        <v>0</v>
      </c>
      <c r="BA836" s="41" t="s">
        <v>1024</v>
      </c>
      <c r="BB836" s="40" t="s">
        <v>1319</v>
      </c>
      <c r="BC836" s="39">
        <f>データ!T836</f>
        <v>0</v>
      </c>
      <c r="BD836" s="41" t="s">
        <v>1024</v>
      </c>
      <c r="BE836" s="40" t="s">
        <v>1319</v>
      </c>
      <c r="BF836" s="39">
        <f>データ!U836</f>
        <v>0</v>
      </c>
      <c r="BG836" s="41" t="s">
        <v>1024</v>
      </c>
      <c r="BH836" s="40" t="s">
        <v>1319</v>
      </c>
      <c r="BI836" s="39">
        <f>データ!V836</f>
        <v>0</v>
      </c>
      <c r="BJ836" s="41" t="s">
        <v>1024</v>
      </c>
      <c r="BK836" s="10" t="s">
        <v>1019</v>
      </c>
    </row>
    <row r="837" spans="1:63" x14ac:dyDescent="0.15">
      <c r="A837" s="10" t="s">
        <v>1016</v>
      </c>
      <c r="B837" s="10" t="s">
        <v>1454</v>
      </c>
      <c r="C837" s="38" t="str">
        <f>"./images/thumbnail/"&amp;データ!B837&amp;".jpg"</f>
        <v>./images/thumbnail/.jpg</v>
      </c>
      <c r="D837" s="38" t="s">
        <v>1455</v>
      </c>
      <c r="E837" s="38" t="str">
        <f>"./images/thumbnail/"&amp;データ!B837&amp;".jpg"</f>
        <v>./images/thumbnail/.jpg</v>
      </c>
      <c r="F837" s="38" t="s">
        <v>1116</v>
      </c>
      <c r="G837" s="38" t="s">
        <v>1319</v>
      </c>
      <c r="H837" s="38">
        <f>データ!C837</f>
        <v>0</v>
      </c>
      <c r="I837" s="38" t="s">
        <v>1024</v>
      </c>
      <c r="J837" s="38" t="s">
        <v>1319</v>
      </c>
      <c r="K837" s="38">
        <f>データ!D837</f>
        <v>0</v>
      </c>
      <c r="L837" s="38" t="s">
        <v>1024</v>
      </c>
      <c r="M837" s="38" t="s">
        <v>1319</v>
      </c>
      <c r="N837" s="38">
        <f>データ!E837</f>
        <v>0</v>
      </c>
      <c r="O837" s="38" t="s">
        <v>1024</v>
      </c>
      <c r="P837" s="38" t="s">
        <v>1319</v>
      </c>
      <c r="Q837" s="38">
        <f>データ!F837</f>
        <v>0</v>
      </c>
      <c r="R837" s="38" t="s">
        <v>1024</v>
      </c>
      <c r="S837" s="38" t="s">
        <v>1319</v>
      </c>
      <c r="T837" s="39">
        <f>データ!G837</f>
        <v>0</v>
      </c>
      <c r="U837" s="40" t="s">
        <v>1024</v>
      </c>
      <c r="V837" s="40" t="s">
        <v>1319</v>
      </c>
      <c r="W837" s="39">
        <f>データ!H837</f>
        <v>0</v>
      </c>
      <c r="X837" s="40" t="s">
        <v>1024</v>
      </c>
      <c r="Y837" s="40" t="s">
        <v>1319</v>
      </c>
      <c r="Z837" s="39">
        <f>データ!I837</f>
        <v>0</v>
      </c>
      <c r="AA837" s="40" t="s">
        <v>1024</v>
      </c>
      <c r="AB837" s="40" t="s">
        <v>1319</v>
      </c>
      <c r="AC837" s="39">
        <f>データ!J837</f>
        <v>0</v>
      </c>
      <c r="AD837" s="38" t="s">
        <v>1024</v>
      </c>
      <c r="AE837" s="40" t="s">
        <v>1319</v>
      </c>
      <c r="AF837" s="39">
        <f>データ!K837</f>
        <v>0</v>
      </c>
      <c r="AG837" s="40" t="s">
        <v>1024</v>
      </c>
      <c r="AH837" s="40" t="s">
        <v>1324</v>
      </c>
      <c r="AI837" s="39">
        <f>データ!L837</f>
        <v>0</v>
      </c>
      <c r="AJ837" s="10" t="s">
        <v>1113</v>
      </c>
      <c r="AK837" s="39">
        <f>データ!M837</f>
        <v>0</v>
      </c>
      <c r="AL837" s="10" t="s">
        <v>1024</v>
      </c>
      <c r="AM837" s="40" t="s">
        <v>1324</v>
      </c>
      <c r="AN837" s="39">
        <f>データ!N837</f>
        <v>0</v>
      </c>
      <c r="AO837" s="10" t="s">
        <v>1113</v>
      </c>
      <c r="AP837" s="39">
        <f>データ!O837</f>
        <v>0</v>
      </c>
      <c r="AQ837" s="41" t="s">
        <v>1024</v>
      </c>
      <c r="AR837" s="40" t="s">
        <v>1324</v>
      </c>
      <c r="AS837" s="39">
        <f>データ!P837</f>
        <v>0</v>
      </c>
      <c r="AT837" s="10" t="s">
        <v>1113</v>
      </c>
      <c r="AU837" s="39">
        <f>データ!Q837</f>
        <v>0</v>
      </c>
      <c r="AV837" s="10" t="s">
        <v>1024</v>
      </c>
      <c r="AW837" s="40" t="s">
        <v>1324</v>
      </c>
      <c r="AX837" s="39">
        <f>データ!R837</f>
        <v>0</v>
      </c>
      <c r="AY837" s="10" t="s">
        <v>1113</v>
      </c>
      <c r="AZ837" s="39">
        <f>データ!S837</f>
        <v>0</v>
      </c>
      <c r="BA837" s="41" t="s">
        <v>1024</v>
      </c>
      <c r="BB837" s="40" t="s">
        <v>1319</v>
      </c>
      <c r="BC837" s="39">
        <f>データ!T837</f>
        <v>0</v>
      </c>
      <c r="BD837" s="41" t="s">
        <v>1024</v>
      </c>
      <c r="BE837" s="40" t="s">
        <v>1319</v>
      </c>
      <c r="BF837" s="39">
        <f>データ!U837</f>
        <v>0</v>
      </c>
      <c r="BG837" s="41" t="s">
        <v>1024</v>
      </c>
      <c r="BH837" s="40" t="s">
        <v>1319</v>
      </c>
      <c r="BI837" s="39">
        <f>データ!V837</f>
        <v>0</v>
      </c>
      <c r="BJ837" s="41" t="s">
        <v>1024</v>
      </c>
      <c r="BK837" s="10" t="s">
        <v>1019</v>
      </c>
    </row>
    <row r="838" spans="1:63" x14ac:dyDescent="0.15">
      <c r="A838" s="10" t="s">
        <v>1016</v>
      </c>
      <c r="B838" s="10" t="s">
        <v>1454</v>
      </c>
      <c r="C838" s="38" t="str">
        <f>"./images/thumbnail/"&amp;データ!B838&amp;".jpg"</f>
        <v>./images/thumbnail/.jpg</v>
      </c>
      <c r="D838" s="38" t="s">
        <v>1455</v>
      </c>
      <c r="E838" s="38" t="str">
        <f>"./images/thumbnail/"&amp;データ!B838&amp;".jpg"</f>
        <v>./images/thumbnail/.jpg</v>
      </c>
      <c r="F838" s="38" t="s">
        <v>1116</v>
      </c>
      <c r="G838" s="38" t="s">
        <v>1319</v>
      </c>
      <c r="H838" s="38">
        <f>データ!C838</f>
        <v>0</v>
      </c>
      <c r="I838" s="38" t="s">
        <v>1024</v>
      </c>
      <c r="J838" s="38" t="s">
        <v>1319</v>
      </c>
      <c r="K838" s="38">
        <f>データ!D838</f>
        <v>0</v>
      </c>
      <c r="L838" s="38" t="s">
        <v>1024</v>
      </c>
      <c r="M838" s="38" t="s">
        <v>1319</v>
      </c>
      <c r="N838" s="38">
        <f>データ!E838</f>
        <v>0</v>
      </c>
      <c r="O838" s="38" t="s">
        <v>1024</v>
      </c>
      <c r="P838" s="38" t="s">
        <v>1319</v>
      </c>
      <c r="Q838" s="38">
        <f>データ!F838</f>
        <v>0</v>
      </c>
      <c r="R838" s="38" t="s">
        <v>1024</v>
      </c>
      <c r="S838" s="38" t="s">
        <v>1319</v>
      </c>
      <c r="T838" s="39">
        <f>データ!G838</f>
        <v>0</v>
      </c>
      <c r="U838" s="40" t="s">
        <v>1024</v>
      </c>
      <c r="V838" s="40" t="s">
        <v>1319</v>
      </c>
      <c r="W838" s="39">
        <f>データ!H838</f>
        <v>0</v>
      </c>
      <c r="X838" s="40" t="s">
        <v>1024</v>
      </c>
      <c r="Y838" s="40" t="s">
        <v>1319</v>
      </c>
      <c r="Z838" s="39">
        <f>データ!I838</f>
        <v>0</v>
      </c>
      <c r="AA838" s="40" t="s">
        <v>1024</v>
      </c>
      <c r="AB838" s="40" t="s">
        <v>1319</v>
      </c>
      <c r="AC838" s="39">
        <f>データ!J838</f>
        <v>0</v>
      </c>
      <c r="AD838" s="38" t="s">
        <v>1024</v>
      </c>
      <c r="AE838" s="40" t="s">
        <v>1319</v>
      </c>
      <c r="AF838" s="39">
        <f>データ!K838</f>
        <v>0</v>
      </c>
      <c r="AG838" s="40" t="s">
        <v>1024</v>
      </c>
      <c r="AH838" s="40" t="s">
        <v>1324</v>
      </c>
      <c r="AI838" s="39">
        <f>データ!L838</f>
        <v>0</v>
      </c>
      <c r="AJ838" s="10" t="s">
        <v>1113</v>
      </c>
      <c r="AK838" s="39">
        <f>データ!M838</f>
        <v>0</v>
      </c>
      <c r="AL838" s="10" t="s">
        <v>1024</v>
      </c>
      <c r="AM838" s="40" t="s">
        <v>1324</v>
      </c>
      <c r="AN838" s="39">
        <f>データ!N838</f>
        <v>0</v>
      </c>
      <c r="AO838" s="10" t="s">
        <v>1113</v>
      </c>
      <c r="AP838" s="39">
        <f>データ!O838</f>
        <v>0</v>
      </c>
      <c r="AQ838" s="41" t="s">
        <v>1024</v>
      </c>
      <c r="AR838" s="40" t="s">
        <v>1324</v>
      </c>
      <c r="AS838" s="39">
        <f>データ!P838</f>
        <v>0</v>
      </c>
      <c r="AT838" s="10" t="s">
        <v>1113</v>
      </c>
      <c r="AU838" s="39">
        <f>データ!Q838</f>
        <v>0</v>
      </c>
      <c r="AV838" s="10" t="s">
        <v>1024</v>
      </c>
      <c r="AW838" s="40" t="s">
        <v>1324</v>
      </c>
      <c r="AX838" s="39">
        <f>データ!R838</f>
        <v>0</v>
      </c>
      <c r="AY838" s="10" t="s">
        <v>1113</v>
      </c>
      <c r="AZ838" s="39">
        <f>データ!S838</f>
        <v>0</v>
      </c>
      <c r="BA838" s="41" t="s">
        <v>1024</v>
      </c>
      <c r="BB838" s="40" t="s">
        <v>1319</v>
      </c>
      <c r="BC838" s="39">
        <f>データ!T838</f>
        <v>0</v>
      </c>
      <c r="BD838" s="41" t="s">
        <v>1024</v>
      </c>
      <c r="BE838" s="40" t="s">
        <v>1319</v>
      </c>
      <c r="BF838" s="39">
        <f>データ!U838</f>
        <v>0</v>
      </c>
      <c r="BG838" s="41" t="s">
        <v>1024</v>
      </c>
      <c r="BH838" s="40" t="s">
        <v>1319</v>
      </c>
      <c r="BI838" s="39">
        <f>データ!V838</f>
        <v>0</v>
      </c>
      <c r="BJ838" s="41" t="s">
        <v>1024</v>
      </c>
      <c r="BK838" s="10" t="s">
        <v>1019</v>
      </c>
    </row>
    <row r="839" spans="1:63" x14ac:dyDescent="0.15">
      <c r="A839" s="10" t="s">
        <v>1016</v>
      </c>
      <c r="B839" s="10" t="s">
        <v>1454</v>
      </c>
      <c r="C839" s="38" t="str">
        <f>"./images/thumbnail/"&amp;データ!B839&amp;".jpg"</f>
        <v>./images/thumbnail/.jpg</v>
      </c>
      <c r="D839" s="38" t="s">
        <v>1455</v>
      </c>
      <c r="E839" s="38" t="str">
        <f>"./images/thumbnail/"&amp;データ!B839&amp;".jpg"</f>
        <v>./images/thumbnail/.jpg</v>
      </c>
      <c r="F839" s="38" t="s">
        <v>1116</v>
      </c>
      <c r="G839" s="38" t="s">
        <v>1319</v>
      </c>
      <c r="H839" s="38">
        <f>データ!C839</f>
        <v>0</v>
      </c>
      <c r="I839" s="38" t="s">
        <v>1024</v>
      </c>
      <c r="J839" s="38" t="s">
        <v>1319</v>
      </c>
      <c r="K839" s="38">
        <f>データ!D839</f>
        <v>0</v>
      </c>
      <c r="L839" s="38" t="s">
        <v>1024</v>
      </c>
      <c r="M839" s="38" t="s">
        <v>1319</v>
      </c>
      <c r="N839" s="38">
        <f>データ!E839</f>
        <v>0</v>
      </c>
      <c r="O839" s="38" t="s">
        <v>1024</v>
      </c>
      <c r="P839" s="38" t="s">
        <v>1319</v>
      </c>
      <c r="Q839" s="38">
        <f>データ!F839</f>
        <v>0</v>
      </c>
      <c r="R839" s="38" t="s">
        <v>1024</v>
      </c>
      <c r="S839" s="38" t="s">
        <v>1319</v>
      </c>
      <c r="T839" s="39">
        <f>データ!G839</f>
        <v>0</v>
      </c>
      <c r="U839" s="40" t="s">
        <v>1024</v>
      </c>
      <c r="V839" s="40" t="s">
        <v>1319</v>
      </c>
      <c r="W839" s="39">
        <f>データ!H839</f>
        <v>0</v>
      </c>
      <c r="X839" s="40" t="s">
        <v>1024</v>
      </c>
      <c r="Y839" s="40" t="s">
        <v>1319</v>
      </c>
      <c r="Z839" s="39">
        <f>データ!I839</f>
        <v>0</v>
      </c>
      <c r="AA839" s="40" t="s">
        <v>1024</v>
      </c>
      <c r="AB839" s="40" t="s">
        <v>1319</v>
      </c>
      <c r="AC839" s="39">
        <f>データ!J839</f>
        <v>0</v>
      </c>
      <c r="AD839" s="38" t="s">
        <v>1024</v>
      </c>
      <c r="AE839" s="40" t="s">
        <v>1319</v>
      </c>
      <c r="AF839" s="39">
        <f>データ!K839</f>
        <v>0</v>
      </c>
      <c r="AG839" s="40" t="s">
        <v>1024</v>
      </c>
      <c r="AH839" s="40" t="s">
        <v>1324</v>
      </c>
      <c r="AI839" s="39">
        <f>データ!L839</f>
        <v>0</v>
      </c>
      <c r="AJ839" s="10" t="s">
        <v>1113</v>
      </c>
      <c r="AK839" s="39">
        <f>データ!M839</f>
        <v>0</v>
      </c>
      <c r="AL839" s="10" t="s">
        <v>1024</v>
      </c>
      <c r="AM839" s="40" t="s">
        <v>1324</v>
      </c>
      <c r="AN839" s="39">
        <f>データ!N839</f>
        <v>0</v>
      </c>
      <c r="AO839" s="10" t="s">
        <v>1113</v>
      </c>
      <c r="AP839" s="39">
        <f>データ!O839</f>
        <v>0</v>
      </c>
      <c r="AQ839" s="41" t="s">
        <v>1024</v>
      </c>
      <c r="AR839" s="40" t="s">
        <v>1324</v>
      </c>
      <c r="AS839" s="39">
        <f>データ!P839</f>
        <v>0</v>
      </c>
      <c r="AT839" s="10" t="s">
        <v>1113</v>
      </c>
      <c r="AU839" s="39">
        <f>データ!Q839</f>
        <v>0</v>
      </c>
      <c r="AV839" s="10" t="s">
        <v>1024</v>
      </c>
      <c r="AW839" s="40" t="s">
        <v>1324</v>
      </c>
      <c r="AX839" s="39">
        <f>データ!R839</f>
        <v>0</v>
      </c>
      <c r="AY839" s="10" t="s">
        <v>1113</v>
      </c>
      <c r="AZ839" s="39">
        <f>データ!S839</f>
        <v>0</v>
      </c>
      <c r="BA839" s="41" t="s">
        <v>1024</v>
      </c>
      <c r="BB839" s="40" t="s">
        <v>1319</v>
      </c>
      <c r="BC839" s="39">
        <f>データ!T839</f>
        <v>0</v>
      </c>
      <c r="BD839" s="41" t="s">
        <v>1024</v>
      </c>
      <c r="BE839" s="40" t="s">
        <v>1319</v>
      </c>
      <c r="BF839" s="39">
        <f>データ!U839</f>
        <v>0</v>
      </c>
      <c r="BG839" s="41" t="s">
        <v>1024</v>
      </c>
      <c r="BH839" s="40" t="s">
        <v>1319</v>
      </c>
      <c r="BI839" s="39">
        <f>データ!V839</f>
        <v>0</v>
      </c>
      <c r="BJ839" s="41" t="s">
        <v>1024</v>
      </c>
      <c r="BK839" s="10" t="s">
        <v>1019</v>
      </c>
    </row>
    <row r="840" spans="1:63" x14ac:dyDescent="0.15">
      <c r="A840" s="10" t="s">
        <v>1016</v>
      </c>
      <c r="B840" s="10" t="s">
        <v>1454</v>
      </c>
      <c r="C840" s="38" t="str">
        <f>"./images/thumbnail/"&amp;データ!B840&amp;".jpg"</f>
        <v>./images/thumbnail/.jpg</v>
      </c>
      <c r="D840" s="38" t="s">
        <v>1455</v>
      </c>
      <c r="E840" s="38" t="str">
        <f>"./images/thumbnail/"&amp;データ!B840&amp;".jpg"</f>
        <v>./images/thumbnail/.jpg</v>
      </c>
      <c r="F840" s="38" t="s">
        <v>1116</v>
      </c>
      <c r="G840" s="38" t="s">
        <v>1319</v>
      </c>
      <c r="H840" s="38">
        <f>データ!C840</f>
        <v>0</v>
      </c>
      <c r="I840" s="38" t="s">
        <v>1024</v>
      </c>
      <c r="J840" s="38" t="s">
        <v>1319</v>
      </c>
      <c r="K840" s="38">
        <f>データ!D840</f>
        <v>0</v>
      </c>
      <c r="L840" s="38" t="s">
        <v>1024</v>
      </c>
      <c r="M840" s="38" t="s">
        <v>1319</v>
      </c>
      <c r="N840" s="38">
        <f>データ!E840</f>
        <v>0</v>
      </c>
      <c r="O840" s="38" t="s">
        <v>1024</v>
      </c>
      <c r="P840" s="38" t="s">
        <v>1319</v>
      </c>
      <c r="Q840" s="38">
        <f>データ!F840</f>
        <v>0</v>
      </c>
      <c r="R840" s="38" t="s">
        <v>1024</v>
      </c>
      <c r="S840" s="38" t="s">
        <v>1319</v>
      </c>
      <c r="T840" s="39">
        <f>データ!G840</f>
        <v>0</v>
      </c>
      <c r="U840" s="40" t="s">
        <v>1024</v>
      </c>
      <c r="V840" s="40" t="s">
        <v>1319</v>
      </c>
      <c r="W840" s="39">
        <f>データ!H840</f>
        <v>0</v>
      </c>
      <c r="X840" s="40" t="s">
        <v>1024</v>
      </c>
      <c r="Y840" s="40" t="s">
        <v>1319</v>
      </c>
      <c r="Z840" s="39">
        <f>データ!I840</f>
        <v>0</v>
      </c>
      <c r="AA840" s="40" t="s">
        <v>1024</v>
      </c>
      <c r="AB840" s="40" t="s">
        <v>1319</v>
      </c>
      <c r="AC840" s="39">
        <f>データ!J840</f>
        <v>0</v>
      </c>
      <c r="AD840" s="38" t="s">
        <v>1024</v>
      </c>
      <c r="AE840" s="40" t="s">
        <v>1319</v>
      </c>
      <c r="AF840" s="39">
        <f>データ!K840</f>
        <v>0</v>
      </c>
      <c r="AG840" s="40" t="s">
        <v>1024</v>
      </c>
      <c r="AH840" s="40" t="s">
        <v>1324</v>
      </c>
      <c r="AI840" s="39">
        <f>データ!L840</f>
        <v>0</v>
      </c>
      <c r="AJ840" s="10" t="s">
        <v>1113</v>
      </c>
      <c r="AK840" s="39">
        <f>データ!M840</f>
        <v>0</v>
      </c>
      <c r="AL840" s="10" t="s">
        <v>1024</v>
      </c>
      <c r="AM840" s="40" t="s">
        <v>1324</v>
      </c>
      <c r="AN840" s="39">
        <f>データ!N840</f>
        <v>0</v>
      </c>
      <c r="AO840" s="10" t="s">
        <v>1113</v>
      </c>
      <c r="AP840" s="39">
        <f>データ!O840</f>
        <v>0</v>
      </c>
      <c r="AQ840" s="41" t="s">
        <v>1024</v>
      </c>
      <c r="AR840" s="40" t="s">
        <v>1324</v>
      </c>
      <c r="AS840" s="39">
        <f>データ!P840</f>
        <v>0</v>
      </c>
      <c r="AT840" s="10" t="s">
        <v>1113</v>
      </c>
      <c r="AU840" s="39">
        <f>データ!Q840</f>
        <v>0</v>
      </c>
      <c r="AV840" s="10" t="s">
        <v>1024</v>
      </c>
      <c r="AW840" s="40" t="s">
        <v>1324</v>
      </c>
      <c r="AX840" s="39">
        <f>データ!R840</f>
        <v>0</v>
      </c>
      <c r="AY840" s="10" t="s">
        <v>1113</v>
      </c>
      <c r="AZ840" s="39">
        <f>データ!S840</f>
        <v>0</v>
      </c>
      <c r="BA840" s="41" t="s">
        <v>1024</v>
      </c>
      <c r="BB840" s="40" t="s">
        <v>1319</v>
      </c>
      <c r="BC840" s="39">
        <f>データ!T840</f>
        <v>0</v>
      </c>
      <c r="BD840" s="41" t="s">
        <v>1024</v>
      </c>
      <c r="BE840" s="40" t="s">
        <v>1319</v>
      </c>
      <c r="BF840" s="39">
        <f>データ!U840</f>
        <v>0</v>
      </c>
      <c r="BG840" s="41" t="s">
        <v>1024</v>
      </c>
      <c r="BH840" s="40" t="s">
        <v>1319</v>
      </c>
      <c r="BI840" s="39">
        <f>データ!V840</f>
        <v>0</v>
      </c>
      <c r="BJ840" s="41" t="s">
        <v>1024</v>
      </c>
      <c r="BK840" s="10" t="s">
        <v>1019</v>
      </c>
    </row>
    <row r="841" spans="1:63" x14ac:dyDescent="0.15">
      <c r="A841" s="10" t="s">
        <v>1016</v>
      </c>
      <c r="B841" s="10" t="s">
        <v>1454</v>
      </c>
      <c r="C841" s="38" t="str">
        <f>"./images/thumbnail/"&amp;データ!B841&amp;".jpg"</f>
        <v>./images/thumbnail/.jpg</v>
      </c>
      <c r="D841" s="38" t="s">
        <v>1455</v>
      </c>
      <c r="E841" s="38" t="str">
        <f>"./images/thumbnail/"&amp;データ!B841&amp;".jpg"</f>
        <v>./images/thumbnail/.jpg</v>
      </c>
      <c r="F841" s="38" t="s">
        <v>1116</v>
      </c>
      <c r="G841" s="38" t="s">
        <v>1319</v>
      </c>
      <c r="H841" s="38">
        <f>データ!C841</f>
        <v>0</v>
      </c>
      <c r="I841" s="38" t="s">
        <v>1024</v>
      </c>
      <c r="J841" s="38" t="s">
        <v>1319</v>
      </c>
      <c r="K841" s="38">
        <f>データ!D841</f>
        <v>0</v>
      </c>
      <c r="L841" s="38" t="s">
        <v>1024</v>
      </c>
      <c r="M841" s="38" t="s">
        <v>1319</v>
      </c>
      <c r="N841" s="38">
        <f>データ!E841</f>
        <v>0</v>
      </c>
      <c r="O841" s="38" t="s">
        <v>1024</v>
      </c>
      <c r="P841" s="38" t="s">
        <v>1319</v>
      </c>
      <c r="Q841" s="38">
        <f>データ!F841</f>
        <v>0</v>
      </c>
      <c r="R841" s="38" t="s">
        <v>1024</v>
      </c>
      <c r="S841" s="38" t="s">
        <v>1319</v>
      </c>
      <c r="T841" s="39">
        <f>データ!G841</f>
        <v>0</v>
      </c>
      <c r="U841" s="40" t="s">
        <v>1024</v>
      </c>
      <c r="V841" s="40" t="s">
        <v>1319</v>
      </c>
      <c r="W841" s="39">
        <f>データ!H841</f>
        <v>0</v>
      </c>
      <c r="X841" s="40" t="s">
        <v>1024</v>
      </c>
      <c r="Y841" s="40" t="s">
        <v>1319</v>
      </c>
      <c r="Z841" s="39">
        <f>データ!I841</f>
        <v>0</v>
      </c>
      <c r="AA841" s="40" t="s">
        <v>1024</v>
      </c>
      <c r="AB841" s="40" t="s">
        <v>1319</v>
      </c>
      <c r="AC841" s="39">
        <f>データ!J841</f>
        <v>0</v>
      </c>
      <c r="AD841" s="38" t="s">
        <v>1024</v>
      </c>
      <c r="AE841" s="40" t="s">
        <v>1319</v>
      </c>
      <c r="AF841" s="39">
        <f>データ!K841</f>
        <v>0</v>
      </c>
      <c r="AG841" s="40" t="s">
        <v>1024</v>
      </c>
      <c r="AH841" s="40" t="s">
        <v>1324</v>
      </c>
      <c r="AI841" s="39">
        <f>データ!L841</f>
        <v>0</v>
      </c>
      <c r="AJ841" s="10" t="s">
        <v>1113</v>
      </c>
      <c r="AK841" s="39">
        <f>データ!M841</f>
        <v>0</v>
      </c>
      <c r="AL841" s="10" t="s">
        <v>1024</v>
      </c>
      <c r="AM841" s="40" t="s">
        <v>1324</v>
      </c>
      <c r="AN841" s="39">
        <f>データ!N841</f>
        <v>0</v>
      </c>
      <c r="AO841" s="10" t="s">
        <v>1113</v>
      </c>
      <c r="AP841" s="39">
        <f>データ!O841</f>
        <v>0</v>
      </c>
      <c r="AQ841" s="41" t="s">
        <v>1024</v>
      </c>
      <c r="AR841" s="40" t="s">
        <v>1324</v>
      </c>
      <c r="AS841" s="39">
        <f>データ!P841</f>
        <v>0</v>
      </c>
      <c r="AT841" s="10" t="s">
        <v>1113</v>
      </c>
      <c r="AU841" s="39">
        <f>データ!Q841</f>
        <v>0</v>
      </c>
      <c r="AV841" s="10" t="s">
        <v>1024</v>
      </c>
      <c r="AW841" s="40" t="s">
        <v>1324</v>
      </c>
      <c r="AX841" s="39">
        <f>データ!R841</f>
        <v>0</v>
      </c>
      <c r="AY841" s="10" t="s">
        <v>1113</v>
      </c>
      <c r="AZ841" s="39">
        <f>データ!S841</f>
        <v>0</v>
      </c>
      <c r="BA841" s="41" t="s">
        <v>1024</v>
      </c>
      <c r="BB841" s="40" t="s">
        <v>1319</v>
      </c>
      <c r="BC841" s="39">
        <f>データ!T841</f>
        <v>0</v>
      </c>
      <c r="BD841" s="41" t="s">
        <v>1024</v>
      </c>
      <c r="BE841" s="40" t="s">
        <v>1319</v>
      </c>
      <c r="BF841" s="39">
        <f>データ!U841</f>
        <v>0</v>
      </c>
      <c r="BG841" s="41" t="s">
        <v>1024</v>
      </c>
      <c r="BH841" s="40" t="s">
        <v>1319</v>
      </c>
      <c r="BI841" s="39">
        <f>データ!V841</f>
        <v>0</v>
      </c>
      <c r="BJ841" s="41" t="s">
        <v>1024</v>
      </c>
      <c r="BK841" s="10" t="s">
        <v>1019</v>
      </c>
    </row>
    <row r="842" spans="1:63" x14ac:dyDescent="0.15">
      <c r="A842" s="10" t="s">
        <v>1016</v>
      </c>
      <c r="B842" s="10" t="s">
        <v>1454</v>
      </c>
      <c r="C842" s="38" t="str">
        <f>"./images/thumbnail/"&amp;データ!B842&amp;".jpg"</f>
        <v>./images/thumbnail/.jpg</v>
      </c>
      <c r="D842" s="38" t="s">
        <v>1455</v>
      </c>
      <c r="E842" s="38" t="str">
        <f>"./images/thumbnail/"&amp;データ!B842&amp;".jpg"</f>
        <v>./images/thumbnail/.jpg</v>
      </c>
      <c r="F842" s="38" t="s">
        <v>1116</v>
      </c>
      <c r="G842" s="38" t="s">
        <v>1319</v>
      </c>
      <c r="H842" s="38">
        <f>データ!C842</f>
        <v>0</v>
      </c>
      <c r="I842" s="38" t="s">
        <v>1024</v>
      </c>
      <c r="J842" s="38" t="s">
        <v>1319</v>
      </c>
      <c r="K842" s="38">
        <f>データ!D842</f>
        <v>0</v>
      </c>
      <c r="L842" s="38" t="s">
        <v>1024</v>
      </c>
      <c r="M842" s="38" t="s">
        <v>1319</v>
      </c>
      <c r="N842" s="38">
        <f>データ!E842</f>
        <v>0</v>
      </c>
      <c r="O842" s="38" t="s">
        <v>1024</v>
      </c>
      <c r="P842" s="38" t="s">
        <v>1319</v>
      </c>
      <c r="Q842" s="38">
        <f>データ!F842</f>
        <v>0</v>
      </c>
      <c r="R842" s="38" t="s">
        <v>1024</v>
      </c>
      <c r="S842" s="38" t="s">
        <v>1319</v>
      </c>
      <c r="T842" s="39">
        <f>データ!G842</f>
        <v>0</v>
      </c>
      <c r="U842" s="40" t="s">
        <v>1024</v>
      </c>
      <c r="V842" s="40" t="s">
        <v>1319</v>
      </c>
      <c r="W842" s="39">
        <f>データ!H842</f>
        <v>0</v>
      </c>
      <c r="X842" s="40" t="s">
        <v>1024</v>
      </c>
      <c r="Y842" s="40" t="s">
        <v>1319</v>
      </c>
      <c r="Z842" s="39">
        <f>データ!I842</f>
        <v>0</v>
      </c>
      <c r="AA842" s="40" t="s">
        <v>1024</v>
      </c>
      <c r="AB842" s="40" t="s">
        <v>1319</v>
      </c>
      <c r="AC842" s="39">
        <f>データ!J842</f>
        <v>0</v>
      </c>
      <c r="AD842" s="38" t="s">
        <v>1024</v>
      </c>
      <c r="AE842" s="40" t="s">
        <v>1319</v>
      </c>
      <c r="AF842" s="39">
        <f>データ!K842</f>
        <v>0</v>
      </c>
      <c r="AG842" s="40" t="s">
        <v>1024</v>
      </c>
      <c r="AH842" s="40" t="s">
        <v>1324</v>
      </c>
      <c r="AI842" s="39">
        <f>データ!L842</f>
        <v>0</v>
      </c>
      <c r="AJ842" s="10" t="s">
        <v>1113</v>
      </c>
      <c r="AK842" s="39">
        <f>データ!M842</f>
        <v>0</v>
      </c>
      <c r="AL842" s="10" t="s">
        <v>1024</v>
      </c>
      <c r="AM842" s="40" t="s">
        <v>1324</v>
      </c>
      <c r="AN842" s="39">
        <f>データ!N842</f>
        <v>0</v>
      </c>
      <c r="AO842" s="10" t="s">
        <v>1113</v>
      </c>
      <c r="AP842" s="39">
        <f>データ!O842</f>
        <v>0</v>
      </c>
      <c r="AQ842" s="41" t="s">
        <v>1024</v>
      </c>
      <c r="AR842" s="40" t="s">
        <v>1324</v>
      </c>
      <c r="AS842" s="39">
        <f>データ!P842</f>
        <v>0</v>
      </c>
      <c r="AT842" s="10" t="s">
        <v>1113</v>
      </c>
      <c r="AU842" s="39">
        <f>データ!Q842</f>
        <v>0</v>
      </c>
      <c r="AV842" s="10" t="s">
        <v>1024</v>
      </c>
      <c r="AW842" s="40" t="s">
        <v>1324</v>
      </c>
      <c r="AX842" s="39">
        <f>データ!R842</f>
        <v>0</v>
      </c>
      <c r="AY842" s="10" t="s">
        <v>1113</v>
      </c>
      <c r="AZ842" s="39">
        <f>データ!S842</f>
        <v>0</v>
      </c>
      <c r="BA842" s="41" t="s">
        <v>1024</v>
      </c>
      <c r="BB842" s="40" t="s">
        <v>1319</v>
      </c>
      <c r="BC842" s="39">
        <f>データ!T842</f>
        <v>0</v>
      </c>
      <c r="BD842" s="41" t="s">
        <v>1024</v>
      </c>
      <c r="BE842" s="40" t="s">
        <v>1319</v>
      </c>
      <c r="BF842" s="39">
        <f>データ!U842</f>
        <v>0</v>
      </c>
      <c r="BG842" s="41" t="s">
        <v>1024</v>
      </c>
      <c r="BH842" s="40" t="s">
        <v>1319</v>
      </c>
      <c r="BI842" s="39">
        <f>データ!V842</f>
        <v>0</v>
      </c>
      <c r="BJ842" s="41" t="s">
        <v>1024</v>
      </c>
      <c r="BK842" s="10" t="s">
        <v>1019</v>
      </c>
    </row>
    <row r="843" spans="1:63" x14ac:dyDescent="0.15">
      <c r="A843" s="10" t="s">
        <v>1016</v>
      </c>
      <c r="B843" s="10" t="s">
        <v>1454</v>
      </c>
      <c r="C843" s="38" t="str">
        <f>"./images/thumbnail/"&amp;データ!B843&amp;".jpg"</f>
        <v>./images/thumbnail/.jpg</v>
      </c>
      <c r="D843" s="38" t="s">
        <v>1455</v>
      </c>
      <c r="E843" s="38" t="str">
        <f>"./images/thumbnail/"&amp;データ!B843&amp;".jpg"</f>
        <v>./images/thumbnail/.jpg</v>
      </c>
      <c r="F843" s="38" t="s">
        <v>1116</v>
      </c>
      <c r="G843" s="38" t="s">
        <v>1319</v>
      </c>
      <c r="H843" s="38">
        <f>データ!C843</f>
        <v>0</v>
      </c>
      <c r="I843" s="38" t="s">
        <v>1024</v>
      </c>
      <c r="J843" s="38" t="s">
        <v>1319</v>
      </c>
      <c r="K843" s="38">
        <f>データ!D843</f>
        <v>0</v>
      </c>
      <c r="L843" s="38" t="s">
        <v>1024</v>
      </c>
      <c r="M843" s="38" t="s">
        <v>1319</v>
      </c>
      <c r="N843" s="38">
        <f>データ!E843</f>
        <v>0</v>
      </c>
      <c r="O843" s="38" t="s">
        <v>1024</v>
      </c>
      <c r="P843" s="38" t="s">
        <v>1319</v>
      </c>
      <c r="Q843" s="38">
        <f>データ!F843</f>
        <v>0</v>
      </c>
      <c r="R843" s="38" t="s">
        <v>1024</v>
      </c>
      <c r="S843" s="38" t="s">
        <v>1319</v>
      </c>
      <c r="T843" s="39">
        <f>データ!G843</f>
        <v>0</v>
      </c>
      <c r="U843" s="40" t="s">
        <v>1024</v>
      </c>
      <c r="V843" s="40" t="s">
        <v>1319</v>
      </c>
      <c r="W843" s="39">
        <f>データ!H843</f>
        <v>0</v>
      </c>
      <c r="X843" s="40" t="s">
        <v>1024</v>
      </c>
      <c r="Y843" s="40" t="s">
        <v>1319</v>
      </c>
      <c r="Z843" s="39">
        <f>データ!I843</f>
        <v>0</v>
      </c>
      <c r="AA843" s="40" t="s">
        <v>1024</v>
      </c>
      <c r="AB843" s="40" t="s">
        <v>1319</v>
      </c>
      <c r="AC843" s="39">
        <f>データ!J843</f>
        <v>0</v>
      </c>
      <c r="AD843" s="38" t="s">
        <v>1024</v>
      </c>
      <c r="AE843" s="40" t="s">
        <v>1319</v>
      </c>
      <c r="AF843" s="39">
        <f>データ!K843</f>
        <v>0</v>
      </c>
      <c r="AG843" s="40" t="s">
        <v>1024</v>
      </c>
      <c r="AH843" s="40" t="s">
        <v>1324</v>
      </c>
      <c r="AI843" s="39">
        <f>データ!L843</f>
        <v>0</v>
      </c>
      <c r="AJ843" s="10" t="s">
        <v>1113</v>
      </c>
      <c r="AK843" s="39">
        <f>データ!M843</f>
        <v>0</v>
      </c>
      <c r="AL843" s="10" t="s">
        <v>1024</v>
      </c>
      <c r="AM843" s="40" t="s">
        <v>1324</v>
      </c>
      <c r="AN843" s="39">
        <f>データ!N843</f>
        <v>0</v>
      </c>
      <c r="AO843" s="10" t="s">
        <v>1113</v>
      </c>
      <c r="AP843" s="39">
        <f>データ!O843</f>
        <v>0</v>
      </c>
      <c r="AQ843" s="41" t="s">
        <v>1024</v>
      </c>
      <c r="AR843" s="40" t="s">
        <v>1324</v>
      </c>
      <c r="AS843" s="39">
        <f>データ!P843</f>
        <v>0</v>
      </c>
      <c r="AT843" s="10" t="s">
        <v>1113</v>
      </c>
      <c r="AU843" s="39">
        <f>データ!Q843</f>
        <v>0</v>
      </c>
      <c r="AV843" s="10" t="s">
        <v>1024</v>
      </c>
      <c r="AW843" s="40" t="s">
        <v>1324</v>
      </c>
      <c r="AX843" s="39">
        <f>データ!R843</f>
        <v>0</v>
      </c>
      <c r="AY843" s="10" t="s">
        <v>1113</v>
      </c>
      <c r="AZ843" s="39">
        <f>データ!S843</f>
        <v>0</v>
      </c>
      <c r="BA843" s="41" t="s">
        <v>1024</v>
      </c>
      <c r="BB843" s="40" t="s">
        <v>1319</v>
      </c>
      <c r="BC843" s="39">
        <f>データ!T843</f>
        <v>0</v>
      </c>
      <c r="BD843" s="41" t="s">
        <v>1024</v>
      </c>
      <c r="BE843" s="40" t="s">
        <v>1319</v>
      </c>
      <c r="BF843" s="39">
        <f>データ!U843</f>
        <v>0</v>
      </c>
      <c r="BG843" s="41" t="s">
        <v>1024</v>
      </c>
      <c r="BH843" s="40" t="s">
        <v>1319</v>
      </c>
      <c r="BI843" s="39">
        <f>データ!V843</f>
        <v>0</v>
      </c>
      <c r="BJ843" s="41" t="s">
        <v>1024</v>
      </c>
      <c r="BK843" s="10" t="s">
        <v>1019</v>
      </c>
    </row>
    <row r="844" spans="1:63" x14ac:dyDescent="0.15">
      <c r="A844" s="10" t="s">
        <v>1016</v>
      </c>
      <c r="B844" s="10" t="s">
        <v>1454</v>
      </c>
      <c r="C844" s="38" t="str">
        <f>"./images/thumbnail/"&amp;データ!B844&amp;".jpg"</f>
        <v>./images/thumbnail/.jpg</v>
      </c>
      <c r="D844" s="38" t="s">
        <v>1455</v>
      </c>
      <c r="E844" s="38" t="str">
        <f>"./images/thumbnail/"&amp;データ!B844&amp;".jpg"</f>
        <v>./images/thumbnail/.jpg</v>
      </c>
      <c r="F844" s="38" t="s">
        <v>1116</v>
      </c>
      <c r="G844" s="38" t="s">
        <v>1319</v>
      </c>
      <c r="H844" s="38">
        <f>データ!C844</f>
        <v>0</v>
      </c>
      <c r="I844" s="38" t="s">
        <v>1024</v>
      </c>
      <c r="J844" s="38" t="s">
        <v>1319</v>
      </c>
      <c r="K844" s="38">
        <f>データ!D844</f>
        <v>0</v>
      </c>
      <c r="L844" s="38" t="s">
        <v>1024</v>
      </c>
      <c r="M844" s="38" t="s">
        <v>1319</v>
      </c>
      <c r="N844" s="38">
        <f>データ!E844</f>
        <v>0</v>
      </c>
      <c r="O844" s="38" t="s">
        <v>1024</v>
      </c>
      <c r="P844" s="38" t="s">
        <v>1319</v>
      </c>
      <c r="Q844" s="38">
        <f>データ!F844</f>
        <v>0</v>
      </c>
      <c r="R844" s="38" t="s">
        <v>1024</v>
      </c>
      <c r="S844" s="38" t="s">
        <v>1319</v>
      </c>
      <c r="T844" s="39">
        <f>データ!G844</f>
        <v>0</v>
      </c>
      <c r="U844" s="40" t="s">
        <v>1024</v>
      </c>
      <c r="V844" s="40" t="s">
        <v>1319</v>
      </c>
      <c r="W844" s="39">
        <f>データ!H844</f>
        <v>0</v>
      </c>
      <c r="X844" s="40" t="s">
        <v>1024</v>
      </c>
      <c r="Y844" s="40" t="s">
        <v>1319</v>
      </c>
      <c r="Z844" s="39">
        <f>データ!I844</f>
        <v>0</v>
      </c>
      <c r="AA844" s="40" t="s">
        <v>1024</v>
      </c>
      <c r="AB844" s="40" t="s">
        <v>1319</v>
      </c>
      <c r="AC844" s="39">
        <f>データ!J844</f>
        <v>0</v>
      </c>
      <c r="AD844" s="38" t="s">
        <v>1024</v>
      </c>
      <c r="AE844" s="40" t="s">
        <v>1319</v>
      </c>
      <c r="AF844" s="39">
        <f>データ!K844</f>
        <v>0</v>
      </c>
      <c r="AG844" s="40" t="s">
        <v>1024</v>
      </c>
      <c r="AH844" s="40" t="s">
        <v>1324</v>
      </c>
      <c r="AI844" s="39">
        <f>データ!L844</f>
        <v>0</v>
      </c>
      <c r="AJ844" s="10" t="s">
        <v>1113</v>
      </c>
      <c r="AK844" s="39">
        <f>データ!M844</f>
        <v>0</v>
      </c>
      <c r="AL844" s="10" t="s">
        <v>1024</v>
      </c>
      <c r="AM844" s="40" t="s">
        <v>1324</v>
      </c>
      <c r="AN844" s="39">
        <f>データ!N844</f>
        <v>0</v>
      </c>
      <c r="AO844" s="10" t="s">
        <v>1113</v>
      </c>
      <c r="AP844" s="39">
        <f>データ!O844</f>
        <v>0</v>
      </c>
      <c r="AQ844" s="41" t="s">
        <v>1024</v>
      </c>
      <c r="AR844" s="40" t="s">
        <v>1324</v>
      </c>
      <c r="AS844" s="39">
        <f>データ!P844</f>
        <v>0</v>
      </c>
      <c r="AT844" s="10" t="s">
        <v>1113</v>
      </c>
      <c r="AU844" s="39">
        <f>データ!Q844</f>
        <v>0</v>
      </c>
      <c r="AV844" s="10" t="s">
        <v>1024</v>
      </c>
      <c r="AW844" s="40" t="s">
        <v>1324</v>
      </c>
      <c r="AX844" s="39">
        <f>データ!R844</f>
        <v>0</v>
      </c>
      <c r="AY844" s="10" t="s">
        <v>1113</v>
      </c>
      <c r="AZ844" s="39">
        <f>データ!S844</f>
        <v>0</v>
      </c>
      <c r="BA844" s="41" t="s">
        <v>1024</v>
      </c>
      <c r="BB844" s="40" t="s">
        <v>1319</v>
      </c>
      <c r="BC844" s="39">
        <f>データ!T844</f>
        <v>0</v>
      </c>
      <c r="BD844" s="41" t="s">
        <v>1024</v>
      </c>
      <c r="BE844" s="40" t="s">
        <v>1319</v>
      </c>
      <c r="BF844" s="39">
        <f>データ!U844</f>
        <v>0</v>
      </c>
      <c r="BG844" s="41" t="s">
        <v>1024</v>
      </c>
      <c r="BH844" s="40" t="s">
        <v>1319</v>
      </c>
      <c r="BI844" s="39">
        <f>データ!V844</f>
        <v>0</v>
      </c>
      <c r="BJ844" s="41" t="s">
        <v>1024</v>
      </c>
      <c r="BK844" s="10" t="s">
        <v>1019</v>
      </c>
    </row>
    <row r="845" spans="1:63" x14ac:dyDescent="0.15">
      <c r="A845" s="10" t="s">
        <v>1016</v>
      </c>
      <c r="B845" s="10" t="s">
        <v>1454</v>
      </c>
      <c r="C845" s="38" t="str">
        <f>"./images/thumbnail/"&amp;データ!B845&amp;".jpg"</f>
        <v>./images/thumbnail/.jpg</v>
      </c>
      <c r="D845" s="38" t="s">
        <v>1455</v>
      </c>
      <c r="E845" s="38" t="str">
        <f>"./images/thumbnail/"&amp;データ!B845&amp;".jpg"</f>
        <v>./images/thumbnail/.jpg</v>
      </c>
      <c r="F845" s="38" t="s">
        <v>1116</v>
      </c>
      <c r="G845" s="38" t="s">
        <v>1319</v>
      </c>
      <c r="H845" s="38">
        <f>データ!C845</f>
        <v>0</v>
      </c>
      <c r="I845" s="38" t="s">
        <v>1024</v>
      </c>
      <c r="J845" s="38" t="s">
        <v>1319</v>
      </c>
      <c r="K845" s="38">
        <f>データ!D845</f>
        <v>0</v>
      </c>
      <c r="L845" s="38" t="s">
        <v>1024</v>
      </c>
      <c r="M845" s="38" t="s">
        <v>1319</v>
      </c>
      <c r="N845" s="38">
        <f>データ!E845</f>
        <v>0</v>
      </c>
      <c r="O845" s="38" t="s">
        <v>1024</v>
      </c>
      <c r="P845" s="38" t="s">
        <v>1319</v>
      </c>
      <c r="Q845" s="38">
        <f>データ!F845</f>
        <v>0</v>
      </c>
      <c r="R845" s="38" t="s">
        <v>1024</v>
      </c>
      <c r="S845" s="38" t="s">
        <v>1319</v>
      </c>
      <c r="T845" s="39">
        <f>データ!G845</f>
        <v>0</v>
      </c>
      <c r="U845" s="40" t="s">
        <v>1024</v>
      </c>
      <c r="V845" s="40" t="s">
        <v>1319</v>
      </c>
      <c r="W845" s="39">
        <f>データ!H845</f>
        <v>0</v>
      </c>
      <c r="X845" s="40" t="s">
        <v>1024</v>
      </c>
      <c r="Y845" s="40" t="s">
        <v>1319</v>
      </c>
      <c r="Z845" s="39">
        <f>データ!I845</f>
        <v>0</v>
      </c>
      <c r="AA845" s="40" t="s">
        <v>1024</v>
      </c>
      <c r="AB845" s="40" t="s">
        <v>1319</v>
      </c>
      <c r="AC845" s="39">
        <f>データ!J845</f>
        <v>0</v>
      </c>
      <c r="AD845" s="38" t="s">
        <v>1024</v>
      </c>
      <c r="AE845" s="40" t="s">
        <v>1319</v>
      </c>
      <c r="AF845" s="39">
        <f>データ!K845</f>
        <v>0</v>
      </c>
      <c r="AG845" s="40" t="s">
        <v>1024</v>
      </c>
      <c r="AH845" s="40" t="s">
        <v>1324</v>
      </c>
      <c r="AI845" s="39">
        <f>データ!L845</f>
        <v>0</v>
      </c>
      <c r="AJ845" s="10" t="s">
        <v>1113</v>
      </c>
      <c r="AK845" s="39">
        <f>データ!M845</f>
        <v>0</v>
      </c>
      <c r="AL845" s="10" t="s">
        <v>1024</v>
      </c>
      <c r="AM845" s="40" t="s">
        <v>1324</v>
      </c>
      <c r="AN845" s="39">
        <f>データ!N845</f>
        <v>0</v>
      </c>
      <c r="AO845" s="10" t="s">
        <v>1113</v>
      </c>
      <c r="AP845" s="39">
        <f>データ!O845</f>
        <v>0</v>
      </c>
      <c r="AQ845" s="41" t="s">
        <v>1024</v>
      </c>
      <c r="AR845" s="40" t="s">
        <v>1324</v>
      </c>
      <c r="AS845" s="39">
        <f>データ!P845</f>
        <v>0</v>
      </c>
      <c r="AT845" s="10" t="s">
        <v>1113</v>
      </c>
      <c r="AU845" s="39">
        <f>データ!Q845</f>
        <v>0</v>
      </c>
      <c r="AV845" s="10" t="s">
        <v>1024</v>
      </c>
      <c r="AW845" s="40" t="s">
        <v>1324</v>
      </c>
      <c r="AX845" s="39">
        <f>データ!R845</f>
        <v>0</v>
      </c>
      <c r="AY845" s="10" t="s">
        <v>1113</v>
      </c>
      <c r="AZ845" s="39">
        <f>データ!S845</f>
        <v>0</v>
      </c>
      <c r="BA845" s="41" t="s">
        <v>1024</v>
      </c>
      <c r="BB845" s="40" t="s">
        <v>1319</v>
      </c>
      <c r="BC845" s="39">
        <f>データ!T845</f>
        <v>0</v>
      </c>
      <c r="BD845" s="41" t="s">
        <v>1024</v>
      </c>
      <c r="BE845" s="40" t="s">
        <v>1319</v>
      </c>
      <c r="BF845" s="39">
        <f>データ!U845</f>
        <v>0</v>
      </c>
      <c r="BG845" s="41" t="s">
        <v>1024</v>
      </c>
      <c r="BH845" s="40" t="s">
        <v>1319</v>
      </c>
      <c r="BI845" s="39">
        <f>データ!V845</f>
        <v>0</v>
      </c>
      <c r="BJ845" s="41" t="s">
        <v>1024</v>
      </c>
      <c r="BK845" s="10" t="s">
        <v>1019</v>
      </c>
    </row>
    <row r="846" spans="1:63" x14ac:dyDescent="0.15">
      <c r="A846" s="10" t="s">
        <v>1016</v>
      </c>
      <c r="B846" s="10" t="s">
        <v>1454</v>
      </c>
      <c r="C846" s="38" t="str">
        <f>"./images/thumbnail/"&amp;データ!B846&amp;".jpg"</f>
        <v>./images/thumbnail/.jpg</v>
      </c>
      <c r="D846" s="38" t="s">
        <v>1455</v>
      </c>
      <c r="E846" s="38" t="str">
        <f>"./images/thumbnail/"&amp;データ!B846&amp;".jpg"</f>
        <v>./images/thumbnail/.jpg</v>
      </c>
      <c r="F846" s="38" t="s">
        <v>1116</v>
      </c>
      <c r="G846" s="38" t="s">
        <v>1319</v>
      </c>
      <c r="H846" s="38">
        <f>データ!C846</f>
        <v>0</v>
      </c>
      <c r="I846" s="38" t="s">
        <v>1024</v>
      </c>
      <c r="J846" s="38" t="s">
        <v>1319</v>
      </c>
      <c r="K846" s="38">
        <f>データ!D846</f>
        <v>0</v>
      </c>
      <c r="L846" s="38" t="s">
        <v>1024</v>
      </c>
      <c r="M846" s="38" t="s">
        <v>1319</v>
      </c>
      <c r="N846" s="38">
        <f>データ!E846</f>
        <v>0</v>
      </c>
      <c r="O846" s="38" t="s">
        <v>1024</v>
      </c>
      <c r="P846" s="38" t="s">
        <v>1319</v>
      </c>
      <c r="Q846" s="38">
        <f>データ!F846</f>
        <v>0</v>
      </c>
      <c r="R846" s="38" t="s">
        <v>1024</v>
      </c>
      <c r="S846" s="38" t="s">
        <v>1319</v>
      </c>
      <c r="T846" s="39">
        <f>データ!G846</f>
        <v>0</v>
      </c>
      <c r="U846" s="40" t="s">
        <v>1024</v>
      </c>
      <c r="V846" s="40" t="s">
        <v>1319</v>
      </c>
      <c r="W846" s="39">
        <f>データ!H846</f>
        <v>0</v>
      </c>
      <c r="X846" s="40" t="s">
        <v>1024</v>
      </c>
      <c r="Y846" s="40" t="s">
        <v>1319</v>
      </c>
      <c r="Z846" s="39">
        <f>データ!I846</f>
        <v>0</v>
      </c>
      <c r="AA846" s="40" t="s">
        <v>1024</v>
      </c>
      <c r="AB846" s="40" t="s">
        <v>1319</v>
      </c>
      <c r="AC846" s="39">
        <f>データ!J846</f>
        <v>0</v>
      </c>
      <c r="AD846" s="38" t="s">
        <v>1024</v>
      </c>
      <c r="AE846" s="40" t="s">
        <v>1319</v>
      </c>
      <c r="AF846" s="39">
        <f>データ!K846</f>
        <v>0</v>
      </c>
      <c r="AG846" s="40" t="s">
        <v>1024</v>
      </c>
      <c r="AH846" s="40" t="s">
        <v>1324</v>
      </c>
      <c r="AI846" s="39">
        <f>データ!L846</f>
        <v>0</v>
      </c>
      <c r="AJ846" s="10" t="s">
        <v>1113</v>
      </c>
      <c r="AK846" s="39">
        <f>データ!M846</f>
        <v>0</v>
      </c>
      <c r="AL846" s="10" t="s">
        <v>1024</v>
      </c>
      <c r="AM846" s="40" t="s">
        <v>1324</v>
      </c>
      <c r="AN846" s="39">
        <f>データ!N846</f>
        <v>0</v>
      </c>
      <c r="AO846" s="10" t="s">
        <v>1113</v>
      </c>
      <c r="AP846" s="39">
        <f>データ!O846</f>
        <v>0</v>
      </c>
      <c r="AQ846" s="41" t="s">
        <v>1024</v>
      </c>
      <c r="AR846" s="40" t="s">
        <v>1324</v>
      </c>
      <c r="AS846" s="39">
        <f>データ!P846</f>
        <v>0</v>
      </c>
      <c r="AT846" s="10" t="s">
        <v>1113</v>
      </c>
      <c r="AU846" s="39">
        <f>データ!Q846</f>
        <v>0</v>
      </c>
      <c r="AV846" s="10" t="s">
        <v>1024</v>
      </c>
      <c r="AW846" s="40" t="s">
        <v>1324</v>
      </c>
      <c r="AX846" s="39">
        <f>データ!R846</f>
        <v>0</v>
      </c>
      <c r="AY846" s="10" t="s">
        <v>1113</v>
      </c>
      <c r="AZ846" s="39">
        <f>データ!S846</f>
        <v>0</v>
      </c>
      <c r="BA846" s="41" t="s">
        <v>1024</v>
      </c>
      <c r="BB846" s="40" t="s">
        <v>1319</v>
      </c>
      <c r="BC846" s="39">
        <f>データ!T846</f>
        <v>0</v>
      </c>
      <c r="BD846" s="41" t="s">
        <v>1024</v>
      </c>
      <c r="BE846" s="40" t="s">
        <v>1319</v>
      </c>
      <c r="BF846" s="39">
        <f>データ!U846</f>
        <v>0</v>
      </c>
      <c r="BG846" s="41" t="s">
        <v>1024</v>
      </c>
      <c r="BH846" s="40" t="s">
        <v>1319</v>
      </c>
      <c r="BI846" s="39">
        <f>データ!V846</f>
        <v>0</v>
      </c>
      <c r="BJ846" s="41" t="s">
        <v>1024</v>
      </c>
      <c r="BK846" s="10" t="s">
        <v>1019</v>
      </c>
    </row>
    <row r="847" spans="1:63" x14ac:dyDescent="0.15">
      <c r="A847" s="10" t="s">
        <v>1016</v>
      </c>
      <c r="B847" s="10" t="s">
        <v>1454</v>
      </c>
      <c r="C847" s="38" t="str">
        <f>"./images/thumbnail/"&amp;データ!B847&amp;".jpg"</f>
        <v>./images/thumbnail/.jpg</v>
      </c>
      <c r="D847" s="38" t="s">
        <v>1455</v>
      </c>
      <c r="E847" s="38" t="str">
        <f>"./images/thumbnail/"&amp;データ!B847&amp;".jpg"</f>
        <v>./images/thumbnail/.jpg</v>
      </c>
      <c r="F847" s="38" t="s">
        <v>1116</v>
      </c>
      <c r="G847" s="38" t="s">
        <v>1319</v>
      </c>
      <c r="H847" s="38">
        <f>データ!C847</f>
        <v>0</v>
      </c>
      <c r="I847" s="38" t="s">
        <v>1024</v>
      </c>
      <c r="J847" s="38" t="s">
        <v>1319</v>
      </c>
      <c r="K847" s="38">
        <f>データ!D847</f>
        <v>0</v>
      </c>
      <c r="L847" s="38" t="s">
        <v>1024</v>
      </c>
      <c r="M847" s="38" t="s">
        <v>1319</v>
      </c>
      <c r="N847" s="38">
        <f>データ!E847</f>
        <v>0</v>
      </c>
      <c r="O847" s="38" t="s">
        <v>1024</v>
      </c>
      <c r="P847" s="38" t="s">
        <v>1319</v>
      </c>
      <c r="Q847" s="38">
        <f>データ!F847</f>
        <v>0</v>
      </c>
      <c r="R847" s="38" t="s">
        <v>1024</v>
      </c>
      <c r="S847" s="38" t="s">
        <v>1319</v>
      </c>
      <c r="T847" s="39">
        <f>データ!G847</f>
        <v>0</v>
      </c>
      <c r="U847" s="40" t="s">
        <v>1024</v>
      </c>
      <c r="V847" s="40" t="s">
        <v>1319</v>
      </c>
      <c r="W847" s="39">
        <f>データ!H847</f>
        <v>0</v>
      </c>
      <c r="X847" s="40" t="s">
        <v>1024</v>
      </c>
      <c r="Y847" s="40" t="s">
        <v>1319</v>
      </c>
      <c r="Z847" s="39">
        <f>データ!I847</f>
        <v>0</v>
      </c>
      <c r="AA847" s="40" t="s">
        <v>1024</v>
      </c>
      <c r="AB847" s="40" t="s">
        <v>1319</v>
      </c>
      <c r="AC847" s="39">
        <f>データ!J847</f>
        <v>0</v>
      </c>
      <c r="AD847" s="38" t="s">
        <v>1024</v>
      </c>
      <c r="AE847" s="40" t="s">
        <v>1319</v>
      </c>
      <c r="AF847" s="39">
        <f>データ!K847</f>
        <v>0</v>
      </c>
      <c r="AG847" s="40" t="s">
        <v>1024</v>
      </c>
      <c r="AH847" s="40" t="s">
        <v>1324</v>
      </c>
      <c r="AI847" s="39">
        <f>データ!L847</f>
        <v>0</v>
      </c>
      <c r="AJ847" s="10" t="s">
        <v>1113</v>
      </c>
      <c r="AK847" s="39">
        <f>データ!M847</f>
        <v>0</v>
      </c>
      <c r="AL847" s="10" t="s">
        <v>1024</v>
      </c>
      <c r="AM847" s="40" t="s">
        <v>1324</v>
      </c>
      <c r="AN847" s="39">
        <f>データ!N847</f>
        <v>0</v>
      </c>
      <c r="AO847" s="10" t="s">
        <v>1113</v>
      </c>
      <c r="AP847" s="39">
        <f>データ!O847</f>
        <v>0</v>
      </c>
      <c r="AQ847" s="41" t="s">
        <v>1024</v>
      </c>
      <c r="AR847" s="40" t="s">
        <v>1324</v>
      </c>
      <c r="AS847" s="39">
        <f>データ!P847</f>
        <v>0</v>
      </c>
      <c r="AT847" s="10" t="s">
        <v>1113</v>
      </c>
      <c r="AU847" s="39">
        <f>データ!Q847</f>
        <v>0</v>
      </c>
      <c r="AV847" s="10" t="s">
        <v>1024</v>
      </c>
      <c r="AW847" s="40" t="s">
        <v>1324</v>
      </c>
      <c r="AX847" s="39">
        <f>データ!R847</f>
        <v>0</v>
      </c>
      <c r="AY847" s="10" t="s">
        <v>1113</v>
      </c>
      <c r="AZ847" s="39">
        <f>データ!S847</f>
        <v>0</v>
      </c>
      <c r="BA847" s="41" t="s">
        <v>1024</v>
      </c>
      <c r="BB847" s="40" t="s">
        <v>1319</v>
      </c>
      <c r="BC847" s="39">
        <f>データ!T847</f>
        <v>0</v>
      </c>
      <c r="BD847" s="41" t="s">
        <v>1024</v>
      </c>
      <c r="BE847" s="40" t="s">
        <v>1319</v>
      </c>
      <c r="BF847" s="39">
        <f>データ!U847</f>
        <v>0</v>
      </c>
      <c r="BG847" s="41" t="s">
        <v>1024</v>
      </c>
      <c r="BH847" s="40" t="s">
        <v>1319</v>
      </c>
      <c r="BI847" s="39">
        <f>データ!V847</f>
        <v>0</v>
      </c>
      <c r="BJ847" s="41" t="s">
        <v>1024</v>
      </c>
      <c r="BK847" s="10" t="s">
        <v>1019</v>
      </c>
    </row>
    <row r="848" spans="1:63" x14ac:dyDescent="0.15">
      <c r="A848" s="10" t="s">
        <v>1016</v>
      </c>
      <c r="B848" s="10" t="s">
        <v>1454</v>
      </c>
      <c r="C848" s="38" t="str">
        <f>"./images/thumbnail/"&amp;データ!B848&amp;".jpg"</f>
        <v>./images/thumbnail/.jpg</v>
      </c>
      <c r="D848" s="38" t="s">
        <v>1455</v>
      </c>
      <c r="E848" s="38" t="str">
        <f>"./images/thumbnail/"&amp;データ!B848&amp;".jpg"</f>
        <v>./images/thumbnail/.jpg</v>
      </c>
      <c r="F848" s="38" t="s">
        <v>1116</v>
      </c>
      <c r="G848" s="38" t="s">
        <v>1319</v>
      </c>
      <c r="H848" s="38">
        <f>データ!C848</f>
        <v>0</v>
      </c>
      <c r="I848" s="38" t="s">
        <v>1024</v>
      </c>
      <c r="J848" s="38" t="s">
        <v>1319</v>
      </c>
      <c r="K848" s="38">
        <f>データ!D848</f>
        <v>0</v>
      </c>
      <c r="L848" s="38" t="s">
        <v>1024</v>
      </c>
      <c r="M848" s="38" t="s">
        <v>1319</v>
      </c>
      <c r="N848" s="38">
        <f>データ!E848</f>
        <v>0</v>
      </c>
      <c r="O848" s="38" t="s">
        <v>1024</v>
      </c>
      <c r="P848" s="38" t="s">
        <v>1319</v>
      </c>
      <c r="Q848" s="38">
        <f>データ!F848</f>
        <v>0</v>
      </c>
      <c r="R848" s="38" t="s">
        <v>1024</v>
      </c>
      <c r="S848" s="38" t="s">
        <v>1319</v>
      </c>
      <c r="T848" s="39">
        <f>データ!G848</f>
        <v>0</v>
      </c>
      <c r="U848" s="40" t="s">
        <v>1024</v>
      </c>
      <c r="V848" s="40" t="s">
        <v>1319</v>
      </c>
      <c r="W848" s="39">
        <f>データ!H848</f>
        <v>0</v>
      </c>
      <c r="X848" s="40" t="s">
        <v>1024</v>
      </c>
      <c r="Y848" s="40" t="s">
        <v>1319</v>
      </c>
      <c r="Z848" s="39">
        <f>データ!I848</f>
        <v>0</v>
      </c>
      <c r="AA848" s="40" t="s">
        <v>1024</v>
      </c>
      <c r="AB848" s="40" t="s">
        <v>1319</v>
      </c>
      <c r="AC848" s="39">
        <f>データ!J848</f>
        <v>0</v>
      </c>
      <c r="AD848" s="38" t="s">
        <v>1024</v>
      </c>
      <c r="AE848" s="40" t="s">
        <v>1319</v>
      </c>
      <c r="AF848" s="39">
        <f>データ!K848</f>
        <v>0</v>
      </c>
      <c r="AG848" s="40" t="s">
        <v>1024</v>
      </c>
      <c r="AH848" s="40" t="s">
        <v>1324</v>
      </c>
      <c r="AI848" s="39">
        <f>データ!L848</f>
        <v>0</v>
      </c>
      <c r="AJ848" s="10" t="s">
        <v>1113</v>
      </c>
      <c r="AK848" s="39">
        <f>データ!M848</f>
        <v>0</v>
      </c>
      <c r="AL848" s="10" t="s">
        <v>1024</v>
      </c>
      <c r="AM848" s="40" t="s">
        <v>1324</v>
      </c>
      <c r="AN848" s="39">
        <f>データ!N848</f>
        <v>0</v>
      </c>
      <c r="AO848" s="10" t="s">
        <v>1113</v>
      </c>
      <c r="AP848" s="39">
        <f>データ!O848</f>
        <v>0</v>
      </c>
      <c r="AQ848" s="41" t="s">
        <v>1024</v>
      </c>
      <c r="AR848" s="40" t="s">
        <v>1324</v>
      </c>
      <c r="AS848" s="39">
        <f>データ!P848</f>
        <v>0</v>
      </c>
      <c r="AT848" s="10" t="s">
        <v>1113</v>
      </c>
      <c r="AU848" s="39">
        <f>データ!Q848</f>
        <v>0</v>
      </c>
      <c r="AV848" s="10" t="s">
        <v>1024</v>
      </c>
      <c r="AW848" s="40" t="s">
        <v>1324</v>
      </c>
      <c r="AX848" s="39">
        <f>データ!R848</f>
        <v>0</v>
      </c>
      <c r="AY848" s="10" t="s">
        <v>1113</v>
      </c>
      <c r="AZ848" s="39">
        <f>データ!S848</f>
        <v>0</v>
      </c>
      <c r="BA848" s="41" t="s">
        <v>1024</v>
      </c>
      <c r="BB848" s="40" t="s">
        <v>1319</v>
      </c>
      <c r="BC848" s="39">
        <f>データ!T848</f>
        <v>0</v>
      </c>
      <c r="BD848" s="41" t="s">
        <v>1024</v>
      </c>
      <c r="BE848" s="40" t="s">
        <v>1319</v>
      </c>
      <c r="BF848" s="39">
        <f>データ!U848</f>
        <v>0</v>
      </c>
      <c r="BG848" s="41" t="s">
        <v>1024</v>
      </c>
      <c r="BH848" s="40" t="s">
        <v>1319</v>
      </c>
      <c r="BI848" s="39">
        <f>データ!V848</f>
        <v>0</v>
      </c>
      <c r="BJ848" s="41" t="s">
        <v>1024</v>
      </c>
      <c r="BK848" s="10" t="s">
        <v>1019</v>
      </c>
    </row>
    <row r="849" spans="1:63" x14ac:dyDescent="0.15">
      <c r="A849" s="10" t="s">
        <v>1016</v>
      </c>
      <c r="B849" s="10" t="s">
        <v>1454</v>
      </c>
      <c r="C849" s="38" t="str">
        <f>"./images/thumbnail/"&amp;データ!B849&amp;".jpg"</f>
        <v>./images/thumbnail/.jpg</v>
      </c>
      <c r="D849" s="38" t="s">
        <v>1455</v>
      </c>
      <c r="E849" s="38" t="str">
        <f>"./images/thumbnail/"&amp;データ!B849&amp;".jpg"</f>
        <v>./images/thumbnail/.jpg</v>
      </c>
      <c r="F849" s="38" t="s">
        <v>1116</v>
      </c>
      <c r="G849" s="38" t="s">
        <v>1319</v>
      </c>
      <c r="H849" s="38">
        <f>データ!C849</f>
        <v>0</v>
      </c>
      <c r="I849" s="38" t="s">
        <v>1024</v>
      </c>
      <c r="J849" s="38" t="s">
        <v>1319</v>
      </c>
      <c r="K849" s="38">
        <f>データ!D849</f>
        <v>0</v>
      </c>
      <c r="L849" s="38" t="s">
        <v>1024</v>
      </c>
      <c r="M849" s="38" t="s">
        <v>1319</v>
      </c>
      <c r="N849" s="38">
        <f>データ!E849</f>
        <v>0</v>
      </c>
      <c r="O849" s="38" t="s">
        <v>1024</v>
      </c>
      <c r="P849" s="38" t="s">
        <v>1319</v>
      </c>
      <c r="Q849" s="38">
        <f>データ!F849</f>
        <v>0</v>
      </c>
      <c r="R849" s="38" t="s">
        <v>1024</v>
      </c>
      <c r="S849" s="38" t="s">
        <v>1319</v>
      </c>
      <c r="T849" s="39">
        <f>データ!G849</f>
        <v>0</v>
      </c>
      <c r="U849" s="40" t="s">
        <v>1024</v>
      </c>
      <c r="V849" s="40" t="s">
        <v>1319</v>
      </c>
      <c r="W849" s="39">
        <f>データ!H849</f>
        <v>0</v>
      </c>
      <c r="X849" s="40" t="s">
        <v>1024</v>
      </c>
      <c r="Y849" s="40" t="s">
        <v>1319</v>
      </c>
      <c r="Z849" s="39">
        <f>データ!I849</f>
        <v>0</v>
      </c>
      <c r="AA849" s="40" t="s">
        <v>1024</v>
      </c>
      <c r="AB849" s="40" t="s">
        <v>1319</v>
      </c>
      <c r="AC849" s="39">
        <f>データ!J849</f>
        <v>0</v>
      </c>
      <c r="AD849" s="38" t="s">
        <v>1024</v>
      </c>
      <c r="AE849" s="40" t="s">
        <v>1319</v>
      </c>
      <c r="AF849" s="39">
        <f>データ!K849</f>
        <v>0</v>
      </c>
      <c r="AG849" s="40" t="s">
        <v>1024</v>
      </c>
      <c r="AH849" s="40" t="s">
        <v>1324</v>
      </c>
      <c r="AI849" s="39">
        <f>データ!L849</f>
        <v>0</v>
      </c>
      <c r="AJ849" s="10" t="s">
        <v>1113</v>
      </c>
      <c r="AK849" s="39">
        <f>データ!M849</f>
        <v>0</v>
      </c>
      <c r="AL849" s="10" t="s">
        <v>1024</v>
      </c>
      <c r="AM849" s="40" t="s">
        <v>1324</v>
      </c>
      <c r="AN849" s="39">
        <f>データ!N849</f>
        <v>0</v>
      </c>
      <c r="AO849" s="10" t="s">
        <v>1113</v>
      </c>
      <c r="AP849" s="39">
        <f>データ!O849</f>
        <v>0</v>
      </c>
      <c r="AQ849" s="41" t="s">
        <v>1024</v>
      </c>
      <c r="AR849" s="40" t="s">
        <v>1324</v>
      </c>
      <c r="AS849" s="39">
        <f>データ!P849</f>
        <v>0</v>
      </c>
      <c r="AT849" s="10" t="s">
        <v>1113</v>
      </c>
      <c r="AU849" s="39">
        <f>データ!Q849</f>
        <v>0</v>
      </c>
      <c r="AV849" s="10" t="s">
        <v>1024</v>
      </c>
      <c r="AW849" s="40" t="s">
        <v>1324</v>
      </c>
      <c r="AX849" s="39">
        <f>データ!R849</f>
        <v>0</v>
      </c>
      <c r="AY849" s="10" t="s">
        <v>1113</v>
      </c>
      <c r="AZ849" s="39">
        <f>データ!S849</f>
        <v>0</v>
      </c>
      <c r="BA849" s="41" t="s">
        <v>1024</v>
      </c>
      <c r="BB849" s="40" t="s">
        <v>1319</v>
      </c>
      <c r="BC849" s="39">
        <f>データ!T849</f>
        <v>0</v>
      </c>
      <c r="BD849" s="41" t="s">
        <v>1024</v>
      </c>
      <c r="BE849" s="40" t="s">
        <v>1319</v>
      </c>
      <c r="BF849" s="39">
        <f>データ!U849</f>
        <v>0</v>
      </c>
      <c r="BG849" s="41" t="s">
        <v>1024</v>
      </c>
      <c r="BH849" s="40" t="s">
        <v>1319</v>
      </c>
      <c r="BI849" s="39">
        <f>データ!V849</f>
        <v>0</v>
      </c>
      <c r="BJ849" s="41" t="s">
        <v>1024</v>
      </c>
      <c r="BK849" s="10" t="s">
        <v>1019</v>
      </c>
    </row>
    <row r="850" spans="1:63" x14ac:dyDescent="0.15">
      <c r="A850" s="10" t="s">
        <v>1016</v>
      </c>
      <c r="B850" s="10" t="s">
        <v>1454</v>
      </c>
      <c r="C850" s="38" t="str">
        <f>"./images/thumbnail/"&amp;データ!B850&amp;".jpg"</f>
        <v>./images/thumbnail/.jpg</v>
      </c>
      <c r="D850" s="38" t="s">
        <v>1455</v>
      </c>
      <c r="E850" s="38" t="str">
        <f>"./images/thumbnail/"&amp;データ!B850&amp;".jpg"</f>
        <v>./images/thumbnail/.jpg</v>
      </c>
      <c r="F850" s="38" t="s">
        <v>1116</v>
      </c>
      <c r="G850" s="38" t="s">
        <v>1319</v>
      </c>
      <c r="H850" s="38">
        <f>データ!C850</f>
        <v>0</v>
      </c>
      <c r="I850" s="38" t="s">
        <v>1024</v>
      </c>
      <c r="J850" s="38" t="s">
        <v>1319</v>
      </c>
      <c r="K850" s="38">
        <f>データ!D850</f>
        <v>0</v>
      </c>
      <c r="L850" s="38" t="s">
        <v>1024</v>
      </c>
      <c r="M850" s="38" t="s">
        <v>1319</v>
      </c>
      <c r="N850" s="38">
        <f>データ!E850</f>
        <v>0</v>
      </c>
      <c r="O850" s="38" t="s">
        <v>1024</v>
      </c>
      <c r="P850" s="38" t="s">
        <v>1319</v>
      </c>
      <c r="Q850" s="38">
        <f>データ!F850</f>
        <v>0</v>
      </c>
      <c r="R850" s="38" t="s">
        <v>1024</v>
      </c>
      <c r="S850" s="38" t="s">
        <v>1319</v>
      </c>
      <c r="T850" s="39">
        <f>データ!G850</f>
        <v>0</v>
      </c>
      <c r="U850" s="40" t="s">
        <v>1024</v>
      </c>
      <c r="V850" s="40" t="s">
        <v>1319</v>
      </c>
      <c r="W850" s="39">
        <f>データ!H850</f>
        <v>0</v>
      </c>
      <c r="X850" s="40" t="s">
        <v>1024</v>
      </c>
      <c r="Y850" s="40" t="s">
        <v>1319</v>
      </c>
      <c r="Z850" s="39">
        <f>データ!I850</f>
        <v>0</v>
      </c>
      <c r="AA850" s="40" t="s">
        <v>1024</v>
      </c>
      <c r="AB850" s="40" t="s">
        <v>1319</v>
      </c>
      <c r="AC850" s="39">
        <f>データ!J850</f>
        <v>0</v>
      </c>
      <c r="AD850" s="38" t="s">
        <v>1024</v>
      </c>
      <c r="AE850" s="40" t="s">
        <v>1319</v>
      </c>
      <c r="AF850" s="39">
        <f>データ!K850</f>
        <v>0</v>
      </c>
      <c r="AG850" s="40" t="s">
        <v>1024</v>
      </c>
      <c r="AH850" s="40" t="s">
        <v>1324</v>
      </c>
      <c r="AI850" s="39">
        <f>データ!L850</f>
        <v>0</v>
      </c>
      <c r="AJ850" s="10" t="s">
        <v>1113</v>
      </c>
      <c r="AK850" s="39">
        <f>データ!M850</f>
        <v>0</v>
      </c>
      <c r="AL850" s="10" t="s">
        <v>1024</v>
      </c>
      <c r="AM850" s="40" t="s">
        <v>1324</v>
      </c>
      <c r="AN850" s="39">
        <f>データ!N850</f>
        <v>0</v>
      </c>
      <c r="AO850" s="10" t="s">
        <v>1113</v>
      </c>
      <c r="AP850" s="39">
        <f>データ!O850</f>
        <v>0</v>
      </c>
      <c r="AQ850" s="41" t="s">
        <v>1024</v>
      </c>
      <c r="AR850" s="40" t="s">
        <v>1324</v>
      </c>
      <c r="AS850" s="39">
        <f>データ!P850</f>
        <v>0</v>
      </c>
      <c r="AT850" s="10" t="s">
        <v>1113</v>
      </c>
      <c r="AU850" s="39">
        <f>データ!Q850</f>
        <v>0</v>
      </c>
      <c r="AV850" s="10" t="s">
        <v>1024</v>
      </c>
      <c r="AW850" s="40" t="s">
        <v>1324</v>
      </c>
      <c r="AX850" s="39">
        <f>データ!R850</f>
        <v>0</v>
      </c>
      <c r="AY850" s="10" t="s">
        <v>1113</v>
      </c>
      <c r="AZ850" s="39">
        <f>データ!S850</f>
        <v>0</v>
      </c>
      <c r="BA850" s="41" t="s">
        <v>1024</v>
      </c>
      <c r="BB850" s="40" t="s">
        <v>1319</v>
      </c>
      <c r="BC850" s="39">
        <f>データ!T850</f>
        <v>0</v>
      </c>
      <c r="BD850" s="41" t="s">
        <v>1024</v>
      </c>
      <c r="BE850" s="40" t="s">
        <v>1319</v>
      </c>
      <c r="BF850" s="39">
        <f>データ!U850</f>
        <v>0</v>
      </c>
      <c r="BG850" s="41" t="s">
        <v>1024</v>
      </c>
      <c r="BH850" s="40" t="s">
        <v>1319</v>
      </c>
      <c r="BI850" s="39">
        <f>データ!V850</f>
        <v>0</v>
      </c>
      <c r="BJ850" s="41" t="s">
        <v>1024</v>
      </c>
      <c r="BK850" s="10" t="s">
        <v>1019</v>
      </c>
    </row>
    <row r="851" spans="1:63" x14ac:dyDescent="0.15">
      <c r="A851" s="10" t="s">
        <v>1016</v>
      </c>
      <c r="B851" s="10" t="s">
        <v>1454</v>
      </c>
      <c r="C851" s="38" t="str">
        <f>"./images/thumbnail/"&amp;データ!B851&amp;".jpg"</f>
        <v>./images/thumbnail/.jpg</v>
      </c>
      <c r="D851" s="38" t="s">
        <v>1455</v>
      </c>
      <c r="E851" s="38" t="str">
        <f>"./images/thumbnail/"&amp;データ!B851&amp;".jpg"</f>
        <v>./images/thumbnail/.jpg</v>
      </c>
      <c r="F851" s="38" t="s">
        <v>1116</v>
      </c>
      <c r="G851" s="38" t="s">
        <v>1319</v>
      </c>
      <c r="H851" s="38">
        <f>データ!C851</f>
        <v>0</v>
      </c>
      <c r="I851" s="38" t="s">
        <v>1024</v>
      </c>
      <c r="J851" s="38" t="s">
        <v>1319</v>
      </c>
      <c r="K851" s="38">
        <f>データ!D851</f>
        <v>0</v>
      </c>
      <c r="L851" s="38" t="s">
        <v>1024</v>
      </c>
      <c r="M851" s="38" t="s">
        <v>1319</v>
      </c>
      <c r="N851" s="38">
        <f>データ!E851</f>
        <v>0</v>
      </c>
      <c r="O851" s="38" t="s">
        <v>1024</v>
      </c>
      <c r="P851" s="38" t="s">
        <v>1319</v>
      </c>
      <c r="Q851" s="38">
        <f>データ!F851</f>
        <v>0</v>
      </c>
      <c r="R851" s="38" t="s">
        <v>1024</v>
      </c>
      <c r="S851" s="38" t="s">
        <v>1319</v>
      </c>
      <c r="T851" s="39">
        <f>データ!G851</f>
        <v>0</v>
      </c>
      <c r="U851" s="40" t="s">
        <v>1024</v>
      </c>
      <c r="V851" s="40" t="s">
        <v>1319</v>
      </c>
      <c r="W851" s="39">
        <f>データ!H851</f>
        <v>0</v>
      </c>
      <c r="X851" s="40" t="s">
        <v>1024</v>
      </c>
      <c r="Y851" s="40" t="s">
        <v>1319</v>
      </c>
      <c r="Z851" s="39">
        <f>データ!I851</f>
        <v>0</v>
      </c>
      <c r="AA851" s="40" t="s">
        <v>1024</v>
      </c>
      <c r="AB851" s="40" t="s">
        <v>1319</v>
      </c>
      <c r="AC851" s="39">
        <f>データ!J851</f>
        <v>0</v>
      </c>
      <c r="AD851" s="38" t="s">
        <v>1024</v>
      </c>
      <c r="AE851" s="40" t="s">
        <v>1319</v>
      </c>
      <c r="AF851" s="39">
        <f>データ!K851</f>
        <v>0</v>
      </c>
      <c r="AG851" s="40" t="s">
        <v>1024</v>
      </c>
      <c r="AH851" s="40" t="s">
        <v>1324</v>
      </c>
      <c r="AI851" s="39">
        <f>データ!L851</f>
        <v>0</v>
      </c>
      <c r="AJ851" s="10" t="s">
        <v>1113</v>
      </c>
      <c r="AK851" s="39">
        <f>データ!M851</f>
        <v>0</v>
      </c>
      <c r="AL851" s="10" t="s">
        <v>1024</v>
      </c>
      <c r="AM851" s="40" t="s">
        <v>1324</v>
      </c>
      <c r="AN851" s="39">
        <f>データ!N851</f>
        <v>0</v>
      </c>
      <c r="AO851" s="10" t="s">
        <v>1113</v>
      </c>
      <c r="AP851" s="39">
        <f>データ!O851</f>
        <v>0</v>
      </c>
      <c r="AQ851" s="41" t="s">
        <v>1024</v>
      </c>
      <c r="AR851" s="40" t="s">
        <v>1324</v>
      </c>
      <c r="AS851" s="39">
        <f>データ!P851</f>
        <v>0</v>
      </c>
      <c r="AT851" s="10" t="s">
        <v>1113</v>
      </c>
      <c r="AU851" s="39">
        <f>データ!Q851</f>
        <v>0</v>
      </c>
      <c r="AV851" s="10" t="s">
        <v>1024</v>
      </c>
      <c r="AW851" s="40" t="s">
        <v>1324</v>
      </c>
      <c r="AX851" s="39">
        <f>データ!R851</f>
        <v>0</v>
      </c>
      <c r="AY851" s="10" t="s">
        <v>1113</v>
      </c>
      <c r="AZ851" s="39">
        <f>データ!S851</f>
        <v>0</v>
      </c>
      <c r="BA851" s="41" t="s">
        <v>1024</v>
      </c>
      <c r="BB851" s="40" t="s">
        <v>1319</v>
      </c>
      <c r="BC851" s="39">
        <f>データ!T851</f>
        <v>0</v>
      </c>
      <c r="BD851" s="41" t="s">
        <v>1024</v>
      </c>
      <c r="BE851" s="40" t="s">
        <v>1319</v>
      </c>
      <c r="BF851" s="39">
        <f>データ!U851</f>
        <v>0</v>
      </c>
      <c r="BG851" s="41" t="s">
        <v>1024</v>
      </c>
      <c r="BH851" s="40" t="s">
        <v>1319</v>
      </c>
      <c r="BI851" s="39">
        <f>データ!V851</f>
        <v>0</v>
      </c>
      <c r="BJ851" s="41" t="s">
        <v>1024</v>
      </c>
      <c r="BK851" s="10" t="s">
        <v>1019</v>
      </c>
    </row>
    <row r="852" spans="1:63" x14ac:dyDescent="0.15">
      <c r="A852" s="10" t="s">
        <v>1016</v>
      </c>
      <c r="B852" s="10" t="s">
        <v>1454</v>
      </c>
      <c r="C852" s="38" t="str">
        <f>"./images/thumbnail/"&amp;データ!B852&amp;".jpg"</f>
        <v>./images/thumbnail/.jpg</v>
      </c>
      <c r="D852" s="38" t="s">
        <v>1455</v>
      </c>
      <c r="E852" s="38" t="str">
        <f>"./images/thumbnail/"&amp;データ!B852&amp;".jpg"</f>
        <v>./images/thumbnail/.jpg</v>
      </c>
      <c r="F852" s="38" t="s">
        <v>1116</v>
      </c>
      <c r="G852" s="38" t="s">
        <v>1319</v>
      </c>
      <c r="H852" s="38">
        <f>データ!C852</f>
        <v>0</v>
      </c>
      <c r="I852" s="38" t="s">
        <v>1024</v>
      </c>
      <c r="J852" s="38" t="s">
        <v>1319</v>
      </c>
      <c r="K852" s="38">
        <f>データ!D852</f>
        <v>0</v>
      </c>
      <c r="L852" s="38" t="s">
        <v>1024</v>
      </c>
      <c r="M852" s="38" t="s">
        <v>1319</v>
      </c>
      <c r="N852" s="38">
        <f>データ!E852</f>
        <v>0</v>
      </c>
      <c r="O852" s="38" t="s">
        <v>1024</v>
      </c>
      <c r="P852" s="38" t="s">
        <v>1319</v>
      </c>
      <c r="Q852" s="38">
        <f>データ!F852</f>
        <v>0</v>
      </c>
      <c r="R852" s="38" t="s">
        <v>1024</v>
      </c>
      <c r="S852" s="38" t="s">
        <v>1319</v>
      </c>
      <c r="T852" s="39">
        <f>データ!G852</f>
        <v>0</v>
      </c>
      <c r="U852" s="40" t="s">
        <v>1024</v>
      </c>
      <c r="V852" s="40" t="s">
        <v>1319</v>
      </c>
      <c r="W852" s="39">
        <f>データ!H852</f>
        <v>0</v>
      </c>
      <c r="X852" s="40" t="s">
        <v>1024</v>
      </c>
      <c r="Y852" s="40" t="s">
        <v>1319</v>
      </c>
      <c r="Z852" s="39">
        <f>データ!I852</f>
        <v>0</v>
      </c>
      <c r="AA852" s="40" t="s">
        <v>1024</v>
      </c>
      <c r="AB852" s="40" t="s">
        <v>1319</v>
      </c>
      <c r="AC852" s="39">
        <f>データ!J852</f>
        <v>0</v>
      </c>
      <c r="AD852" s="38" t="s">
        <v>1024</v>
      </c>
      <c r="AE852" s="40" t="s">
        <v>1319</v>
      </c>
      <c r="AF852" s="39">
        <f>データ!K852</f>
        <v>0</v>
      </c>
      <c r="AG852" s="40" t="s">
        <v>1024</v>
      </c>
      <c r="AH852" s="40" t="s">
        <v>1324</v>
      </c>
      <c r="AI852" s="39">
        <f>データ!L852</f>
        <v>0</v>
      </c>
      <c r="AJ852" s="10" t="s">
        <v>1113</v>
      </c>
      <c r="AK852" s="39">
        <f>データ!M852</f>
        <v>0</v>
      </c>
      <c r="AL852" s="10" t="s">
        <v>1024</v>
      </c>
      <c r="AM852" s="40" t="s">
        <v>1324</v>
      </c>
      <c r="AN852" s="39">
        <f>データ!N852</f>
        <v>0</v>
      </c>
      <c r="AO852" s="10" t="s">
        <v>1113</v>
      </c>
      <c r="AP852" s="39">
        <f>データ!O852</f>
        <v>0</v>
      </c>
      <c r="AQ852" s="41" t="s">
        <v>1024</v>
      </c>
      <c r="AR852" s="40" t="s">
        <v>1324</v>
      </c>
      <c r="AS852" s="39">
        <f>データ!P852</f>
        <v>0</v>
      </c>
      <c r="AT852" s="10" t="s">
        <v>1113</v>
      </c>
      <c r="AU852" s="39">
        <f>データ!Q852</f>
        <v>0</v>
      </c>
      <c r="AV852" s="10" t="s">
        <v>1024</v>
      </c>
      <c r="AW852" s="40" t="s">
        <v>1324</v>
      </c>
      <c r="AX852" s="39">
        <f>データ!R852</f>
        <v>0</v>
      </c>
      <c r="AY852" s="10" t="s">
        <v>1113</v>
      </c>
      <c r="AZ852" s="39">
        <f>データ!S852</f>
        <v>0</v>
      </c>
      <c r="BA852" s="41" t="s">
        <v>1024</v>
      </c>
      <c r="BB852" s="40" t="s">
        <v>1319</v>
      </c>
      <c r="BC852" s="39">
        <f>データ!T852</f>
        <v>0</v>
      </c>
      <c r="BD852" s="41" t="s">
        <v>1024</v>
      </c>
      <c r="BE852" s="40" t="s">
        <v>1319</v>
      </c>
      <c r="BF852" s="39">
        <f>データ!U852</f>
        <v>0</v>
      </c>
      <c r="BG852" s="41" t="s">
        <v>1024</v>
      </c>
      <c r="BH852" s="40" t="s">
        <v>1319</v>
      </c>
      <c r="BI852" s="39">
        <f>データ!V852</f>
        <v>0</v>
      </c>
      <c r="BJ852" s="41" t="s">
        <v>1024</v>
      </c>
      <c r="BK852" s="10" t="s">
        <v>1019</v>
      </c>
    </row>
    <row r="853" spans="1:63" x14ac:dyDescent="0.15">
      <c r="A853" s="10" t="s">
        <v>1016</v>
      </c>
      <c r="B853" s="10" t="s">
        <v>1454</v>
      </c>
      <c r="C853" s="38" t="str">
        <f>"./images/thumbnail/"&amp;データ!B853&amp;".jpg"</f>
        <v>./images/thumbnail/.jpg</v>
      </c>
      <c r="D853" s="38" t="s">
        <v>1455</v>
      </c>
      <c r="E853" s="38" t="str">
        <f>"./images/thumbnail/"&amp;データ!B853&amp;".jpg"</f>
        <v>./images/thumbnail/.jpg</v>
      </c>
      <c r="F853" s="38" t="s">
        <v>1116</v>
      </c>
      <c r="G853" s="38" t="s">
        <v>1319</v>
      </c>
      <c r="H853" s="38">
        <f>データ!C853</f>
        <v>0</v>
      </c>
      <c r="I853" s="38" t="s">
        <v>1024</v>
      </c>
      <c r="J853" s="38" t="s">
        <v>1319</v>
      </c>
      <c r="K853" s="38">
        <f>データ!D853</f>
        <v>0</v>
      </c>
      <c r="L853" s="38" t="s">
        <v>1024</v>
      </c>
      <c r="M853" s="38" t="s">
        <v>1319</v>
      </c>
      <c r="N853" s="38">
        <f>データ!E853</f>
        <v>0</v>
      </c>
      <c r="O853" s="38" t="s">
        <v>1024</v>
      </c>
      <c r="P853" s="38" t="s">
        <v>1319</v>
      </c>
      <c r="Q853" s="38">
        <f>データ!F853</f>
        <v>0</v>
      </c>
      <c r="R853" s="38" t="s">
        <v>1024</v>
      </c>
      <c r="S853" s="38" t="s">
        <v>1319</v>
      </c>
      <c r="T853" s="39">
        <f>データ!G853</f>
        <v>0</v>
      </c>
      <c r="U853" s="40" t="s">
        <v>1024</v>
      </c>
      <c r="V853" s="40" t="s">
        <v>1319</v>
      </c>
      <c r="W853" s="39">
        <f>データ!H853</f>
        <v>0</v>
      </c>
      <c r="X853" s="40" t="s">
        <v>1024</v>
      </c>
      <c r="Y853" s="40" t="s">
        <v>1319</v>
      </c>
      <c r="Z853" s="39">
        <f>データ!I853</f>
        <v>0</v>
      </c>
      <c r="AA853" s="40" t="s">
        <v>1024</v>
      </c>
      <c r="AB853" s="40" t="s">
        <v>1319</v>
      </c>
      <c r="AC853" s="39">
        <f>データ!J853</f>
        <v>0</v>
      </c>
      <c r="AD853" s="38" t="s">
        <v>1024</v>
      </c>
      <c r="AE853" s="40" t="s">
        <v>1319</v>
      </c>
      <c r="AF853" s="39">
        <f>データ!K853</f>
        <v>0</v>
      </c>
      <c r="AG853" s="40" t="s">
        <v>1024</v>
      </c>
      <c r="AH853" s="40" t="s">
        <v>1324</v>
      </c>
      <c r="AI853" s="39">
        <f>データ!L853</f>
        <v>0</v>
      </c>
      <c r="AJ853" s="10" t="s">
        <v>1113</v>
      </c>
      <c r="AK853" s="39">
        <f>データ!M853</f>
        <v>0</v>
      </c>
      <c r="AL853" s="10" t="s">
        <v>1024</v>
      </c>
      <c r="AM853" s="40" t="s">
        <v>1324</v>
      </c>
      <c r="AN853" s="39">
        <f>データ!N853</f>
        <v>0</v>
      </c>
      <c r="AO853" s="10" t="s">
        <v>1113</v>
      </c>
      <c r="AP853" s="39">
        <f>データ!O853</f>
        <v>0</v>
      </c>
      <c r="AQ853" s="41" t="s">
        <v>1024</v>
      </c>
      <c r="AR853" s="40" t="s">
        <v>1324</v>
      </c>
      <c r="AS853" s="39">
        <f>データ!P853</f>
        <v>0</v>
      </c>
      <c r="AT853" s="10" t="s">
        <v>1113</v>
      </c>
      <c r="AU853" s="39">
        <f>データ!Q853</f>
        <v>0</v>
      </c>
      <c r="AV853" s="10" t="s">
        <v>1024</v>
      </c>
      <c r="AW853" s="40" t="s">
        <v>1324</v>
      </c>
      <c r="AX853" s="39">
        <f>データ!R853</f>
        <v>0</v>
      </c>
      <c r="AY853" s="10" t="s">
        <v>1113</v>
      </c>
      <c r="AZ853" s="39">
        <f>データ!S853</f>
        <v>0</v>
      </c>
      <c r="BA853" s="41" t="s">
        <v>1024</v>
      </c>
      <c r="BB853" s="40" t="s">
        <v>1319</v>
      </c>
      <c r="BC853" s="39">
        <f>データ!T853</f>
        <v>0</v>
      </c>
      <c r="BD853" s="41" t="s">
        <v>1024</v>
      </c>
      <c r="BE853" s="40" t="s">
        <v>1319</v>
      </c>
      <c r="BF853" s="39">
        <f>データ!U853</f>
        <v>0</v>
      </c>
      <c r="BG853" s="41" t="s">
        <v>1024</v>
      </c>
      <c r="BH853" s="40" t="s">
        <v>1319</v>
      </c>
      <c r="BI853" s="39">
        <f>データ!V853</f>
        <v>0</v>
      </c>
      <c r="BJ853" s="41" t="s">
        <v>1024</v>
      </c>
      <c r="BK853" s="10" t="s">
        <v>1019</v>
      </c>
    </row>
    <row r="854" spans="1:63" x14ac:dyDescent="0.15">
      <c r="A854" s="10" t="s">
        <v>1016</v>
      </c>
      <c r="B854" s="10" t="s">
        <v>1454</v>
      </c>
      <c r="C854" s="38" t="str">
        <f>"./images/thumbnail/"&amp;データ!B854&amp;".jpg"</f>
        <v>./images/thumbnail/.jpg</v>
      </c>
      <c r="D854" s="38" t="s">
        <v>1455</v>
      </c>
      <c r="E854" s="38" t="str">
        <f>"./images/thumbnail/"&amp;データ!B854&amp;".jpg"</f>
        <v>./images/thumbnail/.jpg</v>
      </c>
      <c r="F854" s="38" t="s">
        <v>1116</v>
      </c>
      <c r="G854" s="38" t="s">
        <v>1319</v>
      </c>
      <c r="H854" s="38">
        <f>データ!C854</f>
        <v>0</v>
      </c>
      <c r="I854" s="38" t="s">
        <v>1024</v>
      </c>
      <c r="J854" s="38" t="s">
        <v>1319</v>
      </c>
      <c r="K854" s="38">
        <f>データ!D854</f>
        <v>0</v>
      </c>
      <c r="L854" s="38" t="s">
        <v>1024</v>
      </c>
      <c r="M854" s="38" t="s">
        <v>1319</v>
      </c>
      <c r="N854" s="38">
        <f>データ!E854</f>
        <v>0</v>
      </c>
      <c r="O854" s="38" t="s">
        <v>1024</v>
      </c>
      <c r="P854" s="38" t="s">
        <v>1319</v>
      </c>
      <c r="Q854" s="38">
        <f>データ!F854</f>
        <v>0</v>
      </c>
      <c r="R854" s="38" t="s">
        <v>1024</v>
      </c>
      <c r="S854" s="38" t="s">
        <v>1319</v>
      </c>
      <c r="T854" s="39">
        <f>データ!G854</f>
        <v>0</v>
      </c>
      <c r="U854" s="40" t="s">
        <v>1024</v>
      </c>
      <c r="V854" s="40" t="s">
        <v>1319</v>
      </c>
      <c r="W854" s="39">
        <f>データ!H854</f>
        <v>0</v>
      </c>
      <c r="X854" s="40" t="s">
        <v>1024</v>
      </c>
      <c r="Y854" s="40" t="s">
        <v>1319</v>
      </c>
      <c r="Z854" s="39">
        <f>データ!I854</f>
        <v>0</v>
      </c>
      <c r="AA854" s="40" t="s">
        <v>1024</v>
      </c>
      <c r="AB854" s="40" t="s">
        <v>1319</v>
      </c>
      <c r="AC854" s="39">
        <f>データ!J854</f>
        <v>0</v>
      </c>
      <c r="AD854" s="38" t="s">
        <v>1024</v>
      </c>
      <c r="AE854" s="40" t="s">
        <v>1319</v>
      </c>
      <c r="AF854" s="39">
        <f>データ!K854</f>
        <v>0</v>
      </c>
      <c r="AG854" s="40" t="s">
        <v>1024</v>
      </c>
      <c r="AH854" s="40" t="s">
        <v>1324</v>
      </c>
      <c r="AI854" s="39">
        <f>データ!L854</f>
        <v>0</v>
      </c>
      <c r="AJ854" s="10" t="s">
        <v>1113</v>
      </c>
      <c r="AK854" s="39">
        <f>データ!M854</f>
        <v>0</v>
      </c>
      <c r="AL854" s="10" t="s">
        <v>1024</v>
      </c>
      <c r="AM854" s="40" t="s">
        <v>1324</v>
      </c>
      <c r="AN854" s="39">
        <f>データ!N854</f>
        <v>0</v>
      </c>
      <c r="AO854" s="10" t="s">
        <v>1113</v>
      </c>
      <c r="AP854" s="39">
        <f>データ!O854</f>
        <v>0</v>
      </c>
      <c r="AQ854" s="41" t="s">
        <v>1024</v>
      </c>
      <c r="AR854" s="40" t="s">
        <v>1324</v>
      </c>
      <c r="AS854" s="39">
        <f>データ!P854</f>
        <v>0</v>
      </c>
      <c r="AT854" s="10" t="s">
        <v>1113</v>
      </c>
      <c r="AU854" s="39">
        <f>データ!Q854</f>
        <v>0</v>
      </c>
      <c r="AV854" s="10" t="s">
        <v>1024</v>
      </c>
      <c r="AW854" s="40" t="s">
        <v>1324</v>
      </c>
      <c r="AX854" s="39">
        <f>データ!R854</f>
        <v>0</v>
      </c>
      <c r="AY854" s="10" t="s">
        <v>1113</v>
      </c>
      <c r="AZ854" s="39">
        <f>データ!S854</f>
        <v>0</v>
      </c>
      <c r="BA854" s="41" t="s">
        <v>1024</v>
      </c>
      <c r="BB854" s="40" t="s">
        <v>1319</v>
      </c>
      <c r="BC854" s="39">
        <f>データ!T854</f>
        <v>0</v>
      </c>
      <c r="BD854" s="41" t="s">
        <v>1024</v>
      </c>
      <c r="BE854" s="40" t="s">
        <v>1319</v>
      </c>
      <c r="BF854" s="39">
        <f>データ!U854</f>
        <v>0</v>
      </c>
      <c r="BG854" s="41" t="s">
        <v>1024</v>
      </c>
      <c r="BH854" s="40" t="s">
        <v>1319</v>
      </c>
      <c r="BI854" s="39">
        <f>データ!V854</f>
        <v>0</v>
      </c>
      <c r="BJ854" s="41" t="s">
        <v>1024</v>
      </c>
      <c r="BK854" s="10" t="s">
        <v>1019</v>
      </c>
    </row>
    <row r="855" spans="1:63" x14ac:dyDescent="0.15">
      <c r="A855" s="10" t="s">
        <v>1016</v>
      </c>
      <c r="B855" s="10" t="s">
        <v>1454</v>
      </c>
      <c r="C855" s="38" t="str">
        <f>"./images/thumbnail/"&amp;データ!B855&amp;".jpg"</f>
        <v>./images/thumbnail/.jpg</v>
      </c>
      <c r="D855" s="38" t="s">
        <v>1455</v>
      </c>
      <c r="E855" s="38" t="str">
        <f>"./images/thumbnail/"&amp;データ!B855&amp;".jpg"</f>
        <v>./images/thumbnail/.jpg</v>
      </c>
      <c r="F855" s="38" t="s">
        <v>1116</v>
      </c>
      <c r="G855" s="38" t="s">
        <v>1319</v>
      </c>
      <c r="H855" s="38">
        <f>データ!C855</f>
        <v>0</v>
      </c>
      <c r="I855" s="38" t="s">
        <v>1024</v>
      </c>
      <c r="J855" s="38" t="s">
        <v>1319</v>
      </c>
      <c r="K855" s="38">
        <f>データ!D855</f>
        <v>0</v>
      </c>
      <c r="L855" s="38" t="s">
        <v>1024</v>
      </c>
      <c r="M855" s="38" t="s">
        <v>1319</v>
      </c>
      <c r="N855" s="38">
        <f>データ!E855</f>
        <v>0</v>
      </c>
      <c r="O855" s="38" t="s">
        <v>1024</v>
      </c>
      <c r="P855" s="38" t="s">
        <v>1319</v>
      </c>
      <c r="Q855" s="38">
        <f>データ!F855</f>
        <v>0</v>
      </c>
      <c r="R855" s="38" t="s">
        <v>1024</v>
      </c>
      <c r="S855" s="38" t="s">
        <v>1319</v>
      </c>
      <c r="T855" s="39">
        <f>データ!G855</f>
        <v>0</v>
      </c>
      <c r="U855" s="40" t="s">
        <v>1024</v>
      </c>
      <c r="V855" s="40" t="s">
        <v>1319</v>
      </c>
      <c r="W855" s="39">
        <f>データ!H855</f>
        <v>0</v>
      </c>
      <c r="X855" s="40" t="s">
        <v>1024</v>
      </c>
      <c r="Y855" s="40" t="s">
        <v>1319</v>
      </c>
      <c r="Z855" s="39">
        <f>データ!I855</f>
        <v>0</v>
      </c>
      <c r="AA855" s="40" t="s">
        <v>1024</v>
      </c>
      <c r="AB855" s="40" t="s">
        <v>1319</v>
      </c>
      <c r="AC855" s="39">
        <f>データ!J855</f>
        <v>0</v>
      </c>
      <c r="AD855" s="38" t="s">
        <v>1024</v>
      </c>
      <c r="AE855" s="40" t="s">
        <v>1319</v>
      </c>
      <c r="AF855" s="39">
        <f>データ!K855</f>
        <v>0</v>
      </c>
      <c r="AG855" s="40" t="s">
        <v>1024</v>
      </c>
      <c r="AH855" s="40" t="s">
        <v>1324</v>
      </c>
      <c r="AI855" s="39">
        <f>データ!L855</f>
        <v>0</v>
      </c>
      <c r="AJ855" s="10" t="s">
        <v>1113</v>
      </c>
      <c r="AK855" s="39">
        <f>データ!M855</f>
        <v>0</v>
      </c>
      <c r="AL855" s="10" t="s">
        <v>1024</v>
      </c>
      <c r="AM855" s="40" t="s">
        <v>1324</v>
      </c>
      <c r="AN855" s="39">
        <f>データ!N855</f>
        <v>0</v>
      </c>
      <c r="AO855" s="10" t="s">
        <v>1113</v>
      </c>
      <c r="AP855" s="39">
        <f>データ!O855</f>
        <v>0</v>
      </c>
      <c r="AQ855" s="41" t="s">
        <v>1024</v>
      </c>
      <c r="AR855" s="40" t="s">
        <v>1324</v>
      </c>
      <c r="AS855" s="39">
        <f>データ!P855</f>
        <v>0</v>
      </c>
      <c r="AT855" s="10" t="s">
        <v>1113</v>
      </c>
      <c r="AU855" s="39">
        <f>データ!Q855</f>
        <v>0</v>
      </c>
      <c r="AV855" s="10" t="s">
        <v>1024</v>
      </c>
      <c r="AW855" s="40" t="s">
        <v>1324</v>
      </c>
      <c r="AX855" s="39">
        <f>データ!R855</f>
        <v>0</v>
      </c>
      <c r="AY855" s="10" t="s">
        <v>1113</v>
      </c>
      <c r="AZ855" s="39">
        <f>データ!S855</f>
        <v>0</v>
      </c>
      <c r="BA855" s="41" t="s">
        <v>1024</v>
      </c>
      <c r="BB855" s="40" t="s">
        <v>1319</v>
      </c>
      <c r="BC855" s="39">
        <f>データ!T855</f>
        <v>0</v>
      </c>
      <c r="BD855" s="41" t="s">
        <v>1024</v>
      </c>
      <c r="BE855" s="40" t="s">
        <v>1319</v>
      </c>
      <c r="BF855" s="39">
        <f>データ!U855</f>
        <v>0</v>
      </c>
      <c r="BG855" s="41" t="s">
        <v>1024</v>
      </c>
      <c r="BH855" s="40" t="s">
        <v>1319</v>
      </c>
      <c r="BI855" s="39">
        <f>データ!V855</f>
        <v>0</v>
      </c>
      <c r="BJ855" s="41" t="s">
        <v>1024</v>
      </c>
      <c r="BK855" s="10" t="s">
        <v>1019</v>
      </c>
    </row>
    <row r="856" spans="1:63" x14ac:dyDescent="0.15">
      <c r="A856" s="10" t="s">
        <v>1016</v>
      </c>
      <c r="B856" s="10" t="s">
        <v>1454</v>
      </c>
      <c r="C856" s="38" t="str">
        <f>"./images/thumbnail/"&amp;データ!B856&amp;".jpg"</f>
        <v>./images/thumbnail/.jpg</v>
      </c>
      <c r="D856" s="38" t="s">
        <v>1455</v>
      </c>
      <c r="E856" s="38" t="str">
        <f>"./images/thumbnail/"&amp;データ!B856&amp;".jpg"</f>
        <v>./images/thumbnail/.jpg</v>
      </c>
      <c r="F856" s="38" t="s">
        <v>1116</v>
      </c>
      <c r="G856" s="38" t="s">
        <v>1319</v>
      </c>
      <c r="H856" s="38">
        <f>データ!C856</f>
        <v>0</v>
      </c>
      <c r="I856" s="38" t="s">
        <v>1024</v>
      </c>
      <c r="J856" s="38" t="s">
        <v>1319</v>
      </c>
      <c r="K856" s="38">
        <f>データ!D856</f>
        <v>0</v>
      </c>
      <c r="L856" s="38" t="s">
        <v>1024</v>
      </c>
      <c r="M856" s="38" t="s">
        <v>1319</v>
      </c>
      <c r="N856" s="38">
        <f>データ!E856</f>
        <v>0</v>
      </c>
      <c r="O856" s="38" t="s">
        <v>1024</v>
      </c>
      <c r="P856" s="38" t="s">
        <v>1319</v>
      </c>
      <c r="Q856" s="38">
        <f>データ!F856</f>
        <v>0</v>
      </c>
      <c r="R856" s="38" t="s">
        <v>1024</v>
      </c>
      <c r="S856" s="38" t="s">
        <v>1319</v>
      </c>
      <c r="T856" s="39">
        <f>データ!G856</f>
        <v>0</v>
      </c>
      <c r="U856" s="40" t="s">
        <v>1024</v>
      </c>
      <c r="V856" s="40" t="s">
        <v>1319</v>
      </c>
      <c r="W856" s="39">
        <f>データ!H856</f>
        <v>0</v>
      </c>
      <c r="X856" s="40" t="s">
        <v>1024</v>
      </c>
      <c r="Y856" s="40" t="s">
        <v>1319</v>
      </c>
      <c r="Z856" s="39">
        <f>データ!I856</f>
        <v>0</v>
      </c>
      <c r="AA856" s="40" t="s">
        <v>1024</v>
      </c>
      <c r="AB856" s="40" t="s">
        <v>1319</v>
      </c>
      <c r="AC856" s="39">
        <f>データ!J856</f>
        <v>0</v>
      </c>
      <c r="AD856" s="38" t="s">
        <v>1024</v>
      </c>
      <c r="AE856" s="40" t="s">
        <v>1319</v>
      </c>
      <c r="AF856" s="39">
        <f>データ!K856</f>
        <v>0</v>
      </c>
      <c r="AG856" s="40" t="s">
        <v>1024</v>
      </c>
      <c r="AH856" s="40" t="s">
        <v>1324</v>
      </c>
      <c r="AI856" s="39">
        <f>データ!L856</f>
        <v>0</v>
      </c>
      <c r="AJ856" s="10" t="s">
        <v>1113</v>
      </c>
      <c r="AK856" s="39">
        <f>データ!M856</f>
        <v>0</v>
      </c>
      <c r="AL856" s="10" t="s">
        <v>1024</v>
      </c>
      <c r="AM856" s="40" t="s">
        <v>1324</v>
      </c>
      <c r="AN856" s="39">
        <f>データ!N856</f>
        <v>0</v>
      </c>
      <c r="AO856" s="10" t="s">
        <v>1113</v>
      </c>
      <c r="AP856" s="39">
        <f>データ!O856</f>
        <v>0</v>
      </c>
      <c r="AQ856" s="41" t="s">
        <v>1024</v>
      </c>
      <c r="AR856" s="40" t="s">
        <v>1324</v>
      </c>
      <c r="AS856" s="39">
        <f>データ!P856</f>
        <v>0</v>
      </c>
      <c r="AT856" s="10" t="s">
        <v>1113</v>
      </c>
      <c r="AU856" s="39">
        <f>データ!Q856</f>
        <v>0</v>
      </c>
      <c r="AV856" s="10" t="s">
        <v>1024</v>
      </c>
      <c r="AW856" s="40" t="s">
        <v>1324</v>
      </c>
      <c r="AX856" s="39">
        <f>データ!R856</f>
        <v>0</v>
      </c>
      <c r="AY856" s="10" t="s">
        <v>1113</v>
      </c>
      <c r="AZ856" s="39">
        <f>データ!S856</f>
        <v>0</v>
      </c>
      <c r="BA856" s="41" t="s">
        <v>1024</v>
      </c>
      <c r="BB856" s="40" t="s">
        <v>1319</v>
      </c>
      <c r="BC856" s="39">
        <f>データ!T856</f>
        <v>0</v>
      </c>
      <c r="BD856" s="41" t="s">
        <v>1024</v>
      </c>
      <c r="BE856" s="40" t="s">
        <v>1319</v>
      </c>
      <c r="BF856" s="39">
        <f>データ!U856</f>
        <v>0</v>
      </c>
      <c r="BG856" s="41" t="s">
        <v>1024</v>
      </c>
      <c r="BH856" s="40" t="s">
        <v>1319</v>
      </c>
      <c r="BI856" s="39">
        <f>データ!V856</f>
        <v>0</v>
      </c>
      <c r="BJ856" s="41" t="s">
        <v>1024</v>
      </c>
      <c r="BK856" s="10" t="s">
        <v>1019</v>
      </c>
    </row>
    <row r="857" spans="1:63" x14ac:dyDescent="0.15">
      <c r="A857" s="10" t="s">
        <v>1016</v>
      </c>
      <c r="B857" s="10" t="s">
        <v>1454</v>
      </c>
      <c r="C857" s="38" t="str">
        <f>"./images/thumbnail/"&amp;データ!B857&amp;".jpg"</f>
        <v>./images/thumbnail/.jpg</v>
      </c>
      <c r="D857" s="38" t="s">
        <v>1455</v>
      </c>
      <c r="E857" s="38" t="str">
        <f>"./images/thumbnail/"&amp;データ!B857&amp;".jpg"</f>
        <v>./images/thumbnail/.jpg</v>
      </c>
      <c r="F857" s="38" t="s">
        <v>1116</v>
      </c>
      <c r="G857" s="38" t="s">
        <v>1319</v>
      </c>
      <c r="H857" s="38">
        <f>データ!C857</f>
        <v>0</v>
      </c>
      <c r="I857" s="38" t="s">
        <v>1024</v>
      </c>
      <c r="J857" s="38" t="s">
        <v>1319</v>
      </c>
      <c r="K857" s="38">
        <f>データ!D857</f>
        <v>0</v>
      </c>
      <c r="L857" s="38" t="s">
        <v>1024</v>
      </c>
      <c r="M857" s="38" t="s">
        <v>1319</v>
      </c>
      <c r="N857" s="38">
        <f>データ!E857</f>
        <v>0</v>
      </c>
      <c r="O857" s="38" t="s">
        <v>1024</v>
      </c>
      <c r="P857" s="38" t="s">
        <v>1319</v>
      </c>
      <c r="Q857" s="38">
        <f>データ!F857</f>
        <v>0</v>
      </c>
      <c r="R857" s="38" t="s">
        <v>1024</v>
      </c>
      <c r="S857" s="38" t="s">
        <v>1319</v>
      </c>
      <c r="T857" s="39">
        <f>データ!G857</f>
        <v>0</v>
      </c>
      <c r="U857" s="40" t="s">
        <v>1024</v>
      </c>
      <c r="V857" s="40" t="s">
        <v>1319</v>
      </c>
      <c r="W857" s="39">
        <f>データ!H857</f>
        <v>0</v>
      </c>
      <c r="X857" s="40" t="s">
        <v>1024</v>
      </c>
      <c r="Y857" s="40" t="s">
        <v>1319</v>
      </c>
      <c r="Z857" s="39">
        <f>データ!I857</f>
        <v>0</v>
      </c>
      <c r="AA857" s="40" t="s">
        <v>1024</v>
      </c>
      <c r="AB857" s="40" t="s">
        <v>1319</v>
      </c>
      <c r="AC857" s="39">
        <f>データ!J857</f>
        <v>0</v>
      </c>
      <c r="AD857" s="38" t="s">
        <v>1024</v>
      </c>
      <c r="AE857" s="40" t="s">
        <v>1319</v>
      </c>
      <c r="AF857" s="39">
        <f>データ!K857</f>
        <v>0</v>
      </c>
      <c r="AG857" s="40" t="s">
        <v>1024</v>
      </c>
      <c r="AH857" s="40" t="s">
        <v>1324</v>
      </c>
      <c r="AI857" s="39">
        <f>データ!L857</f>
        <v>0</v>
      </c>
      <c r="AJ857" s="10" t="s">
        <v>1113</v>
      </c>
      <c r="AK857" s="39">
        <f>データ!M857</f>
        <v>0</v>
      </c>
      <c r="AL857" s="10" t="s">
        <v>1024</v>
      </c>
      <c r="AM857" s="40" t="s">
        <v>1324</v>
      </c>
      <c r="AN857" s="39">
        <f>データ!N857</f>
        <v>0</v>
      </c>
      <c r="AO857" s="10" t="s">
        <v>1113</v>
      </c>
      <c r="AP857" s="39">
        <f>データ!O857</f>
        <v>0</v>
      </c>
      <c r="AQ857" s="41" t="s">
        <v>1024</v>
      </c>
      <c r="AR857" s="40" t="s">
        <v>1324</v>
      </c>
      <c r="AS857" s="39">
        <f>データ!P857</f>
        <v>0</v>
      </c>
      <c r="AT857" s="10" t="s">
        <v>1113</v>
      </c>
      <c r="AU857" s="39">
        <f>データ!Q857</f>
        <v>0</v>
      </c>
      <c r="AV857" s="10" t="s">
        <v>1024</v>
      </c>
      <c r="AW857" s="40" t="s">
        <v>1324</v>
      </c>
      <c r="AX857" s="39">
        <f>データ!R857</f>
        <v>0</v>
      </c>
      <c r="AY857" s="10" t="s">
        <v>1113</v>
      </c>
      <c r="AZ857" s="39">
        <f>データ!S857</f>
        <v>0</v>
      </c>
      <c r="BA857" s="41" t="s">
        <v>1024</v>
      </c>
      <c r="BB857" s="40" t="s">
        <v>1319</v>
      </c>
      <c r="BC857" s="39">
        <f>データ!T857</f>
        <v>0</v>
      </c>
      <c r="BD857" s="41" t="s">
        <v>1024</v>
      </c>
      <c r="BE857" s="40" t="s">
        <v>1319</v>
      </c>
      <c r="BF857" s="39">
        <f>データ!U857</f>
        <v>0</v>
      </c>
      <c r="BG857" s="41" t="s">
        <v>1024</v>
      </c>
      <c r="BH857" s="40" t="s">
        <v>1319</v>
      </c>
      <c r="BI857" s="39">
        <f>データ!V857</f>
        <v>0</v>
      </c>
      <c r="BJ857" s="41" t="s">
        <v>1024</v>
      </c>
      <c r="BK857" s="10" t="s">
        <v>1019</v>
      </c>
    </row>
    <row r="858" spans="1:63" x14ac:dyDescent="0.15">
      <c r="A858" s="10" t="s">
        <v>1016</v>
      </c>
      <c r="B858" s="10" t="s">
        <v>1454</v>
      </c>
      <c r="C858" s="38" t="str">
        <f>"./images/thumbnail/"&amp;データ!B858&amp;".jpg"</f>
        <v>./images/thumbnail/.jpg</v>
      </c>
      <c r="D858" s="38" t="s">
        <v>1455</v>
      </c>
      <c r="E858" s="38" t="str">
        <f>"./images/thumbnail/"&amp;データ!B858&amp;".jpg"</f>
        <v>./images/thumbnail/.jpg</v>
      </c>
      <c r="F858" s="38" t="s">
        <v>1116</v>
      </c>
      <c r="G858" s="38" t="s">
        <v>1319</v>
      </c>
      <c r="H858" s="38">
        <f>データ!C858</f>
        <v>0</v>
      </c>
      <c r="I858" s="38" t="s">
        <v>1024</v>
      </c>
      <c r="J858" s="38" t="s">
        <v>1319</v>
      </c>
      <c r="K858" s="38">
        <f>データ!D858</f>
        <v>0</v>
      </c>
      <c r="L858" s="38" t="s">
        <v>1024</v>
      </c>
      <c r="M858" s="38" t="s">
        <v>1319</v>
      </c>
      <c r="N858" s="38">
        <f>データ!E858</f>
        <v>0</v>
      </c>
      <c r="O858" s="38" t="s">
        <v>1024</v>
      </c>
      <c r="P858" s="38" t="s">
        <v>1319</v>
      </c>
      <c r="Q858" s="38">
        <f>データ!F858</f>
        <v>0</v>
      </c>
      <c r="R858" s="38" t="s">
        <v>1024</v>
      </c>
      <c r="S858" s="38" t="s">
        <v>1319</v>
      </c>
      <c r="T858" s="39">
        <f>データ!G858</f>
        <v>0</v>
      </c>
      <c r="U858" s="40" t="s">
        <v>1024</v>
      </c>
      <c r="V858" s="40" t="s">
        <v>1319</v>
      </c>
      <c r="W858" s="39">
        <f>データ!H858</f>
        <v>0</v>
      </c>
      <c r="X858" s="40" t="s">
        <v>1024</v>
      </c>
      <c r="Y858" s="40" t="s">
        <v>1319</v>
      </c>
      <c r="Z858" s="39">
        <f>データ!I858</f>
        <v>0</v>
      </c>
      <c r="AA858" s="40" t="s">
        <v>1024</v>
      </c>
      <c r="AB858" s="40" t="s">
        <v>1319</v>
      </c>
      <c r="AC858" s="39">
        <f>データ!J858</f>
        <v>0</v>
      </c>
      <c r="AD858" s="38" t="s">
        <v>1024</v>
      </c>
      <c r="AE858" s="40" t="s">
        <v>1319</v>
      </c>
      <c r="AF858" s="39">
        <f>データ!K858</f>
        <v>0</v>
      </c>
      <c r="AG858" s="40" t="s">
        <v>1024</v>
      </c>
      <c r="AH858" s="40" t="s">
        <v>1324</v>
      </c>
      <c r="AI858" s="39">
        <f>データ!L858</f>
        <v>0</v>
      </c>
      <c r="AJ858" s="10" t="s">
        <v>1113</v>
      </c>
      <c r="AK858" s="39">
        <f>データ!M858</f>
        <v>0</v>
      </c>
      <c r="AL858" s="10" t="s">
        <v>1024</v>
      </c>
      <c r="AM858" s="40" t="s">
        <v>1324</v>
      </c>
      <c r="AN858" s="39">
        <f>データ!N858</f>
        <v>0</v>
      </c>
      <c r="AO858" s="10" t="s">
        <v>1113</v>
      </c>
      <c r="AP858" s="39">
        <f>データ!O858</f>
        <v>0</v>
      </c>
      <c r="AQ858" s="41" t="s">
        <v>1024</v>
      </c>
      <c r="AR858" s="40" t="s">
        <v>1324</v>
      </c>
      <c r="AS858" s="39">
        <f>データ!P858</f>
        <v>0</v>
      </c>
      <c r="AT858" s="10" t="s">
        <v>1113</v>
      </c>
      <c r="AU858" s="39">
        <f>データ!Q858</f>
        <v>0</v>
      </c>
      <c r="AV858" s="10" t="s">
        <v>1024</v>
      </c>
      <c r="AW858" s="40" t="s">
        <v>1324</v>
      </c>
      <c r="AX858" s="39">
        <f>データ!R858</f>
        <v>0</v>
      </c>
      <c r="AY858" s="10" t="s">
        <v>1113</v>
      </c>
      <c r="AZ858" s="39">
        <f>データ!S858</f>
        <v>0</v>
      </c>
      <c r="BA858" s="41" t="s">
        <v>1024</v>
      </c>
      <c r="BB858" s="40" t="s">
        <v>1319</v>
      </c>
      <c r="BC858" s="39">
        <f>データ!T858</f>
        <v>0</v>
      </c>
      <c r="BD858" s="41" t="s">
        <v>1024</v>
      </c>
      <c r="BE858" s="40" t="s">
        <v>1319</v>
      </c>
      <c r="BF858" s="39">
        <f>データ!U858</f>
        <v>0</v>
      </c>
      <c r="BG858" s="41" t="s">
        <v>1024</v>
      </c>
      <c r="BH858" s="40" t="s">
        <v>1319</v>
      </c>
      <c r="BI858" s="39">
        <f>データ!V858</f>
        <v>0</v>
      </c>
      <c r="BJ858" s="41" t="s">
        <v>1024</v>
      </c>
      <c r="BK858" s="10" t="s">
        <v>1019</v>
      </c>
    </row>
    <row r="859" spans="1:63" x14ac:dyDescent="0.15">
      <c r="A859" s="10" t="s">
        <v>1016</v>
      </c>
      <c r="B859" s="10" t="s">
        <v>1454</v>
      </c>
      <c r="C859" s="38" t="str">
        <f>"./images/thumbnail/"&amp;データ!B859&amp;".jpg"</f>
        <v>./images/thumbnail/.jpg</v>
      </c>
      <c r="D859" s="38" t="s">
        <v>1455</v>
      </c>
      <c r="E859" s="38" t="str">
        <f>"./images/thumbnail/"&amp;データ!B859&amp;".jpg"</f>
        <v>./images/thumbnail/.jpg</v>
      </c>
      <c r="F859" s="38" t="s">
        <v>1116</v>
      </c>
      <c r="G859" s="38" t="s">
        <v>1319</v>
      </c>
      <c r="H859" s="38">
        <f>データ!C859</f>
        <v>0</v>
      </c>
      <c r="I859" s="38" t="s">
        <v>1024</v>
      </c>
      <c r="J859" s="38" t="s">
        <v>1319</v>
      </c>
      <c r="K859" s="38">
        <f>データ!D859</f>
        <v>0</v>
      </c>
      <c r="L859" s="38" t="s">
        <v>1024</v>
      </c>
      <c r="M859" s="38" t="s">
        <v>1319</v>
      </c>
      <c r="N859" s="38">
        <f>データ!E859</f>
        <v>0</v>
      </c>
      <c r="O859" s="38" t="s">
        <v>1024</v>
      </c>
      <c r="P859" s="38" t="s">
        <v>1319</v>
      </c>
      <c r="Q859" s="38">
        <f>データ!F859</f>
        <v>0</v>
      </c>
      <c r="R859" s="38" t="s">
        <v>1024</v>
      </c>
      <c r="S859" s="38" t="s">
        <v>1319</v>
      </c>
      <c r="T859" s="39">
        <f>データ!G859</f>
        <v>0</v>
      </c>
      <c r="U859" s="40" t="s">
        <v>1024</v>
      </c>
      <c r="V859" s="40" t="s">
        <v>1319</v>
      </c>
      <c r="W859" s="39">
        <f>データ!H859</f>
        <v>0</v>
      </c>
      <c r="X859" s="40" t="s">
        <v>1024</v>
      </c>
      <c r="Y859" s="40" t="s">
        <v>1319</v>
      </c>
      <c r="Z859" s="39">
        <f>データ!I859</f>
        <v>0</v>
      </c>
      <c r="AA859" s="40" t="s">
        <v>1024</v>
      </c>
      <c r="AB859" s="40" t="s">
        <v>1319</v>
      </c>
      <c r="AC859" s="39">
        <f>データ!J859</f>
        <v>0</v>
      </c>
      <c r="AD859" s="38" t="s">
        <v>1024</v>
      </c>
      <c r="AE859" s="40" t="s">
        <v>1319</v>
      </c>
      <c r="AF859" s="39">
        <f>データ!K859</f>
        <v>0</v>
      </c>
      <c r="AG859" s="40" t="s">
        <v>1024</v>
      </c>
      <c r="AH859" s="40" t="s">
        <v>1324</v>
      </c>
      <c r="AI859" s="39">
        <f>データ!L859</f>
        <v>0</v>
      </c>
      <c r="AJ859" s="10" t="s">
        <v>1113</v>
      </c>
      <c r="AK859" s="39">
        <f>データ!M859</f>
        <v>0</v>
      </c>
      <c r="AL859" s="10" t="s">
        <v>1024</v>
      </c>
      <c r="AM859" s="40" t="s">
        <v>1324</v>
      </c>
      <c r="AN859" s="39">
        <f>データ!N859</f>
        <v>0</v>
      </c>
      <c r="AO859" s="10" t="s">
        <v>1113</v>
      </c>
      <c r="AP859" s="39">
        <f>データ!O859</f>
        <v>0</v>
      </c>
      <c r="AQ859" s="41" t="s">
        <v>1024</v>
      </c>
      <c r="AR859" s="40" t="s">
        <v>1324</v>
      </c>
      <c r="AS859" s="39">
        <f>データ!P859</f>
        <v>0</v>
      </c>
      <c r="AT859" s="10" t="s">
        <v>1113</v>
      </c>
      <c r="AU859" s="39">
        <f>データ!Q859</f>
        <v>0</v>
      </c>
      <c r="AV859" s="10" t="s">
        <v>1024</v>
      </c>
      <c r="AW859" s="40" t="s">
        <v>1324</v>
      </c>
      <c r="AX859" s="39">
        <f>データ!R859</f>
        <v>0</v>
      </c>
      <c r="AY859" s="10" t="s">
        <v>1113</v>
      </c>
      <c r="AZ859" s="39">
        <f>データ!S859</f>
        <v>0</v>
      </c>
      <c r="BA859" s="41" t="s">
        <v>1024</v>
      </c>
      <c r="BB859" s="40" t="s">
        <v>1319</v>
      </c>
      <c r="BC859" s="39">
        <f>データ!T859</f>
        <v>0</v>
      </c>
      <c r="BD859" s="41" t="s">
        <v>1024</v>
      </c>
      <c r="BE859" s="40" t="s">
        <v>1319</v>
      </c>
      <c r="BF859" s="39">
        <f>データ!U859</f>
        <v>0</v>
      </c>
      <c r="BG859" s="41" t="s">
        <v>1024</v>
      </c>
      <c r="BH859" s="40" t="s">
        <v>1319</v>
      </c>
      <c r="BI859" s="39">
        <f>データ!V859</f>
        <v>0</v>
      </c>
      <c r="BJ859" s="41" t="s">
        <v>1024</v>
      </c>
      <c r="BK859" s="10" t="s">
        <v>1019</v>
      </c>
    </row>
    <row r="860" spans="1:63" x14ac:dyDescent="0.15">
      <c r="A860" s="10" t="s">
        <v>1016</v>
      </c>
      <c r="B860" s="10" t="s">
        <v>1454</v>
      </c>
      <c r="C860" s="38" t="str">
        <f>"./images/thumbnail/"&amp;データ!B860&amp;".jpg"</f>
        <v>./images/thumbnail/.jpg</v>
      </c>
      <c r="D860" s="38" t="s">
        <v>1455</v>
      </c>
      <c r="E860" s="38" t="str">
        <f>"./images/thumbnail/"&amp;データ!B860&amp;".jpg"</f>
        <v>./images/thumbnail/.jpg</v>
      </c>
      <c r="F860" s="38" t="s">
        <v>1116</v>
      </c>
      <c r="G860" s="38" t="s">
        <v>1319</v>
      </c>
      <c r="H860" s="38">
        <f>データ!C860</f>
        <v>0</v>
      </c>
      <c r="I860" s="38" t="s">
        <v>1024</v>
      </c>
      <c r="J860" s="38" t="s">
        <v>1319</v>
      </c>
      <c r="K860" s="38">
        <f>データ!D860</f>
        <v>0</v>
      </c>
      <c r="L860" s="38" t="s">
        <v>1024</v>
      </c>
      <c r="M860" s="38" t="s">
        <v>1319</v>
      </c>
      <c r="N860" s="38">
        <f>データ!E860</f>
        <v>0</v>
      </c>
      <c r="O860" s="38" t="s">
        <v>1024</v>
      </c>
      <c r="P860" s="38" t="s">
        <v>1319</v>
      </c>
      <c r="Q860" s="38">
        <f>データ!F860</f>
        <v>0</v>
      </c>
      <c r="R860" s="38" t="s">
        <v>1024</v>
      </c>
      <c r="S860" s="38" t="s">
        <v>1319</v>
      </c>
      <c r="T860" s="39">
        <f>データ!G860</f>
        <v>0</v>
      </c>
      <c r="U860" s="40" t="s">
        <v>1024</v>
      </c>
      <c r="V860" s="40" t="s">
        <v>1319</v>
      </c>
      <c r="W860" s="39">
        <f>データ!H860</f>
        <v>0</v>
      </c>
      <c r="X860" s="40" t="s">
        <v>1024</v>
      </c>
      <c r="Y860" s="40" t="s">
        <v>1319</v>
      </c>
      <c r="Z860" s="39">
        <f>データ!I860</f>
        <v>0</v>
      </c>
      <c r="AA860" s="40" t="s">
        <v>1024</v>
      </c>
      <c r="AB860" s="40" t="s">
        <v>1319</v>
      </c>
      <c r="AC860" s="39">
        <f>データ!J860</f>
        <v>0</v>
      </c>
      <c r="AD860" s="38" t="s">
        <v>1024</v>
      </c>
      <c r="AE860" s="40" t="s">
        <v>1319</v>
      </c>
      <c r="AF860" s="39">
        <f>データ!K860</f>
        <v>0</v>
      </c>
      <c r="AG860" s="40" t="s">
        <v>1024</v>
      </c>
      <c r="AH860" s="40" t="s">
        <v>1324</v>
      </c>
      <c r="AI860" s="39">
        <f>データ!L860</f>
        <v>0</v>
      </c>
      <c r="AJ860" s="10" t="s">
        <v>1113</v>
      </c>
      <c r="AK860" s="39">
        <f>データ!M860</f>
        <v>0</v>
      </c>
      <c r="AL860" s="10" t="s">
        <v>1024</v>
      </c>
      <c r="AM860" s="40" t="s">
        <v>1324</v>
      </c>
      <c r="AN860" s="39">
        <f>データ!N860</f>
        <v>0</v>
      </c>
      <c r="AO860" s="10" t="s">
        <v>1113</v>
      </c>
      <c r="AP860" s="39">
        <f>データ!O860</f>
        <v>0</v>
      </c>
      <c r="AQ860" s="41" t="s">
        <v>1024</v>
      </c>
      <c r="AR860" s="40" t="s">
        <v>1324</v>
      </c>
      <c r="AS860" s="39">
        <f>データ!P860</f>
        <v>0</v>
      </c>
      <c r="AT860" s="10" t="s">
        <v>1113</v>
      </c>
      <c r="AU860" s="39">
        <f>データ!Q860</f>
        <v>0</v>
      </c>
      <c r="AV860" s="10" t="s">
        <v>1024</v>
      </c>
      <c r="AW860" s="40" t="s">
        <v>1324</v>
      </c>
      <c r="AX860" s="39">
        <f>データ!R860</f>
        <v>0</v>
      </c>
      <c r="AY860" s="10" t="s">
        <v>1113</v>
      </c>
      <c r="AZ860" s="39">
        <f>データ!S860</f>
        <v>0</v>
      </c>
      <c r="BA860" s="41" t="s">
        <v>1024</v>
      </c>
      <c r="BB860" s="40" t="s">
        <v>1319</v>
      </c>
      <c r="BC860" s="39">
        <f>データ!T860</f>
        <v>0</v>
      </c>
      <c r="BD860" s="41" t="s">
        <v>1024</v>
      </c>
      <c r="BE860" s="40" t="s">
        <v>1319</v>
      </c>
      <c r="BF860" s="39">
        <f>データ!U860</f>
        <v>0</v>
      </c>
      <c r="BG860" s="41" t="s">
        <v>1024</v>
      </c>
      <c r="BH860" s="40" t="s">
        <v>1319</v>
      </c>
      <c r="BI860" s="39">
        <f>データ!V860</f>
        <v>0</v>
      </c>
      <c r="BJ860" s="41" t="s">
        <v>1024</v>
      </c>
      <c r="BK860" s="10" t="s">
        <v>1019</v>
      </c>
    </row>
    <row r="861" spans="1:63" x14ac:dyDescent="0.15">
      <c r="A861" s="10" t="s">
        <v>1016</v>
      </c>
      <c r="B861" s="10" t="s">
        <v>1454</v>
      </c>
      <c r="C861" s="38" t="str">
        <f>"./images/thumbnail/"&amp;データ!B861&amp;".jpg"</f>
        <v>./images/thumbnail/.jpg</v>
      </c>
      <c r="D861" s="38" t="s">
        <v>1455</v>
      </c>
      <c r="E861" s="38" t="str">
        <f>"./images/thumbnail/"&amp;データ!B861&amp;".jpg"</f>
        <v>./images/thumbnail/.jpg</v>
      </c>
      <c r="F861" s="38" t="s">
        <v>1116</v>
      </c>
      <c r="G861" s="38" t="s">
        <v>1319</v>
      </c>
      <c r="H861" s="38">
        <f>データ!C861</f>
        <v>0</v>
      </c>
      <c r="I861" s="38" t="s">
        <v>1024</v>
      </c>
      <c r="J861" s="38" t="s">
        <v>1319</v>
      </c>
      <c r="K861" s="38">
        <f>データ!D861</f>
        <v>0</v>
      </c>
      <c r="L861" s="38" t="s">
        <v>1024</v>
      </c>
      <c r="M861" s="38" t="s">
        <v>1319</v>
      </c>
      <c r="N861" s="38">
        <f>データ!E861</f>
        <v>0</v>
      </c>
      <c r="O861" s="38" t="s">
        <v>1024</v>
      </c>
      <c r="P861" s="38" t="s">
        <v>1319</v>
      </c>
      <c r="Q861" s="38">
        <f>データ!F861</f>
        <v>0</v>
      </c>
      <c r="R861" s="38" t="s">
        <v>1024</v>
      </c>
      <c r="S861" s="38" t="s">
        <v>1319</v>
      </c>
      <c r="T861" s="39">
        <f>データ!G861</f>
        <v>0</v>
      </c>
      <c r="U861" s="40" t="s">
        <v>1024</v>
      </c>
      <c r="V861" s="40" t="s">
        <v>1319</v>
      </c>
      <c r="W861" s="39">
        <f>データ!H861</f>
        <v>0</v>
      </c>
      <c r="X861" s="40" t="s">
        <v>1024</v>
      </c>
      <c r="Y861" s="40" t="s">
        <v>1319</v>
      </c>
      <c r="Z861" s="39">
        <f>データ!I861</f>
        <v>0</v>
      </c>
      <c r="AA861" s="40" t="s">
        <v>1024</v>
      </c>
      <c r="AB861" s="40" t="s">
        <v>1319</v>
      </c>
      <c r="AC861" s="39">
        <f>データ!J861</f>
        <v>0</v>
      </c>
      <c r="AD861" s="38" t="s">
        <v>1024</v>
      </c>
      <c r="AE861" s="40" t="s">
        <v>1319</v>
      </c>
      <c r="AF861" s="39">
        <f>データ!K861</f>
        <v>0</v>
      </c>
      <c r="AG861" s="40" t="s">
        <v>1024</v>
      </c>
      <c r="AH861" s="40" t="s">
        <v>1324</v>
      </c>
      <c r="AI861" s="39">
        <f>データ!L861</f>
        <v>0</v>
      </c>
      <c r="AJ861" s="10" t="s">
        <v>1113</v>
      </c>
      <c r="AK861" s="39">
        <f>データ!M861</f>
        <v>0</v>
      </c>
      <c r="AL861" s="10" t="s">
        <v>1024</v>
      </c>
      <c r="AM861" s="40" t="s">
        <v>1324</v>
      </c>
      <c r="AN861" s="39">
        <f>データ!N861</f>
        <v>0</v>
      </c>
      <c r="AO861" s="10" t="s">
        <v>1113</v>
      </c>
      <c r="AP861" s="39">
        <f>データ!O861</f>
        <v>0</v>
      </c>
      <c r="AQ861" s="41" t="s">
        <v>1024</v>
      </c>
      <c r="AR861" s="40" t="s">
        <v>1324</v>
      </c>
      <c r="AS861" s="39">
        <f>データ!P861</f>
        <v>0</v>
      </c>
      <c r="AT861" s="10" t="s">
        <v>1113</v>
      </c>
      <c r="AU861" s="39">
        <f>データ!Q861</f>
        <v>0</v>
      </c>
      <c r="AV861" s="10" t="s">
        <v>1024</v>
      </c>
      <c r="AW861" s="40" t="s">
        <v>1324</v>
      </c>
      <c r="AX861" s="39">
        <f>データ!R861</f>
        <v>0</v>
      </c>
      <c r="AY861" s="10" t="s">
        <v>1113</v>
      </c>
      <c r="AZ861" s="39">
        <f>データ!S861</f>
        <v>0</v>
      </c>
      <c r="BA861" s="41" t="s">
        <v>1024</v>
      </c>
      <c r="BB861" s="40" t="s">
        <v>1319</v>
      </c>
      <c r="BC861" s="39">
        <f>データ!T861</f>
        <v>0</v>
      </c>
      <c r="BD861" s="41" t="s">
        <v>1024</v>
      </c>
      <c r="BE861" s="40" t="s">
        <v>1319</v>
      </c>
      <c r="BF861" s="39">
        <f>データ!U861</f>
        <v>0</v>
      </c>
      <c r="BG861" s="41" t="s">
        <v>1024</v>
      </c>
      <c r="BH861" s="40" t="s">
        <v>1319</v>
      </c>
      <c r="BI861" s="39">
        <f>データ!V861</f>
        <v>0</v>
      </c>
      <c r="BJ861" s="41" t="s">
        <v>1024</v>
      </c>
      <c r="BK861" s="10" t="s">
        <v>1019</v>
      </c>
    </row>
    <row r="862" spans="1:63" x14ac:dyDescent="0.15">
      <c r="A862" s="10" t="s">
        <v>1016</v>
      </c>
      <c r="B862" s="10" t="s">
        <v>1454</v>
      </c>
      <c r="C862" s="38" t="str">
        <f>"./images/thumbnail/"&amp;データ!B862&amp;".jpg"</f>
        <v>./images/thumbnail/.jpg</v>
      </c>
      <c r="D862" s="38" t="s">
        <v>1455</v>
      </c>
      <c r="E862" s="38" t="str">
        <f>"./images/thumbnail/"&amp;データ!B862&amp;".jpg"</f>
        <v>./images/thumbnail/.jpg</v>
      </c>
      <c r="F862" s="38" t="s">
        <v>1116</v>
      </c>
      <c r="G862" s="38" t="s">
        <v>1319</v>
      </c>
      <c r="H862" s="38">
        <f>データ!C862</f>
        <v>0</v>
      </c>
      <c r="I862" s="38" t="s">
        <v>1024</v>
      </c>
      <c r="J862" s="38" t="s">
        <v>1319</v>
      </c>
      <c r="K862" s="38">
        <f>データ!D862</f>
        <v>0</v>
      </c>
      <c r="L862" s="38" t="s">
        <v>1024</v>
      </c>
      <c r="M862" s="38" t="s">
        <v>1319</v>
      </c>
      <c r="N862" s="38">
        <f>データ!E862</f>
        <v>0</v>
      </c>
      <c r="O862" s="38" t="s">
        <v>1024</v>
      </c>
      <c r="P862" s="38" t="s">
        <v>1319</v>
      </c>
      <c r="Q862" s="38">
        <f>データ!F862</f>
        <v>0</v>
      </c>
      <c r="R862" s="38" t="s">
        <v>1024</v>
      </c>
      <c r="S862" s="38" t="s">
        <v>1319</v>
      </c>
      <c r="T862" s="39">
        <f>データ!G862</f>
        <v>0</v>
      </c>
      <c r="U862" s="40" t="s">
        <v>1024</v>
      </c>
      <c r="V862" s="40" t="s">
        <v>1319</v>
      </c>
      <c r="W862" s="39">
        <f>データ!H862</f>
        <v>0</v>
      </c>
      <c r="X862" s="40" t="s">
        <v>1024</v>
      </c>
      <c r="Y862" s="40" t="s">
        <v>1319</v>
      </c>
      <c r="Z862" s="39">
        <f>データ!I862</f>
        <v>0</v>
      </c>
      <c r="AA862" s="40" t="s">
        <v>1024</v>
      </c>
      <c r="AB862" s="40" t="s">
        <v>1319</v>
      </c>
      <c r="AC862" s="39">
        <f>データ!J862</f>
        <v>0</v>
      </c>
      <c r="AD862" s="38" t="s">
        <v>1024</v>
      </c>
      <c r="AE862" s="40" t="s">
        <v>1319</v>
      </c>
      <c r="AF862" s="39">
        <f>データ!K862</f>
        <v>0</v>
      </c>
      <c r="AG862" s="40" t="s">
        <v>1024</v>
      </c>
      <c r="AH862" s="40" t="s">
        <v>1324</v>
      </c>
      <c r="AI862" s="39">
        <f>データ!L862</f>
        <v>0</v>
      </c>
      <c r="AJ862" s="10" t="s">
        <v>1113</v>
      </c>
      <c r="AK862" s="39">
        <f>データ!M862</f>
        <v>0</v>
      </c>
      <c r="AL862" s="10" t="s">
        <v>1024</v>
      </c>
      <c r="AM862" s="40" t="s">
        <v>1324</v>
      </c>
      <c r="AN862" s="39">
        <f>データ!N862</f>
        <v>0</v>
      </c>
      <c r="AO862" s="10" t="s">
        <v>1113</v>
      </c>
      <c r="AP862" s="39">
        <f>データ!O862</f>
        <v>0</v>
      </c>
      <c r="AQ862" s="41" t="s">
        <v>1024</v>
      </c>
      <c r="AR862" s="40" t="s">
        <v>1324</v>
      </c>
      <c r="AS862" s="39">
        <f>データ!P862</f>
        <v>0</v>
      </c>
      <c r="AT862" s="10" t="s">
        <v>1113</v>
      </c>
      <c r="AU862" s="39">
        <f>データ!Q862</f>
        <v>0</v>
      </c>
      <c r="AV862" s="10" t="s">
        <v>1024</v>
      </c>
      <c r="AW862" s="40" t="s">
        <v>1324</v>
      </c>
      <c r="AX862" s="39">
        <f>データ!R862</f>
        <v>0</v>
      </c>
      <c r="AY862" s="10" t="s">
        <v>1113</v>
      </c>
      <c r="AZ862" s="39">
        <f>データ!S862</f>
        <v>0</v>
      </c>
      <c r="BA862" s="41" t="s">
        <v>1024</v>
      </c>
      <c r="BB862" s="40" t="s">
        <v>1319</v>
      </c>
      <c r="BC862" s="39">
        <f>データ!T862</f>
        <v>0</v>
      </c>
      <c r="BD862" s="41" t="s">
        <v>1024</v>
      </c>
      <c r="BE862" s="40" t="s">
        <v>1319</v>
      </c>
      <c r="BF862" s="39">
        <f>データ!U862</f>
        <v>0</v>
      </c>
      <c r="BG862" s="41" t="s">
        <v>1024</v>
      </c>
      <c r="BH862" s="40" t="s">
        <v>1319</v>
      </c>
      <c r="BI862" s="39">
        <f>データ!V862</f>
        <v>0</v>
      </c>
      <c r="BJ862" s="41" t="s">
        <v>1024</v>
      </c>
      <c r="BK862" s="10" t="s">
        <v>1019</v>
      </c>
    </row>
    <row r="863" spans="1:63" x14ac:dyDescent="0.15">
      <c r="A863" s="10" t="s">
        <v>1016</v>
      </c>
      <c r="B863" s="10" t="s">
        <v>1454</v>
      </c>
      <c r="C863" s="38" t="str">
        <f>"./images/thumbnail/"&amp;データ!B863&amp;".jpg"</f>
        <v>./images/thumbnail/.jpg</v>
      </c>
      <c r="D863" s="38" t="s">
        <v>1455</v>
      </c>
      <c r="E863" s="38" t="str">
        <f>"./images/thumbnail/"&amp;データ!B863&amp;".jpg"</f>
        <v>./images/thumbnail/.jpg</v>
      </c>
      <c r="F863" s="38" t="s">
        <v>1116</v>
      </c>
      <c r="G863" s="38" t="s">
        <v>1319</v>
      </c>
      <c r="H863" s="38">
        <f>データ!C863</f>
        <v>0</v>
      </c>
      <c r="I863" s="38" t="s">
        <v>1024</v>
      </c>
      <c r="J863" s="38" t="s">
        <v>1319</v>
      </c>
      <c r="K863" s="38">
        <f>データ!D863</f>
        <v>0</v>
      </c>
      <c r="L863" s="38" t="s">
        <v>1024</v>
      </c>
      <c r="M863" s="38" t="s">
        <v>1319</v>
      </c>
      <c r="N863" s="38">
        <f>データ!E863</f>
        <v>0</v>
      </c>
      <c r="O863" s="38" t="s">
        <v>1024</v>
      </c>
      <c r="P863" s="38" t="s">
        <v>1319</v>
      </c>
      <c r="Q863" s="38">
        <f>データ!F863</f>
        <v>0</v>
      </c>
      <c r="R863" s="38" t="s">
        <v>1024</v>
      </c>
      <c r="S863" s="38" t="s">
        <v>1319</v>
      </c>
      <c r="T863" s="39">
        <f>データ!G863</f>
        <v>0</v>
      </c>
      <c r="U863" s="40" t="s">
        <v>1024</v>
      </c>
      <c r="V863" s="40" t="s">
        <v>1319</v>
      </c>
      <c r="W863" s="39">
        <f>データ!H863</f>
        <v>0</v>
      </c>
      <c r="X863" s="40" t="s">
        <v>1024</v>
      </c>
      <c r="Y863" s="40" t="s">
        <v>1319</v>
      </c>
      <c r="Z863" s="39">
        <f>データ!I863</f>
        <v>0</v>
      </c>
      <c r="AA863" s="40" t="s">
        <v>1024</v>
      </c>
      <c r="AB863" s="40" t="s">
        <v>1319</v>
      </c>
      <c r="AC863" s="39">
        <f>データ!J863</f>
        <v>0</v>
      </c>
      <c r="AD863" s="38" t="s">
        <v>1024</v>
      </c>
      <c r="AE863" s="40" t="s">
        <v>1319</v>
      </c>
      <c r="AF863" s="39">
        <f>データ!K863</f>
        <v>0</v>
      </c>
      <c r="AG863" s="40" t="s">
        <v>1024</v>
      </c>
      <c r="AH863" s="40" t="s">
        <v>1324</v>
      </c>
      <c r="AI863" s="39">
        <f>データ!L863</f>
        <v>0</v>
      </c>
      <c r="AJ863" s="10" t="s">
        <v>1113</v>
      </c>
      <c r="AK863" s="39">
        <f>データ!M863</f>
        <v>0</v>
      </c>
      <c r="AL863" s="10" t="s">
        <v>1024</v>
      </c>
      <c r="AM863" s="40" t="s">
        <v>1324</v>
      </c>
      <c r="AN863" s="39">
        <f>データ!N863</f>
        <v>0</v>
      </c>
      <c r="AO863" s="10" t="s">
        <v>1113</v>
      </c>
      <c r="AP863" s="39">
        <f>データ!O863</f>
        <v>0</v>
      </c>
      <c r="AQ863" s="41" t="s">
        <v>1024</v>
      </c>
      <c r="AR863" s="40" t="s">
        <v>1324</v>
      </c>
      <c r="AS863" s="39">
        <f>データ!P863</f>
        <v>0</v>
      </c>
      <c r="AT863" s="10" t="s">
        <v>1113</v>
      </c>
      <c r="AU863" s="39">
        <f>データ!Q863</f>
        <v>0</v>
      </c>
      <c r="AV863" s="10" t="s">
        <v>1024</v>
      </c>
      <c r="AW863" s="40" t="s">
        <v>1324</v>
      </c>
      <c r="AX863" s="39">
        <f>データ!R863</f>
        <v>0</v>
      </c>
      <c r="AY863" s="10" t="s">
        <v>1113</v>
      </c>
      <c r="AZ863" s="39">
        <f>データ!S863</f>
        <v>0</v>
      </c>
      <c r="BA863" s="41" t="s">
        <v>1024</v>
      </c>
      <c r="BB863" s="40" t="s">
        <v>1319</v>
      </c>
      <c r="BC863" s="39">
        <f>データ!T863</f>
        <v>0</v>
      </c>
      <c r="BD863" s="41" t="s">
        <v>1024</v>
      </c>
      <c r="BE863" s="40" t="s">
        <v>1319</v>
      </c>
      <c r="BF863" s="39">
        <f>データ!U863</f>
        <v>0</v>
      </c>
      <c r="BG863" s="41" t="s">
        <v>1024</v>
      </c>
      <c r="BH863" s="40" t="s">
        <v>1319</v>
      </c>
      <c r="BI863" s="39">
        <f>データ!V863</f>
        <v>0</v>
      </c>
      <c r="BJ863" s="41" t="s">
        <v>1024</v>
      </c>
      <c r="BK863" s="10" t="s">
        <v>1019</v>
      </c>
    </row>
    <row r="864" spans="1:63" x14ac:dyDescent="0.15">
      <c r="A864" s="10" t="s">
        <v>1016</v>
      </c>
      <c r="B864" s="10" t="s">
        <v>1454</v>
      </c>
      <c r="C864" s="38" t="str">
        <f>"./images/thumbnail/"&amp;データ!B864&amp;".jpg"</f>
        <v>./images/thumbnail/.jpg</v>
      </c>
      <c r="D864" s="38" t="s">
        <v>1455</v>
      </c>
      <c r="E864" s="38" t="str">
        <f>"./images/thumbnail/"&amp;データ!B864&amp;".jpg"</f>
        <v>./images/thumbnail/.jpg</v>
      </c>
      <c r="F864" s="38" t="s">
        <v>1116</v>
      </c>
      <c r="G864" s="38" t="s">
        <v>1319</v>
      </c>
      <c r="H864" s="38">
        <f>データ!C864</f>
        <v>0</v>
      </c>
      <c r="I864" s="38" t="s">
        <v>1024</v>
      </c>
      <c r="J864" s="38" t="s">
        <v>1319</v>
      </c>
      <c r="K864" s="38">
        <f>データ!D864</f>
        <v>0</v>
      </c>
      <c r="L864" s="38" t="s">
        <v>1024</v>
      </c>
      <c r="M864" s="38" t="s">
        <v>1319</v>
      </c>
      <c r="N864" s="38">
        <f>データ!E864</f>
        <v>0</v>
      </c>
      <c r="O864" s="38" t="s">
        <v>1024</v>
      </c>
      <c r="P864" s="38" t="s">
        <v>1319</v>
      </c>
      <c r="Q864" s="38">
        <f>データ!F864</f>
        <v>0</v>
      </c>
      <c r="R864" s="38" t="s">
        <v>1024</v>
      </c>
      <c r="S864" s="38" t="s">
        <v>1319</v>
      </c>
      <c r="T864" s="39">
        <f>データ!G864</f>
        <v>0</v>
      </c>
      <c r="U864" s="40" t="s">
        <v>1024</v>
      </c>
      <c r="V864" s="40" t="s">
        <v>1319</v>
      </c>
      <c r="W864" s="39">
        <f>データ!H864</f>
        <v>0</v>
      </c>
      <c r="X864" s="40" t="s">
        <v>1024</v>
      </c>
      <c r="Y864" s="40" t="s">
        <v>1319</v>
      </c>
      <c r="Z864" s="39">
        <f>データ!I864</f>
        <v>0</v>
      </c>
      <c r="AA864" s="40" t="s">
        <v>1024</v>
      </c>
      <c r="AB864" s="40" t="s">
        <v>1319</v>
      </c>
      <c r="AC864" s="39">
        <f>データ!J864</f>
        <v>0</v>
      </c>
      <c r="AD864" s="38" t="s">
        <v>1024</v>
      </c>
      <c r="AE864" s="40" t="s">
        <v>1319</v>
      </c>
      <c r="AF864" s="39">
        <f>データ!K864</f>
        <v>0</v>
      </c>
      <c r="AG864" s="40" t="s">
        <v>1024</v>
      </c>
      <c r="AH864" s="40" t="s">
        <v>1324</v>
      </c>
      <c r="AI864" s="39">
        <f>データ!L864</f>
        <v>0</v>
      </c>
      <c r="AJ864" s="10" t="s">
        <v>1113</v>
      </c>
      <c r="AK864" s="39">
        <f>データ!M864</f>
        <v>0</v>
      </c>
      <c r="AL864" s="10" t="s">
        <v>1024</v>
      </c>
      <c r="AM864" s="40" t="s">
        <v>1324</v>
      </c>
      <c r="AN864" s="39">
        <f>データ!N864</f>
        <v>0</v>
      </c>
      <c r="AO864" s="10" t="s">
        <v>1113</v>
      </c>
      <c r="AP864" s="39">
        <f>データ!O864</f>
        <v>0</v>
      </c>
      <c r="AQ864" s="41" t="s">
        <v>1024</v>
      </c>
      <c r="AR864" s="40" t="s">
        <v>1324</v>
      </c>
      <c r="AS864" s="39">
        <f>データ!P864</f>
        <v>0</v>
      </c>
      <c r="AT864" s="10" t="s">
        <v>1113</v>
      </c>
      <c r="AU864" s="39">
        <f>データ!Q864</f>
        <v>0</v>
      </c>
      <c r="AV864" s="10" t="s">
        <v>1024</v>
      </c>
      <c r="AW864" s="40" t="s">
        <v>1324</v>
      </c>
      <c r="AX864" s="39">
        <f>データ!R864</f>
        <v>0</v>
      </c>
      <c r="AY864" s="10" t="s">
        <v>1113</v>
      </c>
      <c r="AZ864" s="39">
        <f>データ!S864</f>
        <v>0</v>
      </c>
      <c r="BA864" s="41" t="s">
        <v>1024</v>
      </c>
      <c r="BB864" s="40" t="s">
        <v>1319</v>
      </c>
      <c r="BC864" s="39">
        <f>データ!T864</f>
        <v>0</v>
      </c>
      <c r="BD864" s="41" t="s">
        <v>1024</v>
      </c>
      <c r="BE864" s="40" t="s">
        <v>1319</v>
      </c>
      <c r="BF864" s="39">
        <f>データ!U864</f>
        <v>0</v>
      </c>
      <c r="BG864" s="41" t="s">
        <v>1024</v>
      </c>
      <c r="BH864" s="40" t="s">
        <v>1319</v>
      </c>
      <c r="BI864" s="39">
        <f>データ!V864</f>
        <v>0</v>
      </c>
      <c r="BJ864" s="41" t="s">
        <v>1024</v>
      </c>
      <c r="BK864" s="10" t="s">
        <v>1019</v>
      </c>
    </row>
    <row r="865" spans="1:63" x14ac:dyDescent="0.15">
      <c r="A865" s="10" t="s">
        <v>1016</v>
      </c>
      <c r="B865" s="10" t="s">
        <v>1454</v>
      </c>
      <c r="C865" s="38" t="str">
        <f>"./images/thumbnail/"&amp;データ!B865&amp;".jpg"</f>
        <v>./images/thumbnail/.jpg</v>
      </c>
      <c r="D865" s="38" t="s">
        <v>1455</v>
      </c>
      <c r="E865" s="38" t="str">
        <f>"./images/thumbnail/"&amp;データ!B865&amp;".jpg"</f>
        <v>./images/thumbnail/.jpg</v>
      </c>
      <c r="F865" s="38" t="s">
        <v>1116</v>
      </c>
      <c r="G865" s="38" t="s">
        <v>1319</v>
      </c>
      <c r="H865" s="38">
        <f>データ!C865</f>
        <v>0</v>
      </c>
      <c r="I865" s="38" t="s">
        <v>1024</v>
      </c>
      <c r="J865" s="38" t="s">
        <v>1319</v>
      </c>
      <c r="K865" s="38">
        <f>データ!D865</f>
        <v>0</v>
      </c>
      <c r="L865" s="38" t="s">
        <v>1024</v>
      </c>
      <c r="M865" s="38" t="s">
        <v>1319</v>
      </c>
      <c r="N865" s="38">
        <f>データ!E865</f>
        <v>0</v>
      </c>
      <c r="O865" s="38" t="s">
        <v>1024</v>
      </c>
      <c r="P865" s="38" t="s">
        <v>1319</v>
      </c>
      <c r="Q865" s="38">
        <f>データ!F865</f>
        <v>0</v>
      </c>
      <c r="R865" s="38" t="s">
        <v>1024</v>
      </c>
      <c r="S865" s="38" t="s">
        <v>1319</v>
      </c>
      <c r="T865" s="39">
        <f>データ!G865</f>
        <v>0</v>
      </c>
      <c r="U865" s="40" t="s">
        <v>1024</v>
      </c>
      <c r="V865" s="40" t="s">
        <v>1319</v>
      </c>
      <c r="W865" s="39">
        <f>データ!H865</f>
        <v>0</v>
      </c>
      <c r="X865" s="40" t="s">
        <v>1024</v>
      </c>
      <c r="Y865" s="40" t="s">
        <v>1319</v>
      </c>
      <c r="Z865" s="39">
        <f>データ!I865</f>
        <v>0</v>
      </c>
      <c r="AA865" s="40" t="s">
        <v>1024</v>
      </c>
      <c r="AB865" s="40" t="s">
        <v>1319</v>
      </c>
      <c r="AC865" s="39">
        <f>データ!J865</f>
        <v>0</v>
      </c>
      <c r="AD865" s="38" t="s">
        <v>1024</v>
      </c>
      <c r="AE865" s="40" t="s">
        <v>1319</v>
      </c>
      <c r="AF865" s="39">
        <f>データ!K865</f>
        <v>0</v>
      </c>
      <c r="AG865" s="40" t="s">
        <v>1024</v>
      </c>
      <c r="AH865" s="40" t="s">
        <v>1324</v>
      </c>
      <c r="AI865" s="39">
        <f>データ!L865</f>
        <v>0</v>
      </c>
      <c r="AJ865" s="10" t="s">
        <v>1113</v>
      </c>
      <c r="AK865" s="39">
        <f>データ!M865</f>
        <v>0</v>
      </c>
      <c r="AL865" s="10" t="s">
        <v>1024</v>
      </c>
      <c r="AM865" s="40" t="s">
        <v>1324</v>
      </c>
      <c r="AN865" s="39">
        <f>データ!N865</f>
        <v>0</v>
      </c>
      <c r="AO865" s="10" t="s">
        <v>1113</v>
      </c>
      <c r="AP865" s="39">
        <f>データ!O865</f>
        <v>0</v>
      </c>
      <c r="AQ865" s="41" t="s">
        <v>1024</v>
      </c>
      <c r="AR865" s="40" t="s">
        <v>1324</v>
      </c>
      <c r="AS865" s="39">
        <f>データ!P865</f>
        <v>0</v>
      </c>
      <c r="AT865" s="10" t="s">
        <v>1113</v>
      </c>
      <c r="AU865" s="39">
        <f>データ!Q865</f>
        <v>0</v>
      </c>
      <c r="AV865" s="10" t="s">
        <v>1024</v>
      </c>
      <c r="AW865" s="40" t="s">
        <v>1324</v>
      </c>
      <c r="AX865" s="39">
        <f>データ!R865</f>
        <v>0</v>
      </c>
      <c r="AY865" s="10" t="s">
        <v>1113</v>
      </c>
      <c r="AZ865" s="39">
        <f>データ!S865</f>
        <v>0</v>
      </c>
      <c r="BA865" s="41" t="s">
        <v>1024</v>
      </c>
      <c r="BB865" s="40" t="s">
        <v>1319</v>
      </c>
      <c r="BC865" s="39">
        <f>データ!T865</f>
        <v>0</v>
      </c>
      <c r="BD865" s="41" t="s">
        <v>1024</v>
      </c>
      <c r="BE865" s="40" t="s">
        <v>1319</v>
      </c>
      <c r="BF865" s="39">
        <f>データ!U865</f>
        <v>0</v>
      </c>
      <c r="BG865" s="41" t="s">
        <v>1024</v>
      </c>
      <c r="BH865" s="40" t="s">
        <v>1319</v>
      </c>
      <c r="BI865" s="39">
        <f>データ!V865</f>
        <v>0</v>
      </c>
      <c r="BJ865" s="41" t="s">
        <v>1024</v>
      </c>
      <c r="BK865" s="10" t="s">
        <v>1019</v>
      </c>
    </row>
    <row r="866" spans="1:63" x14ac:dyDescent="0.15">
      <c r="A866" s="10" t="s">
        <v>1016</v>
      </c>
      <c r="B866" s="10" t="s">
        <v>1454</v>
      </c>
      <c r="C866" s="38" t="str">
        <f>"./images/thumbnail/"&amp;データ!B866&amp;".jpg"</f>
        <v>./images/thumbnail/.jpg</v>
      </c>
      <c r="D866" s="38" t="s">
        <v>1455</v>
      </c>
      <c r="E866" s="38" t="str">
        <f>"./images/thumbnail/"&amp;データ!B866&amp;".jpg"</f>
        <v>./images/thumbnail/.jpg</v>
      </c>
      <c r="F866" s="38" t="s">
        <v>1116</v>
      </c>
      <c r="G866" s="38" t="s">
        <v>1319</v>
      </c>
      <c r="H866" s="38">
        <f>データ!C866</f>
        <v>0</v>
      </c>
      <c r="I866" s="38" t="s">
        <v>1024</v>
      </c>
      <c r="J866" s="38" t="s">
        <v>1319</v>
      </c>
      <c r="K866" s="38">
        <f>データ!D866</f>
        <v>0</v>
      </c>
      <c r="L866" s="38" t="s">
        <v>1024</v>
      </c>
      <c r="M866" s="38" t="s">
        <v>1319</v>
      </c>
      <c r="N866" s="38">
        <f>データ!E866</f>
        <v>0</v>
      </c>
      <c r="O866" s="38" t="s">
        <v>1024</v>
      </c>
      <c r="P866" s="38" t="s">
        <v>1319</v>
      </c>
      <c r="Q866" s="38">
        <f>データ!F866</f>
        <v>0</v>
      </c>
      <c r="R866" s="38" t="s">
        <v>1024</v>
      </c>
      <c r="S866" s="38" t="s">
        <v>1319</v>
      </c>
      <c r="T866" s="39">
        <f>データ!G866</f>
        <v>0</v>
      </c>
      <c r="U866" s="40" t="s">
        <v>1024</v>
      </c>
      <c r="V866" s="40" t="s">
        <v>1319</v>
      </c>
      <c r="W866" s="39">
        <f>データ!H866</f>
        <v>0</v>
      </c>
      <c r="X866" s="40" t="s">
        <v>1024</v>
      </c>
      <c r="Y866" s="40" t="s">
        <v>1319</v>
      </c>
      <c r="Z866" s="39">
        <f>データ!I866</f>
        <v>0</v>
      </c>
      <c r="AA866" s="40" t="s">
        <v>1024</v>
      </c>
      <c r="AB866" s="40" t="s">
        <v>1319</v>
      </c>
      <c r="AC866" s="39">
        <f>データ!J866</f>
        <v>0</v>
      </c>
      <c r="AD866" s="38" t="s">
        <v>1024</v>
      </c>
      <c r="AE866" s="40" t="s">
        <v>1319</v>
      </c>
      <c r="AF866" s="39">
        <f>データ!K866</f>
        <v>0</v>
      </c>
      <c r="AG866" s="40" t="s">
        <v>1024</v>
      </c>
      <c r="AH866" s="40" t="s">
        <v>1324</v>
      </c>
      <c r="AI866" s="39">
        <f>データ!L866</f>
        <v>0</v>
      </c>
      <c r="AJ866" s="10" t="s">
        <v>1113</v>
      </c>
      <c r="AK866" s="39">
        <f>データ!M866</f>
        <v>0</v>
      </c>
      <c r="AL866" s="10" t="s">
        <v>1024</v>
      </c>
      <c r="AM866" s="40" t="s">
        <v>1324</v>
      </c>
      <c r="AN866" s="39">
        <f>データ!N866</f>
        <v>0</v>
      </c>
      <c r="AO866" s="10" t="s">
        <v>1113</v>
      </c>
      <c r="AP866" s="39">
        <f>データ!O866</f>
        <v>0</v>
      </c>
      <c r="AQ866" s="41" t="s">
        <v>1024</v>
      </c>
      <c r="AR866" s="40" t="s">
        <v>1324</v>
      </c>
      <c r="AS866" s="39">
        <f>データ!P866</f>
        <v>0</v>
      </c>
      <c r="AT866" s="10" t="s">
        <v>1113</v>
      </c>
      <c r="AU866" s="39">
        <f>データ!Q866</f>
        <v>0</v>
      </c>
      <c r="AV866" s="10" t="s">
        <v>1024</v>
      </c>
      <c r="AW866" s="40" t="s">
        <v>1324</v>
      </c>
      <c r="AX866" s="39">
        <f>データ!R866</f>
        <v>0</v>
      </c>
      <c r="AY866" s="10" t="s">
        <v>1113</v>
      </c>
      <c r="AZ866" s="39">
        <f>データ!S866</f>
        <v>0</v>
      </c>
      <c r="BA866" s="41" t="s">
        <v>1024</v>
      </c>
      <c r="BB866" s="40" t="s">
        <v>1319</v>
      </c>
      <c r="BC866" s="39">
        <f>データ!T866</f>
        <v>0</v>
      </c>
      <c r="BD866" s="41" t="s">
        <v>1024</v>
      </c>
      <c r="BE866" s="40" t="s">
        <v>1319</v>
      </c>
      <c r="BF866" s="39">
        <f>データ!U866</f>
        <v>0</v>
      </c>
      <c r="BG866" s="41" t="s">
        <v>1024</v>
      </c>
      <c r="BH866" s="40" t="s">
        <v>1319</v>
      </c>
      <c r="BI866" s="39">
        <f>データ!V866</f>
        <v>0</v>
      </c>
      <c r="BJ866" s="41" t="s">
        <v>1024</v>
      </c>
      <c r="BK866" s="10" t="s">
        <v>1019</v>
      </c>
    </row>
    <row r="867" spans="1:63" x14ac:dyDescent="0.15">
      <c r="A867" s="10" t="s">
        <v>1016</v>
      </c>
      <c r="B867" s="10" t="s">
        <v>1454</v>
      </c>
      <c r="C867" s="38" t="str">
        <f>"./images/thumbnail/"&amp;データ!B867&amp;".jpg"</f>
        <v>./images/thumbnail/.jpg</v>
      </c>
      <c r="D867" s="38" t="s">
        <v>1455</v>
      </c>
      <c r="E867" s="38" t="str">
        <f>"./images/thumbnail/"&amp;データ!B867&amp;".jpg"</f>
        <v>./images/thumbnail/.jpg</v>
      </c>
      <c r="F867" s="38" t="s">
        <v>1116</v>
      </c>
      <c r="G867" s="38" t="s">
        <v>1319</v>
      </c>
      <c r="H867" s="38">
        <f>データ!C867</f>
        <v>0</v>
      </c>
      <c r="I867" s="38" t="s">
        <v>1024</v>
      </c>
      <c r="J867" s="38" t="s">
        <v>1319</v>
      </c>
      <c r="K867" s="38">
        <f>データ!D867</f>
        <v>0</v>
      </c>
      <c r="L867" s="38" t="s">
        <v>1024</v>
      </c>
      <c r="M867" s="38" t="s">
        <v>1319</v>
      </c>
      <c r="N867" s="38">
        <f>データ!E867</f>
        <v>0</v>
      </c>
      <c r="O867" s="38" t="s">
        <v>1024</v>
      </c>
      <c r="P867" s="38" t="s">
        <v>1319</v>
      </c>
      <c r="Q867" s="38">
        <f>データ!F867</f>
        <v>0</v>
      </c>
      <c r="R867" s="38" t="s">
        <v>1024</v>
      </c>
      <c r="S867" s="38" t="s">
        <v>1319</v>
      </c>
      <c r="T867" s="39">
        <f>データ!G867</f>
        <v>0</v>
      </c>
      <c r="U867" s="40" t="s">
        <v>1024</v>
      </c>
      <c r="V867" s="40" t="s">
        <v>1319</v>
      </c>
      <c r="W867" s="39">
        <f>データ!H867</f>
        <v>0</v>
      </c>
      <c r="X867" s="40" t="s">
        <v>1024</v>
      </c>
      <c r="Y867" s="40" t="s">
        <v>1319</v>
      </c>
      <c r="Z867" s="39">
        <f>データ!I867</f>
        <v>0</v>
      </c>
      <c r="AA867" s="40" t="s">
        <v>1024</v>
      </c>
      <c r="AB867" s="40" t="s">
        <v>1319</v>
      </c>
      <c r="AC867" s="39">
        <f>データ!J867</f>
        <v>0</v>
      </c>
      <c r="AD867" s="38" t="s">
        <v>1024</v>
      </c>
      <c r="AE867" s="40" t="s">
        <v>1319</v>
      </c>
      <c r="AF867" s="39">
        <f>データ!K867</f>
        <v>0</v>
      </c>
      <c r="AG867" s="40" t="s">
        <v>1024</v>
      </c>
      <c r="AH867" s="40" t="s">
        <v>1324</v>
      </c>
      <c r="AI867" s="39">
        <f>データ!L867</f>
        <v>0</v>
      </c>
      <c r="AJ867" s="10" t="s">
        <v>1113</v>
      </c>
      <c r="AK867" s="39">
        <f>データ!M867</f>
        <v>0</v>
      </c>
      <c r="AL867" s="10" t="s">
        <v>1024</v>
      </c>
      <c r="AM867" s="40" t="s">
        <v>1324</v>
      </c>
      <c r="AN867" s="39">
        <f>データ!N867</f>
        <v>0</v>
      </c>
      <c r="AO867" s="10" t="s">
        <v>1113</v>
      </c>
      <c r="AP867" s="39">
        <f>データ!O867</f>
        <v>0</v>
      </c>
      <c r="AQ867" s="41" t="s">
        <v>1024</v>
      </c>
      <c r="AR867" s="40" t="s">
        <v>1324</v>
      </c>
      <c r="AS867" s="39">
        <f>データ!P867</f>
        <v>0</v>
      </c>
      <c r="AT867" s="10" t="s">
        <v>1113</v>
      </c>
      <c r="AU867" s="39">
        <f>データ!Q867</f>
        <v>0</v>
      </c>
      <c r="AV867" s="10" t="s">
        <v>1024</v>
      </c>
      <c r="AW867" s="40" t="s">
        <v>1324</v>
      </c>
      <c r="AX867" s="39">
        <f>データ!R867</f>
        <v>0</v>
      </c>
      <c r="AY867" s="10" t="s">
        <v>1113</v>
      </c>
      <c r="AZ867" s="39">
        <f>データ!S867</f>
        <v>0</v>
      </c>
      <c r="BA867" s="41" t="s">
        <v>1024</v>
      </c>
      <c r="BB867" s="40" t="s">
        <v>1319</v>
      </c>
      <c r="BC867" s="39">
        <f>データ!T867</f>
        <v>0</v>
      </c>
      <c r="BD867" s="41" t="s">
        <v>1024</v>
      </c>
      <c r="BE867" s="40" t="s">
        <v>1319</v>
      </c>
      <c r="BF867" s="39">
        <f>データ!U867</f>
        <v>0</v>
      </c>
      <c r="BG867" s="41" t="s">
        <v>1024</v>
      </c>
      <c r="BH867" s="40" t="s">
        <v>1319</v>
      </c>
      <c r="BI867" s="39">
        <f>データ!V867</f>
        <v>0</v>
      </c>
      <c r="BJ867" s="41" t="s">
        <v>1024</v>
      </c>
      <c r="BK867" s="10" t="s">
        <v>1019</v>
      </c>
    </row>
    <row r="868" spans="1:63" x14ac:dyDescent="0.15">
      <c r="A868" s="10" t="s">
        <v>1016</v>
      </c>
      <c r="B868" s="10" t="s">
        <v>1454</v>
      </c>
      <c r="C868" s="38" t="str">
        <f>"./images/thumbnail/"&amp;データ!B868&amp;".jpg"</f>
        <v>./images/thumbnail/.jpg</v>
      </c>
      <c r="D868" s="38" t="s">
        <v>1455</v>
      </c>
      <c r="E868" s="38" t="str">
        <f>"./images/thumbnail/"&amp;データ!B868&amp;".jpg"</f>
        <v>./images/thumbnail/.jpg</v>
      </c>
      <c r="F868" s="38" t="s">
        <v>1116</v>
      </c>
      <c r="G868" s="38" t="s">
        <v>1319</v>
      </c>
      <c r="H868" s="38">
        <f>データ!C868</f>
        <v>0</v>
      </c>
      <c r="I868" s="38" t="s">
        <v>1024</v>
      </c>
      <c r="J868" s="38" t="s">
        <v>1319</v>
      </c>
      <c r="K868" s="38">
        <f>データ!D868</f>
        <v>0</v>
      </c>
      <c r="L868" s="38" t="s">
        <v>1024</v>
      </c>
      <c r="M868" s="38" t="s">
        <v>1319</v>
      </c>
      <c r="N868" s="38">
        <f>データ!E868</f>
        <v>0</v>
      </c>
      <c r="O868" s="38" t="s">
        <v>1024</v>
      </c>
      <c r="P868" s="38" t="s">
        <v>1319</v>
      </c>
      <c r="Q868" s="38">
        <f>データ!F868</f>
        <v>0</v>
      </c>
      <c r="R868" s="38" t="s">
        <v>1024</v>
      </c>
      <c r="S868" s="38" t="s">
        <v>1319</v>
      </c>
      <c r="T868" s="39">
        <f>データ!G868</f>
        <v>0</v>
      </c>
      <c r="U868" s="40" t="s">
        <v>1024</v>
      </c>
      <c r="V868" s="40" t="s">
        <v>1319</v>
      </c>
      <c r="W868" s="39">
        <f>データ!H868</f>
        <v>0</v>
      </c>
      <c r="X868" s="40" t="s">
        <v>1024</v>
      </c>
      <c r="Y868" s="40" t="s">
        <v>1319</v>
      </c>
      <c r="Z868" s="39">
        <f>データ!I868</f>
        <v>0</v>
      </c>
      <c r="AA868" s="40" t="s">
        <v>1024</v>
      </c>
      <c r="AB868" s="40" t="s">
        <v>1319</v>
      </c>
      <c r="AC868" s="39">
        <f>データ!J868</f>
        <v>0</v>
      </c>
      <c r="AD868" s="38" t="s">
        <v>1024</v>
      </c>
      <c r="AE868" s="40" t="s">
        <v>1319</v>
      </c>
      <c r="AF868" s="39">
        <f>データ!K868</f>
        <v>0</v>
      </c>
      <c r="AG868" s="40" t="s">
        <v>1024</v>
      </c>
      <c r="AH868" s="40" t="s">
        <v>1324</v>
      </c>
      <c r="AI868" s="39">
        <f>データ!L868</f>
        <v>0</v>
      </c>
      <c r="AJ868" s="10" t="s">
        <v>1113</v>
      </c>
      <c r="AK868" s="39">
        <f>データ!M868</f>
        <v>0</v>
      </c>
      <c r="AL868" s="10" t="s">
        <v>1024</v>
      </c>
      <c r="AM868" s="40" t="s">
        <v>1324</v>
      </c>
      <c r="AN868" s="39">
        <f>データ!N868</f>
        <v>0</v>
      </c>
      <c r="AO868" s="10" t="s">
        <v>1113</v>
      </c>
      <c r="AP868" s="39">
        <f>データ!O868</f>
        <v>0</v>
      </c>
      <c r="AQ868" s="41" t="s">
        <v>1024</v>
      </c>
      <c r="AR868" s="40" t="s">
        <v>1324</v>
      </c>
      <c r="AS868" s="39">
        <f>データ!P868</f>
        <v>0</v>
      </c>
      <c r="AT868" s="10" t="s">
        <v>1113</v>
      </c>
      <c r="AU868" s="39">
        <f>データ!Q868</f>
        <v>0</v>
      </c>
      <c r="AV868" s="10" t="s">
        <v>1024</v>
      </c>
      <c r="AW868" s="40" t="s">
        <v>1324</v>
      </c>
      <c r="AX868" s="39">
        <f>データ!R868</f>
        <v>0</v>
      </c>
      <c r="AY868" s="10" t="s">
        <v>1113</v>
      </c>
      <c r="AZ868" s="39">
        <f>データ!S868</f>
        <v>0</v>
      </c>
      <c r="BA868" s="41" t="s">
        <v>1024</v>
      </c>
      <c r="BB868" s="40" t="s">
        <v>1319</v>
      </c>
      <c r="BC868" s="39">
        <f>データ!T868</f>
        <v>0</v>
      </c>
      <c r="BD868" s="41" t="s">
        <v>1024</v>
      </c>
      <c r="BE868" s="40" t="s">
        <v>1319</v>
      </c>
      <c r="BF868" s="39">
        <f>データ!U868</f>
        <v>0</v>
      </c>
      <c r="BG868" s="41" t="s">
        <v>1024</v>
      </c>
      <c r="BH868" s="40" t="s">
        <v>1319</v>
      </c>
      <c r="BI868" s="39">
        <f>データ!V868</f>
        <v>0</v>
      </c>
      <c r="BJ868" s="41" t="s">
        <v>1024</v>
      </c>
      <c r="BK868" s="10" t="s">
        <v>1019</v>
      </c>
    </row>
    <row r="869" spans="1:63" x14ac:dyDescent="0.15">
      <c r="A869" s="10" t="s">
        <v>1016</v>
      </c>
      <c r="B869" s="10" t="s">
        <v>1454</v>
      </c>
      <c r="C869" s="38" t="str">
        <f>"./images/thumbnail/"&amp;データ!B869&amp;".jpg"</f>
        <v>./images/thumbnail/.jpg</v>
      </c>
      <c r="D869" s="38" t="s">
        <v>1455</v>
      </c>
      <c r="E869" s="38" t="str">
        <f>"./images/thumbnail/"&amp;データ!B869&amp;".jpg"</f>
        <v>./images/thumbnail/.jpg</v>
      </c>
      <c r="F869" s="38" t="s">
        <v>1116</v>
      </c>
      <c r="G869" s="38" t="s">
        <v>1319</v>
      </c>
      <c r="H869" s="38">
        <f>データ!C869</f>
        <v>0</v>
      </c>
      <c r="I869" s="38" t="s">
        <v>1024</v>
      </c>
      <c r="J869" s="38" t="s">
        <v>1319</v>
      </c>
      <c r="K869" s="38">
        <f>データ!D869</f>
        <v>0</v>
      </c>
      <c r="L869" s="38" t="s">
        <v>1024</v>
      </c>
      <c r="M869" s="38" t="s">
        <v>1319</v>
      </c>
      <c r="N869" s="38">
        <f>データ!E869</f>
        <v>0</v>
      </c>
      <c r="O869" s="38" t="s">
        <v>1024</v>
      </c>
      <c r="P869" s="38" t="s">
        <v>1319</v>
      </c>
      <c r="Q869" s="38">
        <f>データ!F869</f>
        <v>0</v>
      </c>
      <c r="R869" s="38" t="s">
        <v>1024</v>
      </c>
      <c r="S869" s="38" t="s">
        <v>1319</v>
      </c>
      <c r="T869" s="39">
        <f>データ!G869</f>
        <v>0</v>
      </c>
      <c r="U869" s="40" t="s">
        <v>1024</v>
      </c>
      <c r="V869" s="40" t="s">
        <v>1319</v>
      </c>
      <c r="W869" s="39">
        <f>データ!H869</f>
        <v>0</v>
      </c>
      <c r="X869" s="40" t="s">
        <v>1024</v>
      </c>
      <c r="Y869" s="40" t="s">
        <v>1319</v>
      </c>
      <c r="Z869" s="39">
        <f>データ!I869</f>
        <v>0</v>
      </c>
      <c r="AA869" s="40" t="s">
        <v>1024</v>
      </c>
      <c r="AB869" s="40" t="s">
        <v>1319</v>
      </c>
      <c r="AC869" s="39">
        <f>データ!J869</f>
        <v>0</v>
      </c>
      <c r="AD869" s="38" t="s">
        <v>1024</v>
      </c>
      <c r="AE869" s="40" t="s">
        <v>1319</v>
      </c>
      <c r="AF869" s="39">
        <f>データ!K869</f>
        <v>0</v>
      </c>
      <c r="AG869" s="40" t="s">
        <v>1024</v>
      </c>
      <c r="AH869" s="40" t="s">
        <v>1324</v>
      </c>
      <c r="AI869" s="39">
        <f>データ!L869</f>
        <v>0</v>
      </c>
      <c r="AJ869" s="10" t="s">
        <v>1113</v>
      </c>
      <c r="AK869" s="39">
        <f>データ!M869</f>
        <v>0</v>
      </c>
      <c r="AL869" s="10" t="s">
        <v>1024</v>
      </c>
      <c r="AM869" s="40" t="s">
        <v>1324</v>
      </c>
      <c r="AN869" s="39">
        <f>データ!N869</f>
        <v>0</v>
      </c>
      <c r="AO869" s="10" t="s">
        <v>1113</v>
      </c>
      <c r="AP869" s="39">
        <f>データ!O869</f>
        <v>0</v>
      </c>
      <c r="AQ869" s="41" t="s">
        <v>1024</v>
      </c>
      <c r="AR869" s="40" t="s">
        <v>1324</v>
      </c>
      <c r="AS869" s="39">
        <f>データ!P869</f>
        <v>0</v>
      </c>
      <c r="AT869" s="10" t="s">
        <v>1113</v>
      </c>
      <c r="AU869" s="39">
        <f>データ!Q869</f>
        <v>0</v>
      </c>
      <c r="AV869" s="10" t="s">
        <v>1024</v>
      </c>
      <c r="AW869" s="40" t="s">
        <v>1324</v>
      </c>
      <c r="AX869" s="39">
        <f>データ!R869</f>
        <v>0</v>
      </c>
      <c r="AY869" s="10" t="s">
        <v>1113</v>
      </c>
      <c r="AZ869" s="39">
        <f>データ!S869</f>
        <v>0</v>
      </c>
      <c r="BA869" s="41" t="s">
        <v>1024</v>
      </c>
      <c r="BB869" s="40" t="s">
        <v>1319</v>
      </c>
      <c r="BC869" s="39">
        <f>データ!T869</f>
        <v>0</v>
      </c>
      <c r="BD869" s="41" t="s">
        <v>1024</v>
      </c>
      <c r="BE869" s="40" t="s">
        <v>1319</v>
      </c>
      <c r="BF869" s="39">
        <f>データ!U869</f>
        <v>0</v>
      </c>
      <c r="BG869" s="41" t="s">
        <v>1024</v>
      </c>
      <c r="BH869" s="40" t="s">
        <v>1319</v>
      </c>
      <c r="BI869" s="39">
        <f>データ!V869</f>
        <v>0</v>
      </c>
      <c r="BJ869" s="41" t="s">
        <v>1024</v>
      </c>
      <c r="BK869" s="10" t="s">
        <v>1019</v>
      </c>
    </row>
    <row r="870" spans="1:63" x14ac:dyDescent="0.15">
      <c r="A870" s="10" t="s">
        <v>1016</v>
      </c>
      <c r="B870" s="10" t="s">
        <v>1454</v>
      </c>
      <c r="C870" s="38" t="str">
        <f>"./images/thumbnail/"&amp;データ!B870&amp;".jpg"</f>
        <v>./images/thumbnail/.jpg</v>
      </c>
      <c r="D870" s="38" t="s">
        <v>1455</v>
      </c>
      <c r="E870" s="38" t="str">
        <f>"./images/thumbnail/"&amp;データ!B870&amp;".jpg"</f>
        <v>./images/thumbnail/.jpg</v>
      </c>
      <c r="F870" s="38" t="s">
        <v>1116</v>
      </c>
      <c r="G870" s="38" t="s">
        <v>1319</v>
      </c>
      <c r="H870" s="38">
        <f>データ!C870</f>
        <v>0</v>
      </c>
      <c r="I870" s="38" t="s">
        <v>1024</v>
      </c>
      <c r="J870" s="38" t="s">
        <v>1319</v>
      </c>
      <c r="K870" s="38">
        <f>データ!D870</f>
        <v>0</v>
      </c>
      <c r="L870" s="38" t="s">
        <v>1024</v>
      </c>
      <c r="M870" s="38" t="s">
        <v>1319</v>
      </c>
      <c r="N870" s="38">
        <f>データ!E870</f>
        <v>0</v>
      </c>
      <c r="O870" s="38" t="s">
        <v>1024</v>
      </c>
      <c r="P870" s="38" t="s">
        <v>1319</v>
      </c>
      <c r="Q870" s="38">
        <f>データ!F870</f>
        <v>0</v>
      </c>
      <c r="R870" s="38" t="s">
        <v>1024</v>
      </c>
      <c r="S870" s="38" t="s">
        <v>1319</v>
      </c>
      <c r="T870" s="39">
        <f>データ!G870</f>
        <v>0</v>
      </c>
      <c r="U870" s="40" t="s">
        <v>1024</v>
      </c>
      <c r="V870" s="40" t="s">
        <v>1319</v>
      </c>
      <c r="W870" s="39">
        <f>データ!H870</f>
        <v>0</v>
      </c>
      <c r="X870" s="40" t="s">
        <v>1024</v>
      </c>
      <c r="Y870" s="40" t="s">
        <v>1319</v>
      </c>
      <c r="Z870" s="39">
        <f>データ!I870</f>
        <v>0</v>
      </c>
      <c r="AA870" s="40" t="s">
        <v>1024</v>
      </c>
      <c r="AB870" s="40" t="s">
        <v>1319</v>
      </c>
      <c r="AC870" s="39">
        <f>データ!J870</f>
        <v>0</v>
      </c>
      <c r="AD870" s="38" t="s">
        <v>1024</v>
      </c>
      <c r="AE870" s="40" t="s">
        <v>1319</v>
      </c>
      <c r="AF870" s="39">
        <f>データ!K870</f>
        <v>0</v>
      </c>
      <c r="AG870" s="40" t="s">
        <v>1024</v>
      </c>
      <c r="AH870" s="40" t="s">
        <v>1324</v>
      </c>
      <c r="AI870" s="39">
        <f>データ!L870</f>
        <v>0</v>
      </c>
      <c r="AJ870" s="10" t="s">
        <v>1113</v>
      </c>
      <c r="AK870" s="39">
        <f>データ!M870</f>
        <v>0</v>
      </c>
      <c r="AL870" s="10" t="s">
        <v>1024</v>
      </c>
      <c r="AM870" s="40" t="s">
        <v>1324</v>
      </c>
      <c r="AN870" s="39">
        <f>データ!N870</f>
        <v>0</v>
      </c>
      <c r="AO870" s="10" t="s">
        <v>1113</v>
      </c>
      <c r="AP870" s="39">
        <f>データ!O870</f>
        <v>0</v>
      </c>
      <c r="AQ870" s="41" t="s">
        <v>1024</v>
      </c>
      <c r="AR870" s="40" t="s">
        <v>1324</v>
      </c>
      <c r="AS870" s="39">
        <f>データ!P870</f>
        <v>0</v>
      </c>
      <c r="AT870" s="10" t="s">
        <v>1113</v>
      </c>
      <c r="AU870" s="39">
        <f>データ!Q870</f>
        <v>0</v>
      </c>
      <c r="AV870" s="10" t="s">
        <v>1024</v>
      </c>
      <c r="AW870" s="40" t="s">
        <v>1324</v>
      </c>
      <c r="AX870" s="39">
        <f>データ!R870</f>
        <v>0</v>
      </c>
      <c r="AY870" s="10" t="s">
        <v>1113</v>
      </c>
      <c r="AZ870" s="39">
        <f>データ!S870</f>
        <v>0</v>
      </c>
      <c r="BA870" s="41" t="s">
        <v>1024</v>
      </c>
      <c r="BB870" s="40" t="s">
        <v>1319</v>
      </c>
      <c r="BC870" s="39">
        <f>データ!T870</f>
        <v>0</v>
      </c>
      <c r="BD870" s="41" t="s">
        <v>1024</v>
      </c>
      <c r="BE870" s="40" t="s">
        <v>1319</v>
      </c>
      <c r="BF870" s="39">
        <f>データ!U870</f>
        <v>0</v>
      </c>
      <c r="BG870" s="41" t="s">
        <v>1024</v>
      </c>
      <c r="BH870" s="40" t="s">
        <v>1319</v>
      </c>
      <c r="BI870" s="39">
        <f>データ!V870</f>
        <v>0</v>
      </c>
      <c r="BJ870" s="41" t="s">
        <v>1024</v>
      </c>
      <c r="BK870" s="10" t="s">
        <v>1019</v>
      </c>
    </row>
    <row r="871" spans="1:63" x14ac:dyDescent="0.15">
      <c r="A871" s="10" t="s">
        <v>1016</v>
      </c>
      <c r="B871" s="10" t="s">
        <v>1454</v>
      </c>
      <c r="C871" s="38" t="str">
        <f>"./images/thumbnail/"&amp;データ!B871&amp;".jpg"</f>
        <v>./images/thumbnail/.jpg</v>
      </c>
      <c r="D871" s="38" t="s">
        <v>1455</v>
      </c>
      <c r="E871" s="38" t="str">
        <f>"./images/thumbnail/"&amp;データ!B871&amp;".jpg"</f>
        <v>./images/thumbnail/.jpg</v>
      </c>
      <c r="F871" s="38" t="s">
        <v>1116</v>
      </c>
      <c r="G871" s="38" t="s">
        <v>1319</v>
      </c>
      <c r="H871" s="38">
        <f>データ!C871</f>
        <v>0</v>
      </c>
      <c r="I871" s="38" t="s">
        <v>1024</v>
      </c>
      <c r="J871" s="38" t="s">
        <v>1319</v>
      </c>
      <c r="K871" s="38">
        <f>データ!D871</f>
        <v>0</v>
      </c>
      <c r="L871" s="38" t="s">
        <v>1024</v>
      </c>
      <c r="M871" s="38" t="s">
        <v>1319</v>
      </c>
      <c r="N871" s="38">
        <f>データ!E871</f>
        <v>0</v>
      </c>
      <c r="O871" s="38" t="s">
        <v>1024</v>
      </c>
      <c r="P871" s="38" t="s">
        <v>1319</v>
      </c>
      <c r="Q871" s="38">
        <f>データ!F871</f>
        <v>0</v>
      </c>
      <c r="R871" s="38" t="s">
        <v>1024</v>
      </c>
      <c r="S871" s="38" t="s">
        <v>1319</v>
      </c>
      <c r="T871" s="39">
        <f>データ!G871</f>
        <v>0</v>
      </c>
      <c r="U871" s="40" t="s">
        <v>1024</v>
      </c>
      <c r="V871" s="40" t="s">
        <v>1319</v>
      </c>
      <c r="W871" s="39">
        <f>データ!H871</f>
        <v>0</v>
      </c>
      <c r="X871" s="40" t="s">
        <v>1024</v>
      </c>
      <c r="Y871" s="40" t="s">
        <v>1319</v>
      </c>
      <c r="Z871" s="39">
        <f>データ!I871</f>
        <v>0</v>
      </c>
      <c r="AA871" s="40" t="s">
        <v>1024</v>
      </c>
      <c r="AB871" s="40" t="s">
        <v>1319</v>
      </c>
      <c r="AC871" s="39">
        <f>データ!J871</f>
        <v>0</v>
      </c>
      <c r="AD871" s="38" t="s">
        <v>1024</v>
      </c>
      <c r="AE871" s="40" t="s">
        <v>1319</v>
      </c>
      <c r="AF871" s="39">
        <f>データ!K871</f>
        <v>0</v>
      </c>
      <c r="AG871" s="40" t="s">
        <v>1024</v>
      </c>
      <c r="AH871" s="40" t="s">
        <v>1324</v>
      </c>
      <c r="AI871" s="39">
        <f>データ!L871</f>
        <v>0</v>
      </c>
      <c r="AJ871" s="10" t="s">
        <v>1113</v>
      </c>
      <c r="AK871" s="39">
        <f>データ!M871</f>
        <v>0</v>
      </c>
      <c r="AL871" s="10" t="s">
        <v>1024</v>
      </c>
      <c r="AM871" s="40" t="s">
        <v>1324</v>
      </c>
      <c r="AN871" s="39">
        <f>データ!N871</f>
        <v>0</v>
      </c>
      <c r="AO871" s="10" t="s">
        <v>1113</v>
      </c>
      <c r="AP871" s="39">
        <f>データ!O871</f>
        <v>0</v>
      </c>
      <c r="AQ871" s="41" t="s">
        <v>1024</v>
      </c>
      <c r="AR871" s="40" t="s">
        <v>1324</v>
      </c>
      <c r="AS871" s="39">
        <f>データ!P871</f>
        <v>0</v>
      </c>
      <c r="AT871" s="10" t="s">
        <v>1113</v>
      </c>
      <c r="AU871" s="39">
        <f>データ!Q871</f>
        <v>0</v>
      </c>
      <c r="AV871" s="10" t="s">
        <v>1024</v>
      </c>
      <c r="AW871" s="40" t="s">
        <v>1324</v>
      </c>
      <c r="AX871" s="39">
        <f>データ!R871</f>
        <v>0</v>
      </c>
      <c r="AY871" s="10" t="s">
        <v>1113</v>
      </c>
      <c r="AZ871" s="39">
        <f>データ!S871</f>
        <v>0</v>
      </c>
      <c r="BA871" s="41" t="s">
        <v>1024</v>
      </c>
      <c r="BB871" s="40" t="s">
        <v>1319</v>
      </c>
      <c r="BC871" s="39">
        <f>データ!T871</f>
        <v>0</v>
      </c>
      <c r="BD871" s="41" t="s">
        <v>1024</v>
      </c>
      <c r="BE871" s="40" t="s">
        <v>1319</v>
      </c>
      <c r="BF871" s="39">
        <f>データ!U871</f>
        <v>0</v>
      </c>
      <c r="BG871" s="41" t="s">
        <v>1024</v>
      </c>
      <c r="BH871" s="40" t="s">
        <v>1319</v>
      </c>
      <c r="BI871" s="39">
        <f>データ!V871</f>
        <v>0</v>
      </c>
      <c r="BJ871" s="41" t="s">
        <v>1024</v>
      </c>
      <c r="BK871" s="10" t="s">
        <v>1019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26"/>
  <sheetViews>
    <sheetView tabSelected="1" zoomScaleNormal="100"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V827" sqref="V827"/>
    </sheetView>
  </sheetViews>
  <sheetFormatPr defaultColWidth="24.125" defaultRowHeight="21.75" customHeight="1" x14ac:dyDescent="0.15"/>
  <cols>
    <col min="1" max="1" width="8" style="20" bestFit="1" customWidth="1"/>
    <col min="2" max="2" width="5.875" style="21" bestFit="1" customWidth="1"/>
    <col min="3" max="3" width="13.125" style="20" bestFit="1" customWidth="1"/>
    <col min="4" max="4" width="6.125" style="20" bestFit="1" customWidth="1"/>
    <col min="5" max="5" width="5.375" style="20" bestFit="1" customWidth="1"/>
    <col min="6" max="6" width="6.5" style="20" bestFit="1" customWidth="1"/>
    <col min="7" max="7" width="5.75" style="27" bestFit="1" customWidth="1"/>
    <col min="8" max="9" width="6.625" style="27" bestFit="1" customWidth="1"/>
    <col min="10" max="10" width="6.5" style="20" bestFit="1" customWidth="1"/>
    <col min="11" max="11" width="6.5" style="27" bestFit="1" customWidth="1"/>
    <col min="12" max="12" width="17.25" style="20" bestFit="1" customWidth="1"/>
    <col min="13" max="13" width="35.5" style="20" bestFit="1" customWidth="1"/>
    <col min="14" max="14" width="15.125" style="20" bestFit="1" customWidth="1"/>
    <col min="15" max="15" width="31.5" style="20" bestFit="1" customWidth="1"/>
    <col min="16" max="16" width="20.75" style="20" bestFit="1" customWidth="1"/>
    <col min="17" max="17" width="48.375" style="20" customWidth="1"/>
    <col min="18" max="18" width="20.75" style="20" bestFit="1" customWidth="1"/>
    <col min="19" max="19" width="51.375" style="20" customWidth="1"/>
    <col min="20" max="20" width="11.75" style="20" bestFit="1" customWidth="1"/>
    <col min="21" max="21" width="16.5" style="20" bestFit="1" customWidth="1"/>
    <col min="22" max="22" width="24.125" style="20"/>
    <col min="23" max="16384" width="24.125" style="19"/>
  </cols>
  <sheetData>
    <row r="1" spans="1:22" ht="11.25" x14ac:dyDescent="0.15">
      <c r="A1" s="14" t="s">
        <v>1152</v>
      </c>
      <c r="B1" s="16" t="s">
        <v>0</v>
      </c>
      <c r="C1" s="15" t="s">
        <v>1</v>
      </c>
      <c r="D1" s="15" t="s">
        <v>2</v>
      </c>
      <c r="E1" s="15" t="s">
        <v>3</v>
      </c>
      <c r="F1" s="15" t="s">
        <v>4</v>
      </c>
      <c r="G1" s="17" t="s">
        <v>5</v>
      </c>
      <c r="H1" s="17" t="s">
        <v>6</v>
      </c>
      <c r="I1" s="17" t="s">
        <v>7</v>
      </c>
      <c r="J1" s="15" t="s">
        <v>8</v>
      </c>
      <c r="K1" s="17" t="s">
        <v>9</v>
      </c>
      <c r="L1" s="18" t="s">
        <v>977</v>
      </c>
      <c r="M1" s="18" t="s">
        <v>978</v>
      </c>
      <c r="N1" s="18" t="s">
        <v>979</v>
      </c>
      <c r="O1" s="18" t="s">
        <v>1026</v>
      </c>
      <c r="P1" s="18" t="s">
        <v>10</v>
      </c>
      <c r="Q1" s="18" t="s">
        <v>980</v>
      </c>
      <c r="R1" s="18" t="s">
        <v>11</v>
      </c>
      <c r="S1" s="18" t="s">
        <v>981</v>
      </c>
      <c r="T1" s="18" t="s">
        <v>12</v>
      </c>
      <c r="U1" s="18" t="s">
        <v>13</v>
      </c>
      <c r="V1" s="14" t="s">
        <v>1770</v>
      </c>
    </row>
    <row r="2" spans="1:22" ht="21.75" customHeight="1" x14ac:dyDescent="0.15">
      <c r="A2" s="20" t="str">
        <f>B2&amp;".jpg"</f>
        <v>.jpg</v>
      </c>
      <c r="K2" s="22">
        <f>SUM(G2,H2,I2)</f>
        <v>0</v>
      </c>
      <c r="M2" s="23" t="e">
        <f>VLOOKUP(L2,スキル!B:C,2,FALSE)</f>
        <v>#N/A</v>
      </c>
      <c r="O2" s="23" t="e">
        <f>VLOOKUP(N2,スキル!B:C,2,FALSE)</f>
        <v>#N/A</v>
      </c>
      <c r="Q2" s="23" t="e">
        <f>VLOOKUP(P2,タクティクス!B:C,2,FALSE)</f>
        <v>#N/A</v>
      </c>
      <c r="S2" s="23" t="e">
        <f>VLOOKUP(R2,タクティクス!B:C,2,FALSE)</f>
        <v>#N/A</v>
      </c>
    </row>
    <row r="3" spans="1:22" ht="21.75" customHeight="1" x14ac:dyDescent="0.15">
      <c r="A3" s="20" t="str">
        <f>B3&amp;".jpg"</f>
        <v>.jpg</v>
      </c>
      <c r="K3" s="22">
        <f>SUM(G3,H3,I3)</f>
        <v>0</v>
      </c>
      <c r="M3" s="23" t="e">
        <f>VLOOKUP(L3,スキル!B:C,2,FALSE)</f>
        <v>#N/A</v>
      </c>
      <c r="O3" s="23" t="e">
        <f>VLOOKUP(N3,スキル!B:C,2,FALSE)</f>
        <v>#N/A</v>
      </c>
      <c r="Q3" s="23" t="e">
        <f>VLOOKUP(P3,タクティクス!B:C,2,FALSE)</f>
        <v>#N/A</v>
      </c>
      <c r="S3" s="23" t="e">
        <f>VLOOKUP(R3,タクティクス!B:C,2,FALSE)</f>
        <v>#N/A</v>
      </c>
    </row>
    <row r="4" spans="1:22" ht="21.75" customHeight="1" x14ac:dyDescent="0.15">
      <c r="A4" s="20" t="str">
        <f>B4&amp;".jpg"</f>
        <v>.jpg</v>
      </c>
      <c r="K4" s="22">
        <f>SUM(G4,H4,I4)</f>
        <v>0</v>
      </c>
      <c r="M4" s="23" t="e">
        <f>VLOOKUP(L4,スキル!B:C,2,FALSE)</f>
        <v>#N/A</v>
      </c>
      <c r="O4" s="23" t="e">
        <f>VLOOKUP(N4,スキル!B:C,2,FALSE)</f>
        <v>#N/A</v>
      </c>
      <c r="Q4" s="23" t="e">
        <f>VLOOKUP(P4,タクティクス!B:C,2,FALSE)</f>
        <v>#N/A</v>
      </c>
      <c r="S4" s="23" t="e">
        <f>VLOOKUP(R4,タクティクス!B:C,2,FALSE)</f>
        <v>#N/A</v>
      </c>
    </row>
    <row r="5" spans="1:22" ht="21.75" customHeight="1" x14ac:dyDescent="0.15">
      <c r="A5" s="20" t="str">
        <f>B5&amp;".jpg"</f>
        <v>.jpg</v>
      </c>
      <c r="K5" s="22">
        <f>SUM(G5,H5,I5)</f>
        <v>0</v>
      </c>
      <c r="M5" s="23" t="e">
        <f>VLOOKUP(L5,スキル!B:C,2,FALSE)</f>
        <v>#N/A</v>
      </c>
      <c r="O5" s="23" t="e">
        <f>VLOOKUP(N5,スキル!B:C,2,FALSE)</f>
        <v>#N/A</v>
      </c>
      <c r="Q5" s="23" t="e">
        <f>VLOOKUP(P5,タクティクス!B:C,2,FALSE)</f>
        <v>#N/A</v>
      </c>
      <c r="S5" s="23" t="e">
        <f>VLOOKUP(R5,タクティクス!B:C,2,FALSE)</f>
        <v>#N/A</v>
      </c>
    </row>
    <row r="6" spans="1:22" ht="21.75" customHeight="1" x14ac:dyDescent="0.15">
      <c r="A6" s="20" t="str">
        <f>B6&amp;".jpg"</f>
        <v>.jpg</v>
      </c>
      <c r="K6" s="22">
        <f>SUM(G6,H6,I6)</f>
        <v>0</v>
      </c>
      <c r="M6" s="23" t="e">
        <f>VLOOKUP(L6,スキル!B:C,2,FALSE)</f>
        <v>#N/A</v>
      </c>
      <c r="O6" s="23" t="e">
        <f>VLOOKUP(N6,スキル!B:C,2,FALSE)</f>
        <v>#N/A</v>
      </c>
      <c r="Q6" s="23" t="e">
        <f>VLOOKUP(P6,タクティクス!B:C,2,FALSE)</f>
        <v>#N/A</v>
      </c>
      <c r="S6" s="23" t="e">
        <f>VLOOKUP(R6,タクティクス!B:C,2,FALSE)</f>
        <v>#N/A</v>
      </c>
    </row>
    <row r="7" spans="1:22" ht="21.75" customHeight="1" x14ac:dyDescent="0.15">
      <c r="A7" s="20" t="str">
        <f>B7&amp;".jpg"</f>
        <v>.jpg</v>
      </c>
      <c r="K7" s="22">
        <f>SUM(G7,H7,I7)</f>
        <v>0</v>
      </c>
      <c r="M7" s="23" t="e">
        <f>VLOOKUP(L7,スキル!B:C,2,FALSE)</f>
        <v>#N/A</v>
      </c>
      <c r="O7" s="23" t="e">
        <f>VLOOKUP(N7,スキル!B:C,2,FALSE)</f>
        <v>#N/A</v>
      </c>
      <c r="Q7" s="23" t="e">
        <f>VLOOKUP(P7,タクティクス!B:C,2,FALSE)</f>
        <v>#N/A</v>
      </c>
      <c r="S7" s="23" t="e">
        <f>VLOOKUP(R7,タクティクス!B:C,2,FALSE)</f>
        <v>#N/A</v>
      </c>
    </row>
    <row r="8" spans="1:22" ht="21.75" customHeight="1" x14ac:dyDescent="0.15">
      <c r="A8" s="20" t="str">
        <f>B8&amp;".jpg"</f>
        <v>.jpg</v>
      </c>
      <c r="K8" s="22">
        <f>SUM(G8,H8,I8)</f>
        <v>0</v>
      </c>
      <c r="M8" s="23" t="e">
        <f>VLOOKUP(L8,スキル!B:C,2,FALSE)</f>
        <v>#N/A</v>
      </c>
      <c r="O8" s="23" t="e">
        <f>VLOOKUP(N8,スキル!B:C,2,FALSE)</f>
        <v>#N/A</v>
      </c>
      <c r="Q8" s="23" t="e">
        <f>VLOOKUP(P8,タクティクス!B:C,2,FALSE)</f>
        <v>#N/A</v>
      </c>
      <c r="S8" s="23" t="e">
        <f>VLOOKUP(R8,タクティクス!B:C,2,FALSE)</f>
        <v>#N/A</v>
      </c>
    </row>
    <row r="9" spans="1:22" ht="21.75" customHeight="1" x14ac:dyDescent="0.15">
      <c r="A9" s="20" t="str">
        <f>B9&amp;".jpg"</f>
        <v>.jpg</v>
      </c>
      <c r="K9" s="22">
        <f>SUM(G9,H9,I9)</f>
        <v>0</v>
      </c>
      <c r="M9" s="23" t="e">
        <f>VLOOKUP(L9,スキル!B:C,2,FALSE)</f>
        <v>#N/A</v>
      </c>
      <c r="O9" s="23" t="e">
        <f>VLOOKUP(N9,スキル!B:C,2,FALSE)</f>
        <v>#N/A</v>
      </c>
      <c r="Q9" s="23" t="e">
        <f>VLOOKUP(P9,タクティクス!B:C,2,FALSE)</f>
        <v>#N/A</v>
      </c>
      <c r="S9" s="23" t="e">
        <f>VLOOKUP(R9,タクティクス!B:C,2,FALSE)</f>
        <v>#N/A</v>
      </c>
    </row>
    <row r="10" spans="1:22" ht="21.75" customHeight="1" x14ac:dyDescent="0.15">
      <c r="A10" s="20" t="str">
        <f>B10&amp;".jpg"</f>
        <v>.jpg</v>
      </c>
      <c r="K10" s="22">
        <f>SUM(G10,H10,I10)</f>
        <v>0</v>
      </c>
      <c r="M10" s="23" t="e">
        <f>VLOOKUP(L10,スキル!B:C,2,FALSE)</f>
        <v>#N/A</v>
      </c>
      <c r="O10" s="23" t="e">
        <f>VLOOKUP(N10,スキル!B:C,2,FALSE)</f>
        <v>#N/A</v>
      </c>
      <c r="Q10" s="23" t="e">
        <f>VLOOKUP(P10,タクティクス!B:C,2,FALSE)</f>
        <v>#N/A</v>
      </c>
      <c r="S10" s="23" t="e">
        <f>VLOOKUP(R10,タクティクス!B:C,2,FALSE)</f>
        <v>#N/A</v>
      </c>
    </row>
    <row r="11" spans="1:22" ht="21.75" customHeight="1" x14ac:dyDescent="0.15">
      <c r="A11" s="20" t="str">
        <f>B11&amp;".jpg"</f>
        <v>.jpg</v>
      </c>
      <c r="K11" s="22">
        <f>SUM(G11,H11,I11)</f>
        <v>0</v>
      </c>
      <c r="M11" s="23" t="e">
        <f>VLOOKUP(L11,スキル!B:C,2,FALSE)</f>
        <v>#N/A</v>
      </c>
      <c r="O11" s="23" t="e">
        <f>VLOOKUP(N11,スキル!B:C,2,FALSE)</f>
        <v>#N/A</v>
      </c>
      <c r="Q11" s="23" t="e">
        <f>VLOOKUP(P11,タクティクス!B:C,2,FALSE)</f>
        <v>#N/A</v>
      </c>
      <c r="S11" s="23" t="e">
        <f>VLOOKUP(R11,タクティクス!B:C,2,FALSE)</f>
        <v>#N/A</v>
      </c>
    </row>
    <row r="12" spans="1:22" ht="21.75" customHeight="1" x14ac:dyDescent="0.15">
      <c r="A12" s="20" t="str">
        <f>B12&amp;".jpg"</f>
        <v>.jpg</v>
      </c>
      <c r="K12" s="22">
        <f>SUM(G12,H12,I12)</f>
        <v>0</v>
      </c>
      <c r="M12" s="23" t="e">
        <f>VLOOKUP(L12,スキル!B:C,2,FALSE)</f>
        <v>#N/A</v>
      </c>
      <c r="O12" s="23" t="e">
        <f>VLOOKUP(N12,スキル!B:C,2,FALSE)</f>
        <v>#N/A</v>
      </c>
      <c r="Q12" s="23" t="e">
        <f>VLOOKUP(P12,タクティクス!B:C,2,FALSE)</f>
        <v>#N/A</v>
      </c>
      <c r="S12" s="23" t="e">
        <f>VLOOKUP(R12,タクティクス!B:C,2,FALSE)</f>
        <v>#N/A</v>
      </c>
    </row>
    <row r="13" spans="1:22" ht="21.75" customHeight="1" x14ac:dyDescent="0.15">
      <c r="A13" s="20" t="str">
        <f>B13&amp;".jpg"</f>
        <v>.jpg</v>
      </c>
      <c r="K13" s="22">
        <f>SUM(G13,H13,I13)</f>
        <v>0</v>
      </c>
      <c r="M13" s="23" t="e">
        <f>VLOOKUP(L13,スキル!B:C,2,FALSE)</f>
        <v>#N/A</v>
      </c>
      <c r="O13" s="23" t="e">
        <f>VLOOKUP(N13,スキル!B:C,2,FALSE)</f>
        <v>#N/A</v>
      </c>
      <c r="Q13" s="23" t="e">
        <f>VLOOKUP(P13,タクティクス!B:C,2,FALSE)</f>
        <v>#N/A</v>
      </c>
      <c r="S13" s="23" t="e">
        <f>VLOOKUP(R13,タクティクス!B:C,2,FALSE)</f>
        <v>#N/A</v>
      </c>
    </row>
    <row r="14" spans="1:22" ht="21.75" customHeight="1" x14ac:dyDescent="0.15">
      <c r="A14" s="20" t="str">
        <f>B14&amp;".jpg"</f>
        <v>.jpg</v>
      </c>
      <c r="K14" s="22">
        <f>SUM(G14,H14,I14)</f>
        <v>0</v>
      </c>
      <c r="M14" s="23" t="e">
        <f>VLOOKUP(L14,スキル!B:C,2,FALSE)</f>
        <v>#N/A</v>
      </c>
      <c r="O14" s="23" t="e">
        <f>VLOOKUP(N14,スキル!B:C,2,FALSE)</f>
        <v>#N/A</v>
      </c>
      <c r="Q14" s="23" t="e">
        <f>VLOOKUP(P14,タクティクス!B:C,2,FALSE)</f>
        <v>#N/A</v>
      </c>
      <c r="S14" s="23" t="e">
        <f>VLOOKUP(R14,タクティクス!B:C,2,FALSE)</f>
        <v>#N/A</v>
      </c>
    </row>
    <row r="15" spans="1:22" ht="21.75" customHeight="1" x14ac:dyDescent="0.15">
      <c r="A15" s="20" t="str">
        <f>B15&amp;".jpg"</f>
        <v>.jpg</v>
      </c>
      <c r="K15" s="22">
        <f>SUM(G15,H15,I15)</f>
        <v>0</v>
      </c>
      <c r="M15" s="23" t="e">
        <f>VLOOKUP(L15,スキル!B:C,2,FALSE)</f>
        <v>#N/A</v>
      </c>
      <c r="O15" s="23" t="e">
        <f>VLOOKUP(N15,スキル!B:C,2,FALSE)</f>
        <v>#N/A</v>
      </c>
      <c r="Q15" s="23" t="e">
        <f>VLOOKUP(P15,タクティクス!B:C,2,FALSE)</f>
        <v>#N/A</v>
      </c>
      <c r="S15" s="23" t="e">
        <f>VLOOKUP(R15,タクティクス!B:C,2,FALSE)</f>
        <v>#N/A</v>
      </c>
    </row>
    <row r="16" spans="1:22" ht="21.75" customHeight="1" x14ac:dyDescent="0.15">
      <c r="A16" s="20" t="str">
        <f>B16&amp;".jpg"</f>
        <v>.jpg</v>
      </c>
      <c r="K16" s="22">
        <f>SUM(G16,H16,I16)</f>
        <v>0</v>
      </c>
      <c r="M16" s="23" t="e">
        <f>VLOOKUP(L16,スキル!B:C,2,FALSE)</f>
        <v>#N/A</v>
      </c>
      <c r="O16" s="23" t="e">
        <f>VLOOKUP(N16,スキル!B:C,2,FALSE)</f>
        <v>#N/A</v>
      </c>
      <c r="Q16" s="23" t="e">
        <f>VLOOKUP(P16,タクティクス!B:C,2,FALSE)</f>
        <v>#N/A</v>
      </c>
      <c r="S16" s="23" t="e">
        <f>VLOOKUP(R16,タクティクス!B:C,2,FALSE)</f>
        <v>#N/A</v>
      </c>
    </row>
    <row r="17" spans="1:19" ht="21.75" customHeight="1" x14ac:dyDescent="0.15">
      <c r="A17" s="20" t="str">
        <f>B17&amp;".jpg"</f>
        <v>.jpg</v>
      </c>
      <c r="K17" s="22">
        <f>SUM(G17,H17,I17)</f>
        <v>0</v>
      </c>
      <c r="M17" s="23" t="e">
        <f>VLOOKUP(L17,スキル!B:C,2,FALSE)</f>
        <v>#N/A</v>
      </c>
      <c r="O17" s="23" t="e">
        <f>VLOOKUP(N17,スキル!B:C,2,FALSE)</f>
        <v>#N/A</v>
      </c>
      <c r="Q17" s="23" t="e">
        <f>VLOOKUP(P17,タクティクス!B:C,2,FALSE)</f>
        <v>#N/A</v>
      </c>
      <c r="S17" s="23" t="e">
        <f>VLOOKUP(R17,タクティクス!B:C,2,FALSE)</f>
        <v>#N/A</v>
      </c>
    </row>
    <row r="18" spans="1:19" ht="21.75" customHeight="1" x14ac:dyDescent="0.15">
      <c r="A18" s="20" t="str">
        <f>B18&amp;".jpg"</f>
        <v>.jpg</v>
      </c>
      <c r="K18" s="22">
        <f>SUM(G18,H18,I18)</f>
        <v>0</v>
      </c>
      <c r="M18" s="23" t="e">
        <f>VLOOKUP(L18,スキル!B:C,2,FALSE)</f>
        <v>#N/A</v>
      </c>
      <c r="O18" s="23" t="e">
        <f>VLOOKUP(N18,スキル!B:C,2,FALSE)</f>
        <v>#N/A</v>
      </c>
      <c r="Q18" s="23" t="e">
        <f>VLOOKUP(P18,タクティクス!B:C,2,FALSE)</f>
        <v>#N/A</v>
      </c>
      <c r="S18" s="23" t="e">
        <f>VLOOKUP(R18,タクティクス!B:C,2,FALSE)</f>
        <v>#N/A</v>
      </c>
    </row>
    <row r="19" spans="1:19" ht="21.75" customHeight="1" x14ac:dyDescent="0.15">
      <c r="A19" s="20" t="str">
        <f>B19&amp;".jpg"</f>
        <v>.jpg</v>
      </c>
      <c r="K19" s="22">
        <f>SUM(G19,H19,I19)</f>
        <v>0</v>
      </c>
      <c r="M19" s="23" t="e">
        <f>VLOOKUP(L19,スキル!B:C,2,FALSE)</f>
        <v>#N/A</v>
      </c>
      <c r="O19" s="23" t="e">
        <f>VLOOKUP(N19,スキル!B:C,2,FALSE)</f>
        <v>#N/A</v>
      </c>
      <c r="Q19" s="23" t="e">
        <f>VLOOKUP(P19,タクティクス!B:C,2,FALSE)</f>
        <v>#N/A</v>
      </c>
      <c r="S19" s="23" t="e">
        <f>VLOOKUP(R19,タクティクス!B:C,2,FALSE)</f>
        <v>#N/A</v>
      </c>
    </row>
    <row r="20" spans="1:19" ht="21.75" customHeight="1" x14ac:dyDescent="0.15">
      <c r="A20" s="20" t="str">
        <f>B20&amp;".jpg"</f>
        <v>.jpg</v>
      </c>
      <c r="K20" s="22">
        <f>SUM(G20,H20,I20)</f>
        <v>0</v>
      </c>
      <c r="M20" s="23" t="e">
        <f>VLOOKUP(L20,スキル!B:C,2,FALSE)</f>
        <v>#N/A</v>
      </c>
      <c r="O20" s="23" t="e">
        <f>VLOOKUP(N20,スキル!B:C,2,FALSE)</f>
        <v>#N/A</v>
      </c>
      <c r="Q20" s="23" t="e">
        <f>VLOOKUP(P20,タクティクス!B:C,2,FALSE)</f>
        <v>#N/A</v>
      </c>
      <c r="S20" s="23" t="e">
        <f>VLOOKUP(R20,タクティクス!B:C,2,FALSE)</f>
        <v>#N/A</v>
      </c>
    </row>
    <row r="21" spans="1:19" ht="21.75" customHeight="1" x14ac:dyDescent="0.15">
      <c r="A21" s="20" t="str">
        <f>B21&amp;".jpg"</f>
        <v>.jpg</v>
      </c>
      <c r="K21" s="22">
        <f>SUM(G21,H21,I21)</f>
        <v>0</v>
      </c>
      <c r="M21" s="23" t="e">
        <f>VLOOKUP(L21,スキル!B:C,2,FALSE)</f>
        <v>#N/A</v>
      </c>
      <c r="O21" s="23" t="e">
        <f>VLOOKUP(N21,スキル!B:C,2,FALSE)</f>
        <v>#N/A</v>
      </c>
      <c r="Q21" s="23" t="e">
        <f>VLOOKUP(P21,タクティクス!B:C,2,FALSE)</f>
        <v>#N/A</v>
      </c>
      <c r="S21" s="23" t="e">
        <f>VLOOKUP(R21,タクティクス!B:C,2,FALSE)</f>
        <v>#N/A</v>
      </c>
    </row>
    <row r="22" spans="1:19" ht="21.75" customHeight="1" x14ac:dyDescent="0.15">
      <c r="A22" s="20" t="str">
        <f>B22&amp;".jpg"</f>
        <v>.jpg</v>
      </c>
      <c r="K22" s="22">
        <f>SUM(G22,H22,I22)</f>
        <v>0</v>
      </c>
      <c r="M22" s="23" t="e">
        <f>VLOOKUP(L22,スキル!B:C,2,FALSE)</f>
        <v>#N/A</v>
      </c>
      <c r="O22" s="23" t="e">
        <f>VLOOKUP(N22,スキル!B:C,2,FALSE)</f>
        <v>#N/A</v>
      </c>
      <c r="Q22" s="23" t="e">
        <f>VLOOKUP(P22,タクティクス!B:C,2,FALSE)</f>
        <v>#N/A</v>
      </c>
      <c r="S22" s="23" t="e">
        <f>VLOOKUP(R22,タクティクス!B:C,2,FALSE)</f>
        <v>#N/A</v>
      </c>
    </row>
    <row r="23" spans="1:19" ht="21.75" customHeight="1" x14ac:dyDescent="0.15">
      <c r="A23" s="20" t="str">
        <f>B23&amp;".jpg"</f>
        <v>.jpg</v>
      </c>
      <c r="K23" s="22">
        <f>SUM(G23,H23,I23)</f>
        <v>0</v>
      </c>
      <c r="M23" s="23" t="e">
        <f>VLOOKUP(L23,スキル!B:C,2,FALSE)</f>
        <v>#N/A</v>
      </c>
      <c r="O23" s="23" t="e">
        <f>VLOOKUP(N23,スキル!B:C,2,FALSE)</f>
        <v>#N/A</v>
      </c>
      <c r="Q23" s="23" t="e">
        <f>VLOOKUP(P23,タクティクス!B:C,2,FALSE)</f>
        <v>#N/A</v>
      </c>
      <c r="S23" s="23" t="e">
        <f>VLOOKUP(R23,タクティクス!B:C,2,FALSE)</f>
        <v>#N/A</v>
      </c>
    </row>
    <row r="24" spans="1:19" ht="21.75" customHeight="1" x14ac:dyDescent="0.15">
      <c r="A24" s="20" t="str">
        <f>B24&amp;".jpg"</f>
        <v>.jpg</v>
      </c>
      <c r="K24" s="22">
        <f>SUM(G24,H24,I24)</f>
        <v>0</v>
      </c>
      <c r="M24" s="23" t="e">
        <f>VLOOKUP(L24,スキル!B:C,2,FALSE)</f>
        <v>#N/A</v>
      </c>
      <c r="O24" s="23" t="e">
        <f>VLOOKUP(N24,スキル!B:C,2,FALSE)</f>
        <v>#N/A</v>
      </c>
      <c r="Q24" s="23" t="e">
        <f>VLOOKUP(P24,タクティクス!B:C,2,FALSE)</f>
        <v>#N/A</v>
      </c>
      <c r="S24" s="23" t="e">
        <f>VLOOKUP(R24,タクティクス!B:C,2,FALSE)</f>
        <v>#N/A</v>
      </c>
    </row>
    <row r="25" spans="1:19" ht="21.75" customHeight="1" x14ac:dyDescent="0.15">
      <c r="A25" s="20" t="str">
        <f>B25&amp;".jpg"</f>
        <v>.jpg</v>
      </c>
      <c r="K25" s="22">
        <f>SUM(G25,H25,I25)</f>
        <v>0</v>
      </c>
      <c r="M25" s="23" t="e">
        <f>VLOOKUP(L25,スキル!B:C,2,FALSE)</f>
        <v>#N/A</v>
      </c>
      <c r="O25" s="23" t="e">
        <f>VLOOKUP(N25,スキル!B:C,2,FALSE)</f>
        <v>#N/A</v>
      </c>
      <c r="Q25" s="23" t="e">
        <f>VLOOKUP(P25,タクティクス!B:C,2,FALSE)</f>
        <v>#N/A</v>
      </c>
      <c r="S25" s="23" t="e">
        <f>VLOOKUP(R25,タクティクス!B:C,2,FALSE)</f>
        <v>#N/A</v>
      </c>
    </row>
    <row r="26" spans="1:19" ht="21.75" customHeight="1" x14ac:dyDescent="0.15">
      <c r="A26" s="20" t="str">
        <f>B26&amp;".jpg"</f>
        <v>.jpg</v>
      </c>
      <c r="K26" s="22">
        <f>SUM(G26,H26,I26)</f>
        <v>0</v>
      </c>
      <c r="M26" s="23" t="e">
        <f>VLOOKUP(L26,スキル!B:C,2,FALSE)</f>
        <v>#N/A</v>
      </c>
      <c r="O26" s="23" t="e">
        <f>VLOOKUP(N26,スキル!B:C,2,FALSE)</f>
        <v>#N/A</v>
      </c>
      <c r="Q26" s="23" t="e">
        <f>VLOOKUP(P26,タクティクス!B:C,2,FALSE)</f>
        <v>#N/A</v>
      </c>
      <c r="S26" s="23" t="e">
        <f>VLOOKUP(R26,タクティクス!B:C,2,FALSE)</f>
        <v>#N/A</v>
      </c>
    </row>
    <row r="27" spans="1:19" ht="21.75" customHeight="1" x14ac:dyDescent="0.15">
      <c r="A27" s="20" t="str">
        <f>B27&amp;".jpg"</f>
        <v>.jpg</v>
      </c>
      <c r="K27" s="22">
        <f>SUM(G27,H27,I27)</f>
        <v>0</v>
      </c>
      <c r="M27" s="23" t="e">
        <f>VLOOKUP(L27,スキル!B:C,2,FALSE)</f>
        <v>#N/A</v>
      </c>
      <c r="O27" s="23" t="e">
        <f>VLOOKUP(N27,スキル!B:C,2,FALSE)</f>
        <v>#N/A</v>
      </c>
      <c r="Q27" s="23" t="e">
        <f>VLOOKUP(P27,タクティクス!B:C,2,FALSE)</f>
        <v>#N/A</v>
      </c>
      <c r="S27" s="23" t="e">
        <f>VLOOKUP(R27,タクティクス!B:C,2,FALSE)</f>
        <v>#N/A</v>
      </c>
    </row>
    <row r="28" spans="1:19" ht="21.75" customHeight="1" x14ac:dyDescent="0.15">
      <c r="A28" s="20" t="str">
        <f>B28&amp;".jpg"</f>
        <v>.jpg</v>
      </c>
      <c r="K28" s="22">
        <f>SUM(G28,H28,I28)</f>
        <v>0</v>
      </c>
      <c r="M28" s="23" t="e">
        <f>VLOOKUP(L28,スキル!B:C,2,FALSE)</f>
        <v>#N/A</v>
      </c>
      <c r="O28" s="23" t="e">
        <f>VLOOKUP(N28,スキル!B:C,2,FALSE)</f>
        <v>#N/A</v>
      </c>
      <c r="Q28" s="23" t="e">
        <f>VLOOKUP(P28,タクティクス!B:C,2,FALSE)</f>
        <v>#N/A</v>
      </c>
      <c r="S28" s="23" t="e">
        <f>VLOOKUP(R28,タクティクス!B:C,2,FALSE)</f>
        <v>#N/A</v>
      </c>
    </row>
    <row r="29" spans="1:19" ht="21.75" customHeight="1" x14ac:dyDescent="0.15">
      <c r="A29" s="20" t="str">
        <f>B29&amp;".jpg"</f>
        <v>.jpg</v>
      </c>
      <c r="K29" s="22">
        <f>SUM(G29,H29,I29)</f>
        <v>0</v>
      </c>
      <c r="M29" s="23" t="e">
        <f>VLOOKUP(L29,スキル!B:C,2,FALSE)</f>
        <v>#N/A</v>
      </c>
      <c r="O29" s="23" t="e">
        <f>VLOOKUP(N29,スキル!B:C,2,FALSE)</f>
        <v>#N/A</v>
      </c>
      <c r="Q29" s="23" t="e">
        <f>VLOOKUP(P29,タクティクス!B:C,2,FALSE)</f>
        <v>#N/A</v>
      </c>
      <c r="S29" s="23" t="e">
        <f>VLOOKUP(R29,タクティクス!B:C,2,FALSE)</f>
        <v>#N/A</v>
      </c>
    </row>
    <row r="30" spans="1:19" ht="21.75" customHeight="1" x14ac:dyDescent="0.15">
      <c r="A30" s="20" t="str">
        <f>B30&amp;".jpg"</f>
        <v>.jpg</v>
      </c>
      <c r="K30" s="22">
        <f>SUM(G30,H30,I30)</f>
        <v>0</v>
      </c>
      <c r="M30" s="23" t="e">
        <f>VLOOKUP(L30,スキル!B:C,2,FALSE)</f>
        <v>#N/A</v>
      </c>
      <c r="O30" s="23" t="e">
        <f>VLOOKUP(N30,スキル!B:C,2,FALSE)</f>
        <v>#N/A</v>
      </c>
      <c r="Q30" s="23" t="e">
        <f>VLOOKUP(P30,タクティクス!B:C,2,FALSE)</f>
        <v>#N/A</v>
      </c>
      <c r="S30" s="23" t="e">
        <f>VLOOKUP(R30,タクティクス!B:C,2,FALSE)</f>
        <v>#N/A</v>
      </c>
    </row>
    <row r="31" spans="1:19" ht="21.75" customHeight="1" x14ac:dyDescent="0.15">
      <c r="A31" s="20" t="str">
        <f>B31&amp;".jpg"</f>
        <v>.jpg</v>
      </c>
      <c r="K31" s="22">
        <f>SUM(G31,H31,I31)</f>
        <v>0</v>
      </c>
      <c r="M31" s="23" t="e">
        <f>VLOOKUP(L31,スキル!B:C,2,FALSE)</f>
        <v>#N/A</v>
      </c>
      <c r="O31" s="23" t="e">
        <f>VLOOKUP(N31,スキル!B:C,2,FALSE)</f>
        <v>#N/A</v>
      </c>
      <c r="Q31" s="23" t="e">
        <f>VLOOKUP(P31,タクティクス!B:C,2,FALSE)</f>
        <v>#N/A</v>
      </c>
      <c r="S31" s="23" t="e">
        <f>VLOOKUP(R31,タクティクス!B:C,2,FALSE)</f>
        <v>#N/A</v>
      </c>
    </row>
    <row r="32" spans="1:19" ht="21.75" customHeight="1" x14ac:dyDescent="0.15">
      <c r="A32" s="20" t="str">
        <f>B32&amp;".jpg"</f>
        <v>.jpg</v>
      </c>
      <c r="K32" s="22">
        <f>SUM(G32,H32,I32)</f>
        <v>0</v>
      </c>
      <c r="M32" s="23" t="e">
        <f>VLOOKUP(L32,スキル!B:C,2,FALSE)</f>
        <v>#N/A</v>
      </c>
      <c r="O32" s="23" t="e">
        <f>VLOOKUP(N32,スキル!B:C,2,FALSE)</f>
        <v>#N/A</v>
      </c>
      <c r="Q32" s="23" t="e">
        <f>VLOOKUP(P32,タクティクス!B:C,2,FALSE)</f>
        <v>#N/A</v>
      </c>
      <c r="S32" s="23" t="e">
        <f>VLOOKUP(R32,タクティクス!B:C,2,FALSE)</f>
        <v>#N/A</v>
      </c>
    </row>
    <row r="33" spans="1:19" ht="21.75" customHeight="1" x14ac:dyDescent="0.15">
      <c r="A33" s="20" t="str">
        <f>B33&amp;".jpg"</f>
        <v>.jpg</v>
      </c>
      <c r="K33" s="22">
        <f>SUM(G33,H33,I33)</f>
        <v>0</v>
      </c>
      <c r="M33" s="23" t="e">
        <f>VLOOKUP(L33,スキル!B:C,2,FALSE)</f>
        <v>#N/A</v>
      </c>
      <c r="O33" s="23" t="e">
        <f>VLOOKUP(N33,スキル!B:C,2,FALSE)</f>
        <v>#N/A</v>
      </c>
      <c r="Q33" s="23" t="e">
        <f>VLOOKUP(P33,タクティクス!B:C,2,FALSE)</f>
        <v>#N/A</v>
      </c>
      <c r="S33" s="23" t="e">
        <f>VLOOKUP(R33,タクティクス!B:C,2,FALSE)</f>
        <v>#N/A</v>
      </c>
    </row>
    <row r="34" spans="1:19" ht="21.75" customHeight="1" x14ac:dyDescent="0.15">
      <c r="A34" s="20" t="str">
        <f>B34&amp;".jpg"</f>
        <v>.jpg</v>
      </c>
      <c r="K34" s="22">
        <f>SUM(G34,H34,I34)</f>
        <v>0</v>
      </c>
      <c r="M34" s="23" t="e">
        <f>VLOOKUP(L34,スキル!B:C,2,FALSE)</f>
        <v>#N/A</v>
      </c>
      <c r="O34" s="23" t="e">
        <f>VLOOKUP(N34,スキル!B:C,2,FALSE)</f>
        <v>#N/A</v>
      </c>
      <c r="Q34" s="23" t="e">
        <f>VLOOKUP(P34,タクティクス!B:C,2,FALSE)</f>
        <v>#N/A</v>
      </c>
      <c r="S34" s="23" t="e">
        <f>VLOOKUP(R34,タクティクス!B:C,2,FALSE)</f>
        <v>#N/A</v>
      </c>
    </row>
    <row r="35" spans="1:19" ht="21.75" customHeight="1" x14ac:dyDescent="0.15">
      <c r="A35" s="20" t="str">
        <f>B35&amp;".jpg"</f>
        <v>.jpg</v>
      </c>
      <c r="K35" s="22">
        <f>SUM(G35,H35,I35)</f>
        <v>0</v>
      </c>
      <c r="M35" s="23" t="e">
        <f>VLOOKUP(L35,スキル!B:C,2,FALSE)</f>
        <v>#N/A</v>
      </c>
      <c r="O35" s="23" t="e">
        <f>VLOOKUP(N35,スキル!B:C,2,FALSE)</f>
        <v>#N/A</v>
      </c>
      <c r="Q35" s="23" t="e">
        <f>VLOOKUP(P35,タクティクス!B:C,2,FALSE)</f>
        <v>#N/A</v>
      </c>
      <c r="S35" s="23" t="e">
        <f>VLOOKUP(R35,タクティクス!B:C,2,FALSE)</f>
        <v>#N/A</v>
      </c>
    </row>
    <row r="36" spans="1:19" ht="21.75" customHeight="1" x14ac:dyDescent="0.15">
      <c r="A36" s="20" t="str">
        <f>B36&amp;".jpg"</f>
        <v>.jpg</v>
      </c>
      <c r="K36" s="22">
        <f>SUM(G36,H36,I36)</f>
        <v>0</v>
      </c>
      <c r="M36" s="23" t="e">
        <f>VLOOKUP(L36,スキル!B:C,2,FALSE)</f>
        <v>#N/A</v>
      </c>
      <c r="O36" s="23" t="e">
        <f>VLOOKUP(N36,スキル!B:C,2,FALSE)</f>
        <v>#N/A</v>
      </c>
      <c r="Q36" s="23" t="e">
        <f>VLOOKUP(P36,タクティクス!B:C,2,FALSE)</f>
        <v>#N/A</v>
      </c>
      <c r="S36" s="23" t="e">
        <f>VLOOKUP(R36,タクティクス!B:C,2,FALSE)</f>
        <v>#N/A</v>
      </c>
    </row>
    <row r="37" spans="1:19" ht="21.75" customHeight="1" x14ac:dyDescent="0.15">
      <c r="A37" s="20" t="str">
        <f>B37&amp;".jpg"</f>
        <v>.jpg</v>
      </c>
      <c r="K37" s="22">
        <f>SUM(G37,H37,I37)</f>
        <v>0</v>
      </c>
      <c r="M37" s="23" t="e">
        <f>VLOOKUP(L37,スキル!B:C,2,FALSE)</f>
        <v>#N/A</v>
      </c>
      <c r="O37" s="23" t="e">
        <f>VLOOKUP(N37,スキル!B:C,2,FALSE)</f>
        <v>#N/A</v>
      </c>
      <c r="Q37" s="23" t="e">
        <f>VLOOKUP(P37,タクティクス!B:C,2,FALSE)</f>
        <v>#N/A</v>
      </c>
      <c r="S37" s="23" t="e">
        <f>VLOOKUP(R37,タクティクス!B:C,2,FALSE)</f>
        <v>#N/A</v>
      </c>
    </row>
    <row r="38" spans="1:19" ht="21.75" customHeight="1" x14ac:dyDescent="0.15">
      <c r="A38" s="20" t="str">
        <f>B38&amp;".jpg"</f>
        <v>.jpg</v>
      </c>
      <c r="K38" s="22">
        <f>SUM(G38,H38,I38)</f>
        <v>0</v>
      </c>
      <c r="M38" s="23" t="e">
        <f>VLOOKUP(L38,スキル!B:C,2,FALSE)</f>
        <v>#N/A</v>
      </c>
      <c r="O38" s="23" t="e">
        <f>VLOOKUP(N38,スキル!B:C,2,FALSE)</f>
        <v>#N/A</v>
      </c>
      <c r="Q38" s="23" t="e">
        <f>VLOOKUP(P38,タクティクス!B:C,2,FALSE)</f>
        <v>#N/A</v>
      </c>
      <c r="S38" s="23" t="e">
        <f>VLOOKUP(R38,タクティクス!B:C,2,FALSE)</f>
        <v>#N/A</v>
      </c>
    </row>
    <row r="39" spans="1:19" ht="21.75" customHeight="1" x14ac:dyDescent="0.15">
      <c r="A39" s="20" t="str">
        <f>B39&amp;".jpg"</f>
        <v>.jpg</v>
      </c>
      <c r="K39" s="22">
        <f>SUM(G39,H39,I39)</f>
        <v>0</v>
      </c>
      <c r="M39" s="23" t="e">
        <f>VLOOKUP(L39,スキル!B:C,2,FALSE)</f>
        <v>#N/A</v>
      </c>
      <c r="O39" s="23" t="e">
        <f>VLOOKUP(N39,スキル!B:C,2,FALSE)</f>
        <v>#N/A</v>
      </c>
      <c r="Q39" s="23" t="e">
        <f>VLOOKUP(P39,タクティクス!B:C,2,FALSE)</f>
        <v>#N/A</v>
      </c>
      <c r="S39" s="23" t="e">
        <f>VLOOKUP(R39,タクティクス!B:C,2,FALSE)</f>
        <v>#N/A</v>
      </c>
    </row>
    <row r="40" spans="1:19" ht="21.75" customHeight="1" x14ac:dyDescent="0.15">
      <c r="A40" s="20" t="str">
        <f>B40&amp;".jpg"</f>
        <v>.jpg</v>
      </c>
      <c r="K40" s="22">
        <f>SUM(G40,H40,I40)</f>
        <v>0</v>
      </c>
      <c r="M40" s="23" t="e">
        <f>VLOOKUP(L40,スキル!B:C,2,FALSE)</f>
        <v>#N/A</v>
      </c>
      <c r="O40" s="23" t="e">
        <f>VLOOKUP(N40,スキル!B:C,2,FALSE)</f>
        <v>#N/A</v>
      </c>
      <c r="Q40" s="23" t="e">
        <f>VLOOKUP(P40,タクティクス!B:C,2,FALSE)</f>
        <v>#N/A</v>
      </c>
      <c r="S40" s="23" t="e">
        <f>VLOOKUP(R40,タクティクス!B:C,2,FALSE)</f>
        <v>#N/A</v>
      </c>
    </row>
    <row r="41" spans="1:19" ht="21.75" customHeight="1" x14ac:dyDescent="0.15">
      <c r="A41" s="20" t="str">
        <f>B41&amp;".jpg"</f>
        <v>.jpg</v>
      </c>
      <c r="K41" s="22">
        <f>SUM(G41,H41,I41)</f>
        <v>0</v>
      </c>
      <c r="M41" s="23" t="e">
        <f>VLOOKUP(L41,スキル!B:C,2,FALSE)</f>
        <v>#N/A</v>
      </c>
      <c r="O41" s="23" t="e">
        <f>VLOOKUP(N41,スキル!B:C,2,FALSE)</f>
        <v>#N/A</v>
      </c>
      <c r="Q41" s="23" t="e">
        <f>VLOOKUP(P41,タクティクス!B:C,2,FALSE)</f>
        <v>#N/A</v>
      </c>
      <c r="S41" s="23" t="e">
        <f>VLOOKUP(R41,タクティクス!B:C,2,FALSE)</f>
        <v>#N/A</v>
      </c>
    </row>
    <row r="42" spans="1:19" ht="21.75" customHeight="1" x14ac:dyDescent="0.15">
      <c r="A42" s="20" t="str">
        <f>B42&amp;".jpg"</f>
        <v>.jpg</v>
      </c>
      <c r="K42" s="22">
        <f>SUM(G42,H42,I42)</f>
        <v>0</v>
      </c>
      <c r="M42" s="23" t="e">
        <f>VLOOKUP(L42,スキル!B:C,2,FALSE)</f>
        <v>#N/A</v>
      </c>
      <c r="O42" s="23" t="e">
        <f>VLOOKUP(N42,スキル!B:C,2,FALSE)</f>
        <v>#N/A</v>
      </c>
      <c r="Q42" s="23" t="e">
        <f>VLOOKUP(P42,タクティクス!B:C,2,FALSE)</f>
        <v>#N/A</v>
      </c>
      <c r="S42" s="23" t="e">
        <f>VLOOKUP(R42,タクティクス!B:C,2,FALSE)</f>
        <v>#N/A</v>
      </c>
    </row>
    <row r="43" spans="1:19" ht="21.75" customHeight="1" x14ac:dyDescent="0.15">
      <c r="A43" s="20" t="str">
        <f>B43&amp;".jpg"</f>
        <v>.jpg</v>
      </c>
      <c r="K43" s="22">
        <f>SUM(G43,H43,I43)</f>
        <v>0</v>
      </c>
      <c r="M43" s="23" t="e">
        <f>VLOOKUP(L43,スキル!B:C,2,FALSE)</f>
        <v>#N/A</v>
      </c>
      <c r="O43" s="23" t="e">
        <f>VLOOKUP(N43,スキル!B:C,2,FALSE)</f>
        <v>#N/A</v>
      </c>
      <c r="Q43" s="23" t="e">
        <f>VLOOKUP(P43,タクティクス!B:C,2,FALSE)</f>
        <v>#N/A</v>
      </c>
      <c r="S43" s="23" t="e">
        <f>VLOOKUP(R43,タクティクス!B:C,2,FALSE)</f>
        <v>#N/A</v>
      </c>
    </row>
    <row r="44" spans="1:19" ht="21.75" customHeight="1" x14ac:dyDescent="0.15">
      <c r="A44" s="20" t="str">
        <f>B44&amp;".jpg"</f>
        <v>.jpg</v>
      </c>
      <c r="K44" s="22">
        <f>SUM(G44,H44,I44)</f>
        <v>0</v>
      </c>
      <c r="M44" s="23" t="e">
        <f>VLOOKUP(L44,スキル!B:C,2,FALSE)</f>
        <v>#N/A</v>
      </c>
      <c r="O44" s="23" t="e">
        <f>VLOOKUP(N44,スキル!B:C,2,FALSE)</f>
        <v>#N/A</v>
      </c>
      <c r="Q44" s="23" t="e">
        <f>VLOOKUP(P44,タクティクス!B:C,2,FALSE)</f>
        <v>#N/A</v>
      </c>
      <c r="S44" s="23" t="e">
        <f>VLOOKUP(R44,タクティクス!B:C,2,FALSE)</f>
        <v>#N/A</v>
      </c>
    </row>
    <row r="45" spans="1:19" ht="21.75" customHeight="1" x14ac:dyDescent="0.15">
      <c r="A45" s="20" t="str">
        <f>B45&amp;".jpg"</f>
        <v>.jpg</v>
      </c>
      <c r="K45" s="22">
        <f>SUM(G45,H45,I45)</f>
        <v>0</v>
      </c>
      <c r="M45" s="23" t="e">
        <f>VLOOKUP(L45,スキル!B:C,2,FALSE)</f>
        <v>#N/A</v>
      </c>
      <c r="O45" s="23" t="e">
        <f>VLOOKUP(N45,スキル!B:C,2,FALSE)</f>
        <v>#N/A</v>
      </c>
      <c r="Q45" s="23" t="e">
        <f>VLOOKUP(P45,タクティクス!B:C,2,FALSE)</f>
        <v>#N/A</v>
      </c>
      <c r="S45" s="23" t="e">
        <f>VLOOKUP(R45,タクティクス!B:C,2,FALSE)</f>
        <v>#N/A</v>
      </c>
    </row>
    <row r="46" spans="1:19" ht="21.75" customHeight="1" x14ac:dyDescent="0.15">
      <c r="A46" s="20" t="str">
        <f>B46&amp;".jpg"</f>
        <v>.jpg</v>
      </c>
      <c r="K46" s="22">
        <f>SUM(G46,H46,I46)</f>
        <v>0</v>
      </c>
      <c r="M46" s="23" t="e">
        <f>VLOOKUP(L46,スキル!B:C,2,FALSE)</f>
        <v>#N/A</v>
      </c>
      <c r="O46" s="23" t="e">
        <f>VLOOKUP(N46,スキル!B:C,2,FALSE)</f>
        <v>#N/A</v>
      </c>
      <c r="Q46" s="23" t="e">
        <f>VLOOKUP(P46,タクティクス!B:C,2,FALSE)</f>
        <v>#N/A</v>
      </c>
      <c r="S46" s="23" t="e">
        <f>VLOOKUP(R46,タクティクス!B:C,2,FALSE)</f>
        <v>#N/A</v>
      </c>
    </row>
    <row r="47" spans="1:19" ht="21.75" customHeight="1" x14ac:dyDescent="0.15">
      <c r="A47" s="20" t="str">
        <f>B47&amp;".jpg"</f>
        <v>.jpg</v>
      </c>
      <c r="K47" s="22">
        <f>SUM(G47,H47,I47)</f>
        <v>0</v>
      </c>
      <c r="M47" s="23" t="e">
        <f>VLOOKUP(L47,スキル!B:C,2,FALSE)</f>
        <v>#N/A</v>
      </c>
      <c r="O47" s="23" t="e">
        <f>VLOOKUP(N47,スキル!B:C,2,FALSE)</f>
        <v>#N/A</v>
      </c>
      <c r="Q47" s="23" t="e">
        <f>VLOOKUP(P47,タクティクス!B:C,2,FALSE)</f>
        <v>#N/A</v>
      </c>
      <c r="S47" s="23" t="e">
        <f>VLOOKUP(R47,タクティクス!B:C,2,FALSE)</f>
        <v>#N/A</v>
      </c>
    </row>
    <row r="48" spans="1:19" ht="21.75" customHeight="1" x14ac:dyDescent="0.15">
      <c r="A48" s="20" t="str">
        <f>B48&amp;".jpg"</f>
        <v>.jpg</v>
      </c>
      <c r="K48" s="22">
        <f>SUM(G48,H48,I48)</f>
        <v>0</v>
      </c>
      <c r="M48" s="23" t="e">
        <f>VLOOKUP(L48,スキル!B:C,2,FALSE)</f>
        <v>#N/A</v>
      </c>
      <c r="O48" s="23" t="e">
        <f>VLOOKUP(N48,スキル!B:C,2,FALSE)</f>
        <v>#N/A</v>
      </c>
      <c r="Q48" s="23" t="e">
        <f>VLOOKUP(P48,タクティクス!B:C,2,FALSE)</f>
        <v>#N/A</v>
      </c>
      <c r="S48" s="23" t="e">
        <f>VLOOKUP(R48,タクティクス!B:C,2,FALSE)</f>
        <v>#N/A</v>
      </c>
    </row>
    <row r="49" spans="1:19" ht="21.75" customHeight="1" x14ac:dyDescent="0.15">
      <c r="A49" s="20" t="str">
        <f>B49&amp;".jpg"</f>
        <v>.jpg</v>
      </c>
      <c r="K49" s="22">
        <f>SUM(G49,H49,I49)</f>
        <v>0</v>
      </c>
      <c r="M49" s="23" t="e">
        <f>VLOOKUP(L49,スキル!B:C,2,FALSE)</f>
        <v>#N/A</v>
      </c>
      <c r="O49" s="23" t="e">
        <f>VLOOKUP(N49,スキル!B:C,2,FALSE)</f>
        <v>#N/A</v>
      </c>
      <c r="Q49" s="23" t="e">
        <f>VLOOKUP(P49,タクティクス!B:C,2,FALSE)</f>
        <v>#N/A</v>
      </c>
      <c r="S49" s="23" t="e">
        <f>VLOOKUP(R49,タクティクス!B:C,2,FALSE)</f>
        <v>#N/A</v>
      </c>
    </row>
    <row r="50" spans="1:19" ht="21.75" customHeight="1" x14ac:dyDescent="0.15">
      <c r="A50" s="20" t="str">
        <f>B50&amp;".jpg"</f>
        <v>.jpg</v>
      </c>
      <c r="K50" s="22">
        <f>SUM(G50,H50,I50)</f>
        <v>0</v>
      </c>
      <c r="M50" s="23" t="e">
        <f>VLOOKUP(L50,スキル!B:C,2,FALSE)</f>
        <v>#N/A</v>
      </c>
      <c r="O50" s="23" t="e">
        <f>VLOOKUP(N50,スキル!B:C,2,FALSE)</f>
        <v>#N/A</v>
      </c>
      <c r="Q50" s="23" t="e">
        <f>VLOOKUP(P50,タクティクス!B:C,2,FALSE)</f>
        <v>#N/A</v>
      </c>
      <c r="S50" s="23" t="e">
        <f>VLOOKUP(R50,タクティクス!B:C,2,FALSE)</f>
        <v>#N/A</v>
      </c>
    </row>
    <row r="51" spans="1:19" ht="21.75" customHeight="1" x14ac:dyDescent="0.15">
      <c r="A51" s="20" t="str">
        <f>B51&amp;".jpg"</f>
        <v>.jpg</v>
      </c>
      <c r="K51" s="22">
        <f>SUM(G51,H51,I51)</f>
        <v>0</v>
      </c>
      <c r="M51" s="23" t="e">
        <f>VLOOKUP(L51,スキル!B:C,2,FALSE)</f>
        <v>#N/A</v>
      </c>
      <c r="O51" s="23" t="e">
        <f>VLOOKUP(N51,スキル!B:C,2,FALSE)</f>
        <v>#N/A</v>
      </c>
      <c r="Q51" s="23" t="e">
        <f>VLOOKUP(P51,タクティクス!B:C,2,FALSE)</f>
        <v>#N/A</v>
      </c>
      <c r="S51" s="23" t="e">
        <f>VLOOKUP(R51,タクティクス!B:C,2,FALSE)</f>
        <v>#N/A</v>
      </c>
    </row>
    <row r="52" spans="1:19" ht="21.75" customHeight="1" x14ac:dyDescent="0.15">
      <c r="A52" s="20" t="str">
        <f>B52&amp;".jpg"</f>
        <v>.jpg</v>
      </c>
      <c r="K52" s="22">
        <f>SUM(G52,H52,I52)</f>
        <v>0</v>
      </c>
      <c r="M52" s="23" t="e">
        <f>VLOOKUP(L52,スキル!B:C,2,FALSE)</f>
        <v>#N/A</v>
      </c>
      <c r="O52" s="23" t="e">
        <f>VLOOKUP(N52,スキル!B:C,2,FALSE)</f>
        <v>#N/A</v>
      </c>
      <c r="Q52" s="23" t="e">
        <f>VLOOKUP(P52,タクティクス!B:C,2,FALSE)</f>
        <v>#N/A</v>
      </c>
      <c r="S52" s="23" t="e">
        <f>VLOOKUP(R52,タクティクス!B:C,2,FALSE)</f>
        <v>#N/A</v>
      </c>
    </row>
    <row r="53" spans="1:19" ht="21.75" customHeight="1" x14ac:dyDescent="0.15">
      <c r="A53" s="20" t="str">
        <f>B53&amp;".jpg"</f>
        <v>.jpg</v>
      </c>
      <c r="K53" s="22">
        <f>SUM(G53,H53,I53)</f>
        <v>0</v>
      </c>
      <c r="M53" s="23" t="e">
        <f>VLOOKUP(L53,スキル!B:C,2,FALSE)</f>
        <v>#N/A</v>
      </c>
      <c r="O53" s="23" t="e">
        <f>VLOOKUP(N53,スキル!B:C,2,FALSE)</f>
        <v>#N/A</v>
      </c>
      <c r="Q53" s="23" t="e">
        <f>VLOOKUP(P53,タクティクス!B:C,2,FALSE)</f>
        <v>#N/A</v>
      </c>
      <c r="S53" s="23" t="e">
        <f>VLOOKUP(R53,タクティクス!B:C,2,FALSE)</f>
        <v>#N/A</v>
      </c>
    </row>
    <row r="54" spans="1:19" ht="21.75" customHeight="1" x14ac:dyDescent="0.15">
      <c r="A54" s="20" t="str">
        <f>B54&amp;".jpg"</f>
        <v>.jpg</v>
      </c>
      <c r="K54" s="22">
        <f>SUM(G54,H54,I54)</f>
        <v>0</v>
      </c>
      <c r="M54" s="23" t="e">
        <f>VLOOKUP(L54,スキル!B:C,2,FALSE)</f>
        <v>#N/A</v>
      </c>
      <c r="O54" s="23" t="e">
        <f>VLOOKUP(N54,スキル!B:C,2,FALSE)</f>
        <v>#N/A</v>
      </c>
      <c r="Q54" s="23" t="e">
        <f>VLOOKUP(P54,タクティクス!B:C,2,FALSE)</f>
        <v>#N/A</v>
      </c>
      <c r="S54" s="23" t="e">
        <f>VLOOKUP(R54,タクティクス!B:C,2,FALSE)</f>
        <v>#N/A</v>
      </c>
    </row>
    <row r="55" spans="1:19" ht="21.75" customHeight="1" x14ac:dyDescent="0.15">
      <c r="A55" s="20" t="str">
        <f>B55&amp;".jpg"</f>
        <v>.jpg</v>
      </c>
      <c r="K55" s="22">
        <f>SUM(G55,H55,I55)</f>
        <v>0</v>
      </c>
      <c r="M55" s="23" t="e">
        <f>VLOOKUP(L55,スキル!B:C,2,FALSE)</f>
        <v>#N/A</v>
      </c>
      <c r="O55" s="23" t="e">
        <f>VLOOKUP(N55,スキル!B:C,2,FALSE)</f>
        <v>#N/A</v>
      </c>
      <c r="Q55" s="23" t="e">
        <f>VLOOKUP(P55,タクティクス!B:C,2,FALSE)</f>
        <v>#N/A</v>
      </c>
      <c r="S55" s="23" t="e">
        <f>VLOOKUP(R55,タクティクス!B:C,2,FALSE)</f>
        <v>#N/A</v>
      </c>
    </row>
    <row r="56" spans="1:19" ht="21.75" customHeight="1" x14ac:dyDescent="0.15">
      <c r="A56" s="20" t="str">
        <f>B56&amp;".jpg"</f>
        <v>.jpg</v>
      </c>
      <c r="K56" s="22">
        <f>SUM(G56,H56,I56)</f>
        <v>0</v>
      </c>
      <c r="M56" s="23" t="e">
        <f>VLOOKUP(L56,スキル!B:C,2,FALSE)</f>
        <v>#N/A</v>
      </c>
      <c r="O56" s="23" t="e">
        <f>VLOOKUP(N56,スキル!B:C,2,FALSE)</f>
        <v>#N/A</v>
      </c>
      <c r="Q56" s="23" t="e">
        <f>VLOOKUP(P56,タクティクス!B:C,2,FALSE)</f>
        <v>#N/A</v>
      </c>
      <c r="S56" s="23" t="e">
        <f>VLOOKUP(R56,タクティクス!B:C,2,FALSE)</f>
        <v>#N/A</v>
      </c>
    </row>
    <row r="57" spans="1:19" ht="21.75" customHeight="1" x14ac:dyDescent="0.15">
      <c r="A57" s="20" t="str">
        <f>B57&amp;".jpg"</f>
        <v>.jpg</v>
      </c>
      <c r="K57" s="22">
        <f>SUM(G57,H57,I57)</f>
        <v>0</v>
      </c>
      <c r="M57" s="23" t="e">
        <f>VLOOKUP(L57,スキル!B:C,2,FALSE)</f>
        <v>#N/A</v>
      </c>
      <c r="O57" s="23" t="e">
        <f>VLOOKUP(N57,スキル!B:C,2,FALSE)</f>
        <v>#N/A</v>
      </c>
      <c r="Q57" s="23" t="e">
        <f>VLOOKUP(P57,タクティクス!B:C,2,FALSE)</f>
        <v>#N/A</v>
      </c>
      <c r="S57" s="23" t="e">
        <f>VLOOKUP(R57,タクティクス!B:C,2,FALSE)</f>
        <v>#N/A</v>
      </c>
    </row>
    <row r="58" spans="1:19" ht="21.75" customHeight="1" x14ac:dyDescent="0.15">
      <c r="A58" s="20" t="str">
        <f>B58&amp;".jpg"</f>
        <v>.jpg</v>
      </c>
      <c r="K58" s="22">
        <f>SUM(G58,H58,I58)</f>
        <v>0</v>
      </c>
      <c r="M58" s="23" t="e">
        <f>VLOOKUP(L58,スキル!B:C,2,FALSE)</f>
        <v>#N/A</v>
      </c>
      <c r="O58" s="23" t="e">
        <f>VLOOKUP(N58,スキル!B:C,2,FALSE)</f>
        <v>#N/A</v>
      </c>
      <c r="Q58" s="23" t="e">
        <f>VLOOKUP(P58,タクティクス!B:C,2,FALSE)</f>
        <v>#N/A</v>
      </c>
      <c r="S58" s="23" t="e">
        <f>VLOOKUP(R58,タクティクス!B:C,2,FALSE)</f>
        <v>#N/A</v>
      </c>
    </row>
    <row r="59" spans="1:19" ht="21.75" customHeight="1" x14ac:dyDescent="0.15">
      <c r="A59" s="20" t="str">
        <f>B59&amp;".jpg"</f>
        <v>.jpg</v>
      </c>
      <c r="K59" s="22">
        <f>SUM(G59,H59,I59)</f>
        <v>0</v>
      </c>
      <c r="M59" s="23" t="e">
        <f>VLOOKUP(L59,スキル!B:C,2,FALSE)</f>
        <v>#N/A</v>
      </c>
      <c r="O59" s="23" t="e">
        <f>VLOOKUP(N59,スキル!B:C,2,FALSE)</f>
        <v>#N/A</v>
      </c>
      <c r="Q59" s="23" t="e">
        <f>VLOOKUP(P59,タクティクス!B:C,2,FALSE)</f>
        <v>#N/A</v>
      </c>
      <c r="S59" s="23" t="e">
        <f>VLOOKUP(R59,タクティクス!B:C,2,FALSE)</f>
        <v>#N/A</v>
      </c>
    </row>
    <row r="60" spans="1:19" ht="21.75" customHeight="1" x14ac:dyDescent="0.15">
      <c r="A60" s="20" t="str">
        <f>B60&amp;".jpg"</f>
        <v>.jpg</v>
      </c>
      <c r="K60" s="22">
        <f>SUM(G60,H60,I60)</f>
        <v>0</v>
      </c>
      <c r="M60" s="23" t="e">
        <f>VLOOKUP(L60,スキル!B:C,2,FALSE)</f>
        <v>#N/A</v>
      </c>
      <c r="O60" s="23" t="e">
        <f>VLOOKUP(N60,スキル!B:C,2,FALSE)</f>
        <v>#N/A</v>
      </c>
      <c r="Q60" s="23" t="e">
        <f>VLOOKUP(P60,タクティクス!B:C,2,FALSE)</f>
        <v>#N/A</v>
      </c>
      <c r="S60" s="23" t="e">
        <f>VLOOKUP(R60,タクティクス!B:C,2,FALSE)</f>
        <v>#N/A</v>
      </c>
    </row>
    <row r="61" spans="1:19" ht="21.75" customHeight="1" x14ac:dyDescent="0.15">
      <c r="A61" s="20" t="str">
        <f>B61&amp;".jpg"</f>
        <v>.jpg</v>
      </c>
      <c r="K61" s="22">
        <f>SUM(G61,H61,I61)</f>
        <v>0</v>
      </c>
      <c r="M61" s="23" t="e">
        <f>VLOOKUP(L61,スキル!B:C,2,FALSE)</f>
        <v>#N/A</v>
      </c>
      <c r="O61" s="23" t="e">
        <f>VLOOKUP(N61,スキル!B:C,2,FALSE)</f>
        <v>#N/A</v>
      </c>
      <c r="Q61" s="23" t="e">
        <f>VLOOKUP(P61,タクティクス!B:C,2,FALSE)</f>
        <v>#N/A</v>
      </c>
      <c r="S61" s="23" t="e">
        <f>VLOOKUP(R61,タクティクス!B:C,2,FALSE)</f>
        <v>#N/A</v>
      </c>
    </row>
    <row r="62" spans="1:19" ht="21.75" customHeight="1" x14ac:dyDescent="0.15">
      <c r="A62" s="20" t="str">
        <f>B62&amp;".jpg"</f>
        <v>.jpg</v>
      </c>
      <c r="K62" s="22">
        <f>SUM(G62,H62,I62)</f>
        <v>0</v>
      </c>
      <c r="M62" s="23" t="e">
        <f>VLOOKUP(L62,スキル!B:C,2,FALSE)</f>
        <v>#N/A</v>
      </c>
      <c r="O62" s="23" t="e">
        <f>VLOOKUP(N62,スキル!B:C,2,FALSE)</f>
        <v>#N/A</v>
      </c>
      <c r="Q62" s="23" t="e">
        <f>VLOOKUP(P62,タクティクス!B:C,2,FALSE)</f>
        <v>#N/A</v>
      </c>
      <c r="S62" s="23" t="e">
        <f>VLOOKUP(R62,タクティクス!B:C,2,FALSE)</f>
        <v>#N/A</v>
      </c>
    </row>
    <row r="63" spans="1:19" ht="21.75" customHeight="1" x14ac:dyDescent="0.15">
      <c r="A63" s="20" t="str">
        <f>B63&amp;".jpg"</f>
        <v>.jpg</v>
      </c>
      <c r="K63" s="22">
        <f>SUM(G63,H63,I63)</f>
        <v>0</v>
      </c>
      <c r="M63" s="23" t="e">
        <f>VLOOKUP(L63,スキル!B:C,2,FALSE)</f>
        <v>#N/A</v>
      </c>
      <c r="O63" s="23" t="e">
        <f>VLOOKUP(N63,スキル!B:C,2,FALSE)</f>
        <v>#N/A</v>
      </c>
      <c r="Q63" s="23" t="e">
        <f>VLOOKUP(P63,タクティクス!B:C,2,FALSE)</f>
        <v>#N/A</v>
      </c>
      <c r="S63" s="23" t="e">
        <f>VLOOKUP(R63,タクティクス!B:C,2,FALSE)</f>
        <v>#N/A</v>
      </c>
    </row>
    <row r="64" spans="1:19" ht="21.75" customHeight="1" x14ac:dyDescent="0.15">
      <c r="A64" s="20" t="str">
        <f>B64&amp;".jpg"</f>
        <v>.jpg</v>
      </c>
      <c r="K64" s="22">
        <f>SUM(G64,H64,I64)</f>
        <v>0</v>
      </c>
      <c r="M64" s="23" t="e">
        <f>VLOOKUP(L64,スキル!B:C,2,FALSE)</f>
        <v>#N/A</v>
      </c>
      <c r="O64" s="23" t="e">
        <f>VLOOKUP(N64,スキル!B:C,2,FALSE)</f>
        <v>#N/A</v>
      </c>
      <c r="Q64" s="23" t="e">
        <f>VLOOKUP(P64,タクティクス!B:C,2,FALSE)</f>
        <v>#N/A</v>
      </c>
      <c r="S64" s="23" t="e">
        <f>VLOOKUP(R64,タクティクス!B:C,2,FALSE)</f>
        <v>#N/A</v>
      </c>
    </row>
    <row r="65" spans="1:22" ht="21.75" customHeight="1" x14ac:dyDescent="0.15">
      <c r="A65" s="20" t="str">
        <f>B65&amp;".jpg"</f>
        <v>.jpg</v>
      </c>
      <c r="K65" s="22">
        <f>SUM(G65,H65,I65)</f>
        <v>0</v>
      </c>
      <c r="M65" s="23" t="e">
        <f>VLOOKUP(L65,スキル!B:C,2,FALSE)</f>
        <v>#N/A</v>
      </c>
      <c r="O65" s="23" t="e">
        <f>VLOOKUP(N65,スキル!B:C,2,FALSE)</f>
        <v>#N/A</v>
      </c>
      <c r="Q65" s="23" t="e">
        <f>VLOOKUP(P65,タクティクス!B:C,2,FALSE)</f>
        <v>#N/A</v>
      </c>
      <c r="S65" s="23" t="e">
        <f>VLOOKUP(R65,タクティクス!B:C,2,FALSE)</f>
        <v>#N/A</v>
      </c>
    </row>
    <row r="66" spans="1:22" ht="21.75" customHeight="1" x14ac:dyDescent="0.15">
      <c r="A66" s="20" t="str">
        <f>B66&amp;".jpg"</f>
        <v>.jpg</v>
      </c>
      <c r="K66" s="22">
        <f>SUM(G66,H66,I66)</f>
        <v>0</v>
      </c>
      <c r="M66" s="23" t="e">
        <f>VLOOKUP(L66,スキル!B:C,2,FALSE)</f>
        <v>#N/A</v>
      </c>
      <c r="O66" s="23" t="e">
        <f>VLOOKUP(N66,スキル!B:C,2,FALSE)</f>
        <v>#N/A</v>
      </c>
      <c r="Q66" s="23" t="e">
        <f>VLOOKUP(P66,タクティクス!B:C,2,FALSE)</f>
        <v>#N/A</v>
      </c>
      <c r="S66" s="23" t="e">
        <f>VLOOKUP(R66,タクティクス!B:C,2,FALSE)</f>
        <v>#N/A</v>
      </c>
    </row>
    <row r="67" spans="1:22" ht="21.75" customHeight="1" x14ac:dyDescent="0.15">
      <c r="A67" s="20" t="str">
        <f>B67&amp;".jpg"</f>
        <v>.jpg</v>
      </c>
      <c r="K67" s="22">
        <f>SUM(G67,H67,I67)</f>
        <v>0</v>
      </c>
      <c r="M67" s="23" t="e">
        <f>VLOOKUP(L67,スキル!B:C,2,FALSE)</f>
        <v>#N/A</v>
      </c>
      <c r="O67" s="23" t="e">
        <f>VLOOKUP(N67,スキル!B:C,2,FALSE)</f>
        <v>#N/A</v>
      </c>
      <c r="Q67" s="23" t="e">
        <f>VLOOKUP(P67,タクティクス!B:C,2,FALSE)</f>
        <v>#N/A</v>
      </c>
      <c r="S67" s="23" t="e">
        <f>VLOOKUP(R67,タクティクス!B:C,2,FALSE)</f>
        <v>#N/A</v>
      </c>
    </row>
    <row r="68" spans="1:22" ht="21.75" customHeight="1" x14ac:dyDescent="0.15">
      <c r="A68" s="20" t="str">
        <f>B68&amp;".jpg"</f>
        <v>.jpg</v>
      </c>
      <c r="K68" s="22">
        <f>SUM(G68,H68,I68)</f>
        <v>0</v>
      </c>
      <c r="M68" s="23" t="e">
        <f>VLOOKUP(L68,スキル!B:C,2,FALSE)</f>
        <v>#N/A</v>
      </c>
      <c r="O68" s="23" t="e">
        <f>VLOOKUP(N68,スキル!B:C,2,FALSE)</f>
        <v>#N/A</v>
      </c>
      <c r="Q68" s="23" t="e">
        <f>VLOOKUP(P68,タクティクス!B:C,2,FALSE)</f>
        <v>#N/A</v>
      </c>
      <c r="S68" s="23" t="e">
        <f>VLOOKUP(R68,タクティクス!B:C,2,FALSE)</f>
        <v>#N/A</v>
      </c>
    </row>
    <row r="69" spans="1:22" ht="21.75" customHeight="1" x14ac:dyDescent="0.15">
      <c r="A69" s="20" t="str">
        <f>B69&amp;".jpg"</f>
        <v>.jpg</v>
      </c>
      <c r="K69" s="22">
        <f>SUM(G69,H69,I69)</f>
        <v>0</v>
      </c>
      <c r="M69" s="23" t="e">
        <f>VLOOKUP(L69,スキル!B:C,2,FALSE)</f>
        <v>#N/A</v>
      </c>
      <c r="O69" s="23" t="e">
        <f>VLOOKUP(N69,スキル!B:C,2,FALSE)</f>
        <v>#N/A</v>
      </c>
      <c r="Q69" s="23" t="e">
        <f>VLOOKUP(P69,タクティクス!B:C,2,FALSE)</f>
        <v>#N/A</v>
      </c>
      <c r="S69" s="23" t="e">
        <f>VLOOKUP(R69,タクティクス!B:C,2,FALSE)</f>
        <v>#N/A</v>
      </c>
    </row>
    <row r="70" spans="1:22" ht="21.75" customHeight="1" x14ac:dyDescent="0.15">
      <c r="A70" s="20" t="str">
        <f>B70&amp;".jpg"</f>
        <v>.jpg</v>
      </c>
      <c r="K70" s="22">
        <f>SUM(G70,H70,I70)</f>
        <v>0</v>
      </c>
      <c r="M70" s="23" t="e">
        <f>VLOOKUP(L70,スキル!B:C,2,FALSE)</f>
        <v>#N/A</v>
      </c>
      <c r="O70" s="23" t="e">
        <f>VLOOKUP(N70,スキル!B:C,2,FALSE)</f>
        <v>#N/A</v>
      </c>
      <c r="Q70" s="23" t="e">
        <f>VLOOKUP(P70,タクティクス!B:C,2,FALSE)</f>
        <v>#N/A</v>
      </c>
      <c r="S70" s="23" t="e">
        <f>VLOOKUP(R70,タクティクス!B:C,2,FALSE)</f>
        <v>#N/A</v>
      </c>
    </row>
    <row r="71" spans="1:22" ht="21.75" customHeight="1" x14ac:dyDescent="0.15">
      <c r="A71" s="20" t="str">
        <f>B71&amp;".jpg"</f>
        <v>.jpg</v>
      </c>
      <c r="K71" s="22">
        <f>SUM(G71,H71,I71)</f>
        <v>0</v>
      </c>
      <c r="M71" s="23" t="e">
        <f>VLOOKUP(L71,スキル!B:C,2,FALSE)</f>
        <v>#N/A</v>
      </c>
      <c r="O71" s="23" t="e">
        <f>VLOOKUP(N71,スキル!B:C,2,FALSE)</f>
        <v>#N/A</v>
      </c>
      <c r="Q71" s="23" t="e">
        <f>VLOOKUP(P71,タクティクス!B:C,2,FALSE)</f>
        <v>#N/A</v>
      </c>
      <c r="S71" s="23" t="e">
        <f>VLOOKUP(R71,タクティクス!B:C,2,FALSE)</f>
        <v>#N/A</v>
      </c>
    </row>
    <row r="72" spans="1:22" ht="21.75" customHeight="1" x14ac:dyDescent="0.15">
      <c r="A72" s="20" t="str">
        <f>B72&amp;".jpg"</f>
        <v>1025.jpg</v>
      </c>
      <c r="B72" s="46">
        <v>1025</v>
      </c>
      <c r="C72" s="24" t="s">
        <v>14</v>
      </c>
      <c r="D72" s="24" t="s">
        <v>15</v>
      </c>
      <c r="E72" s="24">
        <v>12</v>
      </c>
      <c r="F72" s="24" t="s">
        <v>16</v>
      </c>
      <c r="G72" s="22">
        <v>14744</v>
      </c>
      <c r="H72" s="22">
        <v>6779</v>
      </c>
      <c r="I72" s="22">
        <v>4703</v>
      </c>
      <c r="J72" s="24" t="s">
        <v>17</v>
      </c>
      <c r="K72" s="22">
        <f>SUM(G72,H72,I72)</f>
        <v>26226</v>
      </c>
      <c r="L72" s="23" t="s">
        <v>521</v>
      </c>
      <c r="M72" s="23" t="str">
        <f>VLOOKUP(L72,スキル!B:C,2,FALSE)</f>
        <v>十字型に攻撃[大]</v>
      </c>
      <c r="N72" s="23" t="s">
        <v>18</v>
      </c>
      <c r="O72" s="23" t="str">
        <f>VLOOKUP(N72,スキル!B:C,2,FALSE)</f>
        <v>　</v>
      </c>
      <c r="P72" s="23" t="s">
        <v>19</v>
      </c>
      <c r="Q72" s="23" t="str">
        <f>VLOOKUP(P72,タクティクス!B:C,2,FALSE)</f>
        <v>中確率でパーティ全員を復帰(全滅時のみ使用可)</v>
      </c>
      <c r="R72" s="23" t="s">
        <v>18</v>
      </c>
      <c r="S72" s="23" t="str">
        <f>VLOOKUP(R72,タクティクス!B:C,2,FALSE)</f>
        <v>　</v>
      </c>
      <c r="T72" s="23" t="s">
        <v>18</v>
      </c>
      <c r="U72" s="23" t="s">
        <v>18</v>
      </c>
      <c r="V72" s="20" t="s">
        <v>1823</v>
      </c>
    </row>
    <row r="73" spans="1:22" ht="21.75" customHeight="1" x14ac:dyDescent="0.15">
      <c r="A73" s="20" t="str">
        <f>B73&amp;".jpg"</f>
        <v>1026.jpg</v>
      </c>
      <c r="B73" s="46">
        <v>1026</v>
      </c>
      <c r="C73" s="24" t="s">
        <v>20</v>
      </c>
      <c r="D73" s="24" t="s">
        <v>15</v>
      </c>
      <c r="E73" s="24">
        <v>12</v>
      </c>
      <c r="F73" s="24" t="s">
        <v>16</v>
      </c>
      <c r="G73" s="22">
        <v>13250</v>
      </c>
      <c r="H73" s="22">
        <v>6092</v>
      </c>
      <c r="I73" s="22">
        <v>5780</v>
      </c>
      <c r="J73" s="24" t="s">
        <v>17</v>
      </c>
      <c r="K73" s="22">
        <f>SUM(G73,H73,I73)</f>
        <v>25122</v>
      </c>
      <c r="L73" s="23" t="s">
        <v>523</v>
      </c>
      <c r="M73" s="23" t="str">
        <f>VLOOKUP(L73,スキル!B:C,2,FALSE)</f>
        <v>味方斬属性の防御力をUP[大]</v>
      </c>
      <c r="N73" s="23" t="s">
        <v>18</v>
      </c>
      <c r="O73" s="23" t="str">
        <f>VLOOKUP(N73,スキル!B:C,2,FALSE)</f>
        <v>　</v>
      </c>
      <c r="P73" s="23" t="s">
        <v>21</v>
      </c>
      <c r="Q73" s="23" t="str">
        <f>VLOOKUP(P73,タクティクス!B:C,2,FALSE)</f>
        <v>高確率で斬属性のユニットを復帰</v>
      </c>
      <c r="R73" s="23" t="s">
        <v>18</v>
      </c>
      <c r="S73" s="23" t="str">
        <f>VLOOKUP(R73,タクティクス!B:C,2,FALSE)</f>
        <v>　</v>
      </c>
      <c r="T73" s="23" t="s">
        <v>18</v>
      </c>
      <c r="U73" s="23" t="s">
        <v>18</v>
      </c>
      <c r="V73" s="20" t="s">
        <v>1824</v>
      </c>
    </row>
    <row r="74" spans="1:22" ht="21.75" customHeight="1" x14ac:dyDescent="0.15">
      <c r="A74" s="20" t="str">
        <f>B74&amp;".jpg"</f>
        <v>1027.jpg</v>
      </c>
      <c r="B74" s="46">
        <v>1027</v>
      </c>
      <c r="C74" s="24" t="s">
        <v>22</v>
      </c>
      <c r="D74" s="24" t="s">
        <v>15</v>
      </c>
      <c r="E74" s="24">
        <v>12</v>
      </c>
      <c r="F74" s="24" t="s">
        <v>16</v>
      </c>
      <c r="G74" s="22">
        <v>13400</v>
      </c>
      <c r="H74" s="22">
        <v>7263</v>
      </c>
      <c r="I74" s="22">
        <v>4856</v>
      </c>
      <c r="J74" s="24" t="s">
        <v>17</v>
      </c>
      <c r="K74" s="22">
        <f>SUM(G74,H74,I74)</f>
        <v>25519</v>
      </c>
      <c r="L74" s="23" t="s">
        <v>525</v>
      </c>
      <c r="M74" s="23" t="str">
        <f>VLOOKUP(L74,スキル!B:C,2,FALSE)</f>
        <v>次の攻撃でダメージが上昇する[中]</v>
      </c>
      <c r="N74" s="23" t="s">
        <v>18</v>
      </c>
      <c r="O74" s="23" t="str">
        <f>VLOOKUP(N74,スキル!B:C,2,FALSE)</f>
        <v>　</v>
      </c>
      <c r="P74" s="23" t="s">
        <v>23</v>
      </c>
      <c r="Q74" s="23" t="str">
        <f>VLOOKUP(P74,タクティクス!B:C,2,FALSE)</f>
        <v>パーティ全体の攻撃力が中UP(3分間)</v>
      </c>
      <c r="R74" s="23" t="s">
        <v>18</v>
      </c>
      <c r="S74" s="23" t="str">
        <f>VLOOKUP(R74,タクティクス!B:C,2,FALSE)</f>
        <v>　</v>
      </c>
      <c r="T74" s="23" t="s">
        <v>18</v>
      </c>
      <c r="U74" s="23" t="s">
        <v>18</v>
      </c>
      <c r="V74" s="20" t="s">
        <v>1823</v>
      </c>
    </row>
    <row r="75" spans="1:22" ht="21.75" customHeight="1" x14ac:dyDescent="0.15">
      <c r="A75" s="20" t="str">
        <f>B75&amp;".jpg"</f>
        <v>1051.jpg</v>
      </c>
      <c r="B75" s="46">
        <v>1051</v>
      </c>
      <c r="C75" s="24" t="s">
        <v>24</v>
      </c>
      <c r="D75" s="24" t="s">
        <v>15</v>
      </c>
      <c r="E75" s="24">
        <v>12</v>
      </c>
      <c r="F75" s="24" t="s">
        <v>25</v>
      </c>
      <c r="G75" s="22">
        <v>15765</v>
      </c>
      <c r="H75" s="22">
        <v>4692</v>
      </c>
      <c r="I75" s="22">
        <v>5877</v>
      </c>
      <c r="J75" s="24" t="s">
        <v>26</v>
      </c>
      <c r="K75" s="22">
        <f>SUM(G75,H75,I75)</f>
        <v>26334</v>
      </c>
      <c r="L75" s="23" t="s">
        <v>527</v>
      </c>
      <c r="M75" s="23" t="str">
        <f>VLOOKUP(L75,スキル!B:C,2,FALSE)</f>
        <v>ランダムで5連固定ダメージ[小]</v>
      </c>
      <c r="N75" s="23" t="s">
        <v>18</v>
      </c>
      <c r="O75" s="23" t="str">
        <f>VLOOKUP(N75,スキル!B:C,2,FALSE)</f>
        <v>　</v>
      </c>
      <c r="P75" s="23" t="s">
        <v>27</v>
      </c>
      <c r="Q75" s="23" t="str">
        <f>VLOOKUP(P75,タクティクス!B:C,2,FALSE)</f>
        <v>パーティ全体の防御力が中UP(3分間)</v>
      </c>
      <c r="R75" s="23" t="s">
        <v>18</v>
      </c>
      <c r="S75" s="23" t="str">
        <f>VLOOKUP(R75,タクティクス!B:C,2,FALSE)</f>
        <v>　</v>
      </c>
      <c r="T75" s="23" t="s">
        <v>18</v>
      </c>
      <c r="U75" s="23" t="s">
        <v>18</v>
      </c>
      <c r="V75" s="20" t="s">
        <v>1823</v>
      </c>
    </row>
    <row r="76" spans="1:22" ht="21.75" customHeight="1" x14ac:dyDescent="0.15">
      <c r="A76" s="20" t="str">
        <f>B76&amp;".jpg"</f>
        <v>1052.jpg</v>
      </c>
      <c r="B76" s="46">
        <v>1052</v>
      </c>
      <c r="C76" s="24" t="s">
        <v>28</v>
      </c>
      <c r="D76" s="24" t="s">
        <v>15</v>
      </c>
      <c r="E76" s="24">
        <v>12</v>
      </c>
      <c r="F76" s="24" t="s">
        <v>25</v>
      </c>
      <c r="G76" s="22">
        <v>17672</v>
      </c>
      <c r="H76" s="22">
        <v>4461</v>
      </c>
      <c r="I76" s="22">
        <v>5532</v>
      </c>
      <c r="J76" s="24" t="s">
        <v>26</v>
      </c>
      <c r="K76" s="22">
        <f>SUM(G76,H76,I76)</f>
        <v>27665</v>
      </c>
      <c r="L76" s="23" t="s">
        <v>529</v>
      </c>
      <c r="M76" s="23" t="str">
        <f>VLOOKUP(L76,スキル!B:C,2,FALSE)</f>
        <v>横一列に攻撃[大]</v>
      </c>
      <c r="N76" s="23" t="s">
        <v>18</v>
      </c>
      <c r="O76" s="23" t="str">
        <f>VLOOKUP(N76,スキル!B:C,2,FALSE)</f>
        <v>　</v>
      </c>
      <c r="P76" s="23" t="s">
        <v>29</v>
      </c>
      <c r="Q76" s="23" t="str">
        <f>VLOOKUP(P76,タクティクス!B:C,2,FALSE)</f>
        <v>生存ユニットのHPを中回復</v>
      </c>
      <c r="R76" s="23" t="s">
        <v>18</v>
      </c>
      <c r="S76" s="23" t="str">
        <f>VLOOKUP(R76,タクティクス!B:C,2,FALSE)</f>
        <v>　</v>
      </c>
      <c r="T76" s="23" t="s">
        <v>18</v>
      </c>
      <c r="U76" s="23" t="s">
        <v>18</v>
      </c>
      <c r="V76" s="20" t="s">
        <v>1823</v>
      </c>
    </row>
    <row r="77" spans="1:22" ht="21.75" customHeight="1" x14ac:dyDescent="0.15">
      <c r="A77" s="20" t="str">
        <f>B77&amp;".jpg"</f>
        <v>1053.jpg</v>
      </c>
      <c r="B77" s="46">
        <v>1053</v>
      </c>
      <c r="C77" s="24" t="s">
        <v>30</v>
      </c>
      <c r="D77" s="24" t="s">
        <v>15</v>
      </c>
      <c r="E77" s="24">
        <v>12</v>
      </c>
      <c r="F77" s="24" t="s">
        <v>25</v>
      </c>
      <c r="G77" s="22">
        <v>15076</v>
      </c>
      <c r="H77" s="22">
        <v>4748</v>
      </c>
      <c r="I77" s="22">
        <v>5505</v>
      </c>
      <c r="J77" s="24" t="s">
        <v>31</v>
      </c>
      <c r="K77" s="22">
        <f>SUM(G77,H77,I77)</f>
        <v>25329</v>
      </c>
      <c r="L77" s="23" t="s">
        <v>531</v>
      </c>
      <c r="M77" s="23" t="str">
        <f>VLOOKUP(L77,スキル!B:C,2,FALSE)</f>
        <v>味方突属性の攻撃力をUP[大]</v>
      </c>
      <c r="N77" s="23" t="s">
        <v>18</v>
      </c>
      <c r="O77" s="23" t="str">
        <f>VLOOKUP(N77,スキル!B:C,2,FALSE)</f>
        <v>　</v>
      </c>
      <c r="P77" s="23" t="s">
        <v>32</v>
      </c>
      <c r="Q77" s="23" t="str">
        <f>VLOOKUP(P77,タクティクス!B:C,2,FALSE)</f>
        <v>高確率で突属性のユニットを復帰</v>
      </c>
      <c r="R77" s="23" t="s">
        <v>18</v>
      </c>
      <c r="S77" s="23" t="str">
        <f>VLOOKUP(R77,タクティクス!B:C,2,FALSE)</f>
        <v>　</v>
      </c>
      <c r="T77" s="23" t="s">
        <v>18</v>
      </c>
      <c r="U77" s="23" t="s">
        <v>18</v>
      </c>
      <c r="V77" s="20" t="s">
        <v>1823</v>
      </c>
    </row>
    <row r="78" spans="1:22" ht="21.75" customHeight="1" x14ac:dyDescent="0.15">
      <c r="A78" s="20" t="str">
        <f>B78&amp;".jpg"</f>
        <v>1076.jpg</v>
      </c>
      <c r="B78" s="46">
        <v>1076</v>
      </c>
      <c r="C78" s="24" t="s">
        <v>33</v>
      </c>
      <c r="D78" s="24" t="s">
        <v>15</v>
      </c>
      <c r="E78" s="24">
        <v>12</v>
      </c>
      <c r="F78" s="24" t="s">
        <v>34</v>
      </c>
      <c r="G78" s="22">
        <v>18327</v>
      </c>
      <c r="H78" s="22">
        <v>5787</v>
      </c>
      <c r="I78" s="22">
        <v>5698</v>
      </c>
      <c r="J78" s="24" t="s">
        <v>35</v>
      </c>
      <c r="K78" s="22">
        <f>SUM(G78,H78,I78)</f>
        <v>29812</v>
      </c>
      <c r="L78" s="24" t="s">
        <v>533</v>
      </c>
      <c r="M78" s="23" t="str">
        <f>VLOOKUP(L78,スキル!B:C,2,FALSE)</f>
        <v>横一列に固定ダメージ[大]</v>
      </c>
      <c r="N78" s="23" t="s">
        <v>18</v>
      </c>
      <c r="O78" s="23" t="str">
        <f>VLOOKUP(N78,スキル!B:C,2,FALSE)</f>
        <v>　</v>
      </c>
      <c r="P78" s="23" t="s">
        <v>36</v>
      </c>
      <c r="Q78" s="23" t="str">
        <f>VLOOKUP(P78,タクティクス!B:C,2,FALSE)</f>
        <v>中確率で戦闘不能ユニットを復帰</v>
      </c>
      <c r="R78" s="23" t="s">
        <v>18</v>
      </c>
      <c r="S78" s="23" t="str">
        <f>VLOOKUP(R78,タクティクス!B:C,2,FALSE)</f>
        <v>　</v>
      </c>
      <c r="T78" s="23" t="s">
        <v>18</v>
      </c>
      <c r="U78" s="23" t="s">
        <v>18</v>
      </c>
      <c r="V78" s="20" t="s">
        <v>1823</v>
      </c>
    </row>
    <row r="79" spans="1:22" ht="21.75" customHeight="1" x14ac:dyDescent="0.15">
      <c r="A79" s="20" t="str">
        <f>B79&amp;".jpg"</f>
        <v>1077.jpg</v>
      </c>
      <c r="B79" s="46">
        <v>1077</v>
      </c>
      <c r="C79" s="24" t="s">
        <v>37</v>
      </c>
      <c r="D79" s="24" t="s">
        <v>15</v>
      </c>
      <c r="E79" s="24">
        <v>12</v>
      </c>
      <c r="F79" s="24" t="s">
        <v>34</v>
      </c>
      <c r="G79" s="22">
        <v>16656</v>
      </c>
      <c r="H79" s="22">
        <v>5205</v>
      </c>
      <c r="I79" s="22">
        <v>7013</v>
      </c>
      <c r="J79" s="24" t="s">
        <v>35</v>
      </c>
      <c r="K79" s="22">
        <f>SUM(G79,H79,I79)</f>
        <v>28874</v>
      </c>
      <c r="L79" s="24" t="s">
        <v>535</v>
      </c>
      <c r="M79" s="23" t="str">
        <f>VLOOKUP(L79,スキル!B:C,2,FALSE)</f>
        <v>X字型に固定ダメージ[大]</v>
      </c>
      <c r="N79" s="23" t="s">
        <v>18</v>
      </c>
      <c r="O79" s="23" t="str">
        <f>VLOOKUP(N79,スキル!B:C,2,FALSE)</f>
        <v>　</v>
      </c>
      <c r="P79" s="23" t="s">
        <v>38</v>
      </c>
      <c r="Q79" s="23" t="str">
        <f>VLOOKUP(P79,タクティクス!B:C,2,FALSE)</f>
        <v>打属性の生存ユニットのHPを高確率で全回復</v>
      </c>
      <c r="R79" s="23" t="s">
        <v>18</v>
      </c>
      <c r="S79" s="23" t="str">
        <f>VLOOKUP(R79,タクティクス!B:C,2,FALSE)</f>
        <v>　</v>
      </c>
      <c r="T79" s="23" t="s">
        <v>18</v>
      </c>
      <c r="U79" s="23" t="s">
        <v>18</v>
      </c>
      <c r="V79" s="20" t="s">
        <v>1823</v>
      </c>
    </row>
    <row r="80" spans="1:22" ht="21.75" customHeight="1" x14ac:dyDescent="0.15">
      <c r="A80" s="20" t="str">
        <f>B80&amp;".jpg"</f>
        <v>1078.jpg</v>
      </c>
      <c r="B80" s="46">
        <v>1078</v>
      </c>
      <c r="C80" s="24" t="s">
        <v>39</v>
      </c>
      <c r="D80" s="24" t="s">
        <v>15</v>
      </c>
      <c r="E80" s="24">
        <v>12</v>
      </c>
      <c r="F80" s="24" t="s">
        <v>34</v>
      </c>
      <c r="G80" s="22">
        <v>18530</v>
      </c>
      <c r="H80" s="22">
        <v>4991</v>
      </c>
      <c r="I80" s="22">
        <v>6621</v>
      </c>
      <c r="J80" s="24" t="s">
        <v>35</v>
      </c>
      <c r="K80" s="22">
        <f>SUM(G80,H80,I80)</f>
        <v>30142</v>
      </c>
      <c r="L80" s="24" t="s">
        <v>537</v>
      </c>
      <c r="M80" s="23" t="str">
        <f>VLOOKUP(L80,スキル!B:C,2,FALSE)</f>
        <v>X字型に攻撃[大]</v>
      </c>
      <c r="N80" s="23" t="s">
        <v>18</v>
      </c>
      <c r="O80" s="23" t="str">
        <f>VLOOKUP(N80,スキル!B:C,2,FALSE)</f>
        <v>　</v>
      </c>
      <c r="P80" s="23" t="s">
        <v>27</v>
      </c>
      <c r="Q80" s="23" t="str">
        <f>VLOOKUP(P80,タクティクス!B:C,2,FALSE)</f>
        <v>パーティ全体の防御力が中UP(3分間)</v>
      </c>
      <c r="R80" s="23" t="s">
        <v>18</v>
      </c>
      <c r="S80" s="23" t="str">
        <f>VLOOKUP(R80,タクティクス!B:C,2,FALSE)</f>
        <v>　</v>
      </c>
      <c r="T80" s="23" t="s">
        <v>18</v>
      </c>
      <c r="U80" s="23" t="s">
        <v>18</v>
      </c>
      <c r="V80" s="20" t="s">
        <v>1823</v>
      </c>
    </row>
    <row r="81" spans="1:22" ht="21.75" customHeight="1" x14ac:dyDescent="0.15">
      <c r="A81" s="20" t="str">
        <f>B81&amp;".jpg"</f>
        <v>1101.jpg</v>
      </c>
      <c r="B81" s="46">
        <v>1101</v>
      </c>
      <c r="C81" s="24" t="s">
        <v>40</v>
      </c>
      <c r="D81" s="24" t="s">
        <v>15</v>
      </c>
      <c r="E81" s="24">
        <v>12</v>
      </c>
      <c r="F81" s="24" t="s">
        <v>41</v>
      </c>
      <c r="G81" s="22">
        <v>15943</v>
      </c>
      <c r="H81" s="22">
        <v>4844</v>
      </c>
      <c r="I81" s="22">
        <v>5064</v>
      </c>
      <c r="J81" s="24" t="s">
        <v>42</v>
      </c>
      <c r="K81" s="22">
        <f>SUM(G81,H81,I81)</f>
        <v>25851</v>
      </c>
      <c r="L81" s="23" t="s">
        <v>539</v>
      </c>
      <c r="M81" s="23" t="str">
        <f>VLOOKUP(L81,スキル!B:C,2,FALSE)</f>
        <v>味方全体の防御力をUP[中]</v>
      </c>
      <c r="N81" s="23" t="s">
        <v>18</v>
      </c>
      <c r="O81" s="23" t="str">
        <f>VLOOKUP(N81,スキル!B:C,2,FALSE)</f>
        <v>　</v>
      </c>
      <c r="P81" s="23" t="s">
        <v>23</v>
      </c>
      <c r="Q81" s="23" t="str">
        <f>VLOOKUP(P81,タクティクス!B:C,2,FALSE)</f>
        <v>パーティ全体の攻撃力が中UP(3分間)</v>
      </c>
      <c r="R81" s="23" t="s">
        <v>18</v>
      </c>
      <c r="S81" s="23" t="str">
        <f>VLOOKUP(R81,タクティクス!B:C,2,FALSE)</f>
        <v>　</v>
      </c>
      <c r="T81" s="23" t="s">
        <v>18</v>
      </c>
      <c r="U81" s="23" t="s">
        <v>18</v>
      </c>
      <c r="V81" s="20" t="s">
        <v>1823</v>
      </c>
    </row>
    <row r="82" spans="1:22" ht="21.75" customHeight="1" x14ac:dyDescent="0.15">
      <c r="A82" s="20" t="str">
        <f>B82&amp;".jpg"</f>
        <v>1102.jpg</v>
      </c>
      <c r="B82" s="46">
        <v>1102</v>
      </c>
      <c r="C82" s="24" t="s">
        <v>43</v>
      </c>
      <c r="D82" s="24" t="s">
        <v>15</v>
      </c>
      <c r="E82" s="24">
        <v>12</v>
      </c>
      <c r="F82" s="24" t="s">
        <v>41</v>
      </c>
      <c r="G82" s="22">
        <v>16036</v>
      </c>
      <c r="H82" s="22">
        <v>5594</v>
      </c>
      <c r="I82" s="22">
        <v>4388</v>
      </c>
      <c r="J82" s="24" t="s">
        <v>42</v>
      </c>
      <c r="K82" s="22">
        <f>SUM(G82,H82,I82)</f>
        <v>26018</v>
      </c>
      <c r="L82" s="23" t="s">
        <v>541</v>
      </c>
      <c r="M82" s="23" t="str">
        <f>VLOOKUP(L82,スキル!B:C,2,FALSE)</f>
        <v>味方全員のHPを回復[中]</v>
      </c>
      <c r="N82" s="23" t="s">
        <v>18</v>
      </c>
      <c r="O82" s="23" t="str">
        <f>VLOOKUP(N82,スキル!B:C,2,FALSE)</f>
        <v>　</v>
      </c>
      <c r="P82" s="23" t="s">
        <v>44</v>
      </c>
      <c r="Q82" s="23" t="str">
        <f>VLOOKUP(P82,タクティクス!B:C,2,FALSE)</f>
        <v>遠属性の生存ユニットのHPを高確率で全回復</v>
      </c>
      <c r="R82" s="23" t="s">
        <v>18</v>
      </c>
      <c r="S82" s="23" t="str">
        <f>VLOOKUP(R82,タクティクス!B:C,2,FALSE)</f>
        <v>　</v>
      </c>
      <c r="T82" s="23" t="s">
        <v>18</v>
      </c>
      <c r="U82" s="23" t="s">
        <v>18</v>
      </c>
      <c r="V82" s="20" t="s">
        <v>1823</v>
      </c>
    </row>
    <row r="83" spans="1:22" ht="21.75" customHeight="1" x14ac:dyDescent="0.15">
      <c r="A83" s="20" t="str">
        <f>B83&amp;".jpg"</f>
        <v>1103.jpg</v>
      </c>
      <c r="B83" s="46">
        <v>1103</v>
      </c>
      <c r="C83" s="24" t="s">
        <v>45</v>
      </c>
      <c r="D83" s="24" t="s">
        <v>15</v>
      </c>
      <c r="E83" s="24">
        <v>12</v>
      </c>
      <c r="F83" s="24" t="s">
        <v>41</v>
      </c>
      <c r="G83" s="22">
        <v>14037</v>
      </c>
      <c r="H83" s="22">
        <v>5625</v>
      </c>
      <c r="I83" s="22">
        <v>5015</v>
      </c>
      <c r="J83" s="24" t="s">
        <v>42</v>
      </c>
      <c r="K83" s="22">
        <f>SUM(G83,H83,I83)</f>
        <v>24677</v>
      </c>
      <c r="L83" s="23" t="s">
        <v>543</v>
      </c>
      <c r="M83" s="23" t="str">
        <f>VLOOKUP(L83,スキル!B:C,2,FALSE)</f>
        <v>ランダムで5連続攻撃[小]</v>
      </c>
      <c r="N83" s="23" t="s">
        <v>18</v>
      </c>
      <c r="O83" s="23" t="str">
        <f>VLOOKUP(N83,スキル!B:C,2,FALSE)</f>
        <v>　</v>
      </c>
      <c r="P83" s="23" t="s">
        <v>19</v>
      </c>
      <c r="Q83" s="23" t="str">
        <f>VLOOKUP(P83,タクティクス!B:C,2,FALSE)</f>
        <v>中確率でパーティ全員を復帰(全滅時のみ使用可)</v>
      </c>
      <c r="R83" s="23" t="s">
        <v>18</v>
      </c>
      <c r="S83" s="23" t="str">
        <f>VLOOKUP(R83,タクティクス!B:C,2,FALSE)</f>
        <v>　</v>
      </c>
      <c r="T83" s="23" t="s">
        <v>18</v>
      </c>
      <c r="U83" s="23" t="s">
        <v>18</v>
      </c>
      <c r="V83" s="20" t="s">
        <v>1823</v>
      </c>
    </row>
    <row r="84" spans="1:22" ht="21.75" customHeight="1" x14ac:dyDescent="0.15">
      <c r="A84" s="20" t="str">
        <f>B84&amp;".jpg"</f>
        <v>1107.jpg</v>
      </c>
      <c r="B84" s="46">
        <v>1107</v>
      </c>
      <c r="C84" s="24" t="s">
        <v>46</v>
      </c>
      <c r="D84" s="24" t="s">
        <v>15</v>
      </c>
      <c r="E84" s="24">
        <v>12</v>
      </c>
      <c r="F84" s="24" t="s">
        <v>16</v>
      </c>
      <c r="G84" s="22">
        <v>13546</v>
      </c>
      <c r="H84" s="22">
        <v>6229</v>
      </c>
      <c r="I84" s="22">
        <v>5666</v>
      </c>
      <c r="J84" s="24" t="s">
        <v>17</v>
      </c>
      <c r="K84" s="22">
        <f>SUM(G84,H84,I84)</f>
        <v>25441</v>
      </c>
      <c r="L84" s="23" t="s">
        <v>545</v>
      </c>
      <c r="M84" s="23" t="str">
        <f>VLOOKUP(L84,スキル!B:C,2,FALSE)</f>
        <v>縦一列に固定ダメージ[大]</v>
      </c>
      <c r="N84" s="23" t="s">
        <v>18</v>
      </c>
      <c r="O84" s="23" t="str">
        <f>VLOOKUP(N84,スキル!B:C,2,FALSE)</f>
        <v>　</v>
      </c>
      <c r="P84" s="23" t="s">
        <v>47</v>
      </c>
      <c r="Q84" s="23" t="str">
        <f>VLOOKUP(P84,タクティクス!B:C,2,FALSE)</f>
        <v>斬属性の生存ユニットのHPを高確率で全回復</v>
      </c>
      <c r="R84" s="23" t="s">
        <v>18</v>
      </c>
      <c r="S84" s="23" t="str">
        <f>VLOOKUP(R84,タクティクス!B:C,2,FALSE)</f>
        <v>　</v>
      </c>
      <c r="T84" s="23" t="s">
        <v>18</v>
      </c>
      <c r="U84" s="23" t="s">
        <v>18</v>
      </c>
      <c r="V84" s="20" t="s">
        <v>1823</v>
      </c>
    </row>
    <row r="85" spans="1:22" ht="21.75" customHeight="1" x14ac:dyDescent="0.15">
      <c r="A85" s="20" t="str">
        <f>B85&amp;".jpg"</f>
        <v>1112.jpg</v>
      </c>
      <c r="B85" s="46">
        <v>1112</v>
      </c>
      <c r="C85" s="24" t="s">
        <v>48</v>
      </c>
      <c r="D85" s="24" t="s">
        <v>15</v>
      </c>
      <c r="E85" s="24">
        <v>12</v>
      </c>
      <c r="F85" s="24" t="s">
        <v>25</v>
      </c>
      <c r="G85" s="22">
        <v>16770</v>
      </c>
      <c r="H85" s="22">
        <v>4991</v>
      </c>
      <c r="I85" s="22">
        <v>5276</v>
      </c>
      <c r="J85" s="24" t="s">
        <v>26</v>
      </c>
      <c r="K85" s="22">
        <f>SUM(G85,H85,I85)</f>
        <v>27037</v>
      </c>
      <c r="L85" s="23" t="s">
        <v>547</v>
      </c>
      <c r="M85" s="23" t="str">
        <f>VLOOKUP(L85,スキル!B:C,2,FALSE)</f>
        <v>ランダムで4連続攻撃[中]</v>
      </c>
      <c r="N85" s="23" t="s">
        <v>18</v>
      </c>
      <c r="O85" s="23" t="str">
        <f>VLOOKUP(N85,スキル!B:C,2,FALSE)</f>
        <v>　</v>
      </c>
      <c r="P85" s="23" t="s">
        <v>49</v>
      </c>
      <c r="Q85" s="23" t="str">
        <f>VLOOKUP(P85,タクティクス!B:C,2,FALSE)</f>
        <v>突属性の生存ユニットのHPを高確率で全回復</v>
      </c>
      <c r="R85" s="23" t="s">
        <v>18</v>
      </c>
      <c r="S85" s="23" t="str">
        <f>VLOOKUP(R85,タクティクス!B:C,2,FALSE)</f>
        <v>　</v>
      </c>
      <c r="T85" s="23" t="s">
        <v>18</v>
      </c>
      <c r="U85" s="23" t="s">
        <v>18</v>
      </c>
      <c r="V85" s="20" t="s">
        <v>1823</v>
      </c>
    </row>
    <row r="86" spans="1:22" ht="21.75" customHeight="1" x14ac:dyDescent="0.15">
      <c r="A86" s="20" t="str">
        <f>B86&amp;".jpg"</f>
        <v>1116.jpg</v>
      </c>
      <c r="B86" s="46">
        <v>1116</v>
      </c>
      <c r="C86" s="24" t="s">
        <v>50</v>
      </c>
      <c r="D86" s="24" t="s">
        <v>15</v>
      </c>
      <c r="E86" s="24">
        <v>12</v>
      </c>
      <c r="F86" s="24" t="s">
        <v>34</v>
      </c>
      <c r="G86" s="22">
        <v>16840</v>
      </c>
      <c r="H86" s="22">
        <v>6074</v>
      </c>
      <c r="I86" s="22">
        <v>6015</v>
      </c>
      <c r="J86" s="24" t="s">
        <v>35</v>
      </c>
      <c r="K86" s="22">
        <f>SUM(G86,H86,I86)</f>
        <v>28929</v>
      </c>
      <c r="L86" s="23" t="s">
        <v>549</v>
      </c>
      <c r="M86" s="23" t="str">
        <f>VLOOKUP(L86,スキル!B:C,2,FALSE)</f>
        <v>味方打属性の防御力をUP[大]</v>
      </c>
      <c r="N86" s="23" t="s">
        <v>18</v>
      </c>
      <c r="O86" s="23" t="str">
        <f>VLOOKUP(N86,スキル!B:C,2,FALSE)</f>
        <v>　</v>
      </c>
      <c r="P86" s="23" t="s">
        <v>51</v>
      </c>
      <c r="Q86" s="23" t="str">
        <f>VLOOKUP(P86,タクティクス!B:C,2,FALSE)</f>
        <v>獲得する騎士団戦スコアが中アップ(バトル3回)</v>
      </c>
      <c r="R86" s="23" t="s">
        <v>18</v>
      </c>
      <c r="S86" s="23" t="str">
        <f>VLOOKUP(R86,タクティクス!B:C,2,FALSE)</f>
        <v>　</v>
      </c>
      <c r="T86" s="23" t="s">
        <v>18</v>
      </c>
      <c r="U86" s="23" t="s">
        <v>18</v>
      </c>
      <c r="V86" s="20" t="s">
        <v>1823</v>
      </c>
    </row>
    <row r="87" spans="1:22" ht="21.75" customHeight="1" x14ac:dyDescent="0.15">
      <c r="A87" s="20" t="str">
        <f>B87&amp;".jpg"</f>
        <v>1120.jpg</v>
      </c>
      <c r="B87" s="46">
        <v>1120</v>
      </c>
      <c r="C87" s="24" t="s">
        <v>52</v>
      </c>
      <c r="D87" s="24" t="s">
        <v>15</v>
      </c>
      <c r="E87" s="24">
        <v>12</v>
      </c>
      <c r="F87" s="24" t="s">
        <v>41</v>
      </c>
      <c r="G87" s="22">
        <v>16212</v>
      </c>
      <c r="H87" s="22">
        <v>5656</v>
      </c>
      <c r="I87" s="22">
        <v>4343</v>
      </c>
      <c r="J87" s="24" t="s">
        <v>42</v>
      </c>
      <c r="K87" s="22">
        <f>SUM(G87,H87,I87)</f>
        <v>26211</v>
      </c>
      <c r="L87" s="23" t="s">
        <v>551</v>
      </c>
      <c r="M87" s="23" t="str">
        <f>VLOOKUP(L87,スキル!B:C,2,FALSE)</f>
        <v>味方全体の攻撃力をUP[中]</v>
      </c>
      <c r="N87" s="23" t="s">
        <v>18</v>
      </c>
      <c r="O87" s="23" t="str">
        <f>VLOOKUP(N87,スキル!B:C,2,FALSE)</f>
        <v>　</v>
      </c>
      <c r="P87" s="23" t="s">
        <v>53</v>
      </c>
      <c r="Q87" s="23" t="str">
        <f>VLOOKUP(P87,タクティクス!B:C,2,FALSE)</f>
        <v>高確率で遠属性のユニットを復帰</v>
      </c>
      <c r="R87" s="23" t="s">
        <v>18</v>
      </c>
      <c r="S87" s="23" t="str">
        <f>VLOOKUP(R87,タクティクス!B:C,2,FALSE)</f>
        <v>　</v>
      </c>
      <c r="T87" s="23" t="s">
        <v>18</v>
      </c>
      <c r="U87" s="23" t="s">
        <v>18</v>
      </c>
      <c r="V87" s="20" t="s">
        <v>1823</v>
      </c>
    </row>
    <row r="88" spans="1:22" ht="21.75" customHeight="1" x14ac:dyDescent="0.15">
      <c r="A88" s="20" t="str">
        <f>B88&amp;".jpg"</f>
        <v>1121.jpg</v>
      </c>
      <c r="B88" s="46">
        <v>1121</v>
      </c>
      <c r="C88" s="24" t="s">
        <v>54</v>
      </c>
      <c r="D88" s="24" t="s">
        <v>15</v>
      </c>
      <c r="E88" s="24">
        <v>12</v>
      </c>
      <c r="F88" s="24" t="s">
        <v>16</v>
      </c>
      <c r="G88" s="22">
        <v>13472</v>
      </c>
      <c r="H88" s="22">
        <v>6557</v>
      </c>
      <c r="I88" s="22">
        <v>4832</v>
      </c>
      <c r="J88" s="24" t="s">
        <v>55</v>
      </c>
      <c r="K88" s="22">
        <f>SUM(G88,H88,I88)</f>
        <v>24861</v>
      </c>
      <c r="L88" s="23" t="s">
        <v>533</v>
      </c>
      <c r="M88" s="23" t="str">
        <f>VLOOKUP(L88,スキル!B:C,2,FALSE)</f>
        <v>横一列に固定ダメージ[大]</v>
      </c>
      <c r="N88" s="23" t="s">
        <v>18</v>
      </c>
      <c r="O88" s="23" t="str">
        <f>VLOOKUP(N88,スキル!B:C,2,FALSE)</f>
        <v>　</v>
      </c>
      <c r="P88" s="23" t="s">
        <v>56</v>
      </c>
      <c r="Q88" s="23" t="str">
        <f>VLOOKUP(P88,タクティクス!B:C,2,FALSE)</f>
        <v>バトルで敵を全滅するとBPが中回復(バトル3回)</v>
      </c>
      <c r="R88" s="23" t="s">
        <v>18</v>
      </c>
      <c r="S88" s="23" t="str">
        <f>VLOOKUP(R88,タクティクス!B:C,2,FALSE)</f>
        <v>　</v>
      </c>
      <c r="T88" s="23" t="s">
        <v>18</v>
      </c>
      <c r="U88" s="23" t="s">
        <v>18</v>
      </c>
      <c r="V88" s="20" t="s">
        <v>1825</v>
      </c>
    </row>
    <row r="89" spans="1:22" ht="21.75" customHeight="1" x14ac:dyDescent="0.15">
      <c r="A89" s="20" t="str">
        <f>B89&amp;".jpg"</f>
        <v>1123.jpg</v>
      </c>
      <c r="B89" s="46">
        <v>1123</v>
      </c>
      <c r="C89" s="24" t="s">
        <v>57</v>
      </c>
      <c r="D89" s="24" t="s">
        <v>15</v>
      </c>
      <c r="E89" s="24">
        <v>12</v>
      </c>
      <c r="F89" s="24" t="s">
        <v>16</v>
      </c>
      <c r="G89" s="22">
        <v>15068</v>
      </c>
      <c r="H89" s="22">
        <v>6034</v>
      </c>
      <c r="I89" s="22">
        <v>5291</v>
      </c>
      <c r="J89" s="24" t="s">
        <v>17</v>
      </c>
      <c r="K89" s="22">
        <f>SUM(G89,H89,I89)</f>
        <v>26393</v>
      </c>
      <c r="L89" s="23" t="s">
        <v>553</v>
      </c>
      <c r="M89" s="23" t="str">
        <f>VLOOKUP(L89,スキル!B:C,2,FALSE)</f>
        <v>味方斬属性の攻撃力と防御力をUP[中]</v>
      </c>
      <c r="N89" s="23" t="s">
        <v>18</v>
      </c>
      <c r="O89" s="23" t="str">
        <f>VLOOKUP(N89,スキル!B:C,2,FALSE)</f>
        <v>　</v>
      </c>
      <c r="P89" s="23" t="s">
        <v>51</v>
      </c>
      <c r="Q89" s="23" t="str">
        <f>VLOOKUP(P89,タクティクス!B:C,2,FALSE)</f>
        <v>獲得する騎士団戦スコアが中アップ(バトル3回)</v>
      </c>
      <c r="R89" s="23" t="s">
        <v>18</v>
      </c>
      <c r="S89" s="23" t="str">
        <f>VLOOKUP(R89,タクティクス!B:C,2,FALSE)</f>
        <v>　</v>
      </c>
      <c r="T89" s="23" t="s">
        <v>18</v>
      </c>
      <c r="U89" s="23" t="s">
        <v>18</v>
      </c>
      <c r="V89" s="20" t="s">
        <v>1823</v>
      </c>
    </row>
    <row r="90" spans="1:22" ht="21.75" customHeight="1" x14ac:dyDescent="0.15">
      <c r="A90" s="20" t="str">
        <f>B90&amp;".jpg"</f>
        <v>1125.jpg</v>
      </c>
      <c r="B90" s="46">
        <v>1125</v>
      </c>
      <c r="C90" s="24" t="s">
        <v>58</v>
      </c>
      <c r="D90" s="24" t="s">
        <v>15</v>
      </c>
      <c r="E90" s="24">
        <v>12</v>
      </c>
      <c r="F90" s="24" t="s">
        <v>25</v>
      </c>
      <c r="G90" s="22">
        <v>15240</v>
      </c>
      <c r="H90" s="22">
        <v>4536</v>
      </c>
      <c r="I90" s="22">
        <v>6422</v>
      </c>
      <c r="J90" s="24" t="s">
        <v>26</v>
      </c>
      <c r="K90" s="22">
        <f>SUM(G90,H90,I90)</f>
        <v>26198</v>
      </c>
      <c r="L90" s="23" t="s">
        <v>555</v>
      </c>
      <c r="M90" s="23" t="str">
        <f>VLOOKUP(L90,スキル!B:C,2,FALSE)</f>
        <v>味方突属性の防御力をUP[大]</v>
      </c>
      <c r="N90" s="23" t="s">
        <v>18</v>
      </c>
      <c r="O90" s="23" t="str">
        <f>VLOOKUP(N90,スキル!B:C,2,FALSE)</f>
        <v>　</v>
      </c>
      <c r="P90" s="23" t="s">
        <v>23</v>
      </c>
      <c r="Q90" s="23" t="str">
        <f>VLOOKUP(P90,タクティクス!B:C,2,FALSE)</f>
        <v>パーティ全体の攻撃力が中UP(3分間)</v>
      </c>
      <c r="R90" s="23" t="s">
        <v>18</v>
      </c>
      <c r="S90" s="23" t="str">
        <f>VLOOKUP(R90,タクティクス!B:C,2,FALSE)</f>
        <v>　</v>
      </c>
      <c r="T90" s="23" t="s">
        <v>18</v>
      </c>
      <c r="U90" s="23" t="s">
        <v>18</v>
      </c>
      <c r="V90" s="20" t="s">
        <v>1823</v>
      </c>
    </row>
    <row r="91" spans="1:22" ht="21.75" customHeight="1" x14ac:dyDescent="0.15">
      <c r="A91" s="20" t="str">
        <f>B91&amp;".jpg"</f>
        <v>1127.jpg</v>
      </c>
      <c r="B91" s="46">
        <v>1127</v>
      </c>
      <c r="C91" s="24" t="s">
        <v>59</v>
      </c>
      <c r="D91" s="24" t="s">
        <v>15</v>
      </c>
      <c r="E91" s="24">
        <v>12</v>
      </c>
      <c r="F91" s="24" t="s">
        <v>34</v>
      </c>
      <c r="G91" s="22">
        <v>16310</v>
      </c>
      <c r="H91" s="22">
        <v>5673</v>
      </c>
      <c r="I91" s="22">
        <v>6693</v>
      </c>
      <c r="J91" s="24" t="s">
        <v>35</v>
      </c>
      <c r="K91" s="22">
        <f>SUM(G91,H91,I91)</f>
        <v>28676</v>
      </c>
      <c r="L91" s="23" t="s">
        <v>557</v>
      </c>
      <c r="M91" s="23" t="str">
        <f>VLOOKUP(L91,スキル!B:C,2,FALSE)</f>
        <v>攻撃をカウンター[高確率]</v>
      </c>
      <c r="N91" s="23" t="s">
        <v>18</v>
      </c>
      <c r="O91" s="23" t="str">
        <f>VLOOKUP(N91,スキル!B:C,2,FALSE)</f>
        <v>　</v>
      </c>
      <c r="P91" s="23" t="s">
        <v>60</v>
      </c>
      <c r="Q91" s="23" t="str">
        <f>VLOOKUP(P91,タクティクス!B:C,2,FALSE)</f>
        <v>パーティ全体の攻・防が中UP(3分間)</v>
      </c>
      <c r="R91" s="23" t="s">
        <v>18</v>
      </c>
      <c r="S91" s="23" t="str">
        <f>VLOOKUP(R91,タクティクス!B:C,2,FALSE)</f>
        <v>　</v>
      </c>
      <c r="T91" s="23" t="s">
        <v>18</v>
      </c>
      <c r="U91" s="23" t="s">
        <v>18</v>
      </c>
      <c r="V91" s="20" t="s">
        <v>1823</v>
      </c>
    </row>
    <row r="92" spans="1:22" ht="21.75" customHeight="1" x14ac:dyDescent="0.15">
      <c r="A92" s="20" t="str">
        <f>B92&amp;".jpg"</f>
        <v>1129.jpg</v>
      </c>
      <c r="B92" s="46">
        <v>1129</v>
      </c>
      <c r="C92" s="24" t="s">
        <v>61</v>
      </c>
      <c r="D92" s="24" t="s">
        <v>15</v>
      </c>
      <c r="E92" s="24">
        <v>12</v>
      </c>
      <c r="F92" s="24" t="s">
        <v>41</v>
      </c>
      <c r="G92" s="22">
        <v>14729</v>
      </c>
      <c r="H92" s="22">
        <v>6059</v>
      </c>
      <c r="I92" s="22">
        <v>4486</v>
      </c>
      <c r="J92" s="24" t="s">
        <v>42</v>
      </c>
      <c r="K92" s="22">
        <f>SUM(G92,H92,I92)</f>
        <v>25274</v>
      </c>
      <c r="L92" s="23" t="s">
        <v>559</v>
      </c>
      <c r="M92" s="23" t="str">
        <f>VLOOKUP(L92,スキル!B:C,2,FALSE)</f>
        <v>敵全体に固定ダメージ[大]</v>
      </c>
      <c r="N92" s="23" t="s">
        <v>18</v>
      </c>
      <c r="O92" s="23" t="str">
        <f>VLOOKUP(N92,スキル!B:C,2,FALSE)</f>
        <v>　</v>
      </c>
      <c r="P92" s="23" t="s">
        <v>29</v>
      </c>
      <c r="Q92" s="23" t="str">
        <f>VLOOKUP(P92,タクティクス!B:C,2,FALSE)</f>
        <v>生存ユニットのHPを中回復</v>
      </c>
      <c r="R92" s="23" t="s">
        <v>18</v>
      </c>
      <c r="S92" s="23" t="str">
        <f>VLOOKUP(R92,タクティクス!B:C,2,FALSE)</f>
        <v>　</v>
      </c>
      <c r="T92" s="23" t="s">
        <v>18</v>
      </c>
      <c r="U92" s="23" t="s">
        <v>18</v>
      </c>
      <c r="V92" s="20" t="s">
        <v>1823</v>
      </c>
    </row>
    <row r="93" spans="1:22" ht="21.75" customHeight="1" x14ac:dyDescent="0.15">
      <c r="A93" s="20" t="str">
        <f>B93&amp;".jpg"</f>
        <v>1132.jpg</v>
      </c>
      <c r="B93" s="46">
        <v>1132</v>
      </c>
      <c r="C93" s="24" t="s">
        <v>62</v>
      </c>
      <c r="D93" s="24" t="s">
        <v>15</v>
      </c>
      <c r="E93" s="24">
        <v>12</v>
      </c>
      <c r="F93" s="24" t="s">
        <v>34</v>
      </c>
      <c r="G93" s="22">
        <v>18837</v>
      </c>
      <c r="H93" s="22">
        <v>5642</v>
      </c>
      <c r="I93" s="22">
        <v>5857</v>
      </c>
      <c r="J93" s="24" t="s">
        <v>35</v>
      </c>
      <c r="K93" s="22">
        <f>SUM(G93,H93,I93)</f>
        <v>30336</v>
      </c>
      <c r="L93" s="23" t="s">
        <v>529</v>
      </c>
      <c r="M93" s="23" t="str">
        <f>VLOOKUP(L93,スキル!B:C,2,FALSE)</f>
        <v>横一列に攻撃[大]</v>
      </c>
      <c r="N93" s="23" t="s">
        <v>18</v>
      </c>
      <c r="O93" s="23" t="str">
        <f>VLOOKUP(N93,スキル!B:C,2,FALSE)</f>
        <v>　</v>
      </c>
      <c r="P93" s="23" t="s">
        <v>63</v>
      </c>
      <c r="Q93" s="23" t="str">
        <f>VLOOKUP(P93,タクティクス!B:C,2,FALSE)</f>
        <v>高確率で打属性のユニットを復帰</v>
      </c>
      <c r="R93" s="23" t="s">
        <v>18</v>
      </c>
      <c r="S93" s="23" t="str">
        <f>VLOOKUP(R93,タクティクス!B:C,2,FALSE)</f>
        <v>　</v>
      </c>
      <c r="T93" s="23" t="s">
        <v>18</v>
      </c>
      <c r="U93" s="23" t="s">
        <v>18</v>
      </c>
      <c r="V93" s="20" t="s">
        <v>1826</v>
      </c>
    </row>
    <row r="94" spans="1:22" ht="21.75" customHeight="1" x14ac:dyDescent="0.15">
      <c r="A94" s="20" t="str">
        <f>B94&amp;".jpg"</f>
        <v>1134.jpg</v>
      </c>
      <c r="B94" s="46">
        <v>1134</v>
      </c>
      <c r="C94" s="24" t="s">
        <v>64</v>
      </c>
      <c r="D94" s="24" t="s">
        <v>15</v>
      </c>
      <c r="E94" s="24">
        <v>12</v>
      </c>
      <c r="F94" s="24" t="s">
        <v>25</v>
      </c>
      <c r="G94" s="22">
        <v>15321</v>
      </c>
      <c r="H94" s="22">
        <v>4561</v>
      </c>
      <c r="I94" s="22">
        <v>6389</v>
      </c>
      <c r="J94" s="24" t="s">
        <v>26</v>
      </c>
      <c r="K94" s="22">
        <f>SUM(G94,H94,I94)</f>
        <v>26271</v>
      </c>
      <c r="L94" s="23" t="s">
        <v>561</v>
      </c>
      <c r="M94" s="23" t="str">
        <f>VLOOKUP(L94,スキル!B:C,2,FALSE)</f>
        <v>敵全体の防御力をDOWN[中]</v>
      </c>
      <c r="N94" s="23" t="s">
        <v>18</v>
      </c>
      <c r="O94" s="23" t="str">
        <f>VLOOKUP(N94,スキル!B:C,2,FALSE)</f>
        <v>　</v>
      </c>
      <c r="P94" s="23" t="s">
        <v>36</v>
      </c>
      <c r="Q94" s="23" t="str">
        <f>VLOOKUP(P94,タクティクス!B:C,2,FALSE)</f>
        <v>中確率で戦闘不能ユニットを復帰</v>
      </c>
      <c r="R94" s="23" t="s">
        <v>18</v>
      </c>
      <c r="S94" s="23" t="str">
        <f>VLOOKUP(R94,タクティクス!B:C,2,FALSE)</f>
        <v>　</v>
      </c>
      <c r="T94" s="23" t="s">
        <v>18</v>
      </c>
      <c r="U94" s="23" t="s">
        <v>18</v>
      </c>
      <c r="V94" s="20" t="s">
        <v>1824</v>
      </c>
    </row>
    <row r="95" spans="1:22" ht="21.75" customHeight="1" x14ac:dyDescent="0.15">
      <c r="A95" s="20" t="str">
        <f>B95&amp;".jpg"</f>
        <v>1136.jpg</v>
      </c>
      <c r="B95" s="46">
        <v>1136</v>
      </c>
      <c r="C95" s="24" t="s">
        <v>65</v>
      </c>
      <c r="D95" s="24" t="s">
        <v>15</v>
      </c>
      <c r="E95" s="24">
        <v>12</v>
      </c>
      <c r="F95" s="24" t="s">
        <v>41</v>
      </c>
      <c r="G95" s="22">
        <v>14810</v>
      </c>
      <c r="H95" s="22">
        <v>6092</v>
      </c>
      <c r="I95" s="22">
        <v>4464</v>
      </c>
      <c r="J95" s="24" t="s">
        <v>42</v>
      </c>
      <c r="K95" s="22">
        <f>SUM(G95,H95,I95)</f>
        <v>25366</v>
      </c>
      <c r="L95" s="23" t="s">
        <v>563</v>
      </c>
      <c r="M95" s="23" t="str">
        <f>VLOOKUP(L95,スキル!B:C,2,FALSE)</f>
        <v>ランダムで4連続攻撃[中]</v>
      </c>
      <c r="N95" s="23" t="s">
        <v>18</v>
      </c>
      <c r="O95" s="23" t="str">
        <f>VLOOKUP(N95,スキル!B:C,2,FALSE)</f>
        <v>　</v>
      </c>
      <c r="P95" s="23" t="s">
        <v>53</v>
      </c>
      <c r="Q95" s="23" t="str">
        <f>VLOOKUP(P95,タクティクス!B:C,2,FALSE)</f>
        <v>高確率で遠属性のユニットを復帰</v>
      </c>
      <c r="R95" s="23" t="s">
        <v>18</v>
      </c>
      <c r="S95" s="23" t="str">
        <f>VLOOKUP(R95,タクティクス!B:C,2,FALSE)</f>
        <v>　</v>
      </c>
      <c r="T95" s="23" t="s">
        <v>18</v>
      </c>
      <c r="U95" s="23" t="s">
        <v>18</v>
      </c>
      <c r="V95" s="20" t="s">
        <v>1827</v>
      </c>
    </row>
    <row r="96" spans="1:22" ht="21.75" customHeight="1" x14ac:dyDescent="0.15">
      <c r="A96" s="20" t="str">
        <f>B96&amp;".jpg"</f>
        <v>1138.jpg</v>
      </c>
      <c r="B96" s="46">
        <v>1138</v>
      </c>
      <c r="C96" s="24" t="s">
        <v>66</v>
      </c>
      <c r="D96" s="24" t="s">
        <v>15</v>
      </c>
      <c r="E96" s="24">
        <v>12</v>
      </c>
      <c r="F96" s="24" t="s">
        <v>16</v>
      </c>
      <c r="G96" s="22">
        <v>13694</v>
      </c>
      <c r="H96" s="22">
        <v>6665</v>
      </c>
      <c r="I96" s="22">
        <v>4757</v>
      </c>
      <c r="J96" s="24" t="s">
        <v>55</v>
      </c>
      <c r="K96" s="22">
        <f>SUM(G96,H96,I96)</f>
        <v>25116</v>
      </c>
      <c r="L96" s="23" t="s">
        <v>564</v>
      </c>
      <c r="M96" s="23" t="str">
        <f>VLOOKUP(L96,スキル!B:C,2,FALSE)</f>
        <v>一定確率で敵を猛毒状態にする[高確率]</v>
      </c>
      <c r="N96" s="23" t="s">
        <v>18</v>
      </c>
      <c r="O96" s="23" t="str">
        <f>VLOOKUP(N96,スキル!B:C,2,FALSE)</f>
        <v>　</v>
      </c>
      <c r="P96" s="23" t="s">
        <v>47</v>
      </c>
      <c r="Q96" s="23" t="str">
        <f>VLOOKUP(P96,タクティクス!B:C,2,FALSE)</f>
        <v>斬属性の生存ユニットのHPを高確率で全回復</v>
      </c>
      <c r="R96" s="23" t="s">
        <v>18</v>
      </c>
      <c r="S96" s="23" t="str">
        <f>VLOOKUP(R96,タクティクス!B:C,2,FALSE)</f>
        <v>　</v>
      </c>
      <c r="T96" s="23" t="s">
        <v>18</v>
      </c>
      <c r="U96" s="23" t="s">
        <v>18</v>
      </c>
      <c r="V96" s="20" t="s">
        <v>1823</v>
      </c>
    </row>
    <row r="97" spans="1:22" ht="21.75" customHeight="1" x14ac:dyDescent="0.15">
      <c r="A97" s="20" t="str">
        <f>B97&amp;".jpg"</f>
        <v>1140.jpg</v>
      </c>
      <c r="B97" s="46">
        <v>1140</v>
      </c>
      <c r="C97" s="24" t="s">
        <v>67</v>
      </c>
      <c r="D97" s="24" t="s">
        <v>15</v>
      </c>
      <c r="E97" s="24">
        <v>12</v>
      </c>
      <c r="F97" s="24" t="s">
        <v>25</v>
      </c>
      <c r="G97" s="22">
        <v>15406</v>
      </c>
      <c r="H97" s="22">
        <v>4853</v>
      </c>
      <c r="I97" s="22">
        <v>5392</v>
      </c>
      <c r="J97" s="24" t="s">
        <v>31</v>
      </c>
      <c r="K97" s="22">
        <f>SUM(G97,H97,I97)</f>
        <v>25651</v>
      </c>
      <c r="L97" s="23" t="s">
        <v>566</v>
      </c>
      <c r="M97" s="23" t="str">
        <f>VLOOKUP(L97,スキル!B:C,2,FALSE)</f>
        <v>防御力を極大DOWNし、攻撃力を極大UP</v>
      </c>
      <c r="N97" s="23" t="s">
        <v>18</v>
      </c>
      <c r="O97" s="23" t="str">
        <f>VLOOKUP(N97,スキル!B:C,2,FALSE)</f>
        <v>　</v>
      </c>
      <c r="P97" s="23" t="s">
        <v>51</v>
      </c>
      <c r="Q97" s="23" t="str">
        <f>VLOOKUP(P97,タクティクス!B:C,2,FALSE)</f>
        <v>獲得する騎士団戦スコアが中アップ(バトル3回)</v>
      </c>
      <c r="R97" s="23" t="s">
        <v>18</v>
      </c>
      <c r="S97" s="23" t="str">
        <f>VLOOKUP(R97,タクティクス!B:C,2,FALSE)</f>
        <v>　</v>
      </c>
      <c r="T97" s="23" t="s">
        <v>18</v>
      </c>
      <c r="U97" s="23" t="s">
        <v>18</v>
      </c>
      <c r="V97" s="20" t="s">
        <v>1823</v>
      </c>
    </row>
    <row r="98" spans="1:22" ht="21.75" customHeight="1" x14ac:dyDescent="0.15">
      <c r="A98" s="20" t="str">
        <f>B98&amp;".jpg"</f>
        <v>1142.jpg</v>
      </c>
      <c r="B98" s="46">
        <v>1142</v>
      </c>
      <c r="C98" s="24" t="s">
        <v>68</v>
      </c>
      <c r="D98" s="24" t="s">
        <v>15</v>
      </c>
      <c r="E98" s="24">
        <v>12</v>
      </c>
      <c r="F98" s="24" t="s">
        <v>34</v>
      </c>
      <c r="G98" s="22">
        <v>19040</v>
      </c>
      <c r="H98" s="22">
        <v>5587</v>
      </c>
      <c r="I98" s="22">
        <v>5920</v>
      </c>
      <c r="J98" s="24" t="s">
        <v>35</v>
      </c>
      <c r="K98" s="22">
        <f>SUM(G98,H98,I98)</f>
        <v>30547</v>
      </c>
      <c r="L98" s="24" t="s">
        <v>568</v>
      </c>
      <c r="M98" s="23" t="str">
        <f>VLOOKUP(L98,スキル!B:C,2,FALSE)</f>
        <v>縦一列に攻撃[大]</v>
      </c>
      <c r="N98" s="23" t="s">
        <v>18</v>
      </c>
      <c r="O98" s="23" t="str">
        <f>VLOOKUP(N98,スキル!B:C,2,FALSE)</f>
        <v>　</v>
      </c>
      <c r="P98" s="23" t="s">
        <v>56</v>
      </c>
      <c r="Q98" s="23" t="str">
        <f>VLOOKUP(P98,タクティクス!B:C,2,FALSE)</f>
        <v>バトルで敵を全滅するとBPが中回復(バトル3回)</v>
      </c>
      <c r="R98" s="23" t="s">
        <v>18</v>
      </c>
      <c r="S98" s="23" t="str">
        <f>VLOOKUP(R98,タクティクス!B:C,2,FALSE)</f>
        <v>　</v>
      </c>
      <c r="T98" s="23" t="s">
        <v>18</v>
      </c>
      <c r="U98" s="23" t="s">
        <v>18</v>
      </c>
      <c r="V98" s="20" t="s">
        <v>1823</v>
      </c>
    </row>
    <row r="99" spans="1:22" ht="21.75" customHeight="1" x14ac:dyDescent="0.15">
      <c r="A99" s="20" t="str">
        <f>B99&amp;".jpg"</f>
        <v>1144.jpg</v>
      </c>
      <c r="B99" s="46">
        <v>1144</v>
      </c>
      <c r="C99" s="24" t="s">
        <v>69</v>
      </c>
      <c r="D99" s="24" t="s">
        <v>15</v>
      </c>
      <c r="E99" s="24">
        <v>12</v>
      </c>
      <c r="F99" s="24" t="s">
        <v>41</v>
      </c>
      <c r="G99" s="22">
        <v>16477</v>
      </c>
      <c r="H99" s="22">
        <v>5006</v>
      </c>
      <c r="I99" s="22">
        <v>4912</v>
      </c>
      <c r="J99" s="24" t="s">
        <v>42</v>
      </c>
      <c r="K99" s="22">
        <f>SUM(G99,H99,I99)</f>
        <v>26395</v>
      </c>
      <c r="L99" s="23" t="s">
        <v>570</v>
      </c>
      <c r="M99" s="23" t="str">
        <f>VLOOKUP(L99,スキル!B:C,2,FALSE)</f>
        <v>味方遠属性の攻撃力をUP[大]</v>
      </c>
      <c r="N99" s="23" t="s">
        <v>18</v>
      </c>
      <c r="O99" s="23" t="str">
        <f>VLOOKUP(N99,スキル!B:C,2,FALSE)</f>
        <v>　</v>
      </c>
      <c r="P99" s="23" t="s">
        <v>19</v>
      </c>
      <c r="Q99" s="23" t="str">
        <f>VLOOKUP(P99,タクティクス!B:C,2,FALSE)</f>
        <v>中確率でパーティ全員を復帰(全滅時のみ使用可)</v>
      </c>
      <c r="R99" s="23" t="s">
        <v>18</v>
      </c>
      <c r="S99" s="23" t="str">
        <f>VLOOKUP(R99,タクティクス!B:C,2,FALSE)</f>
        <v>　</v>
      </c>
      <c r="T99" s="23" t="s">
        <v>18</v>
      </c>
      <c r="U99" s="23" t="s">
        <v>18</v>
      </c>
      <c r="V99" s="20" t="s">
        <v>1823</v>
      </c>
    </row>
    <row r="100" spans="1:22" ht="21.75" customHeight="1" x14ac:dyDescent="0.15">
      <c r="A100" s="20" t="str">
        <f>B100&amp;".jpg"</f>
        <v>1146.jpg</v>
      </c>
      <c r="B100" s="46">
        <v>1146</v>
      </c>
      <c r="C100" s="24" t="s">
        <v>70</v>
      </c>
      <c r="D100" s="24" t="s">
        <v>15</v>
      </c>
      <c r="E100" s="24">
        <v>12</v>
      </c>
      <c r="F100" s="24" t="s">
        <v>34</v>
      </c>
      <c r="G100" s="22">
        <v>17115</v>
      </c>
      <c r="H100" s="22">
        <v>5370</v>
      </c>
      <c r="I100" s="22">
        <v>6115</v>
      </c>
      <c r="J100" s="24" t="s">
        <v>42</v>
      </c>
      <c r="K100" s="22">
        <f>SUM(G100,H100,I100)</f>
        <v>28600</v>
      </c>
      <c r="L100" s="23" t="s">
        <v>572</v>
      </c>
      <c r="M100" s="23" t="str">
        <f>VLOOKUP(L100,スキル!B:C,2,FALSE)</f>
        <v>味方打属性の攻撃力と防御力をUP[中]</v>
      </c>
      <c r="N100" s="23" t="s">
        <v>18</v>
      </c>
      <c r="O100" s="23" t="str">
        <f>VLOOKUP(N100,スキル!B:C,2,FALSE)</f>
        <v>　</v>
      </c>
      <c r="P100" s="23" t="s">
        <v>38</v>
      </c>
      <c r="Q100" s="23" t="str">
        <f>VLOOKUP(P100,タクティクス!B:C,2,FALSE)</f>
        <v>打属性の生存ユニットのHPを高確率で全回復</v>
      </c>
      <c r="R100" s="23" t="s">
        <v>18</v>
      </c>
      <c r="S100" s="23" t="str">
        <f>VLOOKUP(R100,タクティクス!B:C,2,FALSE)</f>
        <v>　</v>
      </c>
      <c r="T100" s="23" t="s">
        <v>18</v>
      </c>
      <c r="U100" s="23" t="s">
        <v>18</v>
      </c>
      <c r="V100" s="20" t="s">
        <v>1824</v>
      </c>
    </row>
    <row r="101" spans="1:22" ht="21.75" customHeight="1" x14ac:dyDescent="0.15">
      <c r="A101" s="20" t="str">
        <f>B101&amp;".jpg"</f>
        <v>1149.jpg</v>
      </c>
      <c r="B101" s="46">
        <v>1149</v>
      </c>
      <c r="C101" s="24" t="s">
        <v>71</v>
      </c>
      <c r="D101" s="24" t="s">
        <v>15</v>
      </c>
      <c r="E101" s="24">
        <v>12</v>
      </c>
      <c r="F101" s="24" t="s">
        <v>16</v>
      </c>
      <c r="G101" s="22">
        <v>13263</v>
      </c>
      <c r="H101" s="22">
        <v>7003</v>
      </c>
      <c r="I101" s="22">
        <v>5236</v>
      </c>
      <c r="J101" s="24" t="s">
        <v>17</v>
      </c>
      <c r="K101" s="22">
        <f>SUM(G101,H101,I101)</f>
        <v>25502</v>
      </c>
      <c r="L101" s="23" t="s">
        <v>521</v>
      </c>
      <c r="M101" s="23" t="str">
        <f>VLOOKUP(L101,スキル!B:C,2,FALSE)</f>
        <v>十字型に攻撃[大]</v>
      </c>
      <c r="N101" s="23" t="s">
        <v>18</v>
      </c>
      <c r="O101" s="23" t="str">
        <f>VLOOKUP(N101,スキル!B:C,2,FALSE)</f>
        <v>　</v>
      </c>
      <c r="P101" s="23" t="s">
        <v>60</v>
      </c>
      <c r="Q101" s="23" t="str">
        <f>VLOOKUP(P101,タクティクス!B:C,2,FALSE)</f>
        <v>パーティ全体の攻・防が中UP(3分間)</v>
      </c>
      <c r="R101" s="23" t="s">
        <v>18</v>
      </c>
      <c r="S101" s="23" t="str">
        <f>VLOOKUP(R101,タクティクス!B:C,2,FALSE)</f>
        <v>　</v>
      </c>
      <c r="T101" s="23" t="s">
        <v>18</v>
      </c>
      <c r="U101" s="23" t="s">
        <v>18</v>
      </c>
      <c r="V101" s="20" t="s">
        <v>1834</v>
      </c>
    </row>
    <row r="102" spans="1:22" ht="21.75" customHeight="1" x14ac:dyDescent="0.15">
      <c r="A102" s="20" t="str">
        <f>B102&amp;".jpg"</f>
        <v>1150.jpg</v>
      </c>
      <c r="B102" s="46">
        <v>1150</v>
      </c>
      <c r="C102" s="24" t="s">
        <v>71</v>
      </c>
      <c r="D102" s="24" t="s">
        <v>15</v>
      </c>
      <c r="E102" s="24">
        <v>13</v>
      </c>
      <c r="F102" s="24" t="s">
        <v>16</v>
      </c>
      <c r="G102" s="22">
        <v>13875</v>
      </c>
      <c r="H102" s="22">
        <v>7331</v>
      </c>
      <c r="I102" s="22">
        <v>5777</v>
      </c>
      <c r="J102" s="24" t="s">
        <v>17</v>
      </c>
      <c r="K102" s="22">
        <f>SUM(G102,H102,I102)</f>
        <v>26983</v>
      </c>
      <c r="L102" s="23" t="s">
        <v>521</v>
      </c>
      <c r="M102" s="23" t="str">
        <f>VLOOKUP(L102,スキル!B:C,2,FALSE)</f>
        <v>十字型に攻撃[大]</v>
      </c>
      <c r="N102" s="23" t="s">
        <v>18</v>
      </c>
      <c r="O102" s="23" t="str">
        <f>VLOOKUP(N102,スキル!B:C,2,FALSE)</f>
        <v>　</v>
      </c>
      <c r="P102" s="23" t="s">
        <v>60</v>
      </c>
      <c r="Q102" s="23" t="str">
        <f>VLOOKUP(P102,タクティクス!B:C,2,FALSE)</f>
        <v>パーティ全体の攻・防が中UP(3分間)</v>
      </c>
      <c r="R102" s="23" t="s">
        <v>18</v>
      </c>
      <c r="S102" s="23" t="str">
        <f>VLOOKUP(R102,タクティクス!B:C,2,FALSE)</f>
        <v>　</v>
      </c>
      <c r="T102" s="23" t="s">
        <v>18</v>
      </c>
      <c r="U102" s="23" t="s">
        <v>18</v>
      </c>
      <c r="V102" s="20" t="s">
        <v>1834</v>
      </c>
    </row>
    <row r="103" spans="1:22" ht="21.75" customHeight="1" x14ac:dyDescent="0.15">
      <c r="A103" s="20" t="str">
        <f>B103&amp;".jpg"</f>
        <v>1151.jpg</v>
      </c>
      <c r="B103" s="46">
        <v>1151</v>
      </c>
      <c r="C103" s="24" t="s">
        <v>72</v>
      </c>
      <c r="D103" s="24" t="s">
        <v>15</v>
      </c>
      <c r="E103" s="24">
        <v>12</v>
      </c>
      <c r="F103" s="24" t="s">
        <v>41</v>
      </c>
      <c r="G103" s="22">
        <v>17646</v>
      </c>
      <c r="H103" s="22">
        <v>5224</v>
      </c>
      <c r="I103" s="22">
        <v>4417</v>
      </c>
      <c r="J103" s="24" t="s">
        <v>42</v>
      </c>
      <c r="K103" s="22">
        <f>SUM(G103,H103,I103)</f>
        <v>27287</v>
      </c>
      <c r="L103" s="23" t="s">
        <v>574</v>
      </c>
      <c r="M103" s="23" t="str">
        <f>VLOOKUP(L103,スキル!B:C,2,FALSE)</f>
        <v>味方遠属性の攻撃力と防御力をUP[中]</v>
      </c>
      <c r="N103" s="23" t="s">
        <v>18</v>
      </c>
      <c r="O103" s="23" t="str">
        <f>VLOOKUP(N103,スキル!B:C,2,FALSE)</f>
        <v>　</v>
      </c>
      <c r="P103" s="23" t="s">
        <v>36</v>
      </c>
      <c r="Q103" s="23" t="str">
        <f>VLOOKUP(P103,タクティクス!B:C,2,FALSE)</f>
        <v>中確率で戦闘不能ユニットを復帰</v>
      </c>
      <c r="R103" s="23" t="s">
        <v>18</v>
      </c>
      <c r="S103" s="23" t="str">
        <f>VLOOKUP(R103,タクティクス!B:C,2,FALSE)</f>
        <v>　</v>
      </c>
      <c r="T103" s="23" t="s">
        <v>18</v>
      </c>
      <c r="U103" s="23" t="s">
        <v>18</v>
      </c>
      <c r="V103" s="20" t="s">
        <v>1825</v>
      </c>
    </row>
    <row r="104" spans="1:22" ht="21.75" customHeight="1" x14ac:dyDescent="0.15">
      <c r="A104" s="20" t="str">
        <f>B104&amp;".jpg"</f>
        <v>1153.jpg</v>
      </c>
      <c r="B104" s="46">
        <v>1153</v>
      </c>
      <c r="C104" s="24" t="s">
        <v>73</v>
      </c>
      <c r="D104" s="24" t="s">
        <v>15</v>
      </c>
      <c r="E104" s="24">
        <v>13</v>
      </c>
      <c r="F104" s="24" t="s">
        <v>16</v>
      </c>
      <c r="G104" s="22">
        <v>15761</v>
      </c>
      <c r="H104" s="22">
        <v>6310</v>
      </c>
      <c r="I104" s="22">
        <v>5832</v>
      </c>
      <c r="J104" s="24" t="s">
        <v>17</v>
      </c>
      <c r="K104" s="22">
        <f>SUM(G104,H104,I104)</f>
        <v>27903</v>
      </c>
      <c r="L104" s="23" t="s">
        <v>568</v>
      </c>
      <c r="M104" s="23" t="str">
        <f>VLOOKUP(L104,スキル!B:C,2,FALSE)</f>
        <v>縦一列に攻撃[大]</v>
      </c>
      <c r="N104" s="23" t="s">
        <v>18</v>
      </c>
      <c r="O104" s="23" t="str">
        <f>VLOOKUP(N104,スキル!B:C,2,FALSE)</f>
        <v>　</v>
      </c>
      <c r="P104" s="23" t="s">
        <v>23</v>
      </c>
      <c r="Q104" s="23" t="str">
        <f>VLOOKUP(P104,タクティクス!B:C,2,FALSE)</f>
        <v>パーティ全体の攻撃力が中UP(3分間)</v>
      </c>
      <c r="R104" s="23" t="s">
        <v>18</v>
      </c>
      <c r="S104" s="23" t="str">
        <f>VLOOKUP(R104,タクティクス!B:C,2,FALSE)</f>
        <v>　</v>
      </c>
      <c r="T104" s="23" t="s">
        <v>18</v>
      </c>
      <c r="U104" s="23" t="s">
        <v>18</v>
      </c>
      <c r="V104" s="20" t="s">
        <v>1823</v>
      </c>
    </row>
    <row r="105" spans="1:22" ht="21.75" customHeight="1" x14ac:dyDescent="0.15">
      <c r="A105" s="20" t="str">
        <f>B105&amp;".jpg"</f>
        <v>1155.jpg</v>
      </c>
      <c r="B105" s="46">
        <v>1155</v>
      </c>
      <c r="C105" s="24" t="s">
        <v>74</v>
      </c>
      <c r="D105" s="24" t="s">
        <v>15</v>
      </c>
      <c r="E105" s="24">
        <v>13</v>
      </c>
      <c r="F105" s="24" t="s">
        <v>25</v>
      </c>
      <c r="G105" s="22">
        <v>17731</v>
      </c>
      <c r="H105" s="22">
        <v>5277</v>
      </c>
      <c r="I105" s="22">
        <v>5755</v>
      </c>
      <c r="J105" s="24" t="s">
        <v>26</v>
      </c>
      <c r="K105" s="22">
        <f>SUM(G105,H105,I105)</f>
        <v>28763</v>
      </c>
      <c r="L105" s="23" t="s">
        <v>576</v>
      </c>
      <c r="M105" s="23" t="str">
        <f>VLOOKUP(L105,スキル!B:C,2,FALSE)</f>
        <v>一定確率で敵を範囲不可にする[高確率]</v>
      </c>
      <c r="N105" s="23" t="s">
        <v>18</v>
      </c>
      <c r="O105" s="23" t="str">
        <f>VLOOKUP(N105,スキル!B:C,2,FALSE)</f>
        <v>　</v>
      </c>
      <c r="P105" s="23" t="s">
        <v>56</v>
      </c>
      <c r="Q105" s="23" t="str">
        <f>VLOOKUP(P105,タクティクス!B:C,2,FALSE)</f>
        <v>バトルで敵を全滅するとBPが中回復(バトル3回)</v>
      </c>
      <c r="R105" s="23" t="s">
        <v>18</v>
      </c>
      <c r="S105" s="23" t="str">
        <f>VLOOKUP(R105,タクティクス!B:C,2,FALSE)</f>
        <v>　</v>
      </c>
      <c r="T105" s="23" t="s">
        <v>18</v>
      </c>
      <c r="U105" s="23" t="s">
        <v>18</v>
      </c>
      <c r="V105" s="20" t="s">
        <v>1823</v>
      </c>
    </row>
    <row r="106" spans="1:22" ht="21.75" customHeight="1" x14ac:dyDescent="0.15">
      <c r="A106" s="20" t="str">
        <f>B106&amp;".jpg"</f>
        <v>1157.jpg</v>
      </c>
      <c r="B106" s="46">
        <v>1157</v>
      </c>
      <c r="C106" s="24" t="s">
        <v>75</v>
      </c>
      <c r="D106" s="24" t="s">
        <v>15</v>
      </c>
      <c r="E106" s="24">
        <v>13</v>
      </c>
      <c r="F106" s="24" t="s">
        <v>34</v>
      </c>
      <c r="G106" s="22">
        <v>17805</v>
      </c>
      <c r="H106" s="22">
        <v>5622</v>
      </c>
      <c r="I106" s="22">
        <v>7498</v>
      </c>
      <c r="J106" s="24" t="s">
        <v>35</v>
      </c>
      <c r="K106" s="22">
        <f>SUM(G106,H106,I106)</f>
        <v>30925</v>
      </c>
      <c r="L106" s="23" t="s">
        <v>578</v>
      </c>
      <c r="M106" s="23" t="str">
        <f>VLOOKUP(L106,スキル!B:C,2,FALSE)</f>
        <v>敵単体の攻撃力と防御力をDOWN[大]</v>
      </c>
      <c r="N106" s="23" t="s">
        <v>18</v>
      </c>
      <c r="O106" s="23" t="str">
        <f>VLOOKUP(N106,スキル!B:C,2,FALSE)</f>
        <v>　</v>
      </c>
      <c r="P106" s="23" t="s">
        <v>29</v>
      </c>
      <c r="Q106" s="23" t="str">
        <f>VLOOKUP(P106,タクティクス!B:C,2,FALSE)</f>
        <v>生存ユニットのHPを中回復</v>
      </c>
      <c r="R106" s="23" t="s">
        <v>18</v>
      </c>
      <c r="S106" s="23" t="str">
        <f>VLOOKUP(R106,タクティクス!B:C,2,FALSE)</f>
        <v>　</v>
      </c>
      <c r="T106" s="23" t="s">
        <v>18</v>
      </c>
      <c r="U106" s="23" t="s">
        <v>18</v>
      </c>
      <c r="V106" s="20" t="s">
        <v>1823</v>
      </c>
    </row>
    <row r="107" spans="1:22" ht="21.75" customHeight="1" x14ac:dyDescent="0.15">
      <c r="A107" s="20" t="str">
        <f>B107&amp;".jpg"</f>
        <v>1159.jpg</v>
      </c>
      <c r="B107" s="46">
        <v>1159</v>
      </c>
      <c r="C107" s="24" t="s">
        <v>76</v>
      </c>
      <c r="D107" s="24" t="s">
        <v>15</v>
      </c>
      <c r="E107" s="24">
        <v>13</v>
      </c>
      <c r="F107" s="24" t="s">
        <v>41</v>
      </c>
      <c r="G107" s="22">
        <v>15492</v>
      </c>
      <c r="H107" s="22">
        <v>5404</v>
      </c>
      <c r="I107" s="22">
        <v>5798</v>
      </c>
      <c r="J107" s="24" t="s">
        <v>42</v>
      </c>
      <c r="K107" s="22">
        <f>SUM(G107,H107,I107)</f>
        <v>26694</v>
      </c>
      <c r="L107" s="23" t="s">
        <v>580</v>
      </c>
      <c r="M107" s="23" t="str">
        <f>VLOOKUP(L107,スキル!B:C,2,FALSE)</f>
        <v>敵全体に攻撃[大]</v>
      </c>
      <c r="N107" s="23" t="s">
        <v>18</v>
      </c>
      <c r="O107" s="23" t="str">
        <f>VLOOKUP(N107,スキル!B:C,2,FALSE)</f>
        <v>　</v>
      </c>
      <c r="P107" s="23" t="s">
        <v>27</v>
      </c>
      <c r="Q107" s="23" t="str">
        <f>VLOOKUP(P107,タクティクス!B:C,2,FALSE)</f>
        <v>パーティ全体の防御力が中UP(3分間)</v>
      </c>
      <c r="R107" s="23" t="s">
        <v>18</v>
      </c>
      <c r="S107" s="23" t="str">
        <f>VLOOKUP(R107,タクティクス!B:C,2,FALSE)</f>
        <v>　</v>
      </c>
      <c r="T107" s="23" t="s">
        <v>18</v>
      </c>
      <c r="U107" s="23" t="s">
        <v>18</v>
      </c>
      <c r="V107" s="20" t="s">
        <v>1823</v>
      </c>
    </row>
    <row r="108" spans="1:22" ht="21.75" customHeight="1" x14ac:dyDescent="0.15">
      <c r="A108" s="20" t="str">
        <f>B108&amp;".jpg"</f>
        <v>1162.jpg</v>
      </c>
      <c r="B108" s="46">
        <v>1162</v>
      </c>
      <c r="C108" s="24" t="s">
        <v>77</v>
      </c>
      <c r="D108" s="24" t="s">
        <v>15</v>
      </c>
      <c r="E108" s="24">
        <v>12</v>
      </c>
      <c r="F108" s="24" t="s">
        <v>25</v>
      </c>
      <c r="G108" s="22">
        <v>14919</v>
      </c>
      <c r="H108" s="22">
        <v>5102</v>
      </c>
      <c r="I108" s="22">
        <v>5935</v>
      </c>
      <c r="J108" s="24" t="s">
        <v>26</v>
      </c>
      <c r="K108" s="22">
        <f>SUM(G108,H108,I108)</f>
        <v>25956</v>
      </c>
      <c r="L108" s="23" t="s">
        <v>531</v>
      </c>
      <c r="M108" s="23" t="str">
        <f>VLOOKUP(L108,スキル!B:C,2,FALSE)</f>
        <v>味方突属性の攻撃力をUP[大]</v>
      </c>
      <c r="N108" s="23" t="s">
        <v>18</v>
      </c>
      <c r="O108" s="23" t="str">
        <f>VLOOKUP(N108,スキル!B:C,2,FALSE)</f>
        <v>　</v>
      </c>
      <c r="P108" s="23" t="s">
        <v>32</v>
      </c>
      <c r="Q108" s="23" t="str">
        <f>VLOOKUP(P108,タクティクス!B:C,2,FALSE)</f>
        <v>高確率で突属性のユニットを復帰</v>
      </c>
      <c r="R108" s="23" t="s">
        <v>18</v>
      </c>
      <c r="S108" s="23" t="str">
        <f>VLOOKUP(R108,タクティクス!B:C,2,FALSE)</f>
        <v>　</v>
      </c>
      <c r="T108" s="23" t="s">
        <v>18</v>
      </c>
      <c r="U108" s="23" t="s">
        <v>18</v>
      </c>
      <c r="V108" s="20" t="s">
        <v>1826</v>
      </c>
    </row>
    <row r="109" spans="1:22" ht="21.75" customHeight="1" x14ac:dyDescent="0.15">
      <c r="A109" s="20" t="str">
        <f>B109&amp;".jpg"</f>
        <v>1164.jpg</v>
      </c>
      <c r="B109" s="46">
        <v>1164</v>
      </c>
      <c r="C109" s="24" t="s">
        <v>78</v>
      </c>
      <c r="D109" s="24" t="s">
        <v>15</v>
      </c>
      <c r="E109" s="24">
        <v>12</v>
      </c>
      <c r="F109" s="24" t="s">
        <v>41</v>
      </c>
      <c r="G109" s="22">
        <v>15051</v>
      </c>
      <c r="H109" s="22">
        <v>5558</v>
      </c>
      <c r="I109" s="22">
        <v>4396</v>
      </c>
      <c r="J109" s="24" t="s">
        <v>26</v>
      </c>
      <c r="K109" s="22">
        <f>SUM(G109,H109,I109)</f>
        <v>25005</v>
      </c>
      <c r="L109" s="23" t="s">
        <v>582</v>
      </c>
      <c r="M109" s="23" t="str">
        <f>VLOOKUP(L109,スキル!B:C,2,FALSE)</f>
        <v>単体固定ダメージ+味方ステータスDOWN解除</v>
      </c>
      <c r="N109" s="23" t="s">
        <v>18</v>
      </c>
      <c r="O109" s="23" t="str">
        <f>VLOOKUP(N109,スキル!B:C,2,FALSE)</f>
        <v>　</v>
      </c>
      <c r="P109" s="23" t="s">
        <v>44</v>
      </c>
      <c r="Q109" s="23" t="str">
        <f>VLOOKUP(P109,タクティクス!B:C,2,FALSE)</f>
        <v>遠属性の生存ユニットのHPを高確率で全回復</v>
      </c>
      <c r="R109" s="23" t="s">
        <v>18</v>
      </c>
      <c r="S109" s="23" t="str">
        <f>VLOOKUP(R109,タクティクス!B:C,2,FALSE)</f>
        <v>　</v>
      </c>
      <c r="T109" s="23" t="s">
        <v>18</v>
      </c>
      <c r="U109" s="23" t="s">
        <v>18</v>
      </c>
      <c r="V109" s="20" t="s">
        <v>1824</v>
      </c>
    </row>
    <row r="110" spans="1:22" ht="21.75" customHeight="1" x14ac:dyDescent="0.15">
      <c r="A110" s="20" t="str">
        <f>B110&amp;".jpg"</f>
        <v>1166.jpg</v>
      </c>
      <c r="B110" s="46">
        <v>1166</v>
      </c>
      <c r="C110" s="24" t="s">
        <v>71</v>
      </c>
      <c r="D110" s="24" t="s">
        <v>15</v>
      </c>
      <c r="E110" s="24">
        <v>13</v>
      </c>
      <c r="F110" s="24" t="s">
        <v>16</v>
      </c>
      <c r="G110" s="22">
        <v>13953</v>
      </c>
      <c r="H110" s="22">
        <v>7368</v>
      </c>
      <c r="I110" s="22">
        <v>5746</v>
      </c>
      <c r="J110" s="24" t="s">
        <v>17</v>
      </c>
      <c r="K110" s="22">
        <f>SUM(G110,H110,I110)</f>
        <v>27067</v>
      </c>
      <c r="L110" s="23" t="s">
        <v>525</v>
      </c>
      <c r="M110" s="23" t="str">
        <f>VLOOKUP(L110,スキル!B:C,2,FALSE)</f>
        <v>次の攻撃でダメージが上昇する[中]</v>
      </c>
      <c r="N110" s="23" t="s">
        <v>18</v>
      </c>
      <c r="O110" s="23" t="str">
        <f>VLOOKUP(N110,スキル!B:C,2,FALSE)</f>
        <v>　</v>
      </c>
      <c r="P110" s="23" t="s">
        <v>79</v>
      </c>
      <c r="Q110" s="23" t="str">
        <f>VLOOKUP(P110,タクティクス!B:C,2,FALSE)</f>
        <v>騎士団全体の防御力が小UP(3分間)</v>
      </c>
      <c r="R110" s="23" t="s">
        <v>18</v>
      </c>
      <c r="S110" s="23" t="str">
        <f>VLOOKUP(R110,タクティクス!B:C,2,FALSE)</f>
        <v>　</v>
      </c>
      <c r="T110" s="23" t="s">
        <v>18</v>
      </c>
      <c r="U110" s="23" t="s">
        <v>18</v>
      </c>
      <c r="V110" s="20" t="s">
        <v>1899</v>
      </c>
    </row>
    <row r="111" spans="1:22" ht="21.75" customHeight="1" x14ac:dyDescent="0.15">
      <c r="A111" s="20" t="str">
        <f>B111&amp;".jpg"</f>
        <v>1168.jpg</v>
      </c>
      <c r="B111" s="46">
        <v>1168</v>
      </c>
      <c r="C111" s="24" t="s">
        <v>80</v>
      </c>
      <c r="D111" s="24" t="s">
        <v>15</v>
      </c>
      <c r="E111" s="24">
        <v>13</v>
      </c>
      <c r="F111" s="24" t="s">
        <v>25</v>
      </c>
      <c r="G111" s="22">
        <v>15696</v>
      </c>
      <c r="H111" s="22">
        <v>5367</v>
      </c>
      <c r="I111" s="22">
        <v>6514</v>
      </c>
      <c r="J111" s="24" t="s">
        <v>26</v>
      </c>
      <c r="K111" s="22">
        <f>SUM(G111,H111,I111)</f>
        <v>27577</v>
      </c>
      <c r="L111" s="23" t="s">
        <v>584</v>
      </c>
      <c r="M111" s="23" t="str">
        <f>VLOOKUP(L111,スキル!B:C,2,FALSE)</f>
        <v>味方の攻撃に一定確率で追撃[高確率]</v>
      </c>
      <c r="N111" s="23" t="s">
        <v>18</v>
      </c>
      <c r="O111" s="23" t="str">
        <f>VLOOKUP(N111,スキル!B:C,2,FALSE)</f>
        <v>　</v>
      </c>
      <c r="P111" s="23" t="s">
        <v>81</v>
      </c>
      <c r="Q111" s="23" t="str">
        <f>VLOOKUP(P111,タクティクス!B:C,2,FALSE)</f>
        <v>騎士団全体の攻撃力が小UP(3分間)</v>
      </c>
      <c r="R111" s="23" t="s">
        <v>18</v>
      </c>
      <c r="S111" s="23" t="str">
        <f>VLOOKUP(R111,タクティクス!B:C,2,FALSE)</f>
        <v>　</v>
      </c>
      <c r="T111" s="23" t="s">
        <v>18</v>
      </c>
      <c r="U111" s="23" t="s">
        <v>18</v>
      </c>
      <c r="V111" s="20" t="s">
        <v>1899</v>
      </c>
    </row>
    <row r="112" spans="1:22" ht="21.75" customHeight="1" x14ac:dyDescent="0.15">
      <c r="A112" s="20" t="str">
        <f>B112&amp;".jpg"</f>
        <v>1170.jpg</v>
      </c>
      <c r="B112" s="46">
        <v>1170</v>
      </c>
      <c r="C112" s="24" t="s">
        <v>82</v>
      </c>
      <c r="D112" s="24" t="s">
        <v>15</v>
      </c>
      <c r="E112" s="24">
        <v>13</v>
      </c>
      <c r="F112" s="24" t="s">
        <v>34</v>
      </c>
      <c r="G112" s="22">
        <v>21342</v>
      </c>
      <c r="H112" s="22">
        <v>5538</v>
      </c>
      <c r="I112" s="22">
        <v>6466</v>
      </c>
      <c r="J112" s="24" t="s">
        <v>35</v>
      </c>
      <c r="K112" s="22">
        <f>SUM(G112,H112,I112)</f>
        <v>33346</v>
      </c>
      <c r="L112" s="23" t="s">
        <v>586</v>
      </c>
      <c r="M112" s="23" t="str">
        <f>VLOOKUP(L112,スキル!B:C,2,FALSE)</f>
        <v>味方打属性の攻撃力をUP[大]</v>
      </c>
      <c r="N112" s="23" t="s">
        <v>18</v>
      </c>
      <c r="O112" s="23" t="str">
        <f>VLOOKUP(N112,スキル!B:C,2,FALSE)</f>
        <v>　</v>
      </c>
      <c r="P112" s="23" t="s">
        <v>83</v>
      </c>
      <c r="Q112" s="23" t="str">
        <f>VLOOKUP(P112,タクティクス!B:C,2,FALSE)</f>
        <v>騎士団全体の攻・防が小UP(3分間)</v>
      </c>
      <c r="R112" s="23" t="s">
        <v>18</v>
      </c>
      <c r="S112" s="23" t="str">
        <f>VLOOKUP(R112,タクティクス!B:C,2,FALSE)</f>
        <v>　</v>
      </c>
      <c r="T112" s="23" t="s">
        <v>18</v>
      </c>
      <c r="U112" s="23" t="s">
        <v>18</v>
      </c>
      <c r="V112" s="20" t="s">
        <v>1899</v>
      </c>
    </row>
    <row r="113" spans="1:22" ht="21.75" customHeight="1" x14ac:dyDescent="0.15">
      <c r="A113" s="20" t="str">
        <f>B113&amp;".jpg"</f>
        <v>1172.jpg</v>
      </c>
      <c r="B113" s="46">
        <v>1172</v>
      </c>
      <c r="C113" s="24" t="s">
        <v>84</v>
      </c>
      <c r="D113" s="24" t="s">
        <v>15</v>
      </c>
      <c r="E113" s="24">
        <v>13</v>
      </c>
      <c r="F113" s="24" t="s">
        <v>41</v>
      </c>
      <c r="G113" s="22">
        <v>16658</v>
      </c>
      <c r="H113" s="22">
        <v>5811</v>
      </c>
      <c r="I113" s="22">
        <v>5126</v>
      </c>
      <c r="J113" s="24" t="s">
        <v>42</v>
      </c>
      <c r="K113" s="22">
        <f>SUM(G113,H113,I113)</f>
        <v>27595</v>
      </c>
      <c r="L113" s="23" t="s">
        <v>588</v>
      </c>
      <c r="M113" s="23" t="str">
        <f>VLOOKUP(L113,スキル!B:C,2,FALSE)</f>
        <v>味方1体を蘇生[HP中]</v>
      </c>
      <c r="N113" s="23" t="s">
        <v>18</v>
      </c>
      <c r="O113" s="23" t="str">
        <f>VLOOKUP(N113,スキル!B:C,2,FALSE)</f>
        <v>　</v>
      </c>
      <c r="P113" s="23" t="s">
        <v>85</v>
      </c>
      <c r="Q113" s="23" t="str">
        <f>VLOOKUP(P113,タクティクス!B:C,2,FALSE)</f>
        <v>バトル時の強襲CB率が小UP(3分間)</v>
      </c>
      <c r="R113" s="23" t="s">
        <v>18</v>
      </c>
      <c r="S113" s="23" t="str">
        <f>VLOOKUP(R113,タクティクス!B:C,2,FALSE)</f>
        <v>　</v>
      </c>
      <c r="T113" s="23" t="s">
        <v>18</v>
      </c>
      <c r="U113" s="23" t="s">
        <v>18</v>
      </c>
      <c r="V113" s="20" t="s">
        <v>1899</v>
      </c>
    </row>
    <row r="114" spans="1:22" ht="21.75" customHeight="1" x14ac:dyDescent="0.15">
      <c r="A114" s="20" t="str">
        <f>B114&amp;".jpg"</f>
        <v>1177.jpg</v>
      </c>
      <c r="B114" s="46">
        <v>1177</v>
      </c>
      <c r="C114" s="24" t="s">
        <v>86</v>
      </c>
      <c r="D114" s="24" t="s">
        <v>15</v>
      </c>
      <c r="E114" s="24">
        <v>12</v>
      </c>
      <c r="F114" s="24" t="s">
        <v>16</v>
      </c>
      <c r="G114" s="22">
        <v>13840</v>
      </c>
      <c r="H114" s="22">
        <v>6735</v>
      </c>
      <c r="I114" s="22">
        <v>4707</v>
      </c>
      <c r="J114" s="24" t="s">
        <v>55</v>
      </c>
      <c r="K114" s="22">
        <f>SUM(G114,H114,I114)</f>
        <v>25282</v>
      </c>
      <c r="L114" s="23" t="s">
        <v>590</v>
      </c>
      <c r="M114" s="23" t="str">
        <f>VLOOKUP(L114,スキル!B:C,2,FALSE)</f>
        <v>十字型に固定ダメージ[大]</v>
      </c>
      <c r="N114" s="23" t="s">
        <v>18</v>
      </c>
      <c r="O114" s="23" t="str">
        <f>VLOOKUP(N114,スキル!B:C,2,FALSE)</f>
        <v>　</v>
      </c>
      <c r="P114" s="23" t="s">
        <v>60</v>
      </c>
      <c r="Q114" s="23" t="str">
        <f>VLOOKUP(P114,タクティクス!B:C,2,FALSE)</f>
        <v>パーティ全体の攻・防が中UP(3分間)</v>
      </c>
      <c r="R114" s="23" t="s">
        <v>18</v>
      </c>
      <c r="S114" s="23" t="str">
        <f>VLOOKUP(R114,タクティクス!B:C,2,FALSE)</f>
        <v>　</v>
      </c>
      <c r="T114" s="23" t="s">
        <v>18</v>
      </c>
      <c r="U114" s="23" t="s">
        <v>18</v>
      </c>
      <c r="V114" s="20" t="s">
        <v>1836</v>
      </c>
    </row>
    <row r="115" spans="1:22" ht="21.75" customHeight="1" x14ac:dyDescent="0.15">
      <c r="A115" s="20" t="str">
        <f>B115&amp;".jpg"</f>
        <v>1179.jpg</v>
      </c>
      <c r="B115" s="46">
        <v>1179</v>
      </c>
      <c r="C115" s="24" t="s">
        <v>87</v>
      </c>
      <c r="D115" s="24" t="s">
        <v>15</v>
      </c>
      <c r="E115" s="24">
        <v>13</v>
      </c>
      <c r="F115" s="24" t="s">
        <v>16</v>
      </c>
      <c r="G115" s="22">
        <v>14324</v>
      </c>
      <c r="H115" s="22">
        <v>7766</v>
      </c>
      <c r="I115" s="22">
        <v>5246</v>
      </c>
      <c r="J115" s="24" t="s">
        <v>17</v>
      </c>
      <c r="K115" s="22">
        <f>SUM(G115,H115,I115)</f>
        <v>27336</v>
      </c>
      <c r="L115" s="23" t="s">
        <v>592</v>
      </c>
      <c r="M115" s="23" t="str">
        <f>VLOOKUP(L115,スキル!B:C,2,FALSE)</f>
        <v>味方斬属性の攻撃力をUP[大]</v>
      </c>
      <c r="N115" s="23" t="s">
        <v>18</v>
      </c>
      <c r="O115" s="23" t="str">
        <f>VLOOKUP(N115,スキル!B:C,2,FALSE)</f>
        <v>　</v>
      </c>
      <c r="P115" s="23" t="s">
        <v>47</v>
      </c>
      <c r="Q115" s="23" t="str">
        <f>VLOOKUP(P115,タクティクス!B:C,2,FALSE)</f>
        <v>斬属性の生存ユニットのHPを高確率で全回復</v>
      </c>
      <c r="R115" s="23" t="s">
        <v>18</v>
      </c>
      <c r="S115" s="23" t="str">
        <f>VLOOKUP(R115,タクティクス!B:C,2,FALSE)</f>
        <v>　</v>
      </c>
      <c r="T115" s="23" t="s">
        <v>18</v>
      </c>
      <c r="U115" s="23" t="s">
        <v>18</v>
      </c>
      <c r="V115" s="20" t="s">
        <v>1823</v>
      </c>
    </row>
    <row r="116" spans="1:22" ht="21.75" customHeight="1" x14ac:dyDescent="0.15">
      <c r="A116" s="20" t="str">
        <f>B116&amp;".jpg"</f>
        <v>1181.jpg</v>
      </c>
      <c r="B116" s="46">
        <v>1181</v>
      </c>
      <c r="C116" s="24" t="s">
        <v>88</v>
      </c>
      <c r="D116" s="24" t="s">
        <v>15</v>
      </c>
      <c r="E116" s="24">
        <v>13</v>
      </c>
      <c r="F116" s="24" t="s">
        <v>25</v>
      </c>
      <c r="G116" s="22">
        <v>16116</v>
      </c>
      <c r="H116" s="22">
        <v>5077</v>
      </c>
      <c r="I116" s="22">
        <v>5947</v>
      </c>
      <c r="J116" s="24" t="s">
        <v>31</v>
      </c>
      <c r="K116" s="22">
        <f>SUM(G116,H116,I116)</f>
        <v>27140</v>
      </c>
      <c r="L116" s="23" t="s">
        <v>594</v>
      </c>
      <c r="M116" s="23" t="str">
        <f>VLOOKUP(L116,スキル!B:C,2,FALSE)</f>
        <v>ランダムで5連続攻撃[小]</v>
      </c>
      <c r="N116" s="23" t="s">
        <v>18</v>
      </c>
      <c r="O116" s="23" t="str">
        <f>VLOOKUP(N116,スキル!B:C,2,FALSE)</f>
        <v>　</v>
      </c>
      <c r="P116" s="23" t="s">
        <v>27</v>
      </c>
      <c r="Q116" s="23" t="str">
        <f>VLOOKUP(P116,タクティクス!B:C,2,FALSE)</f>
        <v>パーティ全体の防御力が中UP(3分間)</v>
      </c>
      <c r="R116" s="23" t="s">
        <v>18</v>
      </c>
      <c r="S116" s="23" t="str">
        <f>VLOOKUP(R116,タクティクス!B:C,2,FALSE)</f>
        <v>　</v>
      </c>
      <c r="T116" s="23" t="s">
        <v>18</v>
      </c>
      <c r="U116" s="23" t="s">
        <v>18</v>
      </c>
      <c r="V116" s="20" t="s">
        <v>1823</v>
      </c>
    </row>
    <row r="117" spans="1:22" ht="21.75" customHeight="1" x14ac:dyDescent="0.15">
      <c r="A117" s="20" t="str">
        <f>B117&amp;".jpg"</f>
        <v>1183.jpg</v>
      </c>
      <c r="B117" s="46">
        <v>1183</v>
      </c>
      <c r="C117" s="24" t="s">
        <v>89</v>
      </c>
      <c r="D117" s="24" t="s">
        <v>15</v>
      </c>
      <c r="E117" s="24">
        <v>13</v>
      </c>
      <c r="F117" s="24" t="s">
        <v>34</v>
      </c>
      <c r="G117" s="22">
        <v>17905</v>
      </c>
      <c r="H117" s="22">
        <v>6595</v>
      </c>
      <c r="I117" s="22">
        <v>6394</v>
      </c>
      <c r="J117" s="24" t="s">
        <v>35</v>
      </c>
      <c r="K117" s="22">
        <f>SUM(G117,H117,I117)</f>
        <v>30894</v>
      </c>
      <c r="L117" s="23" t="s">
        <v>595</v>
      </c>
      <c r="M117" s="23" t="str">
        <f>VLOOKUP(L117,スキル!B:C,2,FALSE)</f>
        <v>最もダメージが多い味方1人のHP回復[大]</v>
      </c>
      <c r="N117" s="23" t="s">
        <v>18</v>
      </c>
      <c r="O117" s="23" t="str">
        <f>VLOOKUP(N117,スキル!B:C,2,FALSE)</f>
        <v>　</v>
      </c>
      <c r="P117" s="23" t="s">
        <v>63</v>
      </c>
      <c r="Q117" s="23" t="str">
        <f>VLOOKUP(P117,タクティクス!B:C,2,FALSE)</f>
        <v>高確率で打属性のユニットを復帰</v>
      </c>
      <c r="R117" s="23" t="s">
        <v>18</v>
      </c>
      <c r="S117" s="23" t="str">
        <f>VLOOKUP(R117,タクティクス!B:C,2,FALSE)</f>
        <v>　</v>
      </c>
      <c r="T117" s="23" t="s">
        <v>18</v>
      </c>
      <c r="U117" s="23" t="s">
        <v>18</v>
      </c>
      <c r="V117" s="20" t="s">
        <v>1823</v>
      </c>
    </row>
    <row r="118" spans="1:22" ht="21.75" customHeight="1" x14ac:dyDescent="0.15">
      <c r="A118" s="20" t="str">
        <f>B118&amp;".jpg"</f>
        <v>1185.jpg</v>
      </c>
      <c r="B118" s="46">
        <v>1185</v>
      </c>
      <c r="C118" s="24" t="s">
        <v>90</v>
      </c>
      <c r="D118" s="24" t="s">
        <v>15</v>
      </c>
      <c r="E118" s="24">
        <v>13</v>
      </c>
      <c r="F118" s="24" t="s">
        <v>41</v>
      </c>
      <c r="G118" s="22">
        <v>18365</v>
      </c>
      <c r="H118" s="22">
        <v>5436</v>
      </c>
      <c r="I118" s="22">
        <v>4897</v>
      </c>
      <c r="J118" s="24" t="s">
        <v>42</v>
      </c>
      <c r="K118" s="22">
        <f>SUM(G118,H118,I118)</f>
        <v>28698</v>
      </c>
      <c r="L118" s="23" t="s">
        <v>597</v>
      </c>
      <c r="M118" s="23" t="str">
        <f>VLOOKUP(L118,スキル!B:C,2,FALSE)</f>
        <v>一定確率で敵を暗闇状態にする[高確率]</v>
      </c>
      <c r="N118" s="23" t="s">
        <v>18</v>
      </c>
      <c r="O118" s="23" t="str">
        <f>VLOOKUP(N118,スキル!B:C,2,FALSE)</f>
        <v>　</v>
      </c>
      <c r="P118" s="23" t="s">
        <v>51</v>
      </c>
      <c r="Q118" s="23" t="str">
        <f>VLOOKUP(P118,タクティクス!B:C,2,FALSE)</f>
        <v>獲得する騎士団戦スコアが中アップ(バトル3回)</v>
      </c>
      <c r="R118" s="23" t="s">
        <v>18</v>
      </c>
      <c r="S118" s="23" t="str">
        <f>VLOOKUP(R118,タクティクス!B:C,2,FALSE)</f>
        <v>　</v>
      </c>
      <c r="T118" s="23" t="s">
        <v>18</v>
      </c>
      <c r="U118" s="23" t="s">
        <v>18</v>
      </c>
      <c r="V118" s="20" t="s">
        <v>1823</v>
      </c>
    </row>
    <row r="119" spans="1:22" ht="21.75" customHeight="1" x14ac:dyDescent="0.15">
      <c r="A119" s="20" t="str">
        <f>B119&amp;".jpg"</f>
        <v>1187.jpg</v>
      </c>
      <c r="B119" s="46">
        <v>1187</v>
      </c>
      <c r="C119" s="24" t="s">
        <v>91</v>
      </c>
      <c r="D119" s="24" t="s">
        <v>15</v>
      </c>
      <c r="E119" s="24">
        <v>12</v>
      </c>
      <c r="F119" s="24" t="s">
        <v>16</v>
      </c>
      <c r="G119" s="22">
        <v>14715</v>
      </c>
      <c r="H119" s="22">
        <v>6766</v>
      </c>
      <c r="I119" s="22">
        <v>4952</v>
      </c>
      <c r="J119" s="24" t="s">
        <v>17</v>
      </c>
      <c r="K119" s="22">
        <f>SUM(G119,H119,I119)</f>
        <v>26433</v>
      </c>
      <c r="L119" s="23" t="s">
        <v>599</v>
      </c>
      <c r="M119" s="23" t="str">
        <f>VLOOKUP(L119,スキル!B:C,2,FALSE)</f>
        <v>敵単体の防御力をDOWN[大]</v>
      </c>
      <c r="N119" s="23" t="s">
        <v>18</v>
      </c>
      <c r="O119" s="23" t="str">
        <f>VLOOKUP(N119,スキル!B:C,2,FALSE)</f>
        <v>　</v>
      </c>
      <c r="P119" s="23" t="s">
        <v>36</v>
      </c>
      <c r="Q119" s="23" t="str">
        <f>VLOOKUP(P119,タクティクス!B:C,2,FALSE)</f>
        <v>中確率で戦闘不能ユニットを復帰</v>
      </c>
      <c r="R119" s="23" t="s">
        <v>18</v>
      </c>
      <c r="S119" s="23" t="str">
        <f>VLOOKUP(R119,タクティクス!B:C,2,FALSE)</f>
        <v>　</v>
      </c>
      <c r="T119" s="23" t="s">
        <v>18</v>
      </c>
      <c r="U119" s="23" t="s">
        <v>18</v>
      </c>
      <c r="V119" s="20" t="s">
        <v>1824</v>
      </c>
    </row>
    <row r="120" spans="1:22" ht="21.75" customHeight="1" x14ac:dyDescent="0.15">
      <c r="A120" s="20" t="str">
        <f>B120&amp;".jpg"</f>
        <v>1188.jpg</v>
      </c>
      <c r="B120" s="46">
        <v>1188</v>
      </c>
      <c r="C120" s="24" t="s">
        <v>92</v>
      </c>
      <c r="D120" s="24" t="s">
        <v>15</v>
      </c>
      <c r="E120" s="24">
        <v>12</v>
      </c>
      <c r="F120" s="24" t="s">
        <v>34</v>
      </c>
      <c r="G120" s="22">
        <v>20391</v>
      </c>
      <c r="H120" s="22">
        <v>5021</v>
      </c>
      <c r="I120" s="22">
        <v>6180</v>
      </c>
      <c r="J120" s="24" t="s">
        <v>35</v>
      </c>
      <c r="K120" s="22">
        <f>SUM(G120,H120,I120)</f>
        <v>31592</v>
      </c>
      <c r="L120" s="23" t="s">
        <v>545</v>
      </c>
      <c r="M120" s="23" t="str">
        <f>VLOOKUP(L120,スキル!B:C,2,FALSE)</f>
        <v>縦一列に固定ダメージ[大]</v>
      </c>
      <c r="N120" s="23" t="s">
        <v>18</v>
      </c>
      <c r="O120" s="23" t="str">
        <f>VLOOKUP(N120,スキル!B:C,2,FALSE)</f>
        <v>　</v>
      </c>
      <c r="P120" s="23" t="s">
        <v>85</v>
      </c>
      <c r="Q120" s="23" t="str">
        <f>VLOOKUP(P120,タクティクス!B:C,2,FALSE)</f>
        <v>バトル時の強襲CB率が小UP(3分間)</v>
      </c>
      <c r="R120" s="23" t="s">
        <v>18</v>
      </c>
      <c r="S120" s="23" t="str">
        <f>VLOOKUP(R120,タクティクス!B:C,2,FALSE)</f>
        <v>　</v>
      </c>
      <c r="T120" s="23" t="s">
        <v>18</v>
      </c>
      <c r="U120" s="23" t="s">
        <v>18</v>
      </c>
      <c r="V120" s="20" t="s">
        <v>1825</v>
      </c>
    </row>
    <row r="121" spans="1:22" ht="21.75" customHeight="1" x14ac:dyDescent="0.15">
      <c r="A121" s="20" t="str">
        <f>B121&amp;".jpg"</f>
        <v>1191.jpg</v>
      </c>
      <c r="B121" s="46">
        <v>1191</v>
      </c>
      <c r="C121" s="24" t="s">
        <v>93</v>
      </c>
      <c r="D121" s="24" t="s">
        <v>15</v>
      </c>
      <c r="E121" s="24">
        <v>12</v>
      </c>
      <c r="F121" s="24" t="s">
        <v>25</v>
      </c>
      <c r="G121" s="22">
        <v>16467</v>
      </c>
      <c r="H121" s="22">
        <v>4902</v>
      </c>
      <c r="I121" s="22">
        <v>5643</v>
      </c>
      <c r="J121" s="24" t="s">
        <v>26</v>
      </c>
      <c r="K121" s="22">
        <f>SUM(G121,H121,I121)</f>
        <v>27012</v>
      </c>
      <c r="L121" s="23" t="s">
        <v>601</v>
      </c>
      <c r="M121" s="23" t="str">
        <f>VLOOKUP(L121,スキル!B:C,2,FALSE)</f>
        <v>単体固定ダメージ[中]+敵ステータスUP解除</v>
      </c>
      <c r="N121" s="23" t="s">
        <v>18</v>
      </c>
      <c r="O121" s="23" t="str">
        <f>VLOOKUP(N121,スキル!B:C,2,FALSE)</f>
        <v>　</v>
      </c>
      <c r="P121" s="23" t="s">
        <v>23</v>
      </c>
      <c r="Q121" s="23" t="str">
        <f>VLOOKUP(P121,タクティクス!B:C,2,FALSE)</f>
        <v>パーティ全体の攻撃力が中UP(3分間)</v>
      </c>
      <c r="R121" s="23" t="s">
        <v>18</v>
      </c>
      <c r="S121" s="23" t="str">
        <f>VLOOKUP(R121,タクティクス!B:C,2,FALSE)</f>
        <v>　</v>
      </c>
      <c r="T121" s="23" t="s">
        <v>18</v>
      </c>
      <c r="U121" s="23" t="s">
        <v>18</v>
      </c>
      <c r="V121" s="20" t="s">
        <v>1837</v>
      </c>
    </row>
    <row r="122" spans="1:22" ht="21.75" customHeight="1" x14ac:dyDescent="0.15">
      <c r="A122" s="20" t="str">
        <f>B122&amp;".jpg"</f>
        <v>1193.jpg</v>
      </c>
      <c r="B122" s="46">
        <v>1193</v>
      </c>
      <c r="C122" s="24" t="s">
        <v>94</v>
      </c>
      <c r="D122" s="24" t="s">
        <v>15</v>
      </c>
      <c r="E122" s="24">
        <v>13</v>
      </c>
      <c r="F122" s="24" t="s">
        <v>16</v>
      </c>
      <c r="G122" s="22">
        <v>16112</v>
      </c>
      <c r="H122" s="22">
        <v>7410</v>
      </c>
      <c r="I122" s="22">
        <v>4979</v>
      </c>
      <c r="J122" s="24" t="s">
        <v>17</v>
      </c>
      <c r="K122" s="22">
        <f>SUM(G122,H122,I122)</f>
        <v>28501</v>
      </c>
      <c r="L122" s="23" t="s">
        <v>533</v>
      </c>
      <c r="M122" s="23" t="str">
        <f>VLOOKUP(L122,スキル!B:C,2,FALSE)</f>
        <v>横一列に固定ダメージ[大]</v>
      </c>
      <c r="N122" s="23" t="s">
        <v>18</v>
      </c>
      <c r="O122" s="23" t="str">
        <f>VLOOKUP(N122,スキル!B:C,2,FALSE)</f>
        <v>　</v>
      </c>
      <c r="P122" s="23" t="s">
        <v>83</v>
      </c>
      <c r="Q122" s="23" t="str">
        <f>VLOOKUP(P122,タクティクス!B:C,2,FALSE)</f>
        <v>騎士団全体の攻・防が小UP(3分間)</v>
      </c>
      <c r="R122" s="23" t="s">
        <v>18</v>
      </c>
      <c r="S122" s="23" t="str">
        <f>VLOOKUP(R122,タクティクス!B:C,2,FALSE)</f>
        <v>　</v>
      </c>
      <c r="T122" s="23" t="s">
        <v>18</v>
      </c>
      <c r="U122" s="23" t="s">
        <v>18</v>
      </c>
      <c r="V122" s="20" t="s">
        <v>1823</v>
      </c>
    </row>
    <row r="123" spans="1:22" ht="21.75" customHeight="1" x14ac:dyDescent="0.15">
      <c r="A123" s="20" t="str">
        <f>B123&amp;".jpg"</f>
        <v>1195.jpg</v>
      </c>
      <c r="B123" s="46">
        <v>1195</v>
      </c>
      <c r="C123" s="24" t="s">
        <v>95</v>
      </c>
      <c r="D123" s="24" t="s">
        <v>15</v>
      </c>
      <c r="E123" s="24">
        <v>13</v>
      </c>
      <c r="F123" s="24" t="s">
        <v>25</v>
      </c>
      <c r="G123" s="22">
        <v>17931</v>
      </c>
      <c r="H123" s="22">
        <v>4646</v>
      </c>
      <c r="I123" s="22">
        <v>6545</v>
      </c>
      <c r="J123" s="24" t="s">
        <v>26</v>
      </c>
      <c r="K123" s="22">
        <f>SUM(G123,H123,I123)</f>
        <v>29122</v>
      </c>
      <c r="L123" s="23" t="s">
        <v>527</v>
      </c>
      <c r="M123" s="23" t="str">
        <f>VLOOKUP(L123,スキル!B:C,2,FALSE)</f>
        <v>ランダムで5連固定ダメージ[小]</v>
      </c>
      <c r="N123" s="23" t="s">
        <v>18</v>
      </c>
      <c r="O123" s="23" t="str">
        <f>VLOOKUP(N123,スキル!B:C,2,FALSE)</f>
        <v>　</v>
      </c>
      <c r="P123" s="23" t="s">
        <v>79</v>
      </c>
      <c r="Q123" s="23" t="str">
        <f>VLOOKUP(P123,タクティクス!B:C,2,FALSE)</f>
        <v>騎士団全体の防御力が小UP(3分間)</v>
      </c>
      <c r="R123" s="23" t="s">
        <v>18</v>
      </c>
      <c r="S123" s="23" t="str">
        <f>VLOOKUP(R123,タクティクス!B:C,2,FALSE)</f>
        <v>　</v>
      </c>
      <c r="T123" s="23" t="s">
        <v>18</v>
      </c>
      <c r="U123" s="23" t="s">
        <v>18</v>
      </c>
      <c r="V123" s="20" t="s">
        <v>1823</v>
      </c>
    </row>
    <row r="124" spans="1:22" ht="21.75" customHeight="1" x14ac:dyDescent="0.15">
      <c r="A124" s="20" t="str">
        <f>B124&amp;".jpg"</f>
        <v>1197.jpg</v>
      </c>
      <c r="B124" s="46">
        <v>1197</v>
      </c>
      <c r="C124" s="24" t="s">
        <v>96</v>
      </c>
      <c r="D124" s="24" t="s">
        <v>15</v>
      </c>
      <c r="E124" s="24">
        <v>13</v>
      </c>
      <c r="F124" s="24" t="s">
        <v>34</v>
      </c>
      <c r="G124" s="22">
        <v>19922</v>
      </c>
      <c r="H124" s="22">
        <v>5363</v>
      </c>
      <c r="I124" s="22">
        <v>7117</v>
      </c>
      <c r="J124" s="24" t="s">
        <v>35</v>
      </c>
      <c r="K124" s="22">
        <f>SUM(G124,H124,I124)</f>
        <v>32402</v>
      </c>
      <c r="L124" s="24" t="s">
        <v>535</v>
      </c>
      <c r="M124" s="23" t="str">
        <f>VLOOKUP(L124,スキル!B:C,2,FALSE)</f>
        <v>X字型に固定ダメージ[大]</v>
      </c>
      <c r="N124" s="23" t="s">
        <v>18</v>
      </c>
      <c r="O124" s="23" t="str">
        <f>VLOOKUP(N124,スキル!B:C,2,FALSE)</f>
        <v>　</v>
      </c>
      <c r="P124" s="23" t="s">
        <v>56</v>
      </c>
      <c r="Q124" s="23" t="str">
        <f>VLOOKUP(P124,タクティクス!B:C,2,FALSE)</f>
        <v>バトルで敵を全滅するとBPが中回復(バトル3回)</v>
      </c>
      <c r="R124" s="23" t="s">
        <v>18</v>
      </c>
      <c r="S124" s="23" t="str">
        <f>VLOOKUP(R124,タクティクス!B:C,2,FALSE)</f>
        <v>　</v>
      </c>
      <c r="T124" s="23" t="s">
        <v>18</v>
      </c>
      <c r="U124" s="23" t="s">
        <v>18</v>
      </c>
      <c r="V124" s="20" t="s">
        <v>1823</v>
      </c>
    </row>
    <row r="125" spans="1:22" ht="21.75" customHeight="1" x14ac:dyDescent="0.15">
      <c r="A125" s="20" t="str">
        <f>B125&amp;".jpg"</f>
        <v>1199.jpg</v>
      </c>
      <c r="B125" s="46">
        <v>1199</v>
      </c>
      <c r="C125" s="24" t="s">
        <v>97</v>
      </c>
      <c r="D125" s="24" t="s">
        <v>15</v>
      </c>
      <c r="E125" s="24">
        <v>13</v>
      </c>
      <c r="F125" s="24" t="s">
        <v>41</v>
      </c>
      <c r="G125" s="22">
        <v>17332</v>
      </c>
      <c r="H125" s="22">
        <v>5267</v>
      </c>
      <c r="I125" s="22">
        <v>5391</v>
      </c>
      <c r="J125" s="24" t="s">
        <v>42</v>
      </c>
      <c r="K125" s="22">
        <f>SUM(G125,H125,I125)</f>
        <v>27990</v>
      </c>
      <c r="L125" s="23" t="s">
        <v>603</v>
      </c>
      <c r="M125" s="23" t="str">
        <f>VLOOKUP(L125,スキル!B:C,2,FALSE)</f>
        <v>味方遠属性の攻撃力と防御力をUP[大]</v>
      </c>
      <c r="N125" s="23" t="s">
        <v>18</v>
      </c>
      <c r="O125" s="23" t="str">
        <f>VLOOKUP(N125,スキル!B:C,2,FALSE)</f>
        <v>　</v>
      </c>
      <c r="P125" s="23" t="s">
        <v>81</v>
      </c>
      <c r="Q125" s="23" t="str">
        <f>VLOOKUP(P125,タクティクス!B:C,2,FALSE)</f>
        <v>騎士団全体の攻撃力が小UP(3分間)</v>
      </c>
      <c r="R125" s="23" t="s">
        <v>18</v>
      </c>
      <c r="S125" s="23" t="str">
        <f>VLOOKUP(R125,タクティクス!B:C,2,FALSE)</f>
        <v>　</v>
      </c>
      <c r="T125" s="23" t="s">
        <v>18</v>
      </c>
      <c r="U125" s="23" t="s">
        <v>18</v>
      </c>
      <c r="V125" s="20" t="s">
        <v>1823</v>
      </c>
    </row>
    <row r="126" spans="1:22" ht="21.75" customHeight="1" x14ac:dyDescent="0.15">
      <c r="A126" s="20" t="str">
        <f>B126&amp;".jpg"</f>
        <v>1202.jpg</v>
      </c>
      <c r="B126" s="46">
        <v>1202</v>
      </c>
      <c r="C126" s="24" t="s">
        <v>98</v>
      </c>
      <c r="D126" s="24" t="s">
        <v>15</v>
      </c>
      <c r="E126" s="24">
        <v>12</v>
      </c>
      <c r="F126" s="24" t="s">
        <v>34</v>
      </c>
      <c r="G126" s="22">
        <v>18393</v>
      </c>
      <c r="H126" s="22">
        <v>5284</v>
      </c>
      <c r="I126" s="22">
        <v>6569</v>
      </c>
      <c r="J126" s="24" t="s">
        <v>35</v>
      </c>
      <c r="K126" s="22">
        <f>SUM(G126,H126,I126)</f>
        <v>30246</v>
      </c>
      <c r="L126" s="23" t="s">
        <v>605</v>
      </c>
      <c r="M126" s="23" t="str">
        <f>VLOOKUP(L126,スキル!B:C,2,FALSE)</f>
        <v>味方打属性の攻撃力と防御力をUP[大]</v>
      </c>
      <c r="N126" s="23" t="s">
        <v>18</v>
      </c>
      <c r="O126" s="23" t="str">
        <f>VLOOKUP(N126,スキル!B:C,2,FALSE)</f>
        <v>　</v>
      </c>
      <c r="P126" s="23" t="s">
        <v>51</v>
      </c>
      <c r="Q126" s="23" t="str">
        <f>VLOOKUP(P126,タクティクス!B:C,2,FALSE)</f>
        <v>獲得する騎士団戦スコアが中アップ(バトル3回)</v>
      </c>
      <c r="R126" s="23" t="s">
        <v>18</v>
      </c>
      <c r="S126" s="23" t="str">
        <f>VLOOKUP(R126,タクティクス!B:C,2,FALSE)</f>
        <v>　</v>
      </c>
      <c r="T126" s="23" t="s">
        <v>18</v>
      </c>
      <c r="U126" s="23" t="s">
        <v>18</v>
      </c>
      <c r="V126" s="20" t="s">
        <v>1835</v>
      </c>
    </row>
    <row r="127" spans="1:22" ht="21.75" customHeight="1" x14ac:dyDescent="0.15">
      <c r="A127" s="20" t="str">
        <f>B127&amp;".jpg"</f>
        <v>1203.jpg</v>
      </c>
      <c r="B127" s="46">
        <v>1203</v>
      </c>
      <c r="C127" s="24" t="s">
        <v>98</v>
      </c>
      <c r="D127" s="24" t="s">
        <v>15</v>
      </c>
      <c r="E127" s="24">
        <v>13</v>
      </c>
      <c r="F127" s="24" t="s">
        <v>34</v>
      </c>
      <c r="G127" s="22">
        <v>19249</v>
      </c>
      <c r="H127" s="22">
        <v>5828</v>
      </c>
      <c r="I127" s="22">
        <v>6875</v>
      </c>
      <c r="J127" s="24" t="s">
        <v>35</v>
      </c>
      <c r="K127" s="22">
        <f>SUM(G127,H127,I127)</f>
        <v>31952</v>
      </c>
      <c r="L127" s="23" t="s">
        <v>605</v>
      </c>
      <c r="M127" s="23" t="str">
        <f>VLOOKUP(L127,スキル!B:C,2,FALSE)</f>
        <v>味方打属性の攻撃力と防御力をUP[大]</v>
      </c>
      <c r="N127" s="23" t="s">
        <v>18</v>
      </c>
      <c r="O127" s="23" t="str">
        <f>VLOOKUP(N127,スキル!B:C,2,FALSE)</f>
        <v>　</v>
      </c>
      <c r="P127" s="23" t="s">
        <v>51</v>
      </c>
      <c r="Q127" s="23" t="str">
        <f>VLOOKUP(P127,タクティクス!B:C,2,FALSE)</f>
        <v>獲得する騎士団戦スコアが中アップ(バトル3回)</v>
      </c>
      <c r="R127" s="23" t="s">
        <v>18</v>
      </c>
      <c r="S127" s="23" t="str">
        <f>VLOOKUP(R127,タクティクス!B:C,2,FALSE)</f>
        <v>　</v>
      </c>
      <c r="T127" s="23" t="s">
        <v>18</v>
      </c>
      <c r="U127" s="23" t="s">
        <v>18</v>
      </c>
      <c r="V127" s="20" t="s">
        <v>1835</v>
      </c>
    </row>
    <row r="128" spans="1:22" ht="21.75" customHeight="1" x14ac:dyDescent="0.15">
      <c r="A128" s="20" t="str">
        <f>B128&amp;".jpg"</f>
        <v>1205.jpg</v>
      </c>
      <c r="B128" s="46">
        <v>1205</v>
      </c>
      <c r="C128" s="24" t="s">
        <v>99</v>
      </c>
      <c r="D128" s="24" t="s">
        <v>15</v>
      </c>
      <c r="E128" s="24">
        <v>12</v>
      </c>
      <c r="F128" s="24" t="s">
        <v>25</v>
      </c>
      <c r="G128" s="22">
        <v>15651</v>
      </c>
      <c r="H128" s="22">
        <v>5494</v>
      </c>
      <c r="I128" s="22">
        <v>5308</v>
      </c>
      <c r="J128" s="24" t="s">
        <v>26</v>
      </c>
      <c r="K128" s="22">
        <f>SUM(G128,H128,I128)</f>
        <v>26453</v>
      </c>
      <c r="L128" s="23" t="s">
        <v>607</v>
      </c>
      <c r="M128" s="23" t="str">
        <f>VLOOKUP(L128,スキル!B:C,2,FALSE)</f>
        <v>ランダムで4連続攻撃[小]</v>
      </c>
      <c r="N128" s="23" t="s">
        <v>18</v>
      </c>
      <c r="O128" s="23" t="str">
        <f>VLOOKUP(N128,スキル!B:C,2,FALSE)</f>
        <v>　</v>
      </c>
      <c r="P128" s="23" t="s">
        <v>19</v>
      </c>
      <c r="Q128" s="23" t="str">
        <f>VLOOKUP(P128,タクティクス!B:C,2,FALSE)</f>
        <v>中確率でパーティ全員を復帰(全滅時のみ使用可)</v>
      </c>
      <c r="R128" s="23" t="s">
        <v>18</v>
      </c>
      <c r="S128" s="23" t="str">
        <f>VLOOKUP(R128,タクティクス!B:C,2,FALSE)</f>
        <v>　</v>
      </c>
      <c r="T128" s="23" t="s">
        <v>18</v>
      </c>
      <c r="U128" s="23" t="s">
        <v>18</v>
      </c>
      <c r="V128" s="20" t="s">
        <v>1824</v>
      </c>
    </row>
    <row r="129" spans="1:22" ht="21.75" customHeight="1" x14ac:dyDescent="0.15">
      <c r="A129" s="20" t="str">
        <f>B129&amp;".jpg"</f>
        <v>1208.jpg</v>
      </c>
      <c r="B129" s="46">
        <v>1208</v>
      </c>
      <c r="C129" s="24" t="s">
        <v>100</v>
      </c>
      <c r="D129" s="24" t="s">
        <v>15</v>
      </c>
      <c r="E129" s="24">
        <v>12</v>
      </c>
      <c r="F129" s="24" t="s">
        <v>41</v>
      </c>
      <c r="G129" s="22">
        <v>14577</v>
      </c>
      <c r="H129" s="22">
        <v>5842</v>
      </c>
      <c r="I129" s="22">
        <v>4836</v>
      </c>
      <c r="J129" s="24" t="s">
        <v>42</v>
      </c>
      <c r="K129" s="22">
        <f>SUM(G129,H129,I129)</f>
        <v>25255</v>
      </c>
      <c r="L129" s="23" t="s">
        <v>609</v>
      </c>
      <c r="M129" s="23" t="str">
        <f>VLOOKUP(L129,スキル!B:C,2,FALSE)</f>
        <v>単体固定ダメージ[中]+味方状態異常解除</v>
      </c>
      <c r="N129" s="23" t="s">
        <v>18</v>
      </c>
      <c r="O129" s="23" t="str">
        <f>VLOOKUP(N129,スキル!B:C,2,FALSE)</f>
        <v>　</v>
      </c>
      <c r="P129" s="23" t="s">
        <v>53</v>
      </c>
      <c r="Q129" s="23" t="str">
        <f>VLOOKUP(P129,タクティクス!B:C,2,FALSE)</f>
        <v>高確率で遠属性のユニットを復帰</v>
      </c>
      <c r="R129" s="23" t="s">
        <v>18</v>
      </c>
      <c r="S129" s="23" t="str">
        <f>VLOOKUP(R129,タクティクス!B:C,2,FALSE)</f>
        <v>　</v>
      </c>
      <c r="T129" s="23" t="s">
        <v>18</v>
      </c>
      <c r="U129" s="23" t="s">
        <v>18</v>
      </c>
      <c r="V129" s="20" t="s">
        <v>1826</v>
      </c>
    </row>
    <row r="130" spans="1:22" ht="21.75" customHeight="1" x14ac:dyDescent="0.15">
      <c r="A130" s="20" t="str">
        <f>B130&amp;".jpg"</f>
        <v>1211.jpg</v>
      </c>
      <c r="B130" s="46">
        <v>1211</v>
      </c>
      <c r="C130" s="24" t="s">
        <v>101</v>
      </c>
      <c r="D130" s="24" t="s">
        <v>15</v>
      </c>
      <c r="E130" s="24">
        <v>13</v>
      </c>
      <c r="F130" s="24" t="s">
        <v>16</v>
      </c>
      <c r="G130" s="22">
        <v>16198</v>
      </c>
      <c r="H130" s="22">
        <v>7451</v>
      </c>
      <c r="I130" s="22">
        <v>4952</v>
      </c>
      <c r="J130" s="24" t="s">
        <v>17</v>
      </c>
      <c r="K130" s="22">
        <f>SUM(G130,H130,I130)</f>
        <v>28601</v>
      </c>
      <c r="L130" s="23" t="s">
        <v>529</v>
      </c>
      <c r="M130" s="23" t="str">
        <f>VLOOKUP(L130,スキル!B:C,2,FALSE)</f>
        <v>横一列に攻撃[大]</v>
      </c>
      <c r="N130" s="23" t="s">
        <v>18</v>
      </c>
      <c r="O130" s="23" t="str">
        <f>VLOOKUP(N130,スキル!B:C,2,FALSE)</f>
        <v>　</v>
      </c>
      <c r="P130" s="23" t="s">
        <v>60</v>
      </c>
      <c r="Q130" s="23" t="str">
        <f>VLOOKUP(P130,タクティクス!B:C,2,FALSE)</f>
        <v>パーティ全体の攻・防が中UP(3分間)</v>
      </c>
      <c r="R130" s="23" t="s">
        <v>18</v>
      </c>
      <c r="S130" s="23" t="str">
        <f>VLOOKUP(R130,タクティクス!B:C,2,FALSE)</f>
        <v>　</v>
      </c>
      <c r="T130" s="23" t="s">
        <v>18</v>
      </c>
      <c r="U130" s="23" t="s">
        <v>18</v>
      </c>
      <c r="V130" s="20" t="s">
        <v>1899</v>
      </c>
    </row>
    <row r="131" spans="1:22" ht="21.75" customHeight="1" x14ac:dyDescent="0.15">
      <c r="A131" s="20" t="str">
        <f>B131&amp;".jpg"</f>
        <v>1212.jpg</v>
      </c>
      <c r="B131" s="46">
        <v>1212</v>
      </c>
      <c r="C131" s="24" t="s">
        <v>102</v>
      </c>
      <c r="D131" s="24" t="s">
        <v>15</v>
      </c>
      <c r="E131" s="24">
        <v>13</v>
      </c>
      <c r="F131" s="24" t="s">
        <v>16</v>
      </c>
      <c r="G131" s="22">
        <v>17818</v>
      </c>
      <c r="H131" s="22">
        <v>6949</v>
      </c>
      <c r="I131" s="22">
        <v>4981</v>
      </c>
      <c r="J131" s="24" t="s">
        <v>17</v>
      </c>
      <c r="K131" s="22">
        <f>SUM(G131,H131,I131)</f>
        <v>29748</v>
      </c>
      <c r="L131" s="23" t="s">
        <v>611</v>
      </c>
      <c r="M131" s="23" t="str">
        <f>VLOOKUP(L131,スキル!B:C,2,FALSE)</f>
        <v>一定確率で敵の攻撃を引き付ける[高確率]</v>
      </c>
      <c r="N131" s="23" t="s">
        <v>18</v>
      </c>
      <c r="O131" s="23" t="str">
        <f>VLOOKUP(N131,スキル!B:C,2,FALSE)</f>
        <v>　</v>
      </c>
      <c r="P131" s="23" t="s">
        <v>51</v>
      </c>
      <c r="Q131" s="23" t="str">
        <f>VLOOKUP(P131,タクティクス!B:C,2,FALSE)</f>
        <v>獲得する騎士団戦スコアが中アップ(バトル3回)</v>
      </c>
      <c r="R131" s="23" t="s">
        <v>18</v>
      </c>
      <c r="S131" s="23" t="str">
        <f>VLOOKUP(R131,タクティクス!B:C,2,FALSE)</f>
        <v>　</v>
      </c>
      <c r="T131" s="23" t="s">
        <v>18</v>
      </c>
      <c r="U131" s="23" t="s">
        <v>18</v>
      </c>
      <c r="V131" s="20" t="s">
        <v>1823</v>
      </c>
    </row>
    <row r="132" spans="1:22" ht="21.75" customHeight="1" x14ac:dyDescent="0.15">
      <c r="A132" s="20" t="str">
        <f>B132&amp;".jpg"</f>
        <v>1214.jpg</v>
      </c>
      <c r="B132" s="46">
        <v>1214</v>
      </c>
      <c r="C132" s="24" t="s">
        <v>103</v>
      </c>
      <c r="D132" s="24" t="s">
        <v>15</v>
      </c>
      <c r="E132" s="24">
        <v>12</v>
      </c>
      <c r="F132" s="24" t="s">
        <v>41</v>
      </c>
      <c r="G132" s="22">
        <v>17929</v>
      </c>
      <c r="H132" s="22">
        <v>5308</v>
      </c>
      <c r="I132" s="22">
        <v>4349</v>
      </c>
      <c r="J132" s="24" t="s">
        <v>42</v>
      </c>
      <c r="K132" s="22">
        <f>SUM(G132,H132,I132)</f>
        <v>27586</v>
      </c>
      <c r="L132" s="23" t="s">
        <v>613</v>
      </c>
      <c r="M132" s="23" t="str">
        <f>VLOOKUP(L132,スキル!B:C,2,FALSE)</f>
        <v>味方遠属性の防御力をUP[大]</v>
      </c>
      <c r="N132" s="23" t="s">
        <v>18</v>
      </c>
      <c r="O132" s="23" t="str">
        <f>VLOOKUP(N132,スキル!B:C,2,FALSE)</f>
        <v>　</v>
      </c>
      <c r="P132" s="23" t="s">
        <v>44</v>
      </c>
      <c r="Q132" s="23" t="str">
        <f>VLOOKUP(P132,タクティクス!B:C,2,FALSE)</f>
        <v>遠属性の生存ユニットのHPを高確率で全回復</v>
      </c>
      <c r="R132" s="23" t="s">
        <v>18</v>
      </c>
      <c r="S132" s="23" t="str">
        <f>VLOOKUP(R132,タクティクス!B:C,2,FALSE)</f>
        <v>　</v>
      </c>
      <c r="T132" s="23" t="s">
        <v>18</v>
      </c>
      <c r="U132" s="23" t="s">
        <v>18</v>
      </c>
      <c r="V132" s="20" t="s">
        <v>1824</v>
      </c>
    </row>
    <row r="133" spans="1:22" ht="21.75" customHeight="1" x14ac:dyDescent="0.15">
      <c r="A133" s="20" t="str">
        <f>B133&amp;".jpg"</f>
        <v>1216.jpg</v>
      </c>
      <c r="B133" s="46">
        <v>1216</v>
      </c>
      <c r="C133" s="24" t="s">
        <v>104</v>
      </c>
      <c r="D133" s="24" t="s">
        <v>15</v>
      </c>
      <c r="E133" s="24">
        <v>13</v>
      </c>
      <c r="F133" s="24" t="s">
        <v>16</v>
      </c>
      <c r="G133" s="22">
        <v>14721</v>
      </c>
      <c r="H133" s="22">
        <v>7163</v>
      </c>
      <c r="I133" s="22">
        <v>5115</v>
      </c>
      <c r="J133" s="24" t="s">
        <v>55</v>
      </c>
      <c r="K133" s="22">
        <f>SUM(G133,H133,I133)</f>
        <v>26999</v>
      </c>
      <c r="L133" s="23" t="s">
        <v>590</v>
      </c>
      <c r="M133" s="23" t="str">
        <f>VLOOKUP(L133,スキル!B:C,2,FALSE)</f>
        <v>十字型に固定ダメージ[大]</v>
      </c>
      <c r="N133" s="23" t="s">
        <v>18</v>
      </c>
      <c r="O133" s="23" t="str">
        <f>VLOOKUP(N133,スキル!B:C,2,FALSE)</f>
        <v>　</v>
      </c>
      <c r="P133" s="23" t="s">
        <v>21</v>
      </c>
      <c r="Q133" s="23" t="str">
        <f>VLOOKUP(P133,タクティクス!B:C,2,FALSE)</f>
        <v>高確率で斬属性のユニットを復帰</v>
      </c>
      <c r="R133" s="23" t="s">
        <v>18</v>
      </c>
      <c r="S133" s="23" t="str">
        <f>VLOOKUP(R133,タクティクス!B:C,2,FALSE)</f>
        <v>　</v>
      </c>
      <c r="T133" s="23" t="s">
        <v>18</v>
      </c>
      <c r="U133" s="23" t="s">
        <v>18</v>
      </c>
      <c r="V133" s="20" t="s">
        <v>1823</v>
      </c>
    </row>
    <row r="134" spans="1:22" ht="21.75" customHeight="1" x14ac:dyDescent="0.15">
      <c r="A134" s="20" t="str">
        <f>B134&amp;".jpg"</f>
        <v>1218.jpg</v>
      </c>
      <c r="B134" s="46">
        <v>1218</v>
      </c>
      <c r="C134" s="24" t="s">
        <v>105</v>
      </c>
      <c r="D134" s="24" t="s">
        <v>15</v>
      </c>
      <c r="E134" s="24">
        <v>13</v>
      </c>
      <c r="F134" s="24" t="s">
        <v>25</v>
      </c>
      <c r="G134" s="22">
        <v>16382</v>
      </c>
      <c r="H134" s="22">
        <v>5747</v>
      </c>
      <c r="I134" s="22">
        <v>5856</v>
      </c>
      <c r="J134" s="24" t="s">
        <v>26</v>
      </c>
      <c r="K134" s="22">
        <f>SUM(G134,H134,I134)</f>
        <v>27985</v>
      </c>
      <c r="L134" s="23" t="s">
        <v>615</v>
      </c>
      <c r="M134" s="23" t="str">
        <f>VLOOKUP(L134,スキル!B:C,2,FALSE)</f>
        <v>味方突属性の攻撃力と防御力をUP[大]</v>
      </c>
      <c r="N134" s="23" t="s">
        <v>18</v>
      </c>
      <c r="O134" s="23" t="str">
        <f>VLOOKUP(N134,スキル!B:C,2,FALSE)</f>
        <v>　</v>
      </c>
      <c r="P134" s="23" t="s">
        <v>85</v>
      </c>
      <c r="Q134" s="23" t="str">
        <f>VLOOKUP(P134,タクティクス!B:C,2,FALSE)</f>
        <v>バトル時の強襲CB率が小UP(3分間)</v>
      </c>
      <c r="R134" s="23" t="s">
        <v>18</v>
      </c>
      <c r="S134" s="23" t="str">
        <f>VLOOKUP(R134,タクティクス!B:C,2,FALSE)</f>
        <v>　</v>
      </c>
      <c r="T134" s="23" t="s">
        <v>18</v>
      </c>
      <c r="U134" s="23" t="s">
        <v>18</v>
      </c>
      <c r="V134" s="20" t="s">
        <v>1823</v>
      </c>
    </row>
    <row r="135" spans="1:22" ht="21.75" customHeight="1" x14ac:dyDescent="0.15">
      <c r="A135" s="20" t="str">
        <f>B135&amp;".jpg"</f>
        <v>1220.jpg</v>
      </c>
      <c r="B135" s="46">
        <v>1220</v>
      </c>
      <c r="C135" s="24" t="s">
        <v>106</v>
      </c>
      <c r="D135" s="24" t="s">
        <v>15</v>
      </c>
      <c r="E135" s="24">
        <v>13</v>
      </c>
      <c r="F135" s="24" t="s">
        <v>34</v>
      </c>
      <c r="G135" s="22">
        <v>18302</v>
      </c>
      <c r="H135" s="22">
        <v>5802</v>
      </c>
      <c r="I135" s="22">
        <v>6538</v>
      </c>
      <c r="J135" s="24" t="s">
        <v>42</v>
      </c>
      <c r="K135" s="22">
        <f>SUM(G135,H135,I135)</f>
        <v>30642</v>
      </c>
      <c r="L135" s="24" t="s">
        <v>537</v>
      </c>
      <c r="M135" s="23" t="str">
        <f>VLOOKUP(L135,スキル!B:C,2,FALSE)</f>
        <v>X字型に攻撃[大]</v>
      </c>
      <c r="N135" s="23" t="s">
        <v>18</v>
      </c>
      <c r="O135" s="23" t="str">
        <f>VLOOKUP(N135,スキル!B:C,2,FALSE)</f>
        <v>　</v>
      </c>
      <c r="P135" s="23" t="s">
        <v>38</v>
      </c>
      <c r="Q135" s="23" t="str">
        <f>VLOOKUP(P135,タクティクス!B:C,2,FALSE)</f>
        <v>打属性の生存ユニットのHPを高確率で全回復</v>
      </c>
      <c r="R135" s="23" t="s">
        <v>18</v>
      </c>
      <c r="S135" s="23" t="str">
        <f>VLOOKUP(R135,タクティクス!B:C,2,FALSE)</f>
        <v>　</v>
      </c>
      <c r="T135" s="23" t="s">
        <v>18</v>
      </c>
      <c r="U135" s="23" t="s">
        <v>18</v>
      </c>
      <c r="V135" s="20" t="s">
        <v>1823</v>
      </c>
    </row>
    <row r="136" spans="1:22" ht="21.75" customHeight="1" x14ac:dyDescent="0.15">
      <c r="A136" s="20" t="str">
        <f>B136&amp;".jpg"</f>
        <v>1222.jpg</v>
      </c>
      <c r="B136" s="46">
        <v>1222</v>
      </c>
      <c r="C136" s="24" t="s">
        <v>84</v>
      </c>
      <c r="D136" s="24" t="s">
        <v>15</v>
      </c>
      <c r="E136" s="24">
        <v>13</v>
      </c>
      <c r="F136" s="24" t="s">
        <v>41</v>
      </c>
      <c r="G136" s="22">
        <v>16747</v>
      </c>
      <c r="H136" s="22">
        <v>5844</v>
      </c>
      <c r="I136" s="22">
        <v>5100</v>
      </c>
      <c r="J136" s="24" t="s">
        <v>42</v>
      </c>
      <c r="K136" s="22">
        <f>SUM(G136,H136,I136)</f>
        <v>27691</v>
      </c>
      <c r="L136" s="23" t="s">
        <v>543</v>
      </c>
      <c r="M136" s="23" t="str">
        <f>VLOOKUP(L136,スキル!B:C,2,FALSE)</f>
        <v>ランダムで5連続攻撃[小]</v>
      </c>
      <c r="N136" s="23" t="s">
        <v>18</v>
      </c>
      <c r="O136" s="23" t="str">
        <f>VLOOKUP(N136,スキル!B:C,2,FALSE)</f>
        <v>　</v>
      </c>
      <c r="P136" s="23" t="s">
        <v>56</v>
      </c>
      <c r="Q136" s="23" t="str">
        <f>VLOOKUP(P136,タクティクス!B:C,2,FALSE)</f>
        <v>バトルで敵を全滅するとBPが中回復(バトル3回)</v>
      </c>
      <c r="R136" s="23" t="s">
        <v>18</v>
      </c>
      <c r="S136" s="23" t="str">
        <f>VLOOKUP(R136,タクティクス!B:C,2,FALSE)</f>
        <v>　</v>
      </c>
      <c r="T136" s="23" t="s">
        <v>18</v>
      </c>
      <c r="U136" s="23" t="s">
        <v>18</v>
      </c>
      <c r="V136" s="20" t="s">
        <v>1823</v>
      </c>
    </row>
    <row r="137" spans="1:22" ht="21.75" customHeight="1" x14ac:dyDescent="0.15">
      <c r="A137" s="20" t="str">
        <f>B137&amp;".jpg"</f>
        <v>1227.jpg</v>
      </c>
      <c r="B137" s="46">
        <v>1227</v>
      </c>
      <c r="C137" s="24" t="s">
        <v>107</v>
      </c>
      <c r="D137" s="24" t="s">
        <v>15</v>
      </c>
      <c r="E137" s="24">
        <v>12</v>
      </c>
      <c r="F137" s="24" t="s">
        <v>34</v>
      </c>
      <c r="G137" s="22">
        <v>19343</v>
      </c>
      <c r="H137" s="22">
        <v>5498</v>
      </c>
      <c r="I137" s="22">
        <v>6016</v>
      </c>
      <c r="J137" s="24" t="s">
        <v>35</v>
      </c>
      <c r="K137" s="22">
        <f>SUM(G137,H137,I137)</f>
        <v>30857</v>
      </c>
      <c r="L137" s="23" t="s">
        <v>568</v>
      </c>
      <c r="M137" s="23" t="str">
        <f>VLOOKUP(L137,スキル!B:C,2,FALSE)</f>
        <v>縦一列に攻撃[大]</v>
      </c>
      <c r="N137" s="23" t="s">
        <v>18</v>
      </c>
      <c r="O137" s="23" t="str">
        <f>VLOOKUP(N137,スキル!B:C,2,FALSE)</f>
        <v>　</v>
      </c>
      <c r="P137" s="23" t="s">
        <v>36</v>
      </c>
      <c r="Q137" s="23" t="str">
        <f>VLOOKUP(P137,タクティクス!B:C,2,FALSE)</f>
        <v>中確率で戦闘不能ユニットを復帰</v>
      </c>
      <c r="R137" s="23" t="s">
        <v>18</v>
      </c>
      <c r="S137" s="23" t="str">
        <f>VLOOKUP(R137,タクティクス!B:C,2,FALSE)</f>
        <v>　</v>
      </c>
      <c r="T137" s="23" t="s">
        <v>18</v>
      </c>
      <c r="U137" s="23" t="s">
        <v>18</v>
      </c>
      <c r="V137" s="20" t="s">
        <v>1836</v>
      </c>
    </row>
    <row r="138" spans="1:22" ht="21.75" customHeight="1" x14ac:dyDescent="0.15">
      <c r="A138" s="20" t="str">
        <f>B138&amp;".jpg"</f>
        <v>1228.jpg</v>
      </c>
      <c r="B138" s="46">
        <v>1228</v>
      </c>
      <c r="C138" s="24" t="s">
        <v>108</v>
      </c>
      <c r="D138" s="24" t="s">
        <v>15</v>
      </c>
      <c r="E138" s="24">
        <v>12</v>
      </c>
      <c r="F138" s="24" t="s">
        <v>25</v>
      </c>
      <c r="G138" s="22">
        <v>18549</v>
      </c>
      <c r="H138" s="22">
        <v>4682</v>
      </c>
      <c r="I138" s="22">
        <v>5280</v>
      </c>
      <c r="J138" s="24" t="s">
        <v>26</v>
      </c>
      <c r="K138" s="22">
        <f>SUM(G138,H138,I138)</f>
        <v>28511</v>
      </c>
      <c r="L138" s="23" t="s">
        <v>617</v>
      </c>
      <c r="M138" s="23" t="str">
        <f>VLOOKUP(L138,スキル!B:C,2,FALSE)</f>
        <v>敵全体の攻撃力と防御力をDOWN[中]</v>
      </c>
      <c r="N138" s="23" t="s">
        <v>18</v>
      </c>
      <c r="O138" s="23" t="str">
        <f>VLOOKUP(N138,スキル!B:C,2,FALSE)</f>
        <v>　</v>
      </c>
      <c r="P138" s="23" t="s">
        <v>32</v>
      </c>
      <c r="Q138" s="23" t="str">
        <f>VLOOKUP(P138,タクティクス!B:C,2,FALSE)</f>
        <v>高確率で突属性のユニットを復帰</v>
      </c>
      <c r="R138" s="23" t="s">
        <v>18</v>
      </c>
      <c r="S138" s="23" t="str">
        <f>VLOOKUP(R138,タクティクス!B:C,2,FALSE)</f>
        <v>　</v>
      </c>
      <c r="T138" s="23" t="s">
        <v>18</v>
      </c>
      <c r="U138" s="23" t="s">
        <v>18</v>
      </c>
      <c r="V138" s="20" t="s">
        <v>1825</v>
      </c>
    </row>
    <row r="139" spans="1:22" ht="21.75" customHeight="1" x14ac:dyDescent="0.15">
      <c r="A139" s="20" t="str">
        <f>B139&amp;".jpg"</f>
        <v>1230.jpg</v>
      </c>
      <c r="B139" s="46">
        <v>1230</v>
      </c>
      <c r="C139" s="24" t="s">
        <v>109</v>
      </c>
      <c r="D139" s="24" t="s">
        <v>15</v>
      </c>
      <c r="E139" s="24">
        <v>12</v>
      </c>
      <c r="F139" s="24" t="s">
        <v>34</v>
      </c>
      <c r="G139" s="22">
        <v>16931</v>
      </c>
      <c r="H139" s="22">
        <v>5470</v>
      </c>
      <c r="I139" s="22">
        <v>6945</v>
      </c>
      <c r="J139" s="24" t="s">
        <v>35</v>
      </c>
      <c r="K139" s="22">
        <f>SUM(G139,H139,I139)</f>
        <v>29346</v>
      </c>
      <c r="L139" s="23" t="s">
        <v>619</v>
      </c>
      <c r="M139" s="23" t="str">
        <f>VLOOKUP(L139,スキル!B:C,2,FALSE)</f>
        <v>一定確率で敵を沈黙状態にする[高確率]</v>
      </c>
      <c r="N139" s="23" t="s">
        <v>18</v>
      </c>
      <c r="O139" s="23" t="str">
        <f>VLOOKUP(N139,スキル!B:C,2,FALSE)</f>
        <v>　</v>
      </c>
      <c r="P139" s="23" t="s">
        <v>63</v>
      </c>
      <c r="Q139" s="23" t="str">
        <f>VLOOKUP(P139,タクティクス!B:C,2,FALSE)</f>
        <v>高確率で打属性のユニットを復帰</v>
      </c>
      <c r="R139" s="23" t="s">
        <v>18</v>
      </c>
      <c r="S139" s="23" t="str">
        <f>VLOOKUP(R139,タクティクス!B:C,2,FALSE)</f>
        <v>　</v>
      </c>
      <c r="T139" s="23" t="s">
        <v>18</v>
      </c>
      <c r="U139" s="23" t="s">
        <v>18</v>
      </c>
      <c r="V139" s="20" t="s">
        <v>1824</v>
      </c>
    </row>
    <row r="140" spans="1:22" ht="21.75" customHeight="1" x14ac:dyDescent="0.15">
      <c r="A140" s="20" t="str">
        <f>B140&amp;".jpg"</f>
        <v>1232.jpg</v>
      </c>
      <c r="B140" s="46">
        <v>1232</v>
      </c>
      <c r="C140" s="24" t="s">
        <v>110</v>
      </c>
      <c r="D140" s="24" t="s">
        <v>15</v>
      </c>
      <c r="E140" s="24">
        <v>13</v>
      </c>
      <c r="F140" s="24" t="s">
        <v>16</v>
      </c>
      <c r="G140" s="22">
        <v>15733</v>
      </c>
      <c r="H140" s="22">
        <v>7237</v>
      </c>
      <c r="I140" s="22">
        <v>5354</v>
      </c>
      <c r="J140" s="24" t="s">
        <v>17</v>
      </c>
      <c r="K140" s="22">
        <f>SUM(G140,H140,I140)</f>
        <v>28324</v>
      </c>
      <c r="L140" s="23" t="s">
        <v>592</v>
      </c>
      <c r="M140" s="23" t="str">
        <f>VLOOKUP(L140,スキル!B:C,2,FALSE)</f>
        <v>味方斬属性の攻撃力をUP[大]</v>
      </c>
      <c r="N140" s="23" t="s">
        <v>18</v>
      </c>
      <c r="O140" s="23" t="str">
        <f>VLOOKUP(N140,スキル!B:C,2,FALSE)</f>
        <v>　</v>
      </c>
      <c r="P140" s="23" t="s">
        <v>79</v>
      </c>
      <c r="Q140" s="23" t="str">
        <f>VLOOKUP(P140,タクティクス!B:C,2,FALSE)</f>
        <v>騎士団全体の防御力が小UP(3分間)</v>
      </c>
      <c r="R140" s="23" t="s">
        <v>18</v>
      </c>
      <c r="S140" s="23" t="str">
        <f>VLOOKUP(R140,タクティクス!B:C,2,FALSE)</f>
        <v>　</v>
      </c>
      <c r="T140" s="23" t="s">
        <v>18</v>
      </c>
      <c r="U140" s="23" t="s">
        <v>18</v>
      </c>
      <c r="V140" s="20" t="s">
        <v>1823</v>
      </c>
    </row>
    <row r="141" spans="1:22" ht="21.75" customHeight="1" x14ac:dyDescent="0.15">
      <c r="A141" s="20" t="str">
        <f>B141&amp;".jpg"</f>
        <v>1234.jpg</v>
      </c>
      <c r="B141" s="46">
        <v>1234</v>
      </c>
      <c r="C141" s="24" t="s">
        <v>111</v>
      </c>
      <c r="D141" s="24" t="s">
        <v>15</v>
      </c>
      <c r="E141" s="24">
        <v>13</v>
      </c>
      <c r="F141" s="24" t="s">
        <v>16</v>
      </c>
      <c r="G141" s="22">
        <v>15818</v>
      </c>
      <c r="H141" s="22">
        <v>7273</v>
      </c>
      <c r="I141" s="22">
        <v>5324</v>
      </c>
      <c r="J141" s="24" t="s">
        <v>17</v>
      </c>
      <c r="K141" s="22">
        <f>SUM(G141,H141,I141)</f>
        <v>28415</v>
      </c>
      <c r="L141" s="23" t="s">
        <v>568</v>
      </c>
      <c r="M141" s="23" t="str">
        <f>VLOOKUP(L141,スキル!B:C,2,FALSE)</f>
        <v>縦一列に攻撃[大]</v>
      </c>
      <c r="N141" s="23" t="s">
        <v>18</v>
      </c>
      <c r="O141" s="23" t="str">
        <f>VLOOKUP(N141,スキル!B:C,2,FALSE)</f>
        <v>　</v>
      </c>
      <c r="P141" s="23" t="s">
        <v>81</v>
      </c>
      <c r="Q141" s="23" t="str">
        <f>VLOOKUP(P141,タクティクス!B:C,2,FALSE)</f>
        <v>騎士団全体の攻撃力が小UP(3分間)</v>
      </c>
      <c r="R141" s="23" t="s">
        <v>18</v>
      </c>
      <c r="S141" s="23" t="str">
        <f>VLOOKUP(R141,タクティクス!B:C,2,FALSE)</f>
        <v>　</v>
      </c>
      <c r="T141" s="23" t="s">
        <v>18</v>
      </c>
      <c r="U141" s="23" t="s">
        <v>18</v>
      </c>
      <c r="V141" s="20" t="s">
        <v>1823</v>
      </c>
    </row>
    <row r="142" spans="1:22" ht="21.75" customHeight="1" x14ac:dyDescent="0.15">
      <c r="A142" s="20" t="str">
        <f>B142&amp;".jpg"</f>
        <v>1236.jpg</v>
      </c>
      <c r="B142" s="46">
        <v>1236</v>
      </c>
      <c r="C142" s="24" t="s">
        <v>80</v>
      </c>
      <c r="D142" s="24" t="s">
        <v>15</v>
      </c>
      <c r="E142" s="24">
        <v>13</v>
      </c>
      <c r="F142" s="24" t="s">
        <v>25</v>
      </c>
      <c r="G142" s="22">
        <v>15867</v>
      </c>
      <c r="H142" s="22">
        <v>5425</v>
      </c>
      <c r="I142" s="22">
        <v>6445</v>
      </c>
      <c r="J142" s="24" t="s">
        <v>26</v>
      </c>
      <c r="K142" s="22">
        <f>SUM(G142,H142,I142)</f>
        <v>27737</v>
      </c>
      <c r="L142" s="23" t="s">
        <v>621</v>
      </c>
      <c r="M142" s="23" t="str">
        <f>VLOOKUP(L142,スキル!B:C,2,FALSE)</f>
        <v>ランダムで5連続攻撃[中]</v>
      </c>
      <c r="N142" s="23" t="s">
        <v>18</v>
      </c>
      <c r="O142" s="23" t="str">
        <f>VLOOKUP(N142,スキル!B:C,2,FALSE)</f>
        <v>　</v>
      </c>
      <c r="P142" s="23" t="s">
        <v>60</v>
      </c>
      <c r="Q142" s="23" t="str">
        <f>VLOOKUP(P142,タクティクス!B:C,2,FALSE)</f>
        <v>パーティ全体の攻・防が中UP(3分間)</v>
      </c>
      <c r="R142" s="23" t="s">
        <v>18</v>
      </c>
      <c r="S142" s="23" t="str">
        <f>VLOOKUP(R142,タクティクス!B:C,2,FALSE)</f>
        <v>　</v>
      </c>
      <c r="T142" s="23" t="s">
        <v>18</v>
      </c>
      <c r="U142" s="23" t="s">
        <v>18</v>
      </c>
      <c r="V142" s="20" t="s">
        <v>1823</v>
      </c>
    </row>
    <row r="143" spans="1:22" ht="21.75" customHeight="1" x14ac:dyDescent="0.15">
      <c r="A143" s="20" t="str">
        <f>B143&amp;".jpg"</f>
        <v>1238.jpg</v>
      </c>
      <c r="B143" s="46">
        <v>1238</v>
      </c>
      <c r="C143" s="24" t="s">
        <v>98</v>
      </c>
      <c r="D143" s="24" t="s">
        <v>15</v>
      </c>
      <c r="E143" s="24">
        <v>13</v>
      </c>
      <c r="F143" s="24" t="s">
        <v>34</v>
      </c>
      <c r="G143" s="22">
        <v>19460</v>
      </c>
      <c r="H143" s="22">
        <v>5768</v>
      </c>
      <c r="I143" s="22">
        <v>6951</v>
      </c>
      <c r="J143" s="24" t="s">
        <v>35</v>
      </c>
      <c r="K143" s="22">
        <f>SUM(G143,H143,I143)</f>
        <v>32179</v>
      </c>
      <c r="L143" s="24" t="s">
        <v>537</v>
      </c>
      <c r="M143" s="23" t="str">
        <f>VLOOKUP(L143,スキル!B:C,2,FALSE)</f>
        <v>X字型に攻撃[大]</v>
      </c>
      <c r="N143" s="23" t="s">
        <v>18</v>
      </c>
      <c r="O143" s="23" t="str">
        <f>VLOOKUP(N143,スキル!B:C,2,FALSE)</f>
        <v>　</v>
      </c>
      <c r="P143" s="23" t="s">
        <v>85</v>
      </c>
      <c r="Q143" s="23" t="str">
        <f>VLOOKUP(P143,タクティクス!B:C,2,FALSE)</f>
        <v>バトル時の強襲CB率が小UP(3分間)</v>
      </c>
      <c r="R143" s="23" t="s">
        <v>18</v>
      </c>
      <c r="S143" s="23" t="str">
        <f>VLOOKUP(R143,タクティクス!B:C,2,FALSE)</f>
        <v>　</v>
      </c>
      <c r="T143" s="23" t="s">
        <v>18</v>
      </c>
      <c r="U143" s="23" t="s">
        <v>18</v>
      </c>
      <c r="V143" s="20" t="s">
        <v>1823</v>
      </c>
    </row>
    <row r="144" spans="1:22" ht="21.75" customHeight="1" x14ac:dyDescent="0.15">
      <c r="A144" s="20" t="str">
        <f>B144&amp;".jpg"</f>
        <v>1239.jpg</v>
      </c>
      <c r="B144" s="46">
        <v>1239</v>
      </c>
      <c r="C144" s="24" t="s">
        <v>39</v>
      </c>
      <c r="D144" s="24" t="s">
        <v>15</v>
      </c>
      <c r="E144" s="24">
        <v>12</v>
      </c>
      <c r="F144" s="24" t="s">
        <v>34</v>
      </c>
      <c r="G144" s="22">
        <v>17665</v>
      </c>
      <c r="H144" s="22">
        <v>4916</v>
      </c>
      <c r="I144" s="22">
        <v>7439</v>
      </c>
      <c r="J144" s="24" t="s">
        <v>35</v>
      </c>
      <c r="K144" s="22">
        <f>SUM(G144,H144,I144)</f>
        <v>30020</v>
      </c>
      <c r="L144" s="23" t="s">
        <v>549</v>
      </c>
      <c r="M144" s="23" t="str">
        <f>VLOOKUP(L144,スキル!B:C,2,FALSE)</f>
        <v>味方打属性の防御力をUP[大]</v>
      </c>
      <c r="N144" s="23" t="s">
        <v>18</v>
      </c>
      <c r="O144" s="23" t="str">
        <f>VLOOKUP(N144,スキル!B:C,2,FALSE)</f>
        <v>　</v>
      </c>
      <c r="P144" s="23" t="s">
        <v>63</v>
      </c>
      <c r="Q144" s="23" t="str">
        <f>VLOOKUP(P144,タクティクス!B:C,2,FALSE)</f>
        <v>高確率で打属性のユニットを復帰</v>
      </c>
      <c r="R144" s="23" t="s">
        <v>18</v>
      </c>
      <c r="S144" s="23" t="str">
        <f>VLOOKUP(R144,タクティクス!B:C,2,FALSE)</f>
        <v>　</v>
      </c>
      <c r="T144" s="23" t="s">
        <v>18</v>
      </c>
      <c r="U144" s="23" t="s">
        <v>18</v>
      </c>
      <c r="V144" s="20" t="s">
        <v>1838</v>
      </c>
    </row>
    <row r="145" spans="1:22" ht="21.75" customHeight="1" x14ac:dyDescent="0.15">
      <c r="A145" s="20" t="str">
        <f>B145&amp;".jpg"</f>
        <v>1241.jpg</v>
      </c>
      <c r="B145" s="46">
        <v>1241</v>
      </c>
      <c r="C145" s="24" t="s">
        <v>112</v>
      </c>
      <c r="D145" s="24" t="s">
        <v>15</v>
      </c>
      <c r="E145" s="24">
        <v>13</v>
      </c>
      <c r="F145" s="24" t="s">
        <v>16</v>
      </c>
      <c r="G145" s="22">
        <v>14484</v>
      </c>
      <c r="H145" s="22">
        <v>7651</v>
      </c>
      <c r="I145" s="22">
        <v>5543</v>
      </c>
      <c r="J145" s="24" t="s">
        <v>17</v>
      </c>
      <c r="K145" s="22">
        <f>SUM(G145,H145,I145)</f>
        <v>27678</v>
      </c>
      <c r="L145" s="23" t="s">
        <v>623</v>
      </c>
      <c r="M145" s="23" t="str">
        <f>VLOOKUP(L145,スキル!B:C,2,FALSE)</f>
        <v>味方斬属性の攻撃力と防御力をUP[大]</v>
      </c>
      <c r="N145" s="23" t="s">
        <v>18</v>
      </c>
      <c r="O145" s="23" t="str">
        <f>VLOOKUP(N145,スキル!B:C,2,FALSE)</f>
        <v>　</v>
      </c>
      <c r="P145" s="23" t="s">
        <v>113</v>
      </c>
      <c r="Q145" s="23" t="str">
        <f>VLOOKUP(P145,タクティクス!B:C,2,FALSE)</f>
        <v>城の強度Lvが小UP(3分間)</v>
      </c>
      <c r="R145" s="23" t="s">
        <v>18</v>
      </c>
      <c r="S145" s="23" t="str">
        <f>VLOOKUP(R145,タクティクス!B:C,2,FALSE)</f>
        <v>　</v>
      </c>
      <c r="T145" s="23" t="s">
        <v>18</v>
      </c>
      <c r="U145" s="23" t="s">
        <v>18</v>
      </c>
      <c r="V145" s="20" t="s">
        <v>1899</v>
      </c>
    </row>
    <row r="146" spans="1:22" ht="21.75" customHeight="1" x14ac:dyDescent="0.15">
      <c r="A146" s="20" t="str">
        <f>B146&amp;".jpg"</f>
        <v>1243.jpg</v>
      </c>
      <c r="B146" s="46">
        <v>1243</v>
      </c>
      <c r="C146" s="24" t="s">
        <v>114</v>
      </c>
      <c r="D146" s="24" t="s">
        <v>15</v>
      </c>
      <c r="E146" s="24">
        <v>13</v>
      </c>
      <c r="F146" s="24" t="s">
        <v>25</v>
      </c>
      <c r="G146" s="22">
        <v>15954</v>
      </c>
      <c r="H146" s="22">
        <v>5453</v>
      </c>
      <c r="I146" s="22">
        <v>6414</v>
      </c>
      <c r="J146" s="24" t="s">
        <v>26</v>
      </c>
      <c r="K146" s="22">
        <f>SUM(G146,H146,I146)</f>
        <v>27821</v>
      </c>
      <c r="L146" s="23" t="s">
        <v>625</v>
      </c>
      <c r="M146" s="23" t="str">
        <f>VLOOKUP(L146,スキル!B:C,2,FALSE)</f>
        <v>敵全体の攻撃力をDOWN[大]</v>
      </c>
      <c r="N146" s="23" t="s">
        <v>18</v>
      </c>
      <c r="O146" s="23" t="str">
        <f>VLOOKUP(N146,スキル!B:C,2,FALSE)</f>
        <v>　</v>
      </c>
      <c r="P146" s="23" t="s">
        <v>27</v>
      </c>
      <c r="Q146" s="23" t="str">
        <f>VLOOKUP(P146,タクティクス!B:C,2,FALSE)</f>
        <v>パーティ全体の防御力が中UP(3分間)</v>
      </c>
      <c r="R146" s="23" t="s">
        <v>18</v>
      </c>
      <c r="S146" s="23" t="str">
        <f>VLOOKUP(R146,タクティクス!B:C,2,FALSE)</f>
        <v>　</v>
      </c>
      <c r="T146" s="23" t="s">
        <v>18</v>
      </c>
      <c r="U146" s="23" t="s">
        <v>18</v>
      </c>
      <c r="V146" s="20" t="s">
        <v>1899</v>
      </c>
    </row>
    <row r="147" spans="1:22" ht="21.75" customHeight="1" x14ac:dyDescent="0.15">
      <c r="A147" s="20" t="str">
        <f>B147&amp;".jpg"</f>
        <v>1245.jpg</v>
      </c>
      <c r="B147" s="46">
        <v>1245</v>
      </c>
      <c r="C147" s="24" t="s">
        <v>59</v>
      </c>
      <c r="D147" s="24" t="s">
        <v>15</v>
      </c>
      <c r="E147" s="24">
        <v>13</v>
      </c>
      <c r="F147" s="24" t="s">
        <v>34</v>
      </c>
      <c r="G147" s="22">
        <v>17819</v>
      </c>
      <c r="H147" s="22">
        <v>6004</v>
      </c>
      <c r="I147" s="22">
        <v>7310</v>
      </c>
      <c r="J147" s="24" t="s">
        <v>35</v>
      </c>
      <c r="K147" s="22">
        <f>SUM(G147,H147,I147)</f>
        <v>31133</v>
      </c>
      <c r="L147" s="23" t="s">
        <v>627</v>
      </c>
      <c r="M147" s="23" t="str">
        <f>VLOOKUP(L147,スキル!B:C,2,FALSE)</f>
        <v>斬に強く突に弱い横一列攻撃[大]</v>
      </c>
      <c r="N147" s="23" t="s">
        <v>18</v>
      </c>
      <c r="O147" s="23" t="str">
        <f>VLOOKUP(N147,スキル!B:C,2,FALSE)</f>
        <v>　</v>
      </c>
      <c r="P147" s="23" t="s">
        <v>23</v>
      </c>
      <c r="Q147" s="23" t="str">
        <f>VLOOKUP(P147,タクティクス!B:C,2,FALSE)</f>
        <v>パーティ全体の攻撃力が中UP(3分間)</v>
      </c>
      <c r="R147" s="23" t="s">
        <v>18</v>
      </c>
      <c r="S147" s="23" t="str">
        <f>VLOOKUP(R147,タクティクス!B:C,2,FALSE)</f>
        <v>　</v>
      </c>
      <c r="T147" s="23" t="s">
        <v>18</v>
      </c>
      <c r="U147" s="23" t="s">
        <v>18</v>
      </c>
      <c r="V147" s="20" t="s">
        <v>1899</v>
      </c>
    </row>
    <row r="148" spans="1:22" ht="21.75" customHeight="1" x14ac:dyDescent="0.15">
      <c r="A148" s="20" t="str">
        <f>B148&amp;".jpg"</f>
        <v>1247.jpg</v>
      </c>
      <c r="B148" s="46">
        <v>1247</v>
      </c>
      <c r="C148" s="24" t="s">
        <v>115</v>
      </c>
      <c r="D148" s="24" t="s">
        <v>15</v>
      </c>
      <c r="E148" s="24">
        <v>13</v>
      </c>
      <c r="F148" s="24" t="s">
        <v>41</v>
      </c>
      <c r="G148" s="22">
        <v>15922</v>
      </c>
      <c r="H148" s="22">
        <v>6551</v>
      </c>
      <c r="I148" s="22">
        <v>4797</v>
      </c>
      <c r="J148" s="24" t="s">
        <v>42</v>
      </c>
      <c r="K148" s="22">
        <f>SUM(G148,H148,I148)</f>
        <v>27270</v>
      </c>
      <c r="L148" s="23" t="s">
        <v>629</v>
      </c>
      <c r="M148" s="23" t="str">
        <f>VLOOKUP(L148,スキル!B:C,2,FALSE)</f>
        <v>敵単体に攻撃しつつHP回復[大]</v>
      </c>
      <c r="N148" s="23" t="s">
        <v>18</v>
      </c>
      <c r="O148" s="23" t="str">
        <f>VLOOKUP(N148,スキル!B:C,2,FALSE)</f>
        <v>　</v>
      </c>
      <c r="P148" s="23" t="s">
        <v>83</v>
      </c>
      <c r="Q148" s="23" t="str">
        <f>VLOOKUP(P148,タクティクス!B:C,2,FALSE)</f>
        <v>騎士団全体の攻・防が小UP(3分間)</v>
      </c>
      <c r="R148" s="23" t="s">
        <v>18</v>
      </c>
      <c r="S148" s="23" t="str">
        <f>VLOOKUP(R148,タクティクス!B:C,2,FALSE)</f>
        <v>　</v>
      </c>
      <c r="T148" s="23" t="s">
        <v>18</v>
      </c>
      <c r="U148" s="23" t="s">
        <v>18</v>
      </c>
      <c r="V148" s="20" t="s">
        <v>1899</v>
      </c>
    </row>
    <row r="149" spans="1:22" ht="21.75" customHeight="1" x14ac:dyDescent="0.15">
      <c r="A149" s="20" t="str">
        <f>B149&amp;".jpg"</f>
        <v>1250.jpg</v>
      </c>
      <c r="B149" s="46">
        <v>1250</v>
      </c>
      <c r="C149" s="24" t="s">
        <v>116</v>
      </c>
      <c r="D149" s="24" t="s">
        <v>15</v>
      </c>
      <c r="E149" s="24">
        <v>12</v>
      </c>
      <c r="F149" s="24" t="s">
        <v>16</v>
      </c>
      <c r="G149" s="22">
        <v>13985</v>
      </c>
      <c r="H149" s="22">
        <v>6432</v>
      </c>
      <c r="I149" s="22">
        <v>5494</v>
      </c>
      <c r="J149" s="24" t="s">
        <v>17</v>
      </c>
      <c r="K149" s="22">
        <f>SUM(G149,H149,I149)</f>
        <v>25911</v>
      </c>
      <c r="L149" s="23" t="s">
        <v>525</v>
      </c>
      <c r="M149" s="23" t="str">
        <f>VLOOKUP(L149,スキル!B:C,2,FALSE)</f>
        <v>次の攻撃でダメージが上昇する[中]</v>
      </c>
      <c r="N149" s="23" t="s">
        <v>18</v>
      </c>
      <c r="O149" s="23" t="str">
        <f>VLOOKUP(N149,スキル!B:C,2,FALSE)</f>
        <v>　</v>
      </c>
      <c r="P149" s="23" t="s">
        <v>29</v>
      </c>
      <c r="Q149" s="23" t="str">
        <f>VLOOKUP(P149,タクティクス!B:C,2,FALSE)</f>
        <v>生存ユニットのHPを中回復</v>
      </c>
      <c r="R149" s="23" t="s">
        <v>18</v>
      </c>
      <c r="S149" s="23" t="str">
        <f>VLOOKUP(R149,タクティクス!B:C,2,FALSE)</f>
        <v>　</v>
      </c>
      <c r="T149" s="23" t="s">
        <v>18</v>
      </c>
      <c r="U149" s="23" t="s">
        <v>18</v>
      </c>
      <c r="V149" s="20" t="s">
        <v>1826</v>
      </c>
    </row>
    <row r="150" spans="1:22" ht="21.75" customHeight="1" x14ac:dyDescent="0.15">
      <c r="A150" s="20" t="str">
        <f>B150&amp;".jpg"</f>
        <v>1251.jpg</v>
      </c>
      <c r="B150" s="46">
        <v>1251</v>
      </c>
      <c r="C150" s="24" t="s">
        <v>117</v>
      </c>
      <c r="D150" s="24" t="s">
        <v>15</v>
      </c>
      <c r="E150" s="24">
        <v>13</v>
      </c>
      <c r="F150" s="24" t="s">
        <v>25</v>
      </c>
      <c r="G150" s="22">
        <v>18420</v>
      </c>
      <c r="H150" s="22">
        <v>4775</v>
      </c>
      <c r="I150" s="22">
        <v>6380</v>
      </c>
      <c r="J150" s="24" t="s">
        <v>26</v>
      </c>
      <c r="K150" s="22">
        <f>SUM(G150,H150,I150)</f>
        <v>29575</v>
      </c>
      <c r="L150" s="23" t="s">
        <v>547</v>
      </c>
      <c r="M150" s="23" t="str">
        <f>VLOOKUP(L150,スキル!B:C,2,FALSE)</f>
        <v>ランダムで4連続攻撃[中]</v>
      </c>
      <c r="N150" s="23" t="s">
        <v>18</v>
      </c>
      <c r="O150" s="23" t="str">
        <f>VLOOKUP(N150,スキル!B:C,2,FALSE)</f>
        <v>　</v>
      </c>
      <c r="P150" s="23" t="s">
        <v>56</v>
      </c>
      <c r="Q150" s="23" t="str">
        <f>VLOOKUP(P150,タクティクス!B:C,2,FALSE)</f>
        <v>バトルで敵を全滅するとBPが中回復(バトル3回)</v>
      </c>
      <c r="R150" s="23" t="s">
        <v>18</v>
      </c>
      <c r="S150" s="23" t="str">
        <f>VLOOKUP(R150,タクティクス!B:C,2,FALSE)</f>
        <v>　</v>
      </c>
      <c r="T150" s="23" t="s">
        <v>18</v>
      </c>
      <c r="U150" s="23" t="s">
        <v>18</v>
      </c>
      <c r="V150" s="20" t="s">
        <v>1899</v>
      </c>
    </row>
    <row r="151" spans="1:22" ht="21.75" customHeight="1" x14ac:dyDescent="0.15">
      <c r="A151" s="20" t="str">
        <f>B151&amp;".jpg"</f>
        <v>1252.jpg</v>
      </c>
      <c r="B151" s="46">
        <v>1252</v>
      </c>
      <c r="C151" s="24" t="s">
        <v>118</v>
      </c>
      <c r="D151" s="24" t="s">
        <v>15</v>
      </c>
      <c r="E151" s="24">
        <v>13</v>
      </c>
      <c r="F151" s="24" t="s">
        <v>41</v>
      </c>
      <c r="G151" s="22">
        <v>16006</v>
      </c>
      <c r="H151" s="22">
        <v>6584</v>
      </c>
      <c r="I151" s="22">
        <v>4772</v>
      </c>
      <c r="J151" s="24" t="s">
        <v>42</v>
      </c>
      <c r="K151" s="22">
        <f>SUM(G151,H151,I151)</f>
        <v>27362</v>
      </c>
      <c r="L151" s="23" t="s">
        <v>631</v>
      </c>
      <c r="M151" s="23" t="str">
        <f>VLOOKUP(L151,スキル!B:C,2,FALSE)</f>
        <v>突に強く斬に弱い縦一列攻撃[大]</v>
      </c>
      <c r="N151" s="23" t="s">
        <v>18</v>
      </c>
      <c r="O151" s="23" t="str">
        <f>VLOOKUP(N151,スキル!B:C,2,FALSE)</f>
        <v>　</v>
      </c>
      <c r="P151" s="23" t="s">
        <v>44</v>
      </c>
      <c r="Q151" s="23" t="str">
        <f>VLOOKUP(P151,タクティクス!B:C,2,FALSE)</f>
        <v>遠属性の生存ユニットのHPを高確率で全回復</v>
      </c>
      <c r="R151" s="23" t="s">
        <v>18</v>
      </c>
      <c r="S151" s="23" t="str">
        <f>VLOOKUP(R151,タクティクス!B:C,2,FALSE)</f>
        <v>　</v>
      </c>
      <c r="T151" s="23" t="s">
        <v>18</v>
      </c>
      <c r="U151" s="23" t="s">
        <v>18</v>
      </c>
      <c r="V151" s="20" t="s">
        <v>1899</v>
      </c>
    </row>
    <row r="152" spans="1:22" ht="21.75" customHeight="1" x14ac:dyDescent="0.15">
      <c r="A152" s="20" t="str">
        <f>B152&amp;".jpg"</f>
        <v>1254.jpg</v>
      </c>
      <c r="B152" s="46">
        <v>1254</v>
      </c>
      <c r="C152" s="24" t="s">
        <v>119</v>
      </c>
      <c r="D152" s="24" t="s">
        <v>15</v>
      </c>
      <c r="E152" s="24">
        <v>12</v>
      </c>
      <c r="F152" s="24" t="s">
        <v>25</v>
      </c>
      <c r="G152" s="22">
        <v>17683</v>
      </c>
      <c r="H152" s="22">
        <v>5264</v>
      </c>
      <c r="I152" s="22">
        <v>5006</v>
      </c>
      <c r="J152" s="24" t="s">
        <v>26</v>
      </c>
      <c r="K152" s="22">
        <f>SUM(G152,H152,I152)</f>
        <v>27953</v>
      </c>
      <c r="L152" s="23" t="s">
        <v>633</v>
      </c>
      <c r="M152" s="23" t="str">
        <f>VLOOKUP(L152,スキル!B:C,2,FALSE)</f>
        <v>味方突属性の攻撃力と防御力をUP[中]</v>
      </c>
      <c r="N152" s="23" t="s">
        <v>18</v>
      </c>
      <c r="O152" s="23" t="str">
        <f>VLOOKUP(N152,スキル!B:C,2,FALSE)</f>
        <v>　</v>
      </c>
      <c r="P152" s="23" t="s">
        <v>32</v>
      </c>
      <c r="Q152" s="23" t="str">
        <f>VLOOKUP(P152,タクティクス!B:C,2,FALSE)</f>
        <v>高確率で突属性のユニットを復帰</v>
      </c>
      <c r="R152" s="23" t="s">
        <v>18</v>
      </c>
      <c r="S152" s="23" t="str">
        <f>VLOOKUP(R152,タクティクス!B:C,2,FALSE)</f>
        <v>　</v>
      </c>
      <c r="T152" s="23" t="s">
        <v>18</v>
      </c>
      <c r="U152" s="23" t="s">
        <v>18</v>
      </c>
      <c r="V152" s="20" t="s">
        <v>1824</v>
      </c>
    </row>
    <row r="153" spans="1:22" ht="21.75" customHeight="1" x14ac:dyDescent="0.15">
      <c r="A153" s="20" t="str">
        <f>B153&amp;".jpg"</f>
        <v>1257.jpg</v>
      </c>
      <c r="B153" s="46">
        <v>1257</v>
      </c>
      <c r="C153" s="24" t="s">
        <v>120</v>
      </c>
      <c r="D153" s="24" t="s">
        <v>15</v>
      </c>
      <c r="E153" s="24">
        <v>12</v>
      </c>
      <c r="F153" s="24" t="s">
        <v>16</v>
      </c>
      <c r="G153" s="22">
        <v>15557</v>
      </c>
      <c r="H153" s="22">
        <v>6229</v>
      </c>
      <c r="I153" s="22">
        <v>5129</v>
      </c>
      <c r="J153" s="24" t="s">
        <v>17</v>
      </c>
      <c r="K153" s="22">
        <f>SUM(G153,H153,I153)</f>
        <v>26915</v>
      </c>
      <c r="L153" s="23" t="s">
        <v>521</v>
      </c>
      <c r="M153" s="23" t="str">
        <f>VLOOKUP(L153,スキル!B:C,2,FALSE)</f>
        <v>十字型に攻撃[大]</v>
      </c>
      <c r="N153" s="23" t="s">
        <v>18</v>
      </c>
      <c r="O153" s="23" t="str">
        <f>VLOOKUP(N153,スキル!B:C,2,FALSE)</f>
        <v>　</v>
      </c>
      <c r="P153" s="23" t="s">
        <v>85</v>
      </c>
      <c r="Q153" s="23" t="str">
        <f>VLOOKUP(P153,タクティクス!B:C,2,FALSE)</f>
        <v>バトル時の強襲CB率が小UP(3分間)</v>
      </c>
      <c r="R153" s="23" t="s">
        <v>18</v>
      </c>
      <c r="S153" s="23" t="str">
        <f>VLOOKUP(R153,タクティクス!B:C,2,FALSE)</f>
        <v>　</v>
      </c>
      <c r="T153" s="23" t="s">
        <v>18</v>
      </c>
      <c r="U153" s="23" t="s">
        <v>18</v>
      </c>
      <c r="V153" s="20" t="s">
        <v>1871</v>
      </c>
    </row>
    <row r="154" spans="1:22" ht="21.75" customHeight="1" x14ac:dyDescent="0.15">
      <c r="A154" s="20" t="str">
        <f>B154&amp;".jpg"</f>
        <v>1260.jpg</v>
      </c>
      <c r="B154" s="46">
        <v>1260</v>
      </c>
      <c r="C154" s="24" t="s">
        <v>84</v>
      </c>
      <c r="D154" s="24" t="s">
        <v>15</v>
      </c>
      <c r="E154" s="24">
        <v>12</v>
      </c>
      <c r="F154" s="24" t="s">
        <v>41</v>
      </c>
      <c r="G154" s="22">
        <v>16170</v>
      </c>
      <c r="H154" s="22">
        <v>5644</v>
      </c>
      <c r="I154" s="22">
        <v>4572</v>
      </c>
      <c r="J154" s="24" t="s">
        <v>42</v>
      </c>
      <c r="K154" s="22">
        <f>SUM(G154,H154,I154)</f>
        <v>26386</v>
      </c>
      <c r="L154" s="23" t="s">
        <v>570</v>
      </c>
      <c r="M154" s="23" t="str">
        <f>VLOOKUP(L154,スキル!B:C,2,FALSE)</f>
        <v>味方遠属性の攻撃力をUP[大]</v>
      </c>
      <c r="N154" s="23" t="s">
        <v>18</v>
      </c>
      <c r="O154" s="23" t="str">
        <f>VLOOKUP(N154,スキル!B:C,2,FALSE)</f>
        <v>　</v>
      </c>
      <c r="P154" s="23" t="s">
        <v>113</v>
      </c>
      <c r="Q154" s="23" t="str">
        <f>VLOOKUP(P154,タクティクス!B:C,2,FALSE)</f>
        <v>城の強度Lvが小UP(3分間)</v>
      </c>
      <c r="R154" s="23" t="s">
        <v>18</v>
      </c>
      <c r="S154" s="23" t="str">
        <f>VLOOKUP(R154,タクティクス!B:C,2,FALSE)</f>
        <v>　</v>
      </c>
      <c r="T154" s="23" t="s">
        <v>18</v>
      </c>
      <c r="U154" s="23" t="s">
        <v>18</v>
      </c>
      <c r="V154" s="20" t="s">
        <v>1839</v>
      </c>
    </row>
    <row r="155" spans="1:22" ht="21.75" customHeight="1" x14ac:dyDescent="0.15">
      <c r="A155" s="20" t="str">
        <f>B155&amp;".jpg"</f>
        <v>1261.jpg</v>
      </c>
      <c r="B155" s="46">
        <v>1261</v>
      </c>
      <c r="C155" s="24" t="s">
        <v>84</v>
      </c>
      <c r="D155" s="24" t="s">
        <v>15</v>
      </c>
      <c r="E155" s="24">
        <v>13</v>
      </c>
      <c r="F155" s="24" t="s">
        <v>41</v>
      </c>
      <c r="G155" s="22">
        <v>17020</v>
      </c>
      <c r="H155" s="22">
        <v>5940</v>
      </c>
      <c r="I155" s="22">
        <v>5021</v>
      </c>
      <c r="J155" s="24" t="s">
        <v>42</v>
      </c>
      <c r="K155" s="22">
        <f>SUM(G155,H155,I155)</f>
        <v>27981</v>
      </c>
      <c r="L155" s="23" t="s">
        <v>570</v>
      </c>
      <c r="M155" s="23" t="str">
        <f>VLOOKUP(L155,スキル!B:C,2,FALSE)</f>
        <v>味方遠属性の攻撃力をUP[大]</v>
      </c>
      <c r="N155" s="23" t="s">
        <v>18</v>
      </c>
      <c r="O155" s="23" t="str">
        <f>VLOOKUP(N155,スキル!B:C,2,FALSE)</f>
        <v>　</v>
      </c>
      <c r="P155" s="23" t="s">
        <v>113</v>
      </c>
      <c r="Q155" s="23" t="str">
        <f>VLOOKUP(P155,タクティクス!B:C,2,FALSE)</f>
        <v>城の強度Lvが小UP(3分間)</v>
      </c>
      <c r="R155" s="23" t="s">
        <v>18</v>
      </c>
      <c r="S155" s="23" t="str">
        <f>VLOOKUP(R155,タクティクス!B:C,2,FALSE)</f>
        <v>　</v>
      </c>
      <c r="T155" s="23" t="s">
        <v>18</v>
      </c>
      <c r="U155" s="23" t="s">
        <v>18</v>
      </c>
      <c r="V155" s="20" t="s">
        <v>1839</v>
      </c>
    </row>
    <row r="156" spans="1:22" ht="21.75" customHeight="1" x14ac:dyDescent="0.15">
      <c r="A156" s="20" t="str">
        <f>B156&amp;".jpg"</f>
        <v>1265.jpg</v>
      </c>
      <c r="B156" s="46">
        <v>1265</v>
      </c>
      <c r="C156" s="24" t="s">
        <v>121</v>
      </c>
      <c r="D156" s="24" t="s">
        <v>15</v>
      </c>
      <c r="E156" s="24">
        <v>13</v>
      </c>
      <c r="F156" s="24" t="s">
        <v>16</v>
      </c>
      <c r="G156" s="22">
        <v>15272</v>
      </c>
      <c r="H156" s="22">
        <v>7433</v>
      </c>
      <c r="I156" s="22">
        <v>4928</v>
      </c>
      <c r="J156" s="24" t="s">
        <v>55</v>
      </c>
      <c r="K156" s="22">
        <f>SUM(G156,H156,I156)</f>
        <v>27633</v>
      </c>
      <c r="L156" s="23" t="s">
        <v>595</v>
      </c>
      <c r="M156" s="23" t="str">
        <f>VLOOKUP(L156,スキル!B:C,2,FALSE)</f>
        <v>最もダメージが多い味方1人のHP回復[大]</v>
      </c>
      <c r="N156" s="23" t="s">
        <v>18</v>
      </c>
      <c r="O156" s="23" t="str">
        <f>VLOOKUP(N156,スキル!B:C,2,FALSE)</f>
        <v>　</v>
      </c>
      <c r="P156" s="23" t="s">
        <v>122</v>
      </c>
      <c r="Q156" s="23" t="str">
        <f>VLOOKUP(P156,タクティクス!B:C,2,FALSE)</f>
        <v>攻撃される確率が中DOWN(3分間)</v>
      </c>
      <c r="R156" s="23" t="s">
        <v>18</v>
      </c>
      <c r="S156" s="23" t="str">
        <f>VLOOKUP(R156,タクティクス!B:C,2,FALSE)</f>
        <v>　</v>
      </c>
      <c r="T156" s="23" t="s">
        <v>18</v>
      </c>
      <c r="U156" s="23" t="s">
        <v>18</v>
      </c>
      <c r="V156" s="20" t="s">
        <v>1823</v>
      </c>
    </row>
    <row r="157" spans="1:22" ht="21.75" customHeight="1" x14ac:dyDescent="0.15">
      <c r="A157" s="20" t="str">
        <f>B157&amp;".jpg"</f>
        <v>1267.jpg</v>
      </c>
      <c r="B157" s="46">
        <v>1267</v>
      </c>
      <c r="C157" s="24" t="s">
        <v>123</v>
      </c>
      <c r="D157" s="24" t="s">
        <v>15</v>
      </c>
      <c r="E157" s="24">
        <v>13</v>
      </c>
      <c r="F157" s="24" t="s">
        <v>25</v>
      </c>
      <c r="G157" s="22">
        <v>16739</v>
      </c>
      <c r="H157" s="22">
        <v>5272</v>
      </c>
      <c r="I157" s="22">
        <v>5735</v>
      </c>
      <c r="J157" s="24" t="s">
        <v>31</v>
      </c>
      <c r="K157" s="22">
        <f>SUM(G157,H157,I157)</f>
        <v>27746</v>
      </c>
      <c r="L157" s="23" t="s">
        <v>635</v>
      </c>
      <c r="M157" s="23" t="str">
        <f>VLOOKUP(L157,スキル!B:C,2,FALSE)</f>
        <v>単体攻撃（宝箱優先／追加ダメージ）[大]</v>
      </c>
      <c r="N157" s="23" t="s">
        <v>18</v>
      </c>
      <c r="O157" s="23" t="str">
        <f>VLOOKUP(N157,スキル!B:C,2,FALSE)</f>
        <v>　</v>
      </c>
      <c r="P157" s="23" t="s">
        <v>49</v>
      </c>
      <c r="Q157" s="23" t="str">
        <f>VLOOKUP(P157,タクティクス!B:C,2,FALSE)</f>
        <v>突属性の生存ユニットのHPを高確率で全回復</v>
      </c>
      <c r="R157" s="23" t="s">
        <v>18</v>
      </c>
      <c r="S157" s="23" t="str">
        <f>VLOOKUP(R157,タクティクス!B:C,2,FALSE)</f>
        <v>　</v>
      </c>
      <c r="T157" s="23" t="s">
        <v>18</v>
      </c>
      <c r="U157" s="23" t="s">
        <v>18</v>
      </c>
      <c r="V157" s="20" t="s">
        <v>1823</v>
      </c>
    </row>
    <row r="158" spans="1:22" ht="21.75" customHeight="1" x14ac:dyDescent="0.15">
      <c r="A158" s="20" t="str">
        <f>B158&amp;".jpg"</f>
        <v>1269.jpg</v>
      </c>
      <c r="B158" s="46">
        <v>1269</v>
      </c>
      <c r="C158" s="24" t="s">
        <v>124</v>
      </c>
      <c r="D158" s="24" t="s">
        <v>15</v>
      </c>
      <c r="E158" s="24">
        <v>13</v>
      </c>
      <c r="F158" s="24" t="s">
        <v>34</v>
      </c>
      <c r="G158" s="22">
        <v>18696</v>
      </c>
      <c r="H158" s="22">
        <v>6331</v>
      </c>
      <c r="I158" s="22">
        <v>6678</v>
      </c>
      <c r="J158" s="24" t="s">
        <v>35</v>
      </c>
      <c r="K158" s="22">
        <f>SUM(G158,H158,I158)</f>
        <v>31705</v>
      </c>
      <c r="L158" s="24" t="s">
        <v>529</v>
      </c>
      <c r="M158" s="23" t="str">
        <f>VLOOKUP(L158,スキル!B:C,2,FALSE)</f>
        <v>横一列に攻撃[大]</v>
      </c>
      <c r="N158" s="23" t="s">
        <v>18</v>
      </c>
      <c r="O158" s="23" t="str">
        <f>VLOOKUP(N158,スキル!B:C,2,FALSE)</f>
        <v>　</v>
      </c>
      <c r="P158" s="23" t="s">
        <v>125</v>
      </c>
      <c r="Q158" s="23" t="str">
        <f>VLOOKUP(P158,タクティクス!B:C,2,FALSE)</f>
        <v>攻撃される確率が中UP(3分間)</v>
      </c>
      <c r="R158" s="23" t="s">
        <v>18</v>
      </c>
      <c r="S158" s="23" t="str">
        <f>VLOOKUP(R158,タクティクス!B:C,2,FALSE)</f>
        <v>　</v>
      </c>
      <c r="T158" s="23" t="s">
        <v>18</v>
      </c>
      <c r="U158" s="23" t="s">
        <v>18</v>
      </c>
      <c r="V158" s="20" t="s">
        <v>1823</v>
      </c>
    </row>
    <row r="159" spans="1:22" ht="21.75" customHeight="1" x14ac:dyDescent="0.15">
      <c r="A159" s="20" t="str">
        <f>B159&amp;".jpg"</f>
        <v>1271.jpg</v>
      </c>
      <c r="B159" s="46">
        <v>1271</v>
      </c>
      <c r="C159" s="24" t="s">
        <v>126</v>
      </c>
      <c r="D159" s="24" t="s">
        <v>15</v>
      </c>
      <c r="E159" s="24">
        <v>13</v>
      </c>
      <c r="F159" s="24" t="s">
        <v>41</v>
      </c>
      <c r="G159" s="22">
        <v>17903</v>
      </c>
      <c r="H159" s="22">
        <v>6249</v>
      </c>
      <c r="I159" s="22">
        <v>4550</v>
      </c>
      <c r="J159" s="24" t="s">
        <v>42</v>
      </c>
      <c r="K159" s="22">
        <f>SUM(G159,H159,I159)</f>
        <v>28702</v>
      </c>
      <c r="L159" s="23" t="s">
        <v>637</v>
      </c>
      <c r="M159" s="23" t="str">
        <f>VLOOKUP(L159,スキル!B:C,2,FALSE)</f>
        <v>打に強く遠に弱い縦一列攻撃[大]</v>
      </c>
      <c r="N159" s="23" t="s">
        <v>18</v>
      </c>
      <c r="O159" s="23" t="str">
        <f>VLOOKUP(N159,スキル!B:C,2,FALSE)</f>
        <v>　</v>
      </c>
      <c r="P159" s="23" t="s">
        <v>127</v>
      </c>
      <c r="Q159" s="23" t="str">
        <f>VLOOKUP(P159,タクティクス!B:C,2,FALSE)</f>
        <v>生存ユニットのHPを大回復</v>
      </c>
      <c r="R159" s="23" t="s">
        <v>18</v>
      </c>
      <c r="S159" s="23" t="str">
        <f>VLOOKUP(R159,タクティクス!B:C,2,FALSE)</f>
        <v>　</v>
      </c>
      <c r="T159" s="23" t="s">
        <v>18</v>
      </c>
      <c r="U159" s="23" t="s">
        <v>18</v>
      </c>
      <c r="V159" s="20" t="s">
        <v>1823</v>
      </c>
    </row>
    <row r="160" spans="1:22" ht="21.75" customHeight="1" x14ac:dyDescent="0.15">
      <c r="A160" s="20" t="str">
        <f>B160&amp;".jpg"</f>
        <v>1272.jpg</v>
      </c>
      <c r="B160" s="46">
        <v>1272</v>
      </c>
      <c r="C160" s="24" t="s">
        <v>128</v>
      </c>
      <c r="D160" s="24" t="s">
        <v>15</v>
      </c>
      <c r="E160" s="24">
        <v>13</v>
      </c>
      <c r="F160" s="24" t="s">
        <v>25</v>
      </c>
      <c r="G160" s="22">
        <v>18617</v>
      </c>
      <c r="H160" s="22">
        <v>5543</v>
      </c>
      <c r="I160" s="22">
        <v>5497</v>
      </c>
      <c r="J160" s="24" t="s">
        <v>26</v>
      </c>
      <c r="K160" s="22">
        <f>SUM(G160,H160,I160)</f>
        <v>29657</v>
      </c>
      <c r="L160" s="23" t="s">
        <v>639</v>
      </c>
      <c r="M160" s="23" t="str">
        <f>VLOOKUP(L160,スキル!B:C,2,FALSE)</f>
        <v>ランダムで6連続攻撃[小]</v>
      </c>
      <c r="N160" s="23" t="s">
        <v>18</v>
      </c>
      <c r="O160" s="23" t="str">
        <f>VLOOKUP(N160,スキル!B:C,2,FALSE)</f>
        <v>　</v>
      </c>
      <c r="P160" s="23" t="s">
        <v>129</v>
      </c>
      <c r="Q160" s="23" t="str">
        <f>VLOOKUP(P160,タクティクス!B:C,2,FALSE)</f>
        <v>獲得する騎士団戦スコアが小アップ(バトル3回)</v>
      </c>
      <c r="R160" s="23" t="s">
        <v>18</v>
      </c>
      <c r="S160" s="23" t="str">
        <f>VLOOKUP(R160,タクティクス!B:C,2,FALSE)</f>
        <v>　</v>
      </c>
      <c r="T160" s="23" t="s">
        <v>18</v>
      </c>
      <c r="U160" s="23" t="s">
        <v>18</v>
      </c>
      <c r="V160" s="20" t="s">
        <v>1872</v>
      </c>
    </row>
    <row r="161" spans="1:22" ht="21.75" customHeight="1" x14ac:dyDescent="0.15">
      <c r="A161" s="20" t="str">
        <f>B161&amp;".jpg"</f>
        <v>1273.jpg</v>
      </c>
      <c r="B161" s="46">
        <v>1273</v>
      </c>
      <c r="C161" s="24" t="s">
        <v>130</v>
      </c>
      <c r="D161" s="24" t="s">
        <v>15</v>
      </c>
      <c r="E161" s="24">
        <v>12</v>
      </c>
      <c r="F161" s="24" t="s">
        <v>16</v>
      </c>
      <c r="G161" s="22">
        <v>14133</v>
      </c>
      <c r="H161" s="22">
        <v>6880</v>
      </c>
      <c r="I161" s="22">
        <v>4611</v>
      </c>
      <c r="J161" s="24" t="s">
        <v>55</v>
      </c>
      <c r="K161" s="22">
        <f>SUM(G161,H161,I161)</f>
        <v>25624</v>
      </c>
      <c r="L161" s="23" t="s">
        <v>590</v>
      </c>
      <c r="M161" s="23" t="str">
        <f>VLOOKUP(L161,スキル!B:C,2,FALSE)</f>
        <v>十字型に固定ダメージ[大]</v>
      </c>
      <c r="N161" s="23" t="s">
        <v>18</v>
      </c>
      <c r="O161" s="23" t="str">
        <f>VLOOKUP(N161,スキル!B:C,2,FALSE)</f>
        <v>　</v>
      </c>
      <c r="P161" s="23" t="s">
        <v>21</v>
      </c>
      <c r="Q161" s="23" t="str">
        <f>VLOOKUP(P161,タクティクス!B:C,2,FALSE)</f>
        <v>高確率で斬属性のユニットを復帰</v>
      </c>
      <c r="R161" s="23" t="s">
        <v>18</v>
      </c>
      <c r="S161" s="23" t="str">
        <f>VLOOKUP(R161,タクティクス!B:C,2,FALSE)</f>
        <v>　</v>
      </c>
      <c r="T161" s="23" t="s">
        <v>18</v>
      </c>
      <c r="U161" s="23" t="s">
        <v>18</v>
      </c>
      <c r="V161" s="20" t="s">
        <v>1825</v>
      </c>
    </row>
    <row r="162" spans="1:22" ht="21.75" customHeight="1" x14ac:dyDescent="0.15">
      <c r="A162" s="20" t="str">
        <f>B162&amp;".jpg"</f>
        <v>1274.jpg</v>
      </c>
      <c r="B162" s="46">
        <v>1274</v>
      </c>
      <c r="C162" s="24" t="s">
        <v>52</v>
      </c>
      <c r="D162" s="24" t="s">
        <v>15</v>
      </c>
      <c r="E162" s="24">
        <v>13</v>
      </c>
      <c r="F162" s="24" t="s">
        <v>41</v>
      </c>
      <c r="G162" s="22">
        <v>17996</v>
      </c>
      <c r="H162" s="22">
        <v>6280</v>
      </c>
      <c r="I162" s="22">
        <v>4526</v>
      </c>
      <c r="J162" s="24" t="s">
        <v>42</v>
      </c>
      <c r="K162" s="22">
        <f>SUM(G162,H162,I162)</f>
        <v>28802</v>
      </c>
      <c r="L162" s="23" t="s">
        <v>609</v>
      </c>
      <c r="M162" s="23" t="str">
        <f>VLOOKUP(L162,スキル!B:C,2,FALSE)</f>
        <v>単体固定ダメージ[中]+味方状態異常解除</v>
      </c>
      <c r="N162" s="23" t="s">
        <v>18</v>
      </c>
      <c r="O162" s="23" t="str">
        <f>VLOOKUP(N162,スキル!B:C,2,FALSE)</f>
        <v>　</v>
      </c>
      <c r="P162" s="23" t="s">
        <v>19</v>
      </c>
      <c r="Q162" s="23" t="str">
        <f>VLOOKUP(P162,タクティクス!B:C,2,FALSE)</f>
        <v>中確率でパーティ全員を復帰(全滅時のみ使用可)</v>
      </c>
      <c r="R162" s="23" t="s">
        <v>18</v>
      </c>
      <c r="S162" s="23" t="str">
        <f>VLOOKUP(R162,タクティクス!B:C,2,FALSE)</f>
        <v>　</v>
      </c>
      <c r="T162" s="23" t="s">
        <v>18</v>
      </c>
      <c r="U162" s="23" t="s">
        <v>18</v>
      </c>
      <c r="V162" s="20" t="s">
        <v>1824</v>
      </c>
    </row>
    <row r="163" spans="1:22" ht="21.75" customHeight="1" x14ac:dyDescent="0.15">
      <c r="A163" s="20" t="str">
        <f>B163&amp;".jpg"</f>
        <v>1276.jpg</v>
      </c>
      <c r="B163" s="46">
        <v>1276</v>
      </c>
      <c r="C163" s="24" t="s">
        <v>131</v>
      </c>
      <c r="D163" s="24" t="s">
        <v>15</v>
      </c>
      <c r="E163" s="24">
        <v>12</v>
      </c>
      <c r="F163" s="24" t="s">
        <v>41</v>
      </c>
      <c r="G163" s="22">
        <v>18119</v>
      </c>
      <c r="H163" s="22">
        <v>5364</v>
      </c>
      <c r="I163" s="22">
        <v>4302</v>
      </c>
      <c r="J163" s="24" t="s">
        <v>42</v>
      </c>
      <c r="K163" s="22">
        <f>SUM(G163,H163,I163)</f>
        <v>27785</v>
      </c>
      <c r="L163" s="23" t="s">
        <v>641</v>
      </c>
      <c r="M163" s="23" t="str">
        <f>VLOOKUP(L163,スキル!B:C,2,FALSE)</f>
        <v>味方全体の攻撃力と防御力をUP[中]</v>
      </c>
      <c r="N163" s="23" t="s">
        <v>18</v>
      </c>
      <c r="O163" s="23" t="str">
        <f>VLOOKUP(N163,スキル!B:C,2,FALSE)</f>
        <v>　</v>
      </c>
      <c r="P163" s="23" t="s">
        <v>27</v>
      </c>
      <c r="Q163" s="23" t="str">
        <f>VLOOKUP(P163,タクティクス!B:C,2,FALSE)</f>
        <v>パーティ全体の防御力が中UP(3分間)</v>
      </c>
      <c r="R163" s="23" t="s">
        <v>18</v>
      </c>
      <c r="S163" s="23" t="str">
        <f>VLOOKUP(R163,タクティクス!B:C,2,FALSE)</f>
        <v>　</v>
      </c>
      <c r="T163" s="23" t="s">
        <v>18</v>
      </c>
      <c r="U163" s="23" t="s">
        <v>18</v>
      </c>
      <c r="V163" s="20" t="s">
        <v>1861</v>
      </c>
    </row>
    <row r="164" spans="1:22" ht="21.75" customHeight="1" x14ac:dyDescent="0.15">
      <c r="A164" s="20" t="str">
        <f>B164&amp;".jpg"</f>
        <v>1278.jpg</v>
      </c>
      <c r="B164" s="46">
        <v>1278</v>
      </c>
      <c r="C164" s="24" t="s">
        <v>132</v>
      </c>
      <c r="D164" s="24" t="s">
        <v>15</v>
      </c>
      <c r="E164" s="24">
        <v>13</v>
      </c>
      <c r="F164" s="24" t="s">
        <v>25</v>
      </c>
      <c r="G164" s="22">
        <v>16915</v>
      </c>
      <c r="H164" s="22">
        <v>5934</v>
      </c>
      <c r="I164" s="22">
        <v>5675</v>
      </c>
      <c r="J164" s="24" t="s">
        <v>26</v>
      </c>
      <c r="K164" s="22">
        <f>SUM(G164,H164,I164)</f>
        <v>28524</v>
      </c>
      <c r="L164" s="23" t="s">
        <v>643</v>
      </c>
      <c r="M164" s="23" t="str">
        <f>VLOOKUP(L164,スキル!B:C,2,FALSE)</f>
        <v>ランダム4連続攻撃[中]自分の防御力UP[中]</v>
      </c>
      <c r="N164" s="23" t="s">
        <v>18</v>
      </c>
      <c r="O164" s="23" t="str">
        <f>VLOOKUP(N164,スキル!B:C,2,FALSE)</f>
        <v>　</v>
      </c>
      <c r="P164" s="23" t="s">
        <v>23</v>
      </c>
      <c r="Q164" s="23" t="str">
        <f>VLOOKUP(P164,タクティクス!B:C,2,FALSE)</f>
        <v>パーティ全体の攻撃力が中UP(3分間)</v>
      </c>
      <c r="R164" s="23" t="s">
        <v>18</v>
      </c>
      <c r="S164" s="23" t="str">
        <f>VLOOKUP(R164,タクティクス!B:C,2,FALSE)</f>
        <v>　</v>
      </c>
      <c r="T164" s="23" t="s">
        <v>18</v>
      </c>
      <c r="U164" s="23" t="s">
        <v>18</v>
      </c>
      <c r="V164" s="20" t="s">
        <v>1861</v>
      </c>
    </row>
    <row r="165" spans="1:22" ht="21.75" customHeight="1" x14ac:dyDescent="0.15">
      <c r="A165" s="20" t="str">
        <f>B165&amp;".jpg"</f>
        <v>1279.jpg</v>
      </c>
      <c r="B165" s="46">
        <v>1279</v>
      </c>
      <c r="C165" s="24" t="s">
        <v>133</v>
      </c>
      <c r="D165" s="24" t="s">
        <v>15</v>
      </c>
      <c r="E165" s="24">
        <v>13</v>
      </c>
      <c r="F165" s="24" t="s">
        <v>16</v>
      </c>
      <c r="G165" s="22">
        <v>16987</v>
      </c>
      <c r="H165" s="22">
        <v>6799</v>
      </c>
      <c r="I165" s="22">
        <v>5425</v>
      </c>
      <c r="J165" s="24" t="s">
        <v>17</v>
      </c>
      <c r="K165" s="22">
        <f>SUM(G165,H165,I165)</f>
        <v>29211</v>
      </c>
      <c r="L165" s="23" t="s">
        <v>645</v>
      </c>
      <c r="M165" s="23" t="str">
        <f>VLOOKUP(L165,スキル!B:C,2,FALSE)</f>
        <v>縦一列攻撃[大]自分の攻撃力UP[大]</v>
      </c>
      <c r="N165" s="23" t="s">
        <v>18</v>
      </c>
      <c r="O165" s="23" t="str">
        <f>VLOOKUP(N165,スキル!B:C,2,FALSE)</f>
        <v>　</v>
      </c>
      <c r="P165" s="23" t="s">
        <v>83</v>
      </c>
      <c r="Q165" s="23" t="str">
        <f>VLOOKUP(P165,タクティクス!B:C,2,FALSE)</f>
        <v>騎士団全体の攻・防が小UP(3分間)</v>
      </c>
      <c r="R165" s="23" t="s">
        <v>18</v>
      </c>
      <c r="S165" s="23" t="str">
        <f>VLOOKUP(R165,タクティクス!B:C,2,FALSE)</f>
        <v>　</v>
      </c>
      <c r="T165" s="23" t="s">
        <v>18</v>
      </c>
      <c r="U165" s="23" t="s">
        <v>18</v>
      </c>
      <c r="V165" s="20" t="s">
        <v>1861</v>
      </c>
    </row>
    <row r="166" spans="1:22" ht="21.75" customHeight="1" x14ac:dyDescent="0.15">
      <c r="A166" s="20" t="str">
        <f>B166&amp;".jpg"</f>
        <v>1280.jpg</v>
      </c>
      <c r="B166" s="46">
        <v>1280</v>
      </c>
      <c r="C166" s="24" t="s">
        <v>134</v>
      </c>
      <c r="D166" s="24" t="s">
        <v>15</v>
      </c>
      <c r="E166" s="24">
        <v>13</v>
      </c>
      <c r="F166" s="24" t="s">
        <v>41</v>
      </c>
      <c r="G166" s="22">
        <v>18093</v>
      </c>
      <c r="H166" s="22">
        <v>5497</v>
      </c>
      <c r="I166" s="22">
        <v>5174</v>
      </c>
      <c r="J166" s="24" t="s">
        <v>42</v>
      </c>
      <c r="K166" s="22">
        <f>SUM(G166,H166,I166)</f>
        <v>28764</v>
      </c>
      <c r="L166" s="23" t="s">
        <v>647</v>
      </c>
      <c r="M166" s="23" t="str">
        <f>VLOOKUP(L166,スキル!B:C,2,FALSE)</f>
        <v>ランダムで5連続攻撃[中]</v>
      </c>
      <c r="N166" s="23" t="s">
        <v>18</v>
      </c>
      <c r="O166" s="23" t="str">
        <f>VLOOKUP(N166,スキル!B:C,2,FALSE)</f>
        <v>　</v>
      </c>
      <c r="P166" s="23" t="s">
        <v>135</v>
      </c>
      <c r="Q166" s="23" t="str">
        <f>VLOOKUP(P166,タクティクス!B:C,2,FALSE)</f>
        <v>高確率で戦闘不能ユニットを復帰</v>
      </c>
      <c r="R166" s="23" t="s">
        <v>18</v>
      </c>
      <c r="S166" s="23" t="str">
        <f>VLOOKUP(R166,タクティクス!B:C,2,FALSE)</f>
        <v>　</v>
      </c>
      <c r="T166" s="23" t="s">
        <v>18</v>
      </c>
      <c r="U166" s="23" t="s">
        <v>18</v>
      </c>
      <c r="V166" s="20" t="s">
        <v>1861</v>
      </c>
    </row>
    <row r="167" spans="1:22" ht="21.75" customHeight="1" x14ac:dyDescent="0.15">
      <c r="A167" s="20" t="str">
        <f>B167&amp;".jpg"</f>
        <v>1286.jpg</v>
      </c>
      <c r="B167" s="46">
        <v>1286</v>
      </c>
      <c r="C167" s="24" t="s">
        <v>136</v>
      </c>
      <c r="D167" s="24" t="s">
        <v>15</v>
      </c>
      <c r="E167" s="24">
        <v>12</v>
      </c>
      <c r="F167" s="24" t="s">
        <v>41</v>
      </c>
      <c r="G167" s="22">
        <v>16338</v>
      </c>
      <c r="H167" s="22">
        <v>5703</v>
      </c>
      <c r="I167" s="22">
        <v>4527</v>
      </c>
      <c r="J167" s="24" t="s">
        <v>42</v>
      </c>
      <c r="K167" s="22">
        <f>SUM(G167,H167,I167)</f>
        <v>26568</v>
      </c>
      <c r="L167" s="23" t="s">
        <v>541</v>
      </c>
      <c r="M167" s="23" t="str">
        <f>VLOOKUP(L167,スキル!B:C,2,FALSE)</f>
        <v>味方全員のHPを回復[中]</v>
      </c>
      <c r="N167" s="23" t="s">
        <v>18</v>
      </c>
      <c r="O167" s="23" t="str">
        <f>VLOOKUP(N167,スキル!B:C,2,FALSE)</f>
        <v>　</v>
      </c>
      <c r="P167" s="23" t="s">
        <v>27</v>
      </c>
      <c r="Q167" s="23" t="str">
        <f>VLOOKUP(P167,タクティクス!B:C,2,FALSE)</f>
        <v>パーティ全体の防御力が中UP(3分間)</v>
      </c>
      <c r="R167" s="23" t="s">
        <v>18</v>
      </c>
      <c r="S167" s="23" t="str">
        <f>VLOOKUP(R167,タクティクス!B:C,2,FALSE)</f>
        <v>　</v>
      </c>
      <c r="T167" s="23" t="s">
        <v>18</v>
      </c>
      <c r="U167" s="23" t="s">
        <v>18</v>
      </c>
      <c r="V167" s="20" t="s">
        <v>1836</v>
      </c>
    </row>
    <row r="168" spans="1:22" ht="21.75" customHeight="1" x14ac:dyDescent="0.15">
      <c r="A168" s="20" t="str">
        <f>B168&amp;".jpg"</f>
        <v>1288.jpg</v>
      </c>
      <c r="B168" s="46">
        <v>1288</v>
      </c>
      <c r="C168" s="24" t="s">
        <v>137</v>
      </c>
      <c r="D168" s="24" t="s">
        <v>15</v>
      </c>
      <c r="E168" s="24">
        <v>13</v>
      </c>
      <c r="F168" s="24" t="s">
        <v>16</v>
      </c>
      <c r="G168" s="22">
        <v>15430</v>
      </c>
      <c r="H168" s="22">
        <v>7095</v>
      </c>
      <c r="I168" s="22">
        <v>5747</v>
      </c>
      <c r="J168" s="24" t="s">
        <v>17</v>
      </c>
      <c r="K168" s="22">
        <f>SUM(G168,H168,I168)</f>
        <v>28272</v>
      </c>
      <c r="L168" s="23" t="s">
        <v>529</v>
      </c>
      <c r="M168" s="23" t="str">
        <f>VLOOKUP(L168,スキル!B:C,2,FALSE)</f>
        <v>横一列に攻撃[大]</v>
      </c>
      <c r="N168" s="23" t="s">
        <v>18</v>
      </c>
      <c r="O168" s="23" t="str">
        <f>VLOOKUP(N168,スキル!B:C,2,FALSE)</f>
        <v>　</v>
      </c>
      <c r="P168" s="23" t="s">
        <v>47</v>
      </c>
      <c r="Q168" s="23" t="str">
        <f>VLOOKUP(P168,タクティクス!B:C,2,FALSE)</f>
        <v>斬属性の生存ユニットのHPを高確率で全回復</v>
      </c>
      <c r="R168" s="23" t="s">
        <v>18</v>
      </c>
      <c r="S168" s="23" t="str">
        <f>VLOOKUP(R168,タクティクス!B:C,2,FALSE)</f>
        <v>　</v>
      </c>
      <c r="T168" s="23" t="s">
        <v>18</v>
      </c>
      <c r="U168" s="23" t="s">
        <v>18</v>
      </c>
      <c r="V168" s="20" t="s">
        <v>1823</v>
      </c>
    </row>
    <row r="169" spans="1:22" ht="21.75" customHeight="1" x14ac:dyDescent="0.15">
      <c r="A169" s="20" t="str">
        <f>B169&amp;".jpg"</f>
        <v>1290.jpg</v>
      </c>
      <c r="B169" s="46">
        <v>1290</v>
      </c>
      <c r="C169" s="24" t="s">
        <v>138</v>
      </c>
      <c r="D169" s="24" t="s">
        <v>15</v>
      </c>
      <c r="E169" s="24">
        <v>13</v>
      </c>
      <c r="F169" s="24" t="s">
        <v>25</v>
      </c>
      <c r="G169" s="22">
        <v>18813</v>
      </c>
      <c r="H169" s="22">
        <v>5601</v>
      </c>
      <c r="I169" s="22">
        <v>5440</v>
      </c>
      <c r="J169" s="24" t="s">
        <v>26</v>
      </c>
      <c r="K169" s="22">
        <f>SUM(G169,H169,I169)</f>
        <v>29854</v>
      </c>
      <c r="L169" s="23" t="s">
        <v>648</v>
      </c>
      <c r="M169" s="23" t="str">
        <f>VLOOKUP(L169,スキル!B:C,2,FALSE)</f>
        <v>横一列攻撃[大]自分の防御力UP[大]</v>
      </c>
      <c r="N169" s="23" t="s">
        <v>18</v>
      </c>
      <c r="O169" s="23" t="str">
        <f>VLOOKUP(N169,スキル!B:C,2,FALSE)</f>
        <v>　</v>
      </c>
      <c r="P169" s="23" t="s">
        <v>56</v>
      </c>
      <c r="Q169" s="23" t="str">
        <f>VLOOKUP(P169,タクティクス!B:C,2,FALSE)</f>
        <v>バトルで敵を全滅するとBPが中回復(バトル3回)</v>
      </c>
      <c r="R169" s="23" t="s">
        <v>18</v>
      </c>
      <c r="S169" s="23" t="str">
        <f>VLOOKUP(R169,タクティクス!B:C,2,FALSE)</f>
        <v>　</v>
      </c>
      <c r="T169" s="23" t="s">
        <v>18</v>
      </c>
      <c r="U169" s="23" t="s">
        <v>18</v>
      </c>
      <c r="V169" s="20" t="s">
        <v>1823</v>
      </c>
    </row>
    <row r="170" spans="1:22" ht="21.75" customHeight="1" x14ac:dyDescent="0.15">
      <c r="A170" s="20" t="str">
        <f>B170&amp;".jpg"</f>
        <v>1292.jpg</v>
      </c>
      <c r="B170" s="46">
        <v>1292</v>
      </c>
      <c r="C170" s="24" t="s">
        <v>139</v>
      </c>
      <c r="D170" s="24" t="s">
        <v>15</v>
      </c>
      <c r="E170" s="24">
        <v>13</v>
      </c>
      <c r="F170" s="24" t="s">
        <v>34</v>
      </c>
      <c r="G170" s="22">
        <v>18598</v>
      </c>
      <c r="H170" s="22">
        <v>5713</v>
      </c>
      <c r="I170" s="22">
        <v>6644</v>
      </c>
      <c r="J170" s="24" t="s">
        <v>42</v>
      </c>
      <c r="K170" s="22">
        <f>SUM(G170,H170,I170)</f>
        <v>30955</v>
      </c>
      <c r="L170" s="23" t="s">
        <v>586</v>
      </c>
      <c r="M170" s="23" t="str">
        <f>VLOOKUP(L170,スキル!B:C,2,FALSE)</f>
        <v>味方打属性の攻撃力をUP[大]</v>
      </c>
      <c r="N170" s="23" t="s">
        <v>18</v>
      </c>
      <c r="O170" s="23" t="str">
        <f>VLOOKUP(N170,スキル!B:C,2,FALSE)</f>
        <v>　</v>
      </c>
      <c r="P170" s="23" t="s">
        <v>60</v>
      </c>
      <c r="Q170" s="23" t="str">
        <f>VLOOKUP(P170,タクティクス!B:C,2,FALSE)</f>
        <v>パーティ全体の攻・防が中UP(3分間)</v>
      </c>
      <c r="R170" s="23" t="s">
        <v>18</v>
      </c>
      <c r="S170" s="23" t="str">
        <f>VLOOKUP(R170,タクティクス!B:C,2,FALSE)</f>
        <v>　</v>
      </c>
      <c r="T170" s="23" t="s">
        <v>18</v>
      </c>
      <c r="U170" s="23" t="s">
        <v>18</v>
      </c>
      <c r="V170" s="20" t="s">
        <v>1823</v>
      </c>
    </row>
    <row r="171" spans="1:22" ht="21.75" customHeight="1" x14ac:dyDescent="0.15">
      <c r="A171" s="20" t="str">
        <f>B171&amp;".jpg"</f>
        <v>1294.jpg</v>
      </c>
      <c r="B171" s="46">
        <v>1294</v>
      </c>
      <c r="C171" s="24" t="s">
        <v>140</v>
      </c>
      <c r="D171" s="24" t="s">
        <v>15</v>
      </c>
      <c r="E171" s="24">
        <v>13</v>
      </c>
      <c r="F171" s="24" t="s">
        <v>41</v>
      </c>
      <c r="G171" s="22">
        <v>15834</v>
      </c>
      <c r="H171" s="22">
        <v>6345</v>
      </c>
      <c r="I171" s="22">
        <v>5146</v>
      </c>
      <c r="J171" s="24" t="s">
        <v>42</v>
      </c>
      <c r="K171" s="22">
        <f>SUM(G171,H171,I171)</f>
        <v>27325</v>
      </c>
      <c r="L171" s="23" t="s">
        <v>635</v>
      </c>
      <c r="M171" s="23" t="str">
        <f>VLOOKUP(L171,スキル!B:C,2,FALSE)</f>
        <v>単体攻撃（宝箱優先／追加ダメージ）[大]</v>
      </c>
      <c r="N171" s="23" t="s">
        <v>18</v>
      </c>
      <c r="O171" s="23" t="str">
        <f>VLOOKUP(N171,スキル!B:C,2,FALSE)</f>
        <v>　</v>
      </c>
      <c r="P171" s="23" t="s">
        <v>85</v>
      </c>
      <c r="Q171" s="23" t="str">
        <f>VLOOKUP(P171,タクティクス!B:C,2,FALSE)</f>
        <v>バトル時の強襲CB率が小UP(3分間)</v>
      </c>
      <c r="R171" s="23" t="s">
        <v>18</v>
      </c>
      <c r="S171" s="23" t="str">
        <f>VLOOKUP(R171,タクティクス!B:C,2,FALSE)</f>
        <v>　</v>
      </c>
      <c r="T171" s="23" t="s">
        <v>18</v>
      </c>
      <c r="U171" s="23" t="s">
        <v>18</v>
      </c>
      <c r="V171" s="20" t="s">
        <v>1823</v>
      </c>
    </row>
    <row r="172" spans="1:22" ht="21.75" customHeight="1" x14ac:dyDescent="0.15">
      <c r="A172" s="20" t="str">
        <f>B172&amp;".jpg"</f>
        <v>1295.jpg</v>
      </c>
      <c r="B172" s="46">
        <v>1295</v>
      </c>
      <c r="C172" s="24" t="s">
        <v>71</v>
      </c>
      <c r="D172" s="24" t="s">
        <v>15</v>
      </c>
      <c r="E172" s="24">
        <v>13</v>
      </c>
      <c r="F172" s="24" t="s">
        <v>16</v>
      </c>
      <c r="G172" s="22">
        <v>14940</v>
      </c>
      <c r="H172" s="22">
        <v>7892</v>
      </c>
      <c r="I172" s="22">
        <v>5367</v>
      </c>
      <c r="J172" s="24" t="s">
        <v>17</v>
      </c>
      <c r="K172" s="22">
        <f>SUM(G172,H172,I172)</f>
        <v>28199</v>
      </c>
      <c r="L172" s="23" t="s">
        <v>650</v>
      </c>
      <c r="M172" s="23" t="str">
        <f>VLOOKUP(L172,スキル!B:C,2,FALSE)</f>
        <v>十字型攻撃[大]自分の攻撃力UP[大]</v>
      </c>
      <c r="N172" s="23" t="s">
        <v>18</v>
      </c>
      <c r="O172" s="23" t="str">
        <f>VLOOKUP(N172,スキル!B:C,2,FALSE)</f>
        <v>　</v>
      </c>
      <c r="P172" s="23" t="s">
        <v>23</v>
      </c>
      <c r="Q172" s="23" t="str">
        <f>VLOOKUP(P172,タクティクス!B:C,2,FALSE)</f>
        <v>パーティ全体の攻撃力が中UP(3分間)</v>
      </c>
      <c r="R172" s="23" t="s">
        <v>18</v>
      </c>
      <c r="S172" s="23" t="str">
        <f>VLOOKUP(R172,タクティクス!B:C,2,FALSE)</f>
        <v>　</v>
      </c>
      <c r="T172" s="23" t="s">
        <v>18</v>
      </c>
      <c r="U172" s="23" t="s">
        <v>18</v>
      </c>
      <c r="V172" s="20" t="s">
        <v>1873</v>
      </c>
    </row>
    <row r="173" spans="1:22" ht="21.75" customHeight="1" x14ac:dyDescent="0.15">
      <c r="A173" s="20" t="str">
        <f>B173&amp;".jpg"</f>
        <v>1298.jpg</v>
      </c>
      <c r="B173" s="46">
        <v>1298</v>
      </c>
      <c r="C173" s="24" t="s">
        <v>141</v>
      </c>
      <c r="D173" s="24" t="s">
        <v>15</v>
      </c>
      <c r="E173" s="24">
        <v>13</v>
      </c>
      <c r="F173" s="24" t="s">
        <v>41</v>
      </c>
      <c r="G173" s="22">
        <v>16522</v>
      </c>
      <c r="H173" s="22">
        <v>6797</v>
      </c>
      <c r="I173" s="22">
        <v>4626</v>
      </c>
      <c r="J173" s="24" t="s">
        <v>42</v>
      </c>
      <c r="K173" s="22">
        <f>SUM(G173,H173,I173)</f>
        <v>27945</v>
      </c>
      <c r="L173" s="23" t="s">
        <v>652</v>
      </c>
      <c r="M173" s="23" t="str">
        <f>VLOOKUP(L173,スキル!B:C,2,FALSE)</f>
        <v>ランダム4連続攻撃[中]自分の攻撃力UP[中]</v>
      </c>
      <c r="N173" s="23" t="s">
        <v>18</v>
      </c>
      <c r="O173" s="23" t="str">
        <f>VLOOKUP(N173,スキル!B:C,2,FALSE)</f>
        <v>　</v>
      </c>
      <c r="P173" s="23" t="s">
        <v>51</v>
      </c>
      <c r="Q173" s="23" t="str">
        <f>VLOOKUP(P173,タクティクス!B:C,2,FALSE)</f>
        <v>獲得する騎士団戦スコアが中アップ(バトル3回)</v>
      </c>
      <c r="R173" s="23" t="s">
        <v>18</v>
      </c>
      <c r="S173" s="23" t="str">
        <f>VLOOKUP(R173,タクティクス!B:C,2,FALSE)</f>
        <v>　</v>
      </c>
      <c r="T173" s="23" t="s">
        <v>18</v>
      </c>
      <c r="U173" s="23" t="s">
        <v>18</v>
      </c>
      <c r="V173" s="20" t="s">
        <v>1899</v>
      </c>
    </row>
    <row r="174" spans="1:22" ht="21.75" customHeight="1" x14ac:dyDescent="0.15">
      <c r="A174" s="20" t="str">
        <f>B174&amp;".jpg"</f>
        <v>1299.jpg</v>
      </c>
      <c r="B174" s="46">
        <v>1299</v>
      </c>
      <c r="C174" s="24" t="s">
        <v>142</v>
      </c>
      <c r="D174" s="24" t="s">
        <v>15</v>
      </c>
      <c r="E174" s="24">
        <v>13</v>
      </c>
      <c r="F174" s="24" t="s">
        <v>16</v>
      </c>
      <c r="G174" s="22">
        <v>14799</v>
      </c>
      <c r="H174" s="22">
        <v>7203</v>
      </c>
      <c r="I174" s="22">
        <v>5087</v>
      </c>
      <c r="J174" s="24" t="s">
        <v>55</v>
      </c>
      <c r="K174" s="22">
        <f>SUM(G174,H174,I174)</f>
        <v>27089</v>
      </c>
      <c r="L174" s="23" t="s">
        <v>654</v>
      </c>
      <c r="M174" s="23" t="str">
        <f>VLOOKUP(L174,スキル!B:C,2,FALSE)</f>
        <v>斬に強く突に弱い縦一列攻撃[大]</v>
      </c>
      <c r="N174" s="23" t="s">
        <v>18</v>
      </c>
      <c r="O174" s="23" t="str">
        <f>VLOOKUP(N174,スキル!B:C,2,FALSE)</f>
        <v>　</v>
      </c>
      <c r="P174" s="23" t="s">
        <v>85</v>
      </c>
      <c r="Q174" s="23" t="str">
        <f>VLOOKUP(P174,タクティクス!B:C,2,FALSE)</f>
        <v>バトル時の強襲CB率が小UP(3分間)</v>
      </c>
      <c r="R174" s="23" t="s">
        <v>18</v>
      </c>
      <c r="S174" s="23" t="str">
        <f>VLOOKUP(R174,タクティクス!B:C,2,FALSE)</f>
        <v>　</v>
      </c>
      <c r="T174" s="23" t="s">
        <v>18</v>
      </c>
      <c r="U174" s="23" t="s">
        <v>18</v>
      </c>
      <c r="V174" s="20" t="s">
        <v>1899</v>
      </c>
    </row>
    <row r="175" spans="1:22" ht="21.75" customHeight="1" x14ac:dyDescent="0.15">
      <c r="A175" s="20" t="str">
        <f>B175&amp;".jpg"</f>
        <v>1301.jpg</v>
      </c>
      <c r="B175" s="46">
        <v>1301</v>
      </c>
      <c r="C175" s="24" t="s">
        <v>143</v>
      </c>
      <c r="D175" s="24" t="s">
        <v>15</v>
      </c>
      <c r="E175" s="24">
        <v>13</v>
      </c>
      <c r="F175" s="24" t="s">
        <v>16</v>
      </c>
      <c r="G175" s="22">
        <v>15668</v>
      </c>
      <c r="H175" s="22">
        <v>7624</v>
      </c>
      <c r="I175" s="22">
        <v>4798</v>
      </c>
      <c r="J175" s="24" t="s">
        <v>55</v>
      </c>
      <c r="K175" s="22">
        <f>SUM(G175,H175,I175)</f>
        <v>28090</v>
      </c>
      <c r="L175" s="23" t="s">
        <v>656</v>
      </c>
      <c r="M175" s="23" t="str">
        <f>VLOOKUP(L175,スキル!B:C,2,FALSE)</f>
        <v>十字型攻撃[大]自分の防御力UP[大]</v>
      </c>
      <c r="N175" s="23" t="s">
        <v>18</v>
      </c>
      <c r="O175" s="23" t="str">
        <f>VLOOKUP(N175,スキル!B:C,2,FALSE)</f>
        <v>　</v>
      </c>
      <c r="P175" s="23" t="s">
        <v>125</v>
      </c>
      <c r="Q175" s="23" t="str">
        <f>VLOOKUP(P175,タクティクス!B:C,2,FALSE)</f>
        <v>攻撃される確率が中UP(3分間)</v>
      </c>
      <c r="R175" s="23" t="s">
        <v>18</v>
      </c>
      <c r="S175" s="23" t="str">
        <f>VLOOKUP(R175,タクティクス!B:C,2,FALSE)</f>
        <v>　</v>
      </c>
      <c r="T175" s="23" t="s">
        <v>18</v>
      </c>
      <c r="U175" s="23" t="s">
        <v>18</v>
      </c>
      <c r="V175" s="20" t="s">
        <v>1823</v>
      </c>
    </row>
    <row r="176" spans="1:22" ht="21.75" customHeight="1" x14ac:dyDescent="0.15">
      <c r="A176" s="20" t="str">
        <f>B176&amp;".jpg"</f>
        <v>1303.jpg</v>
      </c>
      <c r="B176" s="46">
        <v>1303</v>
      </c>
      <c r="C176" s="24" t="s">
        <v>144</v>
      </c>
      <c r="D176" s="24" t="s">
        <v>15</v>
      </c>
      <c r="E176" s="24">
        <v>13</v>
      </c>
      <c r="F176" s="24" t="s">
        <v>25</v>
      </c>
      <c r="G176" s="22">
        <v>18913</v>
      </c>
      <c r="H176" s="22">
        <v>5629</v>
      </c>
      <c r="I176" s="22">
        <v>5410</v>
      </c>
      <c r="J176" s="24" t="s">
        <v>26</v>
      </c>
      <c r="K176" s="22">
        <f>SUM(G176,H176,I176)</f>
        <v>29952</v>
      </c>
      <c r="L176" s="23" t="s">
        <v>658</v>
      </c>
      <c r="M176" s="23" t="str">
        <f>VLOOKUP(L176,スキル!B:C,2,FALSE)</f>
        <v>敵全体の防御力をDOWN[大]</v>
      </c>
      <c r="N176" s="23" t="s">
        <v>18</v>
      </c>
      <c r="O176" s="23" t="str">
        <f>VLOOKUP(N176,スキル!B:C,2,FALSE)</f>
        <v>　</v>
      </c>
      <c r="P176" s="23" t="s">
        <v>83</v>
      </c>
      <c r="Q176" s="23" t="str">
        <f>VLOOKUP(P176,タクティクス!B:C,2,FALSE)</f>
        <v>騎士団全体の攻・防が小UP(3分間)</v>
      </c>
      <c r="R176" s="23" t="s">
        <v>18</v>
      </c>
      <c r="S176" s="23" t="str">
        <f>VLOOKUP(R176,タクティクス!B:C,2,FALSE)</f>
        <v>　</v>
      </c>
      <c r="T176" s="23" t="s">
        <v>18</v>
      </c>
      <c r="U176" s="23" t="s">
        <v>18</v>
      </c>
      <c r="V176" s="20" t="s">
        <v>1823</v>
      </c>
    </row>
    <row r="177" spans="1:22" ht="21.75" customHeight="1" x14ac:dyDescent="0.15">
      <c r="A177" s="20" t="str">
        <f>B177&amp;".jpg"</f>
        <v>1305.jpg</v>
      </c>
      <c r="B177" s="46">
        <v>1305</v>
      </c>
      <c r="C177" s="24" t="s">
        <v>145</v>
      </c>
      <c r="D177" s="24" t="s">
        <v>15</v>
      </c>
      <c r="E177" s="24">
        <v>13</v>
      </c>
      <c r="F177" s="24" t="s">
        <v>34</v>
      </c>
      <c r="G177" s="22">
        <v>20794</v>
      </c>
      <c r="H177" s="22">
        <v>5147</v>
      </c>
      <c r="I177" s="22">
        <v>7427</v>
      </c>
      <c r="J177" s="24" t="s">
        <v>35</v>
      </c>
      <c r="K177" s="22">
        <f>SUM(G177,H177,I177)</f>
        <v>33368</v>
      </c>
      <c r="L177" s="24" t="s">
        <v>535</v>
      </c>
      <c r="M177" s="23" t="str">
        <f>VLOOKUP(L177,スキル!B:C,2,FALSE)</f>
        <v>X字型に固定ダメージ[大]</v>
      </c>
      <c r="N177" s="23" t="s">
        <v>18</v>
      </c>
      <c r="O177" s="23" t="str">
        <f>VLOOKUP(N177,スキル!B:C,2,FALSE)</f>
        <v>　</v>
      </c>
      <c r="P177" s="23" t="s">
        <v>81</v>
      </c>
      <c r="Q177" s="23" t="str">
        <f>VLOOKUP(P177,タクティクス!B:C,2,FALSE)</f>
        <v>騎士団全体の攻撃力が小UP(3分間)</v>
      </c>
      <c r="R177" s="23" t="s">
        <v>18</v>
      </c>
      <c r="S177" s="23" t="str">
        <f>VLOOKUP(R177,タクティクス!B:C,2,FALSE)</f>
        <v>　</v>
      </c>
      <c r="T177" s="23" t="s">
        <v>18</v>
      </c>
      <c r="U177" s="23" t="s">
        <v>18</v>
      </c>
      <c r="V177" s="20" t="s">
        <v>1823</v>
      </c>
    </row>
    <row r="178" spans="1:22" ht="21.75" customHeight="1" x14ac:dyDescent="0.15">
      <c r="A178" s="20" t="str">
        <f>B178&amp;".jpg"</f>
        <v>1307.jpg</v>
      </c>
      <c r="B178" s="46">
        <v>1307</v>
      </c>
      <c r="C178" s="24" t="s">
        <v>146</v>
      </c>
      <c r="D178" s="24" t="s">
        <v>15</v>
      </c>
      <c r="E178" s="24">
        <v>13</v>
      </c>
      <c r="F178" s="24" t="s">
        <v>41</v>
      </c>
      <c r="G178" s="22">
        <v>16607</v>
      </c>
      <c r="H178" s="22">
        <v>5797</v>
      </c>
      <c r="I178" s="22">
        <v>5424</v>
      </c>
      <c r="J178" s="24" t="s">
        <v>42</v>
      </c>
      <c r="K178" s="22">
        <f>SUM(G178,H178,I178)</f>
        <v>27828</v>
      </c>
      <c r="L178" s="23" t="s">
        <v>563</v>
      </c>
      <c r="M178" s="23" t="str">
        <f>VLOOKUP(L178,スキル!B:C,2,FALSE)</f>
        <v>ランダムで4連続攻撃[中]</v>
      </c>
      <c r="N178" s="23" t="s">
        <v>18</v>
      </c>
      <c r="O178" s="23" t="str">
        <f>VLOOKUP(N178,スキル!B:C,2,FALSE)</f>
        <v>　</v>
      </c>
      <c r="P178" s="23" t="s">
        <v>122</v>
      </c>
      <c r="Q178" s="23" t="str">
        <f>VLOOKUP(P178,タクティクス!B:C,2,FALSE)</f>
        <v>攻撃される確率が中DOWN(3分間)</v>
      </c>
      <c r="R178" s="23" t="s">
        <v>18</v>
      </c>
      <c r="S178" s="23" t="str">
        <f>VLOOKUP(R178,タクティクス!B:C,2,FALSE)</f>
        <v>　</v>
      </c>
      <c r="T178" s="23" t="s">
        <v>18</v>
      </c>
      <c r="U178" s="23" t="s">
        <v>18</v>
      </c>
      <c r="V178" s="20" t="s">
        <v>1823</v>
      </c>
    </row>
    <row r="179" spans="1:22" ht="21.75" customHeight="1" x14ac:dyDescent="0.15">
      <c r="A179" s="20" t="str">
        <f>B179&amp;".jpg"</f>
        <v>1311.jpg</v>
      </c>
      <c r="B179" s="46">
        <v>1311</v>
      </c>
      <c r="C179" s="24" t="s">
        <v>147</v>
      </c>
      <c r="D179" s="24" t="s">
        <v>15</v>
      </c>
      <c r="E179" s="24">
        <v>12</v>
      </c>
      <c r="F179" s="24" t="s">
        <v>25</v>
      </c>
      <c r="G179" s="22">
        <v>16727</v>
      </c>
      <c r="H179" s="22">
        <v>4978</v>
      </c>
      <c r="I179" s="22">
        <v>5554</v>
      </c>
      <c r="J179" s="24" t="s">
        <v>26</v>
      </c>
      <c r="K179" s="22">
        <f>SUM(G179,H179,I179)</f>
        <v>27259</v>
      </c>
      <c r="L179" s="23" t="s">
        <v>576</v>
      </c>
      <c r="M179" s="23" t="str">
        <f>VLOOKUP(L179,スキル!B:C,2,FALSE)</f>
        <v>一定確率で敵を範囲不可にする[高確率]</v>
      </c>
      <c r="N179" s="23" t="s">
        <v>18</v>
      </c>
      <c r="O179" s="23" t="str">
        <f>VLOOKUP(N179,スキル!B:C,2,FALSE)</f>
        <v>　</v>
      </c>
      <c r="P179" s="23" t="s">
        <v>49</v>
      </c>
      <c r="Q179" s="23" t="str">
        <f>VLOOKUP(P179,タクティクス!B:C,2,FALSE)</f>
        <v>突属性の生存ユニットのHPを高確率で全回復</v>
      </c>
      <c r="R179" s="23" t="s">
        <v>18</v>
      </c>
      <c r="S179" s="23" t="str">
        <f>VLOOKUP(R179,タクティクス!B:C,2,FALSE)</f>
        <v>　</v>
      </c>
      <c r="T179" s="23" t="s">
        <v>18</v>
      </c>
      <c r="U179" s="23" t="s">
        <v>18</v>
      </c>
      <c r="V179" s="20" t="s">
        <v>1874</v>
      </c>
    </row>
    <row r="180" spans="1:22" ht="21.75" customHeight="1" x14ac:dyDescent="0.15">
      <c r="A180" s="20" t="str">
        <f>B180&amp;".jpg"</f>
        <v>1312.jpg</v>
      </c>
      <c r="B180" s="46">
        <v>1312</v>
      </c>
      <c r="C180" s="24" t="s">
        <v>48</v>
      </c>
      <c r="D180" s="24" t="s">
        <v>15</v>
      </c>
      <c r="E180" s="24">
        <v>13</v>
      </c>
      <c r="F180" s="24" t="s">
        <v>25</v>
      </c>
      <c r="G180" s="22">
        <v>19009</v>
      </c>
      <c r="H180" s="22">
        <v>5660</v>
      </c>
      <c r="I180" s="22">
        <v>5380</v>
      </c>
      <c r="J180" s="24" t="s">
        <v>26</v>
      </c>
      <c r="K180" s="22">
        <f>SUM(G180,H180,I180)</f>
        <v>30049</v>
      </c>
      <c r="L180" s="23" t="s">
        <v>660</v>
      </c>
      <c r="M180" s="23" t="str">
        <f>VLOOKUP(L180,スキル!B:C,2,FALSE)</f>
        <v>ランダムで4連固定ダメージ[中]</v>
      </c>
      <c r="N180" s="23" t="s">
        <v>18</v>
      </c>
      <c r="O180" s="23" t="str">
        <f>VLOOKUP(N180,スキル!B:C,2,FALSE)</f>
        <v>　</v>
      </c>
      <c r="P180" s="23" t="s">
        <v>148</v>
      </c>
      <c r="Q180" s="23" t="str">
        <f>VLOOKUP(P180,タクティクス!B:C,2,FALSE)</f>
        <v>パーティ全体の攻撃力が小UP(3分間)</v>
      </c>
      <c r="R180" s="23" t="s">
        <v>18</v>
      </c>
      <c r="S180" s="23" t="str">
        <f>VLOOKUP(R180,タクティクス!B:C,2,FALSE)</f>
        <v>　</v>
      </c>
      <c r="T180" s="23" t="s">
        <v>18</v>
      </c>
      <c r="U180" s="23" t="s">
        <v>18</v>
      </c>
      <c r="V180" s="20" t="s">
        <v>1875</v>
      </c>
    </row>
    <row r="181" spans="1:22" ht="21.75" customHeight="1" x14ac:dyDescent="0.15">
      <c r="A181" s="20" t="str">
        <f>B181&amp;".jpg"</f>
        <v>1314.jpg</v>
      </c>
      <c r="B181" s="46">
        <v>1314</v>
      </c>
      <c r="C181" s="24" t="s">
        <v>82</v>
      </c>
      <c r="D181" s="24" t="s">
        <v>15</v>
      </c>
      <c r="E181" s="24">
        <v>13</v>
      </c>
      <c r="F181" s="24" t="s">
        <v>34</v>
      </c>
      <c r="G181" s="22">
        <v>22270</v>
      </c>
      <c r="H181" s="22">
        <v>5314</v>
      </c>
      <c r="I181" s="22">
        <v>6746</v>
      </c>
      <c r="J181" s="24" t="s">
        <v>35</v>
      </c>
      <c r="K181" s="22">
        <f>SUM(G181,H181,I181)</f>
        <v>34330</v>
      </c>
      <c r="L181" s="23" t="s">
        <v>662</v>
      </c>
      <c r="M181" s="23" t="str">
        <f>VLOOKUP(L181,スキル!B:C,2,FALSE)</f>
        <v>遠に強く打に弱い横一列攻撃[大]</v>
      </c>
      <c r="N181" s="23" t="s">
        <v>18</v>
      </c>
      <c r="O181" s="23" t="str">
        <f>VLOOKUP(N181,スキル!B:C,2,FALSE)</f>
        <v>　</v>
      </c>
      <c r="P181" s="23" t="s">
        <v>60</v>
      </c>
      <c r="Q181" s="23" t="str">
        <f>VLOOKUP(P181,タクティクス!B:C,2,FALSE)</f>
        <v>パーティ全体の攻・防が中UP(3分間)</v>
      </c>
      <c r="R181" s="23" t="s">
        <v>18</v>
      </c>
      <c r="S181" s="23" t="str">
        <f>VLOOKUP(R181,タクティクス!B:C,2,FALSE)</f>
        <v>　</v>
      </c>
      <c r="T181" s="23" t="s">
        <v>18</v>
      </c>
      <c r="U181" s="23" t="s">
        <v>18</v>
      </c>
      <c r="V181" s="20" t="s">
        <v>1827</v>
      </c>
    </row>
    <row r="182" spans="1:22" ht="21.75" customHeight="1" x14ac:dyDescent="0.15">
      <c r="A182" s="20" t="str">
        <f>B182&amp;".jpg"</f>
        <v>1315.jpg</v>
      </c>
      <c r="B182" s="46">
        <v>1315</v>
      </c>
      <c r="C182" s="24" t="s">
        <v>114</v>
      </c>
      <c r="D182" s="24" t="s">
        <v>15</v>
      </c>
      <c r="E182" s="24">
        <v>12</v>
      </c>
      <c r="F182" s="24" t="s">
        <v>25</v>
      </c>
      <c r="G182" s="22">
        <v>16066</v>
      </c>
      <c r="H182" s="22">
        <v>5061</v>
      </c>
      <c r="I182" s="22">
        <v>5168</v>
      </c>
      <c r="J182" s="24" t="s">
        <v>31</v>
      </c>
      <c r="K182" s="22">
        <f>SUM(G182,H182,I182)</f>
        <v>26295</v>
      </c>
      <c r="L182" s="23" t="s">
        <v>584</v>
      </c>
      <c r="M182" s="23" t="str">
        <f>VLOOKUP(L182,スキル!B:C,2,FALSE)</f>
        <v>味方の攻撃に一定確率で追撃[高確率]</v>
      </c>
      <c r="N182" s="23" t="s">
        <v>18</v>
      </c>
      <c r="O182" s="23" t="str">
        <f>VLOOKUP(N182,スキル!B:C,2,FALSE)</f>
        <v>　</v>
      </c>
      <c r="P182" s="23" t="s">
        <v>32</v>
      </c>
      <c r="Q182" s="23" t="str">
        <f>VLOOKUP(P182,タクティクス!B:C,2,FALSE)</f>
        <v>高確率で突属性のユニットを復帰</v>
      </c>
      <c r="R182" s="23" t="s">
        <v>18</v>
      </c>
      <c r="S182" s="23" t="str">
        <f>VLOOKUP(R182,タクティクス!B:C,2,FALSE)</f>
        <v>　</v>
      </c>
      <c r="T182" s="23" t="s">
        <v>18</v>
      </c>
      <c r="U182" s="23" t="s">
        <v>18</v>
      </c>
      <c r="V182" s="20" t="s">
        <v>1876</v>
      </c>
    </row>
    <row r="183" spans="1:22" ht="21.75" customHeight="1" x14ac:dyDescent="0.15">
      <c r="A183" s="20" t="str">
        <f>B183&amp;".jpg"</f>
        <v>1318.jpg</v>
      </c>
      <c r="B183" s="46">
        <v>1318</v>
      </c>
      <c r="C183" s="24" t="s">
        <v>149</v>
      </c>
      <c r="D183" s="24" t="s">
        <v>15</v>
      </c>
      <c r="E183" s="24">
        <v>12</v>
      </c>
      <c r="F183" s="24" t="s">
        <v>16</v>
      </c>
      <c r="G183" s="22">
        <v>15025</v>
      </c>
      <c r="H183" s="22">
        <v>6908</v>
      </c>
      <c r="I183" s="22">
        <v>4850</v>
      </c>
      <c r="J183" s="24" t="s">
        <v>17</v>
      </c>
      <c r="K183" s="22">
        <f>SUM(G183,H183,I183)</f>
        <v>26783</v>
      </c>
      <c r="L183" s="23" t="s">
        <v>568</v>
      </c>
      <c r="M183" s="23" t="str">
        <f>VLOOKUP(L183,スキル!B:C,2,FALSE)</f>
        <v>縦一列に攻撃[大]</v>
      </c>
      <c r="N183" s="23" t="s">
        <v>18</v>
      </c>
      <c r="O183" s="23" t="str">
        <f>VLOOKUP(N183,スキル!B:C,2,FALSE)</f>
        <v>　</v>
      </c>
      <c r="P183" s="23" t="s">
        <v>60</v>
      </c>
      <c r="Q183" s="23" t="str">
        <f>VLOOKUP(P183,タクティクス!B:C,2,FALSE)</f>
        <v>パーティ全体の攻・防が中UP(3分間)</v>
      </c>
      <c r="R183" s="23" t="s">
        <v>18</v>
      </c>
      <c r="S183" s="23" t="str">
        <f>VLOOKUP(R183,タクティクス!B:C,2,FALSE)</f>
        <v>　</v>
      </c>
      <c r="T183" s="23" t="s">
        <v>18</v>
      </c>
      <c r="U183" s="23" t="s">
        <v>18</v>
      </c>
      <c r="V183" s="20" t="s">
        <v>1840</v>
      </c>
    </row>
    <row r="184" spans="1:22" ht="21.75" customHeight="1" x14ac:dyDescent="0.15">
      <c r="A184" s="20" t="str">
        <f>B184&amp;".jpg"</f>
        <v>1319.jpg</v>
      </c>
      <c r="B184" s="46">
        <v>1319</v>
      </c>
      <c r="C184" s="24" t="s">
        <v>149</v>
      </c>
      <c r="D184" s="24" t="s">
        <v>15</v>
      </c>
      <c r="E184" s="24">
        <v>13</v>
      </c>
      <c r="F184" s="24" t="s">
        <v>16</v>
      </c>
      <c r="G184" s="22">
        <v>16068</v>
      </c>
      <c r="H184" s="22">
        <v>7389</v>
      </c>
      <c r="I184" s="22">
        <v>5242</v>
      </c>
      <c r="J184" s="24" t="s">
        <v>17</v>
      </c>
      <c r="K184" s="22">
        <f>SUM(G184,H184,I184)</f>
        <v>28699</v>
      </c>
      <c r="L184" s="23" t="s">
        <v>568</v>
      </c>
      <c r="M184" s="23" t="str">
        <f>VLOOKUP(L184,スキル!B:C,2,FALSE)</f>
        <v>縦一列に攻撃[大]</v>
      </c>
      <c r="N184" s="23" t="s">
        <v>18</v>
      </c>
      <c r="O184" s="23" t="str">
        <f>VLOOKUP(N184,スキル!B:C,2,FALSE)</f>
        <v>　</v>
      </c>
      <c r="P184" s="23" t="s">
        <v>60</v>
      </c>
      <c r="Q184" s="23" t="str">
        <f>VLOOKUP(P184,タクティクス!B:C,2,FALSE)</f>
        <v>パーティ全体の攻・防が中UP(3分間)</v>
      </c>
      <c r="R184" s="23" t="s">
        <v>18</v>
      </c>
      <c r="S184" s="23" t="str">
        <f>VLOOKUP(R184,タクティクス!B:C,2,FALSE)</f>
        <v>　</v>
      </c>
      <c r="T184" s="23" t="s">
        <v>18</v>
      </c>
      <c r="U184" s="23" t="s">
        <v>18</v>
      </c>
      <c r="V184" s="20" t="s">
        <v>1840</v>
      </c>
    </row>
    <row r="185" spans="1:22" ht="21.75" customHeight="1" x14ac:dyDescent="0.15">
      <c r="A185" s="20" t="str">
        <f>B185&amp;".jpg"</f>
        <v>1320.jpg</v>
      </c>
      <c r="B185" s="46">
        <v>1320</v>
      </c>
      <c r="C185" s="24" t="s">
        <v>149</v>
      </c>
      <c r="D185" s="24" t="s">
        <v>150</v>
      </c>
      <c r="E185" s="24">
        <v>14</v>
      </c>
      <c r="F185" s="24" t="s">
        <v>16</v>
      </c>
      <c r="G185" s="22">
        <v>17550</v>
      </c>
      <c r="H185" s="22">
        <v>8070</v>
      </c>
      <c r="I185" s="22">
        <v>6226</v>
      </c>
      <c r="J185" s="24" t="s">
        <v>151</v>
      </c>
      <c r="K185" s="22">
        <f>SUM(G185,H185,I185)</f>
        <v>31846</v>
      </c>
      <c r="L185" s="23" t="s">
        <v>664</v>
      </c>
      <c r="M185" s="23" t="str">
        <f>VLOOKUP(L185,スキル!B:C,2,FALSE)</f>
        <v>縦一列に攻撃[特大]</v>
      </c>
      <c r="N185" s="23" t="s">
        <v>18</v>
      </c>
      <c r="O185" s="23" t="str">
        <f>VLOOKUP(N185,スキル!B:C,2,FALSE)</f>
        <v>　</v>
      </c>
      <c r="P185" s="23" t="s">
        <v>152</v>
      </c>
      <c r="Q185" s="23" t="str">
        <f>VLOOKUP(P185,タクティクス!B:C,2,FALSE)</f>
        <v>パーティ全体の攻・防が大UP(3分間)</v>
      </c>
      <c r="R185" s="23" t="s">
        <v>18</v>
      </c>
      <c r="S185" s="23" t="str">
        <f>VLOOKUP(R185,タクティクス!B:C,2,FALSE)</f>
        <v>　</v>
      </c>
      <c r="T185" s="23" t="s">
        <v>18</v>
      </c>
      <c r="U185" s="23" t="s">
        <v>18</v>
      </c>
      <c r="V185" s="20" t="s">
        <v>1840</v>
      </c>
    </row>
    <row r="186" spans="1:22" ht="21.75" customHeight="1" x14ac:dyDescent="0.15">
      <c r="A186" s="20" t="str">
        <f>B186&amp;".jpg"</f>
        <v>1321.jpg</v>
      </c>
      <c r="B186" s="46">
        <v>1321</v>
      </c>
      <c r="C186" s="24" t="s">
        <v>153</v>
      </c>
      <c r="D186" s="24" t="s">
        <v>15</v>
      </c>
      <c r="E186" s="24">
        <v>13</v>
      </c>
      <c r="F186" s="24" t="s">
        <v>41</v>
      </c>
      <c r="G186" s="22">
        <v>16695</v>
      </c>
      <c r="H186" s="22">
        <v>6165</v>
      </c>
      <c r="I186" s="22">
        <v>4577</v>
      </c>
      <c r="J186" s="24" t="s">
        <v>26</v>
      </c>
      <c r="K186" s="22">
        <f>SUM(G186,H186,I186)</f>
        <v>27437</v>
      </c>
      <c r="L186" s="23" t="s">
        <v>666</v>
      </c>
      <c r="M186" s="23" t="str">
        <f>VLOOKUP(L186,スキル!B:C,2,FALSE)</f>
        <v>ランダム5連続攻撃[小]自分の攻撃力UP[小]</v>
      </c>
      <c r="N186" s="23" t="s">
        <v>18</v>
      </c>
      <c r="O186" s="23" t="str">
        <f>VLOOKUP(N186,スキル!B:C,2,FALSE)</f>
        <v>　</v>
      </c>
      <c r="P186" s="23" t="s">
        <v>148</v>
      </c>
      <c r="Q186" s="23" t="str">
        <f>VLOOKUP(P186,タクティクス!B:C,2,FALSE)</f>
        <v>パーティ全体の攻撃力が小UP(3分間)</v>
      </c>
      <c r="R186" s="23" t="s">
        <v>18</v>
      </c>
      <c r="S186" s="23" t="str">
        <f>VLOOKUP(R186,タクティクス!B:C,2,FALSE)</f>
        <v>　</v>
      </c>
      <c r="T186" s="23" t="s">
        <v>18</v>
      </c>
      <c r="U186" s="23" t="s">
        <v>18</v>
      </c>
      <c r="V186" s="20" t="s">
        <v>1872</v>
      </c>
    </row>
    <row r="187" spans="1:22" ht="21.75" customHeight="1" x14ac:dyDescent="0.15">
      <c r="A187" s="20" t="str">
        <f>B187&amp;".jpg"</f>
        <v>1323.jpg</v>
      </c>
      <c r="B187" s="46">
        <v>1323</v>
      </c>
      <c r="C187" s="24" t="s">
        <v>154</v>
      </c>
      <c r="D187" s="24" t="s">
        <v>15</v>
      </c>
      <c r="E187" s="24">
        <v>13</v>
      </c>
      <c r="F187" s="24" t="s">
        <v>16</v>
      </c>
      <c r="G187" s="22">
        <v>17249</v>
      </c>
      <c r="H187" s="22">
        <v>6904</v>
      </c>
      <c r="I187" s="22">
        <v>5336</v>
      </c>
      <c r="J187" s="24" t="s">
        <v>17</v>
      </c>
      <c r="K187" s="22">
        <f>SUM(G187,H187,I187)</f>
        <v>29489</v>
      </c>
      <c r="L187" s="23" t="s">
        <v>635</v>
      </c>
      <c r="M187" s="23" t="str">
        <f>VLOOKUP(L187,スキル!B:C,2,FALSE)</f>
        <v>単体攻撃（宝箱優先／追加ダメージ）[大]</v>
      </c>
      <c r="N187" s="23" t="s">
        <v>18</v>
      </c>
      <c r="O187" s="23" t="str">
        <f>VLOOKUP(N187,スキル!B:C,2,FALSE)</f>
        <v>　</v>
      </c>
      <c r="P187" s="23" t="s">
        <v>56</v>
      </c>
      <c r="Q187" s="23" t="str">
        <f>VLOOKUP(P187,タクティクス!B:C,2,FALSE)</f>
        <v>バトルで敵を全滅するとBPが中回復(バトル3回)</v>
      </c>
      <c r="R187" s="23" t="s">
        <v>18</v>
      </c>
      <c r="S187" s="23" t="str">
        <f>VLOOKUP(R187,タクティクス!B:C,2,FALSE)</f>
        <v>　</v>
      </c>
      <c r="T187" s="23" t="s">
        <v>18</v>
      </c>
      <c r="U187" s="23" t="s">
        <v>18</v>
      </c>
      <c r="V187" s="20" t="s">
        <v>1823</v>
      </c>
    </row>
    <row r="188" spans="1:22" ht="21.75" customHeight="1" x14ac:dyDescent="0.15">
      <c r="A188" s="20" t="str">
        <f>B188&amp;".jpg"</f>
        <v>1325.jpg</v>
      </c>
      <c r="B188" s="46">
        <v>1325</v>
      </c>
      <c r="C188" s="24" t="s">
        <v>155</v>
      </c>
      <c r="D188" s="24" t="s">
        <v>15</v>
      </c>
      <c r="E188" s="24">
        <v>13</v>
      </c>
      <c r="F188" s="24" t="s">
        <v>25</v>
      </c>
      <c r="G188" s="22">
        <v>17270</v>
      </c>
      <c r="H188" s="22">
        <v>5140</v>
      </c>
      <c r="I188" s="22">
        <v>6551</v>
      </c>
      <c r="J188" s="24" t="s">
        <v>26</v>
      </c>
      <c r="K188" s="22">
        <f>SUM(G188,H188,I188)</f>
        <v>28961</v>
      </c>
      <c r="L188" s="23" t="s">
        <v>668</v>
      </c>
      <c r="M188" s="23" t="str">
        <f>VLOOKUP(L188,スキル!B:C,2,FALSE)</f>
        <v>ランダム4連続攻撃[中]自分の攻撃力UP[中]</v>
      </c>
      <c r="N188" s="23" t="s">
        <v>18</v>
      </c>
      <c r="O188" s="23" t="str">
        <f>VLOOKUP(N188,スキル!B:C,2,FALSE)</f>
        <v>　</v>
      </c>
      <c r="P188" s="23" t="s">
        <v>32</v>
      </c>
      <c r="Q188" s="23" t="str">
        <f>VLOOKUP(P188,タクティクス!B:C,2,FALSE)</f>
        <v>高確率で突属性のユニットを復帰</v>
      </c>
      <c r="R188" s="23" t="s">
        <v>18</v>
      </c>
      <c r="S188" s="23" t="str">
        <f>VLOOKUP(R188,タクティクス!B:C,2,FALSE)</f>
        <v>　</v>
      </c>
      <c r="T188" s="23" t="s">
        <v>18</v>
      </c>
      <c r="U188" s="23" t="s">
        <v>18</v>
      </c>
      <c r="V188" s="20" t="s">
        <v>1823</v>
      </c>
    </row>
    <row r="189" spans="1:22" ht="21.75" customHeight="1" x14ac:dyDescent="0.15">
      <c r="A189" s="20" t="str">
        <f>B189&amp;".jpg"</f>
        <v>1327.jpg</v>
      </c>
      <c r="B189" s="46">
        <v>1327</v>
      </c>
      <c r="C189" s="24" t="s">
        <v>156</v>
      </c>
      <c r="D189" s="24" t="s">
        <v>15</v>
      </c>
      <c r="E189" s="24">
        <v>13</v>
      </c>
      <c r="F189" s="24" t="s">
        <v>34</v>
      </c>
      <c r="G189" s="22">
        <v>21014</v>
      </c>
      <c r="H189" s="22">
        <v>5849</v>
      </c>
      <c r="I189" s="22">
        <v>6535</v>
      </c>
      <c r="J189" s="24" t="s">
        <v>35</v>
      </c>
      <c r="K189" s="22">
        <f>SUM(G189,H189,I189)</f>
        <v>33398</v>
      </c>
      <c r="L189" s="23" t="s">
        <v>669</v>
      </c>
      <c r="M189" s="23" t="str">
        <f>VLOOKUP(L189,スキル!B:C,2,FALSE)</f>
        <v>X字型攻撃[大]自分の攻撃力UP[大]</v>
      </c>
      <c r="N189" s="23" t="s">
        <v>18</v>
      </c>
      <c r="O189" s="23" t="str">
        <f>VLOOKUP(N189,スキル!B:C,2,FALSE)</f>
        <v>　</v>
      </c>
      <c r="P189" s="23" t="s">
        <v>51</v>
      </c>
      <c r="Q189" s="23" t="str">
        <f>VLOOKUP(P189,タクティクス!B:C,2,FALSE)</f>
        <v>獲得する騎士団戦スコアが中アップ(バトル3回)</v>
      </c>
      <c r="R189" s="23" t="s">
        <v>18</v>
      </c>
      <c r="S189" s="23" t="str">
        <f>VLOOKUP(R189,タクティクス!B:C,2,FALSE)</f>
        <v>　</v>
      </c>
      <c r="T189" s="23" t="s">
        <v>18</v>
      </c>
      <c r="U189" s="23" t="s">
        <v>18</v>
      </c>
      <c r="V189" s="20" t="s">
        <v>1823</v>
      </c>
    </row>
    <row r="190" spans="1:22" ht="21.75" customHeight="1" x14ac:dyDescent="0.15">
      <c r="A190" s="20" t="str">
        <f>B190&amp;".jpg"</f>
        <v>1329.jpg</v>
      </c>
      <c r="B190" s="46">
        <v>1329</v>
      </c>
      <c r="C190" s="24" t="s">
        <v>157</v>
      </c>
      <c r="D190" s="24" t="s">
        <v>15</v>
      </c>
      <c r="E190" s="24">
        <v>13</v>
      </c>
      <c r="F190" s="24" t="s">
        <v>41</v>
      </c>
      <c r="G190" s="22">
        <v>16166</v>
      </c>
      <c r="H190" s="22">
        <v>6480</v>
      </c>
      <c r="I190" s="22">
        <v>5036</v>
      </c>
      <c r="J190" s="24" t="s">
        <v>42</v>
      </c>
      <c r="K190" s="22">
        <f>SUM(G190,H190,I190)</f>
        <v>27682</v>
      </c>
      <c r="L190" s="23" t="s">
        <v>595</v>
      </c>
      <c r="M190" s="23" t="str">
        <f>VLOOKUP(L190,スキル!B:C,2,FALSE)</f>
        <v>最もダメージが多い味方1人のHP回復[大]</v>
      </c>
      <c r="N190" s="23" t="s">
        <v>18</v>
      </c>
      <c r="O190" s="23" t="str">
        <f>VLOOKUP(N190,スキル!B:C,2,FALSE)</f>
        <v>　</v>
      </c>
      <c r="P190" s="23" t="s">
        <v>60</v>
      </c>
      <c r="Q190" s="23" t="str">
        <f>VLOOKUP(P190,タクティクス!B:C,2,FALSE)</f>
        <v>パーティ全体の攻・防が中UP(3分間)</v>
      </c>
      <c r="R190" s="23" t="s">
        <v>18</v>
      </c>
      <c r="S190" s="23" t="str">
        <f>VLOOKUP(R190,タクティクス!B:C,2,FALSE)</f>
        <v>　</v>
      </c>
      <c r="T190" s="23" t="s">
        <v>18</v>
      </c>
      <c r="U190" s="23" t="s">
        <v>18</v>
      </c>
      <c r="V190" s="20" t="s">
        <v>1823</v>
      </c>
    </row>
    <row r="191" spans="1:22" ht="21.75" customHeight="1" x14ac:dyDescent="0.15">
      <c r="A191" s="20" t="str">
        <f>B191&amp;".jpg"</f>
        <v>1330.jpg</v>
      </c>
      <c r="B191" s="46">
        <v>1330</v>
      </c>
      <c r="C191" s="24" t="s">
        <v>158</v>
      </c>
      <c r="D191" s="24" t="s">
        <v>15</v>
      </c>
      <c r="E191" s="24">
        <v>12</v>
      </c>
      <c r="F191" s="24" t="s">
        <v>41</v>
      </c>
      <c r="G191" s="22">
        <v>17183</v>
      </c>
      <c r="H191" s="22">
        <v>5997</v>
      </c>
      <c r="I191" s="22">
        <v>4100</v>
      </c>
      <c r="J191" s="24" t="s">
        <v>42</v>
      </c>
      <c r="K191" s="22">
        <f>SUM(G191,H191,I191)</f>
        <v>27280</v>
      </c>
      <c r="L191" s="23" t="s">
        <v>597</v>
      </c>
      <c r="M191" s="23" t="str">
        <f>VLOOKUP(L191,スキル!B:C,2,FALSE)</f>
        <v>一定確率で敵を暗闇状態にする[高確率]</v>
      </c>
      <c r="N191" s="23" t="s">
        <v>18</v>
      </c>
      <c r="O191" s="23" t="str">
        <f>VLOOKUP(N191,スキル!B:C,2,FALSE)</f>
        <v>　</v>
      </c>
      <c r="P191" s="23" t="s">
        <v>125</v>
      </c>
      <c r="Q191" s="23" t="str">
        <f>VLOOKUP(P191,タクティクス!B:C,2,FALSE)</f>
        <v>攻撃される確率が中UP(3分間)</v>
      </c>
      <c r="R191" s="23" t="s">
        <v>18</v>
      </c>
      <c r="S191" s="23" t="str">
        <f>VLOOKUP(R191,タクティクス!B:C,2,FALSE)</f>
        <v>　</v>
      </c>
      <c r="T191" s="23" t="s">
        <v>18</v>
      </c>
      <c r="U191" s="23" t="s">
        <v>18</v>
      </c>
      <c r="V191" s="20" t="s">
        <v>1825</v>
      </c>
    </row>
    <row r="192" spans="1:22" ht="21.75" customHeight="1" x14ac:dyDescent="0.15">
      <c r="A192" s="20" t="str">
        <f>B192&amp;".jpg"</f>
        <v>1332.jpg</v>
      </c>
      <c r="B192" s="46">
        <v>1332</v>
      </c>
      <c r="C192" s="24" t="s">
        <v>159</v>
      </c>
      <c r="D192" s="24" t="s">
        <v>15</v>
      </c>
      <c r="E192" s="24">
        <v>13</v>
      </c>
      <c r="F192" s="24" t="s">
        <v>16</v>
      </c>
      <c r="G192" s="22">
        <v>16651</v>
      </c>
      <c r="H192" s="22">
        <v>7655</v>
      </c>
      <c r="I192" s="22">
        <v>5044</v>
      </c>
      <c r="J192" s="24" t="s">
        <v>17</v>
      </c>
      <c r="K192" s="22">
        <f>SUM(G192,H192,I192)</f>
        <v>29350</v>
      </c>
      <c r="L192" s="23" t="s">
        <v>671</v>
      </c>
      <c r="M192" s="23" t="str">
        <f>VLOOKUP(L192,スキル!B:C,2,FALSE)</f>
        <v>横一列攻撃[大]自分の攻撃力UP[大]</v>
      </c>
      <c r="N192" s="23" t="s">
        <v>18</v>
      </c>
      <c r="O192" s="23" t="str">
        <f>VLOOKUP(N192,スキル!B:C,2,FALSE)</f>
        <v>　</v>
      </c>
      <c r="P192" s="23" t="s">
        <v>85</v>
      </c>
      <c r="Q192" s="23" t="str">
        <f>VLOOKUP(P192,タクティクス!B:C,2,FALSE)</f>
        <v>バトル時の強襲CB率が小UP(3分間)</v>
      </c>
      <c r="R192" s="23" t="s">
        <v>18</v>
      </c>
      <c r="S192" s="23" t="str">
        <f>VLOOKUP(R192,タクティクス!B:C,2,FALSE)</f>
        <v>　</v>
      </c>
      <c r="T192" s="23" t="s">
        <v>18</v>
      </c>
      <c r="U192" s="23" t="s">
        <v>18</v>
      </c>
      <c r="V192" s="20" t="s">
        <v>1823</v>
      </c>
    </row>
    <row r="193" spans="1:22" ht="21.75" customHeight="1" x14ac:dyDescent="0.15">
      <c r="A193" s="20" t="str">
        <f>B193&amp;".jpg"</f>
        <v>1334.jpg</v>
      </c>
      <c r="B193" s="46">
        <v>1334</v>
      </c>
      <c r="C193" s="24" t="s">
        <v>160</v>
      </c>
      <c r="D193" s="24" t="s">
        <v>15</v>
      </c>
      <c r="E193" s="24">
        <v>13</v>
      </c>
      <c r="F193" s="24" t="s">
        <v>25</v>
      </c>
      <c r="G193" s="22">
        <v>17949</v>
      </c>
      <c r="H193" s="22">
        <v>5340</v>
      </c>
      <c r="I193" s="22">
        <v>5986</v>
      </c>
      <c r="J193" s="24" t="s">
        <v>26</v>
      </c>
      <c r="K193" s="22">
        <f>SUM(G193,H193,I193)</f>
        <v>29275</v>
      </c>
      <c r="L193" s="23" t="s">
        <v>584</v>
      </c>
      <c r="M193" s="23" t="str">
        <f>VLOOKUP(L193,スキル!B:C,2,FALSE)</f>
        <v>味方の攻撃に一定確率で追撃[高確率]</v>
      </c>
      <c r="N193" s="23" t="s">
        <v>18</v>
      </c>
      <c r="O193" s="23" t="str">
        <f>VLOOKUP(N193,スキル!B:C,2,FALSE)</f>
        <v>　</v>
      </c>
      <c r="P193" s="23" t="s">
        <v>161</v>
      </c>
      <c r="Q193" s="23" t="str">
        <f>VLOOKUP(P193,タクティクス!B:C,2,FALSE)</f>
        <v>バトルで獲得する騎士団戦スコアが中アップ(3分間)</v>
      </c>
      <c r="R193" s="23" t="s">
        <v>18</v>
      </c>
      <c r="S193" s="23" t="str">
        <f>VLOOKUP(R193,タクティクス!B:C,2,FALSE)</f>
        <v>　</v>
      </c>
      <c r="T193" s="23" t="s">
        <v>18</v>
      </c>
      <c r="U193" s="23" t="s">
        <v>18</v>
      </c>
      <c r="V193" s="20" t="s">
        <v>1823</v>
      </c>
    </row>
    <row r="194" spans="1:22" ht="21.75" customHeight="1" x14ac:dyDescent="0.15">
      <c r="A194" s="20" t="str">
        <f>B194&amp;".jpg"</f>
        <v>1336.jpg</v>
      </c>
      <c r="B194" s="46">
        <v>1336</v>
      </c>
      <c r="C194" s="24" t="s">
        <v>162</v>
      </c>
      <c r="D194" s="24" t="s">
        <v>15</v>
      </c>
      <c r="E194" s="24">
        <v>13</v>
      </c>
      <c r="F194" s="24" t="s">
        <v>34</v>
      </c>
      <c r="G194" s="22">
        <v>18389</v>
      </c>
      <c r="H194" s="22">
        <v>5818</v>
      </c>
      <c r="I194" s="22">
        <v>7544</v>
      </c>
      <c r="J194" s="24" t="s">
        <v>35</v>
      </c>
      <c r="K194" s="22">
        <f>SUM(G194,H194,I194)</f>
        <v>31751</v>
      </c>
      <c r="L194" s="23" t="s">
        <v>673</v>
      </c>
      <c r="M194" s="23" t="str">
        <f>VLOOKUP(L194,スキル!B:C,2,FALSE)</f>
        <v>一定確率で敵を睡眠状態にする[高確率]</v>
      </c>
      <c r="N194" s="23" t="s">
        <v>18</v>
      </c>
      <c r="O194" s="23" t="str">
        <f>VLOOKUP(N194,スキル!B:C,2,FALSE)</f>
        <v>　</v>
      </c>
      <c r="P194" s="23" t="s">
        <v>63</v>
      </c>
      <c r="Q194" s="23" t="str">
        <f>VLOOKUP(P194,タクティクス!B:C,2,FALSE)</f>
        <v>高確率で打属性のユニットを復帰</v>
      </c>
      <c r="R194" s="23" t="s">
        <v>18</v>
      </c>
      <c r="S194" s="23" t="str">
        <f>VLOOKUP(R194,タクティクス!B:C,2,FALSE)</f>
        <v>　</v>
      </c>
      <c r="T194" s="23" t="s">
        <v>18</v>
      </c>
      <c r="U194" s="23" t="s">
        <v>18</v>
      </c>
      <c r="V194" s="20" t="s">
        <v>1823</v>
      </c>
    </row>
    <row r="195" spans="1:22" ht="21.75" customHeight="1" x14ac:dyDescent="0.15">
      <c r="A195" s="20" t="str">
        <f>B195&amp;".jpg"</f>
        <v>1338.jpg</v>
      </c>
      <c r="B195" s="46">
        <v>1338</v>
      </c>
      <c r="C195" s="24" t="s">
        <v>163</v>
      </c>
      <c r="D195" s="24" t="s">
        <v>15</v>
      </c>
      <c r="E195" s="24">
        <v>13</v>
      </c>
      <c r="F195" s="24" t="s">
        <v>41</v>
      </c>
      <c r="G195" s="22">
        <v>19881</v>
      </c>
      <c r="H195" s="22">
        <v>5887</v>
      </c>
      <c r="I195" s="22">
        <v>4526</v>
      </c>
      <c r="J195" s="24" t="s">
        <v>42</v>
      </c>
      <c r="K195" s="22">
        <f>SUM(G195,H195,I195)</f>
        <v>30294</v>
      </c>
      <c r="L195" s="23" t="s">
        <v>613</v>
      </c>
      <c r="M195" s="23" t="str">
        <f>VLOOKUP(L195,スキル!B:C,2,FALSE)</f>
        <v>味方遠属性の防御力をUP[大]</v>
      </c>
      <c r="N195" s="23" t="s">
        <v>18</v>
      </c>
      <c r="O195" s="23" t="str">
        <f>VLOOKUP(N195,スキル!B:C,2,FALSE)</f>
        <v>　</v>
      </c>
      <c r="P195" s="23" t="s">
        <v>113</v>
      </c>
      <c r="Q195" s="23" t="str">
        <f>VLOOKUP(P195,タクティクス!B:C,2,FALSE)</f>
        <v>城の強度Lvが小UP(3分間)</v>
      </c>
      <c r="R195" s="23" t="s">
        <v>18</v>
      </c>
      <c r="S195" s="23" t="str">
        <f>VLOOKUP(R195,タクティクス!B:C,2,FALSE)</f>
        <v>　</v>
      </c>
      <c r="T195" s="23" t="s">
        <v>18</v>
      </c>
      <c r="U195" s="23" t="s">
        <v>18</v>
      </c>
      <c r="V195" s="20" t="s">
        <v>1823</v>
      </c>
    </row>
    <row r="196" spans="1:22" ht="21.75" customHeight="1" x14ac:dyDescent="0.15">
      <c r="A196" s="20" t="str">
        <f>B196&amp;".jpg"</f>
        <v>1343.jpg</v>
      </c>
      <c r="B196" s="46">
        <v>1343</v>
      </c>
      <c r="C196" s="24" t="s">
        <v>164</v>
      </c>
      <c r="D196" s="24" t="s">
        <v>15</v>
      </c>
      <c r="E196" s="24">
        <v>13</v>
      </c>
      <c r="F196" s="24" t="s">
        <v>25</v>
      </c>
      <c r="G196" s="22">
        <v>19206</v>
      </c>
      <c r="H196" s="22">
        <v>5718</v>
      </c>
      <c r="I196" s="22">
        <v>5324</v>
      </c>
      <c r="J196" s="24" t="s">
        <v>26</v>
      </c>
      <c r="K196" s="22">
        <f>SUM(G196,H196,I196)</f>
        <v>30248</v>
      </c>
      <c r="L196" s="23" t="s">
        <v>675</v>
      </c>
      <c r="M196" s="23" t="str">
        <f>VLOOKUP(L196,スキル!B:C,2,FALSE)</f>
        <v>打に強く遠に弱い横一列攻撃[大]</v>
      </c>
      <c r="N196" s="23" t="s">
        <v>18</v>
      </c>
      <c r="O196" s="23" t="str">
        <f>VLOOKUP(N196,スキル!B:C,2,FALSE)</f>
        <v>　</v>
      </c>
      <c r="P196" s="23" t="s">
        <v>27</v>
      </c>
      <c r="Q196" s="23" t="str">
        <f>VLOOKUP(P196,タクティクス!B:C,2,FALSE)</f>
        <v>パーティ全体の防御力が中UP(3分間)</v>
      </c>
      <c r="R196" s="23" t="s">
        <v>18</v>
      </c>
      <c r="S196" s="23" t="str">
        <f>VLOOKUP(R196,タクティクス!B:C,2,FALSE)</f>
        <v>　</v>
      </c>
      <c r="T196" s="23" t="s">
        <v>18</v>
      </c>
      <c r="U196" s="23" t="s">
        <v>18</v>
      </c>
      <c r="V196" s="20" t="s">
        <v>1877</v>
      </c>
    </row>
    <row r="197" spans="1:22" ht="21.75" customHeight="1" x14ac:dyDescent="0.15">
      <c r="A197" s="20" t="str">
        <f>B197&amp;".jpg"</f>
        <v>1345.jpg</v>
      </c>
      <c r="B197" s="46">
        <v>1345</v>
      </c>
      <c r="C197" s="24" t="s">
        <v>165</v>
      </c>
      <c r="D197" s="24" t="s">
        <v>15</v>
      </c>
      <c r="E197" s="24">
        <v>13</v>
      </c>
      <c r="F197" s="24" t="s">
        <v>34</v>
      </c>
      <c r="G197" s="22">
        <v>18892</v>
      </c>
      <c r="H197" s="22">
        <v>6265</v>
      </c>
      <c r="I197" s="22">
        <v>6746</v>
      </c>
      <c r="J197" s="24" t="s">
        <v>35</v>
      </c>
      <c r="K197" s="22">
        <f>SUM(G197,H197,I197)</f>
        <v>31903</v>
      </c>
      <c r="L197" s="23" t="s">
        <v>677</v>
      </c>
      <c r="M197" s="23" t="str">
        <f>VLOOKUP(L197,スキル!B:C,2,FALSE)</f>
        <v>ランダムで2～5連撃。攻撃毎に与ダメ2倍[低確率]</v>
      </c>
      <c r="N197" s="23" t="s">
        <v>18</v>
      </c>
      <c r="O197" s="23" t="str">
        <f>VLOOKUP(N197,スキル!B:C,2,FALSE)</f>
        <v>　</v>
      </c>
      <c r="P197" s="23" t="s">
        <v>23</v>
      </c>
      <c r="Q197" s="23" t="str">
        <f>VLOOKUP(P197,タクティクス!B:C,2,FALSE)</f>
        <v>パーティ全体の攻撃力が中UP(3分間)</v>
      </c>
      <c r="R197" s="23" t="s">
        <v>18</v>
      </c>
      <c r="S197" s="23" t="str">
        <f>VLOOKUP(R197,タクティクス!B:C,2,FALSE)</f>
        <v>　</v>
      </c>
      <c r="T197" s="23" t="s">
        <v>18</v>
      </c>
      <c r="U197" s="23" t="s">
        <v>18</v>
      </c>
      <c r="V197" s="20" t="s">
        <v>1878</v>
      </c>
    </row>
    <row r="198" spans="1:22" ht="21.75" customHeight="1" x14ac:dyDescent="0.15">
      <c r="A198" s="20" t="str">
        <f>B198&amp;".jpg"</f>
        <v>1347.jpg</v>
      </c>
      <c r="B198" s="46">
        <v>1347</v>
      </c>
      <c r="C198" s="24" t="s">
        <v>50</v>
      </c>
      <c r="D198" s="24" t="s">
        <v>15</v>
      </c>
      <c r="E198" s="24">
        <v>13</v>
      </c>
      <c r="F198" s="24" t="s">
        <v>34</v>
      </c>
      <c r="G198" s="22">
        <v>19679</v>
      </c>
      <c r="H198" s="22">
        <v>5997</v>
      </c>
      <c r="I198" s="22">
        <v>7030</v>
      </c>
      <c r="J198" s="24" t="s">
        <v>35</v>
      </c>
      <c r="K198" s="22">
        <f>SUM(G198,H198,I198)</f>
        <v>32706</v>
      </c>
      <c r="L198" s="23" t="s">
        <v>679</v>
      </c>
      <c r="M198" s="23" t="str">
        <f>VLOOKUP(L198,スキル!B:C,2,FALSE)</f>
        <v>敵遠属性の攻撃力と防御力をDOWN[大]</v>
      </c>
      <c r="N198" s="23" t="s">
        <v>18</v>
      </c>
      <c r="O198" s="23" t="str">
        <f>VLOOKUP(N198,スキル!B:C,2,FALSE)</f>
        <v>　</v>
      </c>
      <c r="P198" s="23" t="s">
        <v>29</v>
      </c>
      <c r="Q198" s="23" t="str">
        <f>VLOOKUP(P198,タクティクス!B:C,2,FALSE)</f>
        <v>生存ユニットのHPを中回復</v>
      </c>
      <c r="R198" s="23" t="s">
        <v>18</v>
      </c>
      <c r="S198" s="23" t="str">
        <f>VLOOKUP(R198,タクティクス!B:C,2,FALSE)</f>
        <v>　</v>
      </c>
      <c r="T198" s="23" t="s">
        <v>18</v>
      </c>
      <c r="U198" s="23" t="s">
        <v>18</v>
      </c>
      <c r="V198" s="20" t="s">
        <v>1824</v>
      </c>
    </row>
    <row r="199" spans="1:22" ht="21.75" customHeight="1" x14ac:dyDescent="0.15">
      <c r="A199" s="20" t="str">
        <f>B199&amp;".jpg"</f>
        <v>1349.jpg</v>
      </c>
      <c r="B199" s="46">
        <v>1349</v>
      </c>
      <c r="C199" s="24" t="s">
        <v>115</v>
      </c>
      <c r="D199" s="24" t="s">
        <v>15</v>
      </c>
      <c r="E199" s="24">
        <v>13</v>
      </c>
      <c r="F199" s="24" t="s">
        <v>41</v>
      </c>
      <c r="G199" s="22">
        <v>18851</v>
      </c>
      <c r="H199" s="22">
        <v>6580</v>
      </c>
      <c r="I199" s="22">
        <v>4313</v>
      </c>
      <c r="J199" s="24" t="s">
        <v>42</v>
      </c>
      <c r="K199" s="22">
        <f>SUM(G199,H199,I199)</f>
        <v>29744</v>
      </c>
      <c r="L199" s="23" t="s">
        <v>681</v>
      </c>
      <c r="M199" s="23" t="str">
        <f>VLOOKUP(L199,スキル!B:C,2,FALSE)</f>
        <v>敵全体攻撃[大]自分の攻撃力UP[大]</v>
      </c>
      <c r="N199" s="23" t="s">
        <v>18</v>
      </c>
      <c r="O199" s="23" t="str">
        <f>VLOOKUP(N199,スキル!B:C,2,FALSE)</f>
        <v>　</v>
      </c>
      <c r="P199" s="23" t="s">
        <v>36</v>
      </c>
      <c r="Q199" s="23" t="str">
        <f>VLOOKUP(P199,タクティクス!B:C,2,FALSE)</f>
        <v>中確率で戦闘不能ユニットを復帰</v>
      </c>
      <c r="R199" s="23" t="s">
        <v>18</v>
      </c>
      <c r="S199" s="23" t="str">
        <f>VLOOKUP(R199,タクティクス!B:C,2,FALSE)</f>
        <v>　</v>
      </c>
      <c r="T199" s="23" t="s">
        <v>18</v>
      </c>
      <c r="U199" s="23" t="s">
        <v>18</v>
      </c>
      <c r="V199" s="20" t="s">
        <v>1871</v>
      </c>
    </row>
    <row r="200" spans="1:22" ht="21.75" customHeight="1" x14ac:dyDescent="0.15">
      <c r="A200" s="20" t="str">
        <f>B200&amp;".jpg"</f>
        <v>1355.jpg</v>
      </c>
      <c r="B200" s="46">
        <v>1355</v>
      </c>
      <c r="C200" s="24" t="s">
        <v>166</v>
      </c>
      <c r="D200" s="24" t="s">
        <v>15</v>
      </c>
      <c r="E200" s="24">
        <v>13</v>
      </c>
      <c r="F200" s="24" t="s">
        <v>25</v>
      </c>
      <c r="G200" s="22">
        <v>16808</v>
      </c>
      <c r="H200" s="22">
        <v>5746</v>
      </c>
      <c r="I200" s="22">
        <v>6080</v>
      </c>
      <c r="J200" s="24" t="s">
        <v>26</v>
      </c>
      <c r="K200" s="22">
        <f>SUM(G200,H200,I200)</f>
        <v>28634</v>
      </c>
      <c r="L200" s="23" t="s">
        <v>601</v>
      </c>
      <c r="M200" s="23" t="str">
        <f>VLOOKUP(L200,スキル!B:C,2,FALSE)</f>
        <v>単体固定ダメージ[中]+敵ステータスUP解除</v>
      </c>
      <c r="N200" s="23" t="s">
        <v>18</v>
      </c>
      <c r="O200" s="23" t="str">
        <f>VLOOKUP(N200,スキル!B:C,2,FALSE)</f>
        <v>　</v>
      </c>
      <c r="P200" s="23" t="s">
        <v>56</v>
      </c>
      <c r="Q200" s="23" t="str">
        <f>VLOOKUP(P200,タクティクス!B:C,2,FALSE)</f>
        <v>バトルで敵を全滅するとBPが中回復(バトル3回)</v>
      </c>
      <c r="R200" s="23" t="s">
        <v>18</v>
      </c>
      <c r="S200" s="23" t="str">
        <f>VLOOKUP(R200,タクティクス!B:C,2,FALSE)</f>
        <v>　</v>
      </c>
      <c r="T200" s="23" t="s">
        <v>18</v>
      </c>
      <c r="U200" s="23" t="s">
        <v>18</v>
      </c>
      <c r="V200" s="20" t="s">
        <v>1862</v>
      </c>
    </row>
    <row r="201" spans="1:22" ht="21.75" customHeight="1" x14ac:dyDescent="0.15">
      <c r="A201" s="20" t="str">
        <f>B201&amp;".jpg"</f>
        <v>1357.jpg</v>
      </c>
      <c r="B201" s="46">
        <v>1357</v>
      </c>
      <c r="C201" s="24" t="s">
        <v>167</v>
      </c>
      <c r="D201" s="24" t="s">
        <v>15</v>
      </c>
      <c r="E201" s="24">
        <v>13</v>
      </c>
      <c r="F201" s="24" t="s">
        <v>16</v>
      </c>
      <c r="G201" s="22">
        <v>17573</v>
      </c>
      <c r="H201" s="22">
        <v>6952</v>
      </c>
      <c r="I201" s="22">
        <v>5549</v>
      </c>
      <c r="J201" s="24" t="s">
        <v>17</v>
      </c>
      <c r="K201" s="22">
        <f>SUM(G201,H201,I201)</f>
        <v>30074</v>
      </c>
      <c r="L201" s="23" t="s">
        <v>592</v>
      </c>
      <c r="M201" s="23" t="str">
        <f>VLOOKUP(L201,スキル!B:C,2,FALSE)</f>
        <v>味方斬属性の攻撃力をUP[大]</v>
      </c>
      <c r="N201" s="23" t="s">
        <v>18</v>
      </c>
      <c r="O201" s="23" t="str">
        <f>VLOOKUP(N201,スキル!B:C,2,FALSE)</f>
        <v>　</v>
      </c>
      <c r="P201" s="23" t="s">
        <v>168</v>
      </c>
      <c r="Q201" s="23" t="str">
        <f>VLOOKUP(P201,タクティクス!B:C,2,FALSE)</f>
        <v>強襲CBの発生確率・強襲時獲得ポイント中UP(3回)</v>
      </c>
      <c r="R201" s="23" t="s">
        <v>18</v>
      </c>
      <c r="S201" s="23" t="str">
        <f>VLOOKUP(R201,タクティクス!B:C,2,FALSE)</f>
        <v>　</v>
      </c>
      <c r="T201" s="23" t="s">
        <v>18</v>
      </c>
      <c r="U201" s="23" t="s">
        <v>18</v>
      </c>
      <c r="V201" s="20" t="s">
        <v>1862</v>
      </c>
    </row>
    <row r="202" spans="1:22" ht="21.75" customHeight="1" x14ac:dyDescent="0.15">
      <c r="A202" s="20" t="str">
        <f>B202&amp;".jpg"</f>
        <v>1360.jpg</v>
      </c>
      <c r="B202" s="46">
        <v>1360</v>
      </c>
      <c r="C202" s="24" t="s">
        <v>169</v>
      </c>
      <c r="D202" s="24" t="s">
        <v>15</v>
      </c>
      <c r="E202" s="24">
        <v>13</v>
      </c>
      <c r="F202" s="24" t="s">
        <v>16</v>
      </c>
      <c r="G202" s="22">
        <v>14445</v>
      </c>
      <c r="H202" s="22">
        <v>7896</v>
      </c>
      <c r="I202" s="22">
        <v>5284</v>
      </c>
      <c r="J202" s="24" t="s">
        <v>17</v>
      </c>
      <c r="K202" s="22">
        <f>SUM(G202,H202,I202)</f>
        <v>27625</v>
      </c>
      <c r="L202" s="23" t="s">
        <v>683</v>
      </c>
      <c r="M202" s="23" t="str">
        <f>VLOOKUP(L202,スキル!B:C,2,FALSE)</f>
        <v>縦一列に攻撃[大]自分の防御力UP[大]</v>
      </c>
      <c r="N202" s="23" t="s">
        <v>18</v>
      </c>
      <c r="O202" s="23" t="str">
        <f>VLOOKUP(N202,スキル!B:C,2,FALSE)</f>
        <v>　</v>
      </c>
      <c r="P202" s="23" t="s">
        <v>83</v>
      </c>
      <c r="Q202" s="23" t="str">
        <f>VLOOKUP(P202,タクティクス!B:C,2,FALSE)</f>
        <v>騎士団全体の攻・防が小UP(3分間)</v>
      </c>
      <c r="R202" s="23" t="s">
        <v>18</v>
      </c>
      <c r="S202" s="23" t="str">
        <f>VLOOKUP(R202,タクティクス!B:C,2,FALSE)</f>
        <v>　</v>
      </c>
      <c r="T202" s="23" t="s">
        <v>18</v>
      </c>
      <c r="U202" s="23" t="s">
        <v>18</v>
      </c>
      <c r="V202" s="20" t="s">
        <v>1862</v>
      </c>
    </row>
    <row r="203" spans="1:22" ht="21.75" customHeight="1" x14ac:dyDescent="0.15">
      <c r="A203" s="20" t="str">
        <f>B203&amp;".jpg"</f>
        <v>1362.jpg</v>
      </c>
      <c r="B203" s="46">
        <v>1362</v>
      </c>
      <c r="C203" s="24" t="s">
        <v>170</v>
      </c>
      <c r="D203" s="24" t="s">
        <v>15</v>
      </c>
      <c r="E203" s="24">
        <v>13</v>
      </c>
      <c r="F203" s="24" t="s">
        <v>41</v>
      </c>
      <c r="G203" s="22">
        <v>16977</v>
      </c>
      <c r="H203" s="22">
        <v>7002</v>
      </c>
      <c r="I203" s="22">
        <v>4452</v>
      </c>
      <c r="J203" s="24" t="s">
        <v>42</v>
      </c>
      <c r="K203" s="22">
        <f>SUM(G203,H203,I203)</f>
        <v>28431</v>
      </c>
      <c r="L203" s="23" t="s">
        <v>652</v>
      </c>
      <c r="M203" s="23" t="str">
        <f>VLOOKUP(L203,スキル!B:C,2,FALSE)</f>
        <v>ランダム4連続攻撃[中]自分の攻撃力UP[中]</v>
      </c>
      <c r="N203" s="23" t="s">
        <v>18</v>
      </c>
      <c r="O203" s="23" t="str">
        <f>VLOOKUP(N203,スキル!B:C,2,FALSE)</f>
        <v>　</v>
      </c>
      <c r="P203" s="23" t="s">
        <v>161</v>
      </c>
      <c r="Q203" s="23" t="str">
        <f>VLOOKUP(P203,タクティクス!B:C,2,FALSE)</f>
        <v>バトルで獲得する騎士団戦スコアが中アップ(3分間)</v>
      </c>
      <c r="R203" s="23" t="s">
        <v>18</v>
      </c>
      <c r="S203" s="23" t="str">
        <f>VLOOKUP(R203,タクティクス!B:C,2,FALSE)</f>
        <v>　</v>
      </c>
      <c r="T203" s="23" t="s">
        <v>18</v>
      </c>
      <c r="U203" s="23" t="s">
        <v>18</v>
      </c>
      <c r="V203" s="20" t="s">
        <v>1863</v>
      </c>
    </row>
    <row r="204" spans="1:22" ht="21.75" customHeight="1" x14ac:dyDescent="0.15">
      <c r="A204" s="20" t="str">
        <f>B204&amp;".jpg"</f>
        <v>1365.jpg</v>
      </c>
      <c r="B204" s="46">
        <v>1365</v>
      </c>
      <c r="C204" s="24" t="s">
        <v>171</v>
      </c>
      <c r="D204" s="24" t="s">
        <v>15</v>
      </c>
      <c r="E204" s="24">
        <v>12</v>
      </c>
      <c r="F204" s="24" t="s">
        <v>34</v>
      </c>
      <c r="G204" s="22">
        <v>18877</v>
      </c>
      <c r="H204" s="22">
        <v>5146</v>
      </c>
      <c r="I204" s="22">
        <v>6743</v>
      </c>
      <c r="J204" s="24" t="s">
        <v>35</v>
      </c>
      <c r="K204" s="22">
        <f>SUM(G204,H204,I204)</f>
        <v>30766</v>
      </c>
      <c r="L204" s="23" t="s">
        <v>627</v>
      </c>
      <c r="M204" s="23" t="str">
        <f>VLOOKUP(L204,スキル!B:C,2,FALSE)</f>
        <v>斬に強く突に弱い横一列攻撃[大]</v>
      </c>
      <c r="N204" s="23" t="s">
        <v>18</v>
      </c>
      <c r="O204" s="23" t="str">
        <f>VLOOKUP(N204,スキル!B:C,2,FALSE)</f>
        <v>　</v>
      </c>
      <c r="P204" s="23" t="s">
        <v>38</v>
      </c>
      <c r="Q204" s="23" t="str">
        <f>VLOOKUP(P204,タクティクス!B:C,2,FALSE)</f>
        <v>打属性の生存ユニットのHPを高確率で全回復</v>
      </c>
      <c r="R204" s="23" t="s">
        <v>18</v>
      </c>
      <c r="S204" s="23" t="str">
        <f>VLOOKUP(R204,タクティクス!B:C,2,FALSE)</f>
        <v>　</v>
      </c>
      <c r="T204" s="23" t="s">
        <v>18</v>
      </c>
      <c r="U204" s="23" t="s">
        <v>18</v>
      </c>
      <c r="V204" s="20" t="s">
        <v>1826</v>
      </c>
    </row>
    <row r="205" spans="1:22" ht="21.75" customHeight="1" x14ac:dyDescent="0.15">
      <c r="A205" s="20" t="str">
        <f>B205&amp;".jpg"</f>
        <v>1367.jpg</v>
      </c>
      <c r="B205" s="46">
        <v>1367</v>
      </c>
      <c r="C205" s="24" t="s">
        <v>172</v>
      </c>
      <c r="D205" s="24" t="s">
        <v>15</v>
      </c>
      <c r="E205" s="24">
        <v>13</v>
      </c>
      <c r="F205" s="24" t="s">
        <v>16</v>
      </c>
      <c r="G205" s="22">
        <v>14681</v>
      </c>
      <c r="H205" s="22">
        <v>7539</v>
      </c>
      <c r="I205" s="22">
        <v>4682</v>
      </c>
      <c r="J205" s="24" t="s">
        <v>55</v>
      </c>
      <c r="K205" s="22">
        <f>SUM(G205,H205,I205)</f>
        <v>26902</v>
      </c>
      <c r="L205" s="23" t="s">
        <v>645</v>
      </c>
      <c r="M205" s="23" t="str">
        <f>VLOOKUP(L205,スキル!B:C,2,FALSE)</f>
        <v>縦一列攻撃[大]自分の攻撃力UP[大]</v>
      </c>
      <c r="N205" s="23" t="s">
        <v>18</v>
      </c>
      <c r="O205" s="23" t="str">
        <f>VLOOKUP(N205,スキル!B:C,2,FALSE)</f>
        <v>　</v>
      </c>
      <c r="P205" s="23" t="s">
        <v>122</v>
      </c>
      <c r="Q205" s="23" t="str">
        <f>VLOOKUP(P205,タクティクス!B:C,2,FALSE)</f>
        <v>攻撃される確率が中DOWN(3分間)</v>
      </c>
      <c r="R205" s="23" t="s">
        <v>18</v>
      </c>
      <c r="S205" s="23" t="str">
        <f>VLOOKUP(R205,タクティクス!B:C,2,FALSE)</f>
        <v>　</v>
      </c>
      <c r="T205" s="23" t="s">
        <v>18</v>
      </c>
      <c r="U205" s="23" t="s">
        <v>18</v>
      </c>
      <c r="V205" s="20" t="s">
        <v>1823</v>
      </c>
    </row>
    <row r="206" spans="1:22" ht="21.75" customHeight="1" x14ac:dyDescent="0.15">
      <c r="A206" s="20" t="str">
        <f>B206&amp;".jpg"</f>
        <v>1369.jpg</v>
      </c>
      <c r="B206" s="46">
        <v>1369</v>
      </c>
      <c r="C206" s="24" t="s">
        <v>173</v>
      </c>
      <c r="D206" s="24" t="s">
        <v>15</v>
      </c>
      <c r="E206" s="24">
        <v>13</v>
      </c>
      <c r="F206" s="24" t="s">
        <v>25</v>
      </c>
      <c r="G206" s="22">
        <v>17534</v>
      </c>
      <c r="H206" s="22">
        <v>5221</v>
      </c>
      <c r="I206" s="22">
        <v>6444</v>
      </c>
      <c r="J206" s="24" t="s">
        <v>26</v>
      </c>
      <c r="K206" s="22">
        <f>SUM(G206,H206,I206)</f>
        <v>29199</v>
      </c>
      <c r="L206" s="23" t="s">
        <v>685</v>
      </c>
      <c r="M206" s="23" t="str">
        <f>VLOOKUP(L206,スキル!B:C,2,FALSE)</f>
        <v>ランダム5連続攻撃[小][低確率]でダメージ2倍</v>
      </c>
      <c r="N206" s="23" t="s">
        <v>18</v>
      </c>
      <c r="O206" s="23" t="str">
        <f>VLOOKUP(N206,スキル!B:C,2,FALSE)</f>
        <v>　</v>
      </c>
      <c r="P206" s="23" t="s">
        <v>49</v>
      </c>
      <c r="Q206" s="23" t="str">
        <f>VLOOKUP(P206,タクティクス!B:C,2,FALSE)</f>
        <v>突属性の生存ユニットのHPを高確率で全回復</v>
      </c>
      <c r="R206" s="23" t="s">
        <v>18</v>
      </c>
      <c r="S206" s="23" t="str">
        <f>VLOOKUP(R206,タクティクス!B:C,2,FALSE)</f>
        <v>　</v>
      </c>
      <c r="T206" s="23" t="s">
        <v>18</v>
      </c>
      <c r="U206" s="23" t="s">
        <v>18</v>
      </c>
      <c r="V206" s="20" t="s">
        <v>1823</v>
      </c>
    </row>
    <row r="207" spans="1:22" ht="21.75" customHeight="1" x14ac:dyDescent="0.15">
      <c r="A207" s="20" t="str">
        <f>B207&amp;".jpg"</f>
        <v>1371.jpg</v>
      </c>
      <c r="B207" s="46">
        <v>1371</v>
      </c>
      <c r="C207" s="24" t="s">
        <v>2</v>
      </c>
      <c r="D207" s="24" t="s">
        <v>15</v>
      </c>
      <c r="E207" s="24">
        <v>13</v>
      </c>
      <c r="F207" s="24" t="s">
        <v>34</v>
      </c>
      <c r="G207" s="22">
        <v>21231</v>
      </c>
      <c r="H207" s="22">
        <v>5039</v>
      </c>
      <c r="I207" s="22">
        <v>7582</v>
      </c>
      <c r="J207" s="24" t="s">
        <v>35</v>
      </c>
      <c r="K207" s="22">
        <f>SUM(G207,H207,I207)</f>
        <v>33852</v>
      </c>
      <c r="L207" s="23" t="s">
        <v>635</v>
      </c>
      <c r="M207" s="23" t="str">
        <f>VLOOKUP(L207,スキル!B:C,2,FALSE)</f>
        <v>単体攻撃（宝箱優先／追加ダメージ）[大]</v>
      </c>
      <c r="N207" s="23" t="s">
        <v>18</v>
      </c>
      <c r="O207" s="23" t="str">
        <f>VLOOKUP(N207,スキル!B:C,2,FALSE)</f>
        <v>　</v>
      </c>
      <c r="P207" s="23" t="s">
        <v>23</v>
      </c>
      <c r="Q207" s="23" t="str">
        <f>VLOOKUP(P207,タクティクス!B:C,2,FALSE)</f>
        <v>パーティ全体の攻撃力が中UP(3分間)</v>
      </c>
      <c r="R207" s="23" t="s">
        <v>18</v>
      </c>
      <c r="S207" s="23" t="str">
        <f>VLOOKUP(R207,タクティクス!B:C,2,FALSE)</f>
        <v>　</v>
      </c>
      <c r="T207" s="23" t="s">
        <v>18</v>
      </c>
      <c r="U207" s="23" t="s">
        <v>18</v>
      </c>
      <c r="V207" s="20" t="s">
        <v>1823</v>
      </c>
    </row>
    <row r="208" spans="1:22" ht="21.75" customHeight="1" x14ac:dyDescent="0.15">
      <c r="A208" s="20" t="str">
        <f>B208&amp;".jpg"</f>
        <v>1373.jpg</v>
      </c>
      <c r="B208" s="46">
        <v>1373</v>
      </c>
      <c r="C208" s="24" t="s">
        <v>174</v>
      </c>
      <c r="D208" s="24" t="s">
        <v>15</v>
      </c>
      <c r="E208" s="24">
        <v>13</v>
      </c>
      <c r="F208" s="24" t="s">
        <v>41</v>
      </c>
      <c r="G208" s="22">
        <v>16952</v>
      </c>
      <c r="H208" s="22">
        <v>5915</v>
      </c>
      <c r="I208" s="22">
        <v>5307</v>
      </c>
      <c r="J208" s="24" t="s">
        <v>42</v>
      </c>
      <c r="K208" s="22">
        <f>SUM(G208,H208,I208)</f>
        <v>28174</v>
      </c>
      <c r="L208" s="23" t="s">
        <v>687</v>
      </c>
      <c r="M208" s="23" t="str">
        <f>VLOOKUP(L208,スキル!B:C,2,FALSE)</f>
        <v>味方全体の攻撃力をUP[大]</v>
      </c>
      <c r="N208" s="23" t="s">
        <v>18</v>
      </c>
      <c r="O208" s="23" t="str">
        <f>VLOOKUP(N208,スキル!B:C,2,FALSE)</f>
        <v>　</v>
      </c>
      <c r="P208" s="23" t="s">
        <v>79</v>
      </c>
      <c r="Q208" s="23" t="str">
        <f>VLOOKUP(P208,タクティクス!B:C,2,FALSE)</f>
        <v>騎士団全体の防御力が小UP(3分間)</v>
      </c>
      <c r="R208" s="23" t="s">
        <v>18</v>
      </c>
      <c r="S208" s="23" t="str">
        <f>VLOOKUP(R208,タクティクス!B:C,2,FALSE)</f>
        <v>　</v>
      </c>
      <c r="T208" s="23" t="s">
        <v>18</v>
      </c>
      <c r="U208" s="23" t="s">
        <v>18</v>
      </c>
      <c r="V208" s="20" t="s">
        <v>1823</v>
      </c>
    </row>
    <row r="209" spans="1:22" ht="21.75" customHeight="1" x14ac:dyDescent="0.15">
      <c r="A209" s="20" t="str">
        <f>B209&amp;".jpg"</f>
        <v>1375.jpg</v>
      </c>
      <c r="B209" s="46">
        <v>1375</v>
      </c>
      <c r="C209" s="24" t="s">
        <v>66</v>
      </c>
      <c r="D209" s="24" t="s">
        <v>15</v>
      </c>
      <c r="E209" s="24">
        <v>13</v>
      </c>
      <c r="F209" s="24" t="s">
        <v>16</v>
      </c>
      <c r="G209" s="22">
        <v>15745</v>
      </c>
      <c r="H209" s="22">
        <v>7094</v>
      </c>
      <c r="I209" s="22">
        <v>4745</v>
      </c>
      <c r="J209" s="24" t="s">
        <v>55</v>
      </c>
      <c r="K209" s="22">
        <f>SUM(G209,H209,I209)</f>
        <v>27584</v>
      </c>
      <c r="L209" s="23" t="s">
        <v>525</v>
      </c>
      <c r="M209" s="23" t="str">
        <f>VLOOKUP(L209,スキル!B:C,2,FALSE)</f>
        <v>次の攻撃でダメージが上昇する[中]</v>
      </c>
      <c r="N209" s="23" t="s">
        <v>18</v>
      </c>
      <c r="O209" s="23" t="str">
        <f>VLOOKUP(N209,スキル!B:C,2,FALSE)</f>
        <v>　</v>
      </c>
      <c r="P209" s="23" t="s">
        <v>21</v>
      </c>
      <c r="Q209" s="23" t="str">
        <f>VLOOKUP(P209,タクティクス!B:C,2,FALSE)</f>
        <v>高確率で斬属性のユニットを復帰</v>
      </c>
      <c r="R209" s="23" t="s">
        <v>18</v>
      </c>
      <c r="S209" s="23" t="str">
        <f>VLOOKUP(R209,タクティクス!B:C,2,FALSE)</f>
        <v>　</v>
      </c>
      <c r="T209" s="23" t="s">
        <v>18</v>
      </c>
      <c r="U209" s="23" t="s">
        <v>18</v>
      </c>
      <c r="V209" s="20" t="s">
        <v>1875</v>
      </c>
    </row>
    <row r="210" spans="1:22" ht="21.75" customHeight="1" x14ac:dyDescent="0.15">
      <c r="A210" s="20" t="str">
        <f>B210&amp;".jpg"</f>
        <v>1376.jpg</v>
      </c>
      <c r="B210" s="46">
        <v>1376</v>
      </c>
      <c r="C210" s="24" t="s">
        <v>175</v>
      </c>
      <c r="D210" s="24" t="s">
        <v>15</v>
      </c>
      <c r="E210" s="24">
        <v>13</v>
      </c>
      <c r="F210" s="24" t="s">
        <v>16</v>
      </c>
      <c r="G210" s="22">
        <v>15441</v>
      </c>
      <c r="H210" s="22">
        <v>8033</v>
      </c>
      <c r="I210" s="22">
        <v>5264</v>
      </c>
      <c r="J210" s="24" t="s">
        <v>17</v>
      </c>
      <c r="K210" s="22">
        <f>SUM(G210,H210,I210)</f>
        <v>28738</v>
      </c>
      <c r="L210" s="23" t="s">
        <v>689</v>
      </c>
      <c r="M210" s="23" t="str">
        <f>VLOOKUP(L210,スキル!B:C,2,FALSE)</f>
        <v>遠に強く打に弱いX字型に攻撃[大]</v>
      </c>
      <c r="N210" s="23" t="s">
        <v>18</v>
      </c>
      <c r="O210" s="23" t="str">
        <f>VLOOKUP(N210,スキル!B:C,2,FALSE)</f>
        <v>　</v>
      </c>
      <c r="P210" s="23" t="s">
        <v>176</v>
      </c>
      <c r="Q210" s="23" t="str">
        <f>VLOOKUP(P210,タクティクス!B:C,2,FALSE)</f>
        <v>パーティ全体の攻・防が小UP(3分間)</v>
      </c>
      <c r="R210" s="23" t="s">
        <v>18</v>
      </c>
      <c r="S210" s="23" t="str">
        <f>VLOOKUP(R210,タクティクス!B:C,2,FALSE)</f>
        <v>　</v>
      </c>
      <c r="T210" s="23" t="s">
        <v>18</v>
      </c>
      <c r="U210" s="23" t="s">
        <v>18</v>
      </c>
      <c r="V210" s="20" t="s">
        <v>1872</v>
      </c>
    </row>
    <row r="211" spans="1:22" ht="21.75" customHeight="1" x14ac:dyDescent="0.15">
      <c r="A211" s="20" t="str">
        <f>B211&amp;".jpg"</f>
        <v>1378.jpg</v>
      </c>
      <c r="B211" s="46">
        <v>1378</v>
      </c>
      <c r="C211" s="24" t="s">
        <v>114</v>
      </c>
      <c r="D211" s="24" t="s">
        <v>15</v>
      </c>
      <c r="E211" s="24">
        <v>12</v>
      </c>
      <c r="F211" s="24" t="s">
        <v>25</v>
      </c>
      <c r="G211" s="22">
        <v>15555</v>
      </c>
      <c r="H211" s="22">
        <v>5319</v>
      </c>
      <c r="I211" s="22">
        <v>5687</v>
      </c>
      <c r="J211" s="24" t="s">
        <v>26</v>
      </c>
      <c r="K211" s="22">
        <f>SUM(G211,H211,I211)</f>
        <v>26561</v>
      </c>
      <c r="L211" s="23" t="s">
        <v>529</v>
      </c>
      <c r="M211" s="23" t="str">
        <f>VLOOKUP(L211,スキル!B:C,2,FALSE)</f>
        <v>横一列に攻撃[大]</v>
      </c>
      <c r="N211" s="23" t="s">
        <v>18</v>
      </c>
      <c r="O211" s="23" t="str">
        <f>VLOOKUP(N211,スキル!B:C,2,FALSE)</f>
        <v>　</v>
      </c>
      <c r="P211" s="23" t="s">
        <v>23</v>
      </c>
      <c r="Q211" s="23" t="str">
        <f>VLOOKUP(P211,タクティクス!B:C,2,FALSE)</f>
        <v>パーティ全体の攻撃力が中UP(3分間)</v>
      </c>
      <c r="R211" s="23" t="s">
        <v>18</v>
      </c>
      <c r="S211" s="23" t="str">
        <f>VLOOKUP(R211,タクティクス!B:C,2,FALSE)</f>
        <v>　</v>
      </c>
      <c r="T211" s="23" t="s">
        <v>18</v>
      </c>
      <c r="U211" s="23" t="s">
        <v>18</v>
      </c>
      <c r="V211" s="20" t="s">
        <v>1841</v>
      </c>
    </row>
    <row r="212" spans="1:22" ht="21.75" customHeight="1" x14ac:dyDescent="0.15">
      <c r="A212" s="20" t="str">
        <f>B212&amp;".jpg"</f>
        <v>1379.jpg</v>
      </c>
      <c r="B212" s="46">
        <v>1379</v>
      </c>
      <c r="C212" s="24" t="s">
        <v>114</v>
      </c>
      <c r="D212" s="24" t="s">
        <v>15</v>
      </c>
      <c r="E212" s="24">
        <v>13</v>
      </c>
      <c r="F212" s="24" t="s">
        <v>25</v>
      </c>
      <c r="G212" s="22">
        <v>16979</v>
      </c>
      <c r="H212" s="22">
        <v>5804</v>
      </c>
      <c r="I212" s="22">
        <v>6015</v>
      </c>
      <c r="J212" s="24" t="s">
        <v>26</v>
      </c>
      <c r="K212" s="22">
        <f>SUM(G212,H212,I212)</f>
        <v>28798</v>
      </c>
      <c r="L212" s="23" t="s">
        <v>529</v>
      </c>
      <c r="M212" s="23" t="str">
        <f>VLOOKUP(L212,スキル!B:C,2,FALSE)</f>
        <v>横一列に攻撃[大]</v>
      </c>
      <c r="N212" s="23" t="s">
        <v>18</v>
      </c>
      <c r="O212" s="23" t="str">
        <f>VLOOKUP(N212,スキル!B:C,2,FALSE)</f>
        <v>　</v>
      </c>
      <c r="P212" s="23" t="s">
        <v>23</v>
      </c>
      <c r="Q212" s="23" t="str">
        <f>VLOOKUP(P212,タクティクス!B:C,2,FALSE)</f>
        <v>パーティ全体の攻撃力が中UP(3分間)</v>
      </c>
      <c r="R212" s="23" t="s">
        <v>18</v>
      </c>
      <c r="S212" s="23" t="str">
        <f>VLOOKUP(R212,タクティクス!B:C,2,FALSE)</f>
        <v>　</v>
      </c>
      <c r="T212" s="23" t="s">
        <v>18</v>
      </c>
      <c r="U212" s="23" t="s">
        <v>18</v>
      </c>
      <c r="V212" s="20" t="s">
        <v>1841</v>
      </c>
    </row>
    <row r="213" spans="1:22" ht="21.75" customHeight="1" x14ac:dyDescent="0.15">
      <c r="A213" s="20" t="str">
        <f>B213&amp;".jpg"</f>
        <v>1380.jpg</v>
      </c>
      <c r="B213" s="46">
        <v>1380</v>
      </c>
      <c r="C213" s="24" t="s">
        <v>114</v>
      </c>
      <c r="D213" s="24" t="s">
        <v>150</v>
      </c>
      <c r="E213" s="24">
        <v>14</v>
      </c>
      <c r="F213" s="24" t="s">
        <v>25</v>
      </c>
      <c r="G213" s="22">
        <v>17591</v>
      </c>
      <c r="H213" s="22">
        <v>6015</v>
      </c>
      <c r="I213" s="22">
        <v>7534</v>
      </c>
      <c r="J213" s="24" t="s">
        <v>177</v>
      </c>
      <c r="K213" s="22">
        <f>SUM(G213,H213,I213)</f>
        <v>31140</v>
      </c>
      <c r="L213" s="23" t="s">
        <v>691</v>
      </c>
      <c r="M213" s="23" t="str">
        <f>VLOOKUP(L213,スキル!B:C,2,FALSE)</f>
        <v>横一列に攻撃[特大]</v>
      </c>
      <c r="N213" s="23" t="s">
        <v>18</v>
      </c>
      <c r="O213" s="23" t="str">
        <f>VLOOKUP(N213,スキル!B:C,2,FALSE)</f>
        <v>　</v>
      </c>
      <c r="P213" s="23" t="s">
        <v>178</v>
      </c>
      <c r="Q213" s="23" t="str">
        <f>VLOOKUP(P213,タクティクス!B:C,2,FALSE)</f>
        <v>パーティ全体の攻撃力が大UP(3分間)</v>
      </c>
      <c r="R213" s="23" t="s">
        <v>18</v>
      </c>
      <c r="S213" s="23" t="str">
        <f>VLOOKUP(R213,タクティクス!B:C,2,FALSE)</f>
        <v>　</v>
      </c>
      <c r="T213" s="23" t="s">
        <v>18</v>
      </c>
      <c r="U213" s="23" t="s">
        <v>18</v>
      </c>
      <c r="V213" s="20" t="s">
        <v>1841</v>
      </c>
    </row>
    <row r="214" spans="1:22" ht="21.75" customHeight="1" x14ac:dyDescent="0.15">
      <c r="A214" s="20" t="str">
        <f>B214&amp;".jpg"</f>
        <v>1382.jpg</v>
      </c>
      <c r="B214" s="46">
        <v>1382</v>
      </c>
      <c r="C214" s="24" t="s">
        <v>116</v>
      </c>
      <c r="D214" s="24" t="s">
        <v>15</v>
      </c>
      <c r="E214" s="24">
        <v>13</v>
      </c>
      <c r="F214" s="24" t="s">
        <v>16</v>
      </c>
      <c r="G214" s="22">
        <v>17928</v>
      </c>
      <c r="H214" s="22">
        <v>7713</v>
      </c>
      <c r="I214" s="22">
        <v>4529</v>
      </c>
      <c r="J214" s="24" t="s">
        <v>17</v>
      </c>
      <c r="K214" s="22">
        <f>SUM(G214,H214,I214)</f>
        <v>30170</v>
      </c>
      <c r="L214" s="23" t="s">
        <v>693</v>
      </c>
      <c r="M214" s="23" t="str">
        <f>VLOOKUP(L214,スキル!B:C,2,FALSE)</f>
        <v>突に強く斬に弱い十字型攻撃[大]</v>
      </c>
      <c r="N214" s="23" t="s">
        <v>18</v>
      </c>
      <c r="O214" s="23" t="str">
        <f>VLOOKUP(N214,スキル!B:C,2,FALSE)</f>
        <v>　</v>
      </c>
      <c r="P214" s="23" t="s">
        <v>23</v>
      </c>
      <c r="Q214" s="23" t="str">
        <f>VLOOKUP(P214,タクティクス!B:C,2,FALSE)</f>
        <v>パーティ全体の攻撃力が中UP(3分間)</v>
      </c>
      <c r="R214" s="23" t="s">
        <v>18</v>
      </c>
      <c r="S214" s="23" t="str">
        <f>VLOOKUP(R214,タクティクス!B:C,2,FALSE)</f>
        <v>　</v>
      </c>
      <c r="T214" s="23" t="s">
        <v>18</v>
      </c>
      <c r="U214" s="23" t="s">
        <v>18</v>
      </c>
      <c r="V214" s="20" t="s">
        <v>1899</v>
      </c>
    </row>
    <row r="215" spans="1:22" ht="21.75" customHeight="1" x14ac:dyDescent="0.15">
      <c r="A215" s="20" t="str">
        <f>B215&amp;".jpg"</f>
        <v>1384.jpg</v>
      </c>
      <c r="B215" s="46">
        <v>1384</v>
      </c>
      <c r="C215" s="24" t="s">
        <v>179</v>
      </c>
      <c r="D215" s="24" t="s">
        <v>15</v>
      </c>
      <c r="E215" s="24">
        <v>13</v>
      </c>
      <c r="F215" s="24" t="s">
        <v>25</v>
      </c>
      <c r="G215" s="22">
        <v>18899</v>
      </c>
      <c r="H215" s="22">
        <v>5908</v>
      </c>
      <c r="I215" s="22">
        <v>5282</v>
      </c>
      <c r="J215" s="24" t="s">
        <v>26</v>
      </c>
      <c r="K215" s="22">
        <f>SUM(G215,H215,I215)</f>
        <v>30089</v>
      </c>
      <c r="L215" s="23" t="s">
        <v>695</v>
      </c>
      <c r="M215" s="23" t="str">
        <f>VLOOKUP(L215,スキル!B:C,2,FALSE)</f>
        <v>敵全体の攻撃力と防御力をDOWN[大]</v>
      </c>
      <c r="N215" s="23" t="s">
        <v>18</v>
      </c>
      <c r="O215" s="23" t="str">
        <f>VLOOKUP(N215,スキル!B:C,2,FALSE)</f>
        <v>　</v>
      </c>
      <c r="P215" s="23" t="s">
        <v>161</v>
      </c>
      <c r="Q215" s="23" t="str">
        <f>VLOOKUP(P215,タクティクス!B:C,2,FALSE)</f>
        <v>バトルで獲得する騎士団戦スコアが中アップ(3分間)</v>
      </c>
      <c r="R215" s="23" t="s">
        <v>18</v>
      </c>
      <c r="S215" s="23" t="str">
        <f>VLOOKUP(R215,タクティクス!B:C,2,FALSE)</f>
        <v>　</v>
      </c>
      <c r="T215" s="23" t="s">
        <v>18</v>
      </c>
      <c r="U215" s="23" t="s">
        <v>18</v>
      </c>
      <c r="V215" s="20" t="s">
        <v>1899</v>
      </c>
    </row>
    <row r="216" spans="1:22" ht="21.75" customHeight="1" x14ac:dyDescent="0.15">
      <c r="A216" s="20" t="str">
        <f>B216&amp;".jpg"</f>
        <v>1386.jpg</v>
      </c>
      <c r="B216" s="46">
        <v>1386</v>
      </c>
      <c r="C216" s="24" t="s">
        <v>59</v>
      </c>
      <c r="D216" s="24" t="s">
        <v>150</v>
      </c>
      <c r="E216" s="24">
        <v>14</v>
      </c>
      <c r="F216" s="24" t="s">
        <v>34</v>
      </c>
      <c r="G216" s="22">
        <v>22251</v>
      </c>
      <c r="H216" s="22">
        <v>6453</v>
      </c>
      <c r="I216" s="22">
        <v>8729</v>
      </c>
      <c r="J216" s="24" t="s">
        <v>151</v>
      </c>
      <c r="K216" s="22">
        <f>SUM(G216,H216,I216)</f>
        <v>37433</v>
      </c>
      <c r="L216" s="23" t="s">
        <v>697</v>
      </c>
      <c r="M216" s="23" t="str">
        <f>VLOOKUP(L216,スキル!B:C,2,FALSE)</f>
        <v>X字型攻撃[特大]自分の攻撃力UP[特大]</v>
      </c>
      <c r="N216" s="23" t="s">
        <v>18</v>
      </c>
      <c r="O216" s="23" t="str">
        <f>VLOOKUP(N216,スキル!B:C,2,FALSE)</f>
        <v>　</v>
      </c>
      <c r="P216" s="23" t="s">
        <v>180</v>
      </c>
      <c r="Q216" s="23" t="str">
        <f>VLOOKUP(P216,タクティクス!B:C,2,FALSE)</f>
        <v>獲得する騎士団戦スコアが大アップ(バトル3回)</v>
      </c>
      <c r="R216" s="23" t="s">
        <v>18</v>
      </c>
      <c r="S216" s="23" t="str">
        <f>VLOOKUP(R216,タクティクス!B:C,2,FALSE)</f>
        <v>　</v>
      </c>
      <c r="T216" s="23" t="s">
        <v>18</v>
      </c>
      <c r="U216" s="23" t="s">
        <v>18</v>
      </c>
      <c r="V216" s="20" t="s">
        <v>1899</v>
      </c>
    </row>
    <row r="217" spans="1:22" ht="21.75" customHeight="1" x14ac:dyDescent="0.15">
      <c r="A217" s="20" t="str">
        <f>B217&amp;".jpg"</f>
        <v>1388.jpg</v>
      </c>
      <c r="B217" s="46">
        <v>1388</v>
      </c>
      <c r="C217" s="24" t="s">
        <v>69</v>
      </c>
      <c r="D217" s="24" t="s">
        <v>150</v>
      </c>
      <c r="E217" s="24">
        <v>14</v>
      </c>
      <c r="F217" s="24" t="s">
        <v>41</v>
      </c>
      <c r="G217" s="22">
        <v>17195</v>
      </c>
      <c r="H217" s="22">
        <v>6893</v>
      </c>
      <c r="I217" s="22">
        <v>6142</v>
      </c>
      <c r="J217" s="24" t="s">
        <v>55</v>
      </c>
      <c r="K217" s="22">
        <f>SUM(G217,H217,I217)</f>
        <v>30230</v>
      </c>
      <c r="L217" s="23" t="s">
        <v>699</v>
      </c>
      <c r="M217" s="23" t="str">
        <f>VLOOKUP(L217,スキル!B:C,2,FALSE)</f>
        <v>敵全体に攻撃[特大]</v>
      </c>
      <c r="N217" s="23" t="s">
        <v>18</v>
      </c>
      <c r="O217" s="23" t="str">
        <f>VLOOKUP(N217,スキル!B:C,2,FALSE)</f>
        <v>　</v>
      </c>
      <c r="P217" s="23" t="s">
        <v>181</v>
      </c>
      <c r="Q217" s="23" t="str">
        <f>VLOOKUP(P217,タクティクス!B:C,2,FALSE)</f>
        <v>騎士団全体の強襲CB率が小UP(3分間)</v>
      </c>
      <c r="R217" s="23" t="s">
        <v>18</v>
      </c>
      <c r="S217" s="23" t="str">
        <f>VLOOKUP(R217,タクティクス!B:C,2,FALSE)</f>
        <v>　</v>
      </c>
      <c r="T217" s="23" t="s">
        <v>18</v>
      </c>
      <c r="U217" s="23" t="s">
        <v>18</v>
      </c>
      <c r="V217" s="20" t="s">
        <v>1899</v>
      </c>
    </row>
    <row r="218" spans="1:22" ht="21.75" customHeight="1" x14ac:dyDescent="0.15">
      <c r="A218" s="20" t="str">
        <f>B218&amp;".jpg"</f>
        <v>1389.jpg</v>
      </c>
      <c r="B218" s="46">
        <v>1389</v>
      </c>
      <c r="C218" s="24" t="s">
        <v>182</v>
      </c>
      <c r="D218" s="24" t="s">
        <v>15</v>
      </c>
      <c r="E218" s="24">
        <v>12</v>
      </c>
      <c r="F218" s="24" t="s">
        <v>34</v>
      </c>
      <c r="G218" s="22">
        <v>17285</v>
      </c>
      <c r="H218" s="22">
        <v>5353</v>
      </c>
      <c r="I218" s="22">
        <v>7089</v>
      </c>
      <c r="J218" s="24" t="s">
        <v>35</v>
      </c>
      <c r="K218" s="22">
        <f>SUM(G218,H218,I218)</f>
        <v>29727</v>
      </c>
      <c r="L218" s="23" t="s">
        <v>586</v>
      </c>
      <c r="M218" s="23" t="str">
        <f>VLOOKUP(L218,スキル!B:C,2,FALSE)</f>
        <v>味方打属性の攻撃力をUP[大]</v>
      </c>
      <c r="N218" s="23" t="s">
        <v>18</v>
      </c>
      <c r="O218" s="23" t="str">
        <f>VLOOKUP(N218,スキル!B:C,2,FALSE)</f>
        <v>　</v>
      </c>
      <c r="P218" s="23" t="s">
        <v>122</v>
      </c>
      <c r="Q218" s="23" t="str">
        <f>VLOOKUP(P218,タクティクス!B:C,2,FALSE)</f>
        <v>攻撃される確率が中DOWN(3分間)</v>
      </c>
      <c r="R218" s="23" t="s">
        <v>18</v>
      </c>
      <c r="S218" s="23" t="str">
        <f>VLOOKUP(R218,タクティクス!B:C,2,FALSE)</f>
        <v>　</v>
      </c>
      <c r="T218" s="23" t="s">
        <v>18</v>
      </c>
      <c r="U218" s="23" t="s">
        <v>18</v>
      </c>
      <c r="V218" s="20" t="s">
        <v>1825</v>
      </c>
    </row>
    <row r="219" spans="1:22" ht="21.75" customHeight="1" x14ac:dyDescent="0.15">
      <c r="A219" s="20" t="str">
        <f>B219&amp;".jpg"</f>
        <v>1394.jpg</v>
      </c>
      <c r="B219" s="46">
        <v>1394</v>
      </c>
      <c r="C219" s="24" t="s">
        <v>183</v>
      </c>
      <c r="D219" s="24" t="s">
        <v>15</v>
      </c>
      <c r="E219" s="24">
        <v>13</v>
      </c>
      <c r="F219" s="24" t="s">
        <v>16</v>
      </c>
      <c r="G219" s="22">
        <v>15512</v>
      </c>
      <c r="H219" s="22">
        <v>7095</v>
      </c>
      <c r="I219" s="22">
        <v>5515</v>
      </c>
      <c r="J219" s="24" t="s">
        <v>17</v>
      </c>
      <c r="K219" s="22">
        <f>SUM(G219,H219,I219)</f>
        <v>28122</v>
      </c>
      <c r="L219" s="23" t="s">
        <v>595</v>
      </c>
      <c r="M219" s="23" t="str">
        <f>VLOOKUP(L219,スキル!B:C,2,FALSE)</f>
        <v>最もダメージが多い味方1人のHP回復[大]</v>
      </c>
      <c r="N219" s="23" t="s">
        <v>18</v>
      </c>
      <c r="O219" s="23" t="str">
        <f>VLOOKUP(N219,スキル!B:C,2,FALSE)</f>
        <v>　</v>
      </c>
      <c r="P219" s="23" t="s">
        <v>19</v>
      </c>
      <c r="Q219" s="23" t="str">
        <f>VLOOKUP(P219,タクティクス!B:C,2,FALSE)</f>
        <v>中確率でパーティ全員を復帰(全滅時のみ使用可)</v>
      </c>
      <c r="R219" s="23" t="s">
        <v>18</v>
      </c>
      <c r="S219" s="23" t="str">
        <f>VLOOKUP(R219,タクティクス!B:C,2,FALSE)</f>
        <v>　</v>
      </c>
      <c r="T219" s="23" t="s">
        <v>18</v>
      </c>
      <c r="U219" s="23" t="s">
        <v>18</v>
      </c>
      <c r="V219" s="20" t="s">
        <v>1877</v>
      </c>
    </row>
    <row r="220" spans="1:22" ht="21.75" customHeight="1" x14ac:dyDescent="0.15">
      <c r="A220" s="20" t="str">
        <f>B220&amp;".jpg"</f>
        <v>1396.jpg</v>
      </c>
      <c r="B220" s="46">
        <v>1396</v>
      </c>
      <c r="C220" s="24" t="s">
        <v>14</v>
      </c>
      <c r="D220" s="24" t="s">
        <v>150</v>
      </c>
      <c r="E220" s="24">
        <v>14</v>
      </c>
      <c r="F220" s="24" t="s">
        <v>16</v>
      </c>
      <c r="G220" s="22">
        <v>17168</v>
      </c>
      <c r="H220" s="22">
        <v>7892</v>
      </c>
      <c r="I220" s="22">
        <v>6351</v>
      </c>
      <c r="J220" s="24" t="s">
        <v>151</v>
      </c>
      <c r="K220" s="22">
        <f>SUM(G220,H220,I220)</f>
        <v>31411</v>
      </c>
      <c r="L220" s="23" t="s">
        <v>701</v>
      </c>
      <c r="M220" s="23" t="str">
        <f>VLOOKUP(L220,スキル!B:C,2,FALSE)</f>
        <v>十字型に攻撃[特大]</v>
      </c>
      <c r="N220" s="23" t="s">
        <v>18</v>
      </c>
      <c r="O220" s="23" t="str">
        <f>VLOOKUP(N220,スキル!B:C,2,FALSE)</f>
        <v>　</v>
      </c>
      <c r="P220" s="23" t="s">
        <v>152</v>
      </c>
      <c r="Q220" s="23" t="str">
        <f>VLOOKUP(P220,タクティクス!B:C,2,FALSE)</f>
        <v>パーティ全体の攻・防が大UP(3分間)</v>
      </c>
      <c r="R220" s="23" t="s">
        <v>18</v>
      </c>
      <c r="S220" s="23" t="str">
        <f>VLOOKUP(R220,タクティクス!B:C,2,FALSE)</f>
        <v>　</v>
      </c>
      <c r="T220" s="23" t="s">
        <v>18</v>
      </c>
      <c r="U220" s="23" t="s">
        <v>18</v>
      </c>
      <c r="V220" s="20" t="s">
        <v>1823</v>
      </c>
    </row>
    <row r="221" spans="1:22" ht="21.75" customHeight="1" x14ac:dyDescent="0.15">
      <c r="A221" s="20" t="str">
        <f>B221&amp;".jpg"</f>
        <v>1396_a.jpg</v>
      </c>
      <c r="B221" s="21" t="s">
        <v>1435</v>
      </c>
      <c r="C221" s="20" t="s">
        <v>1378</v>
      </c>
      <c r="D221" s="20" t="s">
        <v>1385</v>
      </c>
      <c r="E221" s="20">
        <v>14</v>
      </c>
      <c r="F221" s="24" t="s">
        <v>16</v>
      </c>
      <c r="G221" s="27">
        <v>22670</v>
      </c>
      <c r="H221" s="27">
        <v>11042</v>
      </c>
      <c r="I221" s="27">
        <v>8640</v>
      </c>
      <c r="J221" s="20" t="s">
        <v>1388</v>
      </c>
      <c r="K221" s="22">
        <f>SUM(G221,H221,I221)</f>
        <v>42352</v>
      </c>
      <c r="L221" s="23" t="s">
        <v>1395</v>
      </c>
      <c r="M221" s="23" t="str">
        <f>VLOOKUP(L221,スキル!B:C,2,FALSE)</f>
        <v>十字型に攻撃[超極大]</v>
      </c>
      <c r="N221" s="20" t="s">
        <v>1396</v>
      </c>
      <c r="O221" s="23" t="str">
        <f>VLOOKUP(N221,スキル!B:C,2,FALSE)</f>
        <v>　</v>
      </c>
      <c r="P221" s="20" t="s">
        <v>1398</v>
      </c>
      <c r="Q221" s="23" t="str">
        <f>VLOOKUP(P221,タクティクス!B:C,2,FALSE)</f>
        <v>パーティ全体の攻・防が大UP(3分間)</v>
      </c>
      <c r="R221" s="20" t="s">
        <v>1396</v>
      </c>
      <c r="S221" s="23" t="str">
        <f>VLOOKUP(R221,タクティクス!B:C,2,FALSE)</f>
        <v>　</v>
      </c>
      <c r="T221" s="20" t="s">
        <v>1396</v>
      </c>
      <c r="U221" s="20" t="s">
        <v>1396</v>
      </c>
      <c r="V221" s="20" t="s">
        <v>1822</v>
      </c>
    </row>
    <row r="222" spans="1:22" ht="21.75" customHeight="1" x14ac:dyDescent="0.15">
      <c r="A222" s="20" t="str">
        <f>B222&amp;".jpg"</f>
        <v>1396_b.jpg</v>
      </c>
      <c r="B222" s="21" t="s">
        <v>1436</v>
      </c>
      <c r="C222" s="20" t="s">
        <v>1379</v>
      </c>
      <c r="D222" s="20" t="s">
        <v>1385</v>
      </c>
      <c r="E222" s="20">
        <v>14</v>
      </c>
      <c r="F222" s="24" t="s">
        <v>16</v>
      </c>
      <c r="G222" s="27">
        <v>21809</v>
      </c>
      <c r="H222" s="27">
        <v>10664</v>
      </c>
      <c r="I222" s="27">
        <v>8010</v>
      </c>
      <c r="J222" s="20" t="s">
        <v>1389</v>
      </c>
      <c r="K222" s="22">
        <f>SUM(G222,H222,I222)</f>
        <v>40483</v>
      </c>
      <c r="L222" s="23" t="s">
        <v>1394</v>
      </c>
      <c r="M222" s="23" t="str">
        <f>VLOOKUP(L222,スキル!B:C,2,FALSE)</f>
        <v>十字型に攻撃[特大]</v>
      </c>
      <c r="N222" s="20" t="s">
        <v>1396</v>
      </c>
      <c r="O222" s="23" t="str">
        <f>VLOOKUP(N222,スキル!B:C,2,FALSE)</f>
        <v>　</v>
      </c>
      <c r="P222" s="20" t="s">
        <v>1399</v>
      </c>
      <c r="Q222" s="23" t="str">
        <f>VLOOKUP(P222,タクティクス!B:C,2,FALSE)</f>
        <v>パーティ全体の攻・防が極大UP(5分間)</v>
      </c>
      <c r="R222" s="20" t="s">
        <v>1396</v>
      </c>
      <c r="S222" s="23" t="str">
        <f>VLOOKUP(R222,タクティクス!B:C,2,FALSE)</f>
        <v>　</v>
      </c>
      <c r="T222" s="20" t="s">
        <v>1396</v>
      </c>
      <c r="U222" s="20" t="s">
        <v>1397</v>
      </c>
      <c r="V222" s="20" t="s">
        <v>1822</v>
      </c>
    </row>
    <row r="223" spans="1:22" ht="21.75" customHeight="1" x14ac:dyDescent="0.15">
      <c r="A223" s="20" t="str">
        <f>B223&amp;".jpg"</f>
        <v>1398.jpg</v>
      </c>
      <c r="B223" s="46">
        <v>1398</v>
      </c>
      <c r="C223" s="24" t="s">
        <v>184</v>
      </c>
      <c r="D223" s="24" t="s">
        <v>15</v>
      </c>
      <c r="E223" s="24">
        <v>13</v>
      </c>
      <c r="F223" s="24" t="s">
        <v>25</v>
      </c>
      <c r="G223" s="22">
        <v>17045</v>
      </c>
      <c r="H223" s="22">
        <v>5818</v>
      </c>
      <c r="I223" s="22">
        <v>5994</v>
      </c>
      <c r="J223" s="24" t="s">
        <v>26</v>
      </c>
      <c r="K223" s="22">
        <f>SUM(G223,H223,I223)</f>
        <v>28857</v>
      </c>
      <c r="L223" s="23" t="s">
        <v>576</v>
      </c>
      <c r="M223" s="23" t="str">
        <f>VLOOKUP(L223,スキル!B:C,2,FALSE)</f>
        <v>一定確率で敵を範囲不可にする[高確率]</v>
      </c>
      <c r="N223" s="23" t="s">
        <v>18</v>
      </c>
      <c r="O223" s="23" t="str">
        <f>VLOOKUP(N223,スキル!B:C,2,FALSE)</f>
        <v>　</v>
      </c>
      <c r="P223" s="23" t="s">
        <v>125</v>
      </c>
      <c r="Q223" s="23" t="str">
        <f>VLOOKUP(P223,タクティクス!B:C,2,FALSE)</f>
        <v>攻撃される確率が中UP(3分間)</v>
      </c>
      <c r="R223" s="23" t="s">
        <v>18</v>
      </c>
      <c r="S223" s="23" t="str">
        <f>VLOOKUP(R223,タクティクス!B:C,2,FALSE)</f>
        <v>　</v>
      </c>
      <c r="T223" s="23" t="s">
        <v>18</v>
      </c>
      <c r="U223" s="23" t="s">
        <v>18</v>
      </c>
      <c r="V223" s="20" t="s">
        <v>1823</v>
      </c>
    </row>
    <row r="224" spans="1:22" ht="21.75" customHeight="1" x14ac:dyDescent="0.15">
      <c r="A224" s="20" t="str">
        <f>B224&amp;".jpg"</f>
        <v>1400.jpg</v>
      </c>
      <c r="B224" s="46">
        <v>1400</v>
      </c>
      <c r="C224" s="24" t="s">
        <v>98</v>
      </c>
      <c r="D224" s="24" t="s">
        <v>150</v>
      </c>
      <c r="E224" s="24">
        <v>14</v>
      </c>
      <c r="F224" s="24" t="s">
        <v>34</v>
      </c>
      <c r="G224" s="22">
        <v>24895</v>
      </c>
      <c r="H224" s="22">
        <v>6033</v>
      </c>
      <c r="I224" s="22">
        <v>8337</v>
      </c>
      <c r="J224" s="24" t="s">
        <v>17</v>
      </c>
      <c r="K224" s="22">
        <f>SUM(G224,H224,I224)</f>
        <v>39265</v>
      </c>
      <c r="L224" s="23" t="s">
        <v>703</v>
      </c>
      <c r="M224" s="23" t="str">
        <f>VLOOKUP(L224,スキル!B:C,2,FALSE)</f>
        <v>一定確率で敵を沈黙状態にする[超高確率]</v>
      </c>
      <c r="N224" s="23" t="s">
        <v>18</v>
      </c>
      <c r="O224" s="23" t="str">
        <f>VLOOKUP(N224,スキル!B:C,2,FALSE)</f>
        <v>　</v>
      </c>
      <c r="P224" s="23" t="s">
        <v>185</v>
      </c>
      <c r="Q224" s="23" t="str">
        <f>VLOOKUP(P224,タクティクス!B:C,2,FALSE)</f>
        <v>バトル時の強襲CB率が中UP(3分間)</v>
      </c>
      <c r="R224" s="23" t="s">
        <v>18</v>
      </c>
      <c r="S224" s="23" t="str">
        <f>VLOOKUP(R224,タクティクス!B:C,2,FALSE)</f>
        <v>　</v>
      </c>
      <c r="T224" s="23" t="s">
        <v>18</v>
      </c>
      <c r="U224" s="23" t="s">
        <v>18</v>
      </c>
      <c r="V224" s="20" t="s">
        <v>1823</v>
      </c>
    </row>
    <row r="225" spans="1:22" ht="21.75" customHeight="1" x14ac:dyDescent="0.15">
      <c r="A225" s="20" t="str">
        <f>B225&amp;".jpg"</f>
        <v>1402.jpg</v>
      </c>
      <c r="B225" s="46">
        <v>1402</v>
      </c>
      <c r="C225" s="24" t="s">
        <v>186</v>
      </c>
      <c r="D225" s="24" t="s">
        <v>15</v>
      </c>
      <c r="E225" s="24">
        <v>13</v>
      </c>
      <c r="F225" s="24" t="s">
        <v>41</v>
      </c>
      <c r="G225" s="22">
        <v>18944</v>
      </c>
      <c r="H225" s="22">
        <v>6611</v>
      </c>
      <c r="I225" s="22">
        <v>4289</v>
      </c>
      <c r="J225" s="24" t="s">
        <v>42</v>
      </c>
      <c r="K225" s="22">
        <f>SUM(G225,H225,I225)</f>
        <v>29844</v>
      </c>
      <c r="L225" s="23" t="s">
        <v>705</v>
      </c>
      <c r="M225" s="23" t="str">
        <f>VLOOKUP(L225,スキル!B:C,2,FALSE)</f>
        <v>ランダム4連続攻撃[中]自分の防御力UP[中]</v>
      </c>
      <c r="N225" s="23" t="s">
        <v>18</v>
      </c>
      <c r="O225" s="23" t="str">
        <f>VLOOKUP(N225,スキル!B:C,2,FALSE)</f>
        <v>　</v>
      </c>
      <c r="P225" s="23" t="s">
        <v>56</v>
      </c>
      <c r="Q225" s="23" t="str">
        <f>VLOOKUP(P225,タクティクス!B:C,2,FALSE)</f>
        <v>バトルで敵を全滅するとBPが中回復(バトル3回)</v>
      </c>
      <c r="R225" s="23" t="s">
        <v>18</v>
      </c>
      <c r="S225" s="23" t="str">
        <f>VLOOKUP(R225,タクティクス!B:C,2,FALSE)</f>
        <v>　</v>
      </c>
      <c r="T225" s="23" t="s">
        <v>18</v>
      </c>
      <c r="U225" s="23" t="s">
        <v>18</v>
      </c>
      <c r="V225" s="20" t="s">
        <v>1823</v>
      </c>
    </row>
    <row r="226" spans="1:22" ht="21.75" customHeight="1" x14ac:dyDescent="0.15">
      <c r="A226" s="20" t="str">
        <f>B226&amp;".jpg"</f>
        <v>1404.jpg</v>
      </c>
      <c r="B226" s="46">
        <v>1404</v>
      </c>
      <c r="C226" s="24" t="s">
        <v>187</v>
      </c>
      <c r="D226" s="24" t="s">
        <v>15</v>
      </c>
      <c r="E226" s="24">
        <v>13</v>
      </c>
      <c r="F226" s="24" t="s">
        <v>25</v>
      </c>
      <c r="G226" s="22">
        <v>17074</v>
      </c>
      <c r="H226" s="22">
        <v>5993</v>
      </c>
      <c r="I226" s="22">
        <v>5607</v>
      </c>
      <c r="J226" s="24" t="s">
        <v>26</v>
      </c>
      <c r="K226" s="22">
        <f>SUM(G226,H226,I226)</f>
        <v>28674</v>
      </c>
      <c r="L226" s="23" t="s">
        <v>706</v>
      </c>
      <c r="M226" s="23" t="str">
        <f>VLOOKUP(L226,スキル!B:C,2,FALSE)</f>
        <v>ランダム5連続攻撃[小]自分の攻撃力UP[小]</v>
      </c>
      <c r="N226" s="23" t="s">
        <v>18</v>
      </c>
      <c r="O226" s="23" t="str">
        <f>VLOOKUP(N226,スキル!B:C,2,FALSE)</f>
        <v>　</v>
      </c>
      <c r="P226" s="23" t="s">
        <v>161</v>
      </c>
      <c r="Q226" s="23" t="str">
        <f>VLOOKUP(P226,タクティクス!B:C,2,FALSE)</f>
        <v>バトルで獲得する騎士団戦スコアが中アップ(3分間)</v>
      </c>
      <c r="R226" s="23" t="s">
        <v>18</v>
      </c>
      <c r="S226" s="23" t="str">
        <f>VLOOKUP(R226,タクティクス!B:C,2,FALSE)</f>
        <v>　</v>
      </c>
      <c r="T226" s="23" t="s">
        <v>18</v>
      </c>
      <c r="U226" s="23" t="s">
        <v>18</v>
      </c>
      <c r="V226" s="20" t="s">
        <v>1878</v>
      </c>
    </row>
    <row r="227" spans="1:22" ht="21.75" customHeight="1" x14ac:dyDescent="0.15">
      <c r="A227" s="20" t="str">
        <f>B227&amp;".jpg"</f>
        <v>1406.jpg</v>
      </c>
      <c r="B227" s="46">
        <v>1406</v>
      </c>
      <c r="C227" s="24" t="s">
        <v>65</v>
      </c>
      <c r="D227" s="24" t="s">
        <v>150</v>
      </c>
      <c r="E227" s="24">
        <v>14</v>
      </c>
      <c r="F227" s="24" t="s">
        <v>41</v>
      </c>
      <c r="G227" s="22">
        <v>20835</v>
      </c>
      <c r="H227" s="22">
        <v>6345</v>
      </c>
      <c r="I227" s="22">
        <v>5538</v>
      </c>
      <c r="J227" s="24" t="s">
        <v>55</v>
      </c>
      <c r="K227" s="22">
        <f>SUM(G227,H227,I227)</f>
        <v>32718</v>
      </c>
      <c r="L227" s="23" t="s">
        <v>664</v>
      </c>
      <c r="M227" s="23" t="str">
        <f>VLOOKUP(L227,スキル!B:C,2,FALSE)</f>
        <v>縦一列に攻撃[特大]</v>
      </c>
      <c r="N227" s="23" t="s">
        <v>18</v>
      </c>
      <c r="O227" s="23" t="str">
        <f>VLOOKUP(N227,スキル!B:C,2,FALSE)</f>
        <v>　</v>
      </c>
      <c r="P227" s="23" t="s">
        <v>188</v>
      </c>
      <c r="Q227" s="23" t="str">
        <f>VLOOKUP(P227,タクティクス!B:C,2,FALSE)</f>
        <v>バトルで敵を全滅するとBPが大回復(バトル3回)</v>
      </c>
      <c r="R227" s="23" t="s">
        <v>18</v>
      </c>
      <c r="S227" s="23" t="str">
        <f>VLOOKUP(R227,タクティクス!B:C,2,FALSE)</f>
        <v>　</v>
      </c>
      <c r="T227" s="23" t="s">
        <v>18</v>
      </c>
      <c r="U227" s="23" t="s">
        <v>18</v>
      </c>
      <c r="V227" s="20" t="s">
        <v>1899</v>
      </c>
    </row>
    <row r="228" spans="1:22" ht="21.75" customHeight="1" x14ac:dyDescent="0.15">
      <c r="A228" s="20" t="str">
        <f>B228&amp;".jpg"</f>
        <v>1407.jpg</v>
      </c>
      <c r="B228" s="46">
        <v>1407</v>
      </c>
      <c r="C228" s="24" t="s">
        <v>138</v>
      </c>
      <c r="D228" s="24" t="s">
        <v>15</v>
      </c>
      <c r="E228" s="24">
        <v>13</v>
      </c>
      <c r="F228" s="24" t="s">
        <v>25</v>
      </c>
      <c r="G228" s="22">
        <v>16622</v>
      </c>
      <c r="H228" s="22">
        <v>5787</v>
      </c>
      <c r="I228" s="22">
        <v>6269</v>
      </c>
      <c r="J228" s="24" t="s">
        <v>26</v>
      </c>
      <c r="K228" s="22">
        <f>SUM(G228,H228,I228)</f>
        <v>28678</v>
      </c>
      <c r="L228" s="23" t="s">
        <v>671</v>
      </c>
      <c r="M228" s="23" t="str">
        <f>VLOOKUP(L228,スキル!B:C,2,FALSE)</f>
        <v>横一列攻撃[大]自分の攻撃力UP[大]</v>
      </c>
      <c r="N228" s="23" t="s">
        <v>18</v>
      </c>
      <c r="O228" s="23" t="str">
        <f>VLOOKUP(N228,スキル!B:C,2,FALSE)</f>
        <v>　</v>
      </c>
      <c r="P228" s="23" t="s">
        <v>23</v>
      </c>
      <c r="Q228" s="23" t="str">
        <f>VLOOKUP(P228,タクティクス!B:C,2,FALSE)</f>
        <v>パーティ全体の攻撃力が中UP(3分間)</v>
      </c>
      <c r="R228" s="23" t="s">
        <v>18</v>
      </c>
      <c r="S228" s="23" t="str">
        <f>VLOOKUP(R228,タクティクス!B:C,2,FALSE)</f>
        <v>　</v>
      </c>
      <c r="T228" s="23" t="s">
        <v>18</v>
      </c>
      <c r="U228" s="23" t="s">
        <v>18</v>
      </c>
      <c r="V228" s="20" t="s">
        <v>1899</v>
      </c>
    </row>
    <row r="229" spans="1:22" ht="21.75" customHeight="1" x14ac:dyDescent="0.15">
      <c r="A229" s="20" t="str">
        <f>B229&amp;".jpg"</f>
        <v>1409.jpg</v>
      </c>
      <c r="B229" s="46">
        <v>1409</v>
      </c>
      <c r="C229" s="24" t="s">
        <v>189</v>
      </c>
      <c r="D229" s="24" t="s">
        <v>15</v>
      </c>
      <c r="E229" s="24">
        <v>13</v>
      </c>
      <c r="F229" s="24" t="s">
        <v>16</v>
      </c>
      <c r="G229" s="22">
        <v>17249</v>
      </c>
      <c r="H229" s="22">
        <v>6616</v>
      </c>
      <c r="I229" s="22">
        <v>5574</v>
      </c>
      <c r="J229" s="24" t="s">
        <v>17</v>
      </c>
      <c r="K229" s="22">
        <f>SUM(G229,H229,I229)</f>
        <v>29439</v>
      </c>
      <c r="L229" s="23" t="s">
        <v>650</v>
      </c>
      <c r="M229" s="23" t="str">
        <f>VLOOKUP(L229,スキル!B:C,2,FALSE)</f>
        <v>十字型攻撃[大]自分の攻撃力UP[大]</v>
      </c>
      <c r="N229" s="23" t="s">
        <v>18</v>
      </c>
      <c r="O229" s="23" t="str">
        <f>VLOOKUP(N229,スキル!B:C,2,FALSE)</f>
        <v>　</v>
      </c>
      <c r="P229" s="23" t="s">
        <v>168</v>
      </c>
      <c r="Q229" s="23" t="str">
        <f>VLOOKUP(P229,タクティクス!B:C,2,FALSE)</f>
        <v>強襲CBの発生確率・強襲時獲得ポイント中UP(3回)</v>
      </c>
      <c r="R229" s="23" t="s">
        <v>18</v>
      </c>
      <c r="S229" s="23" t="str">
        <f>VLOOKUP(R229,タクティクス!B:C,2,FALSE)</f>
        <v>　</v>
      </c>
      <c r="T229" s="23" t="s">
        <v>18</v>
      </c>
      <c r="U229" s="23" t="s">
        <v>18</v>
      </c>
      <c r="V229" s="20" t="s">
        <v>1823</v>
      </c>
    </row>
    <row r="230" spans="1:22" ht="21.75" customHeight="1" x14ac:dyDescent="0.15">
      <c r="A230" s="20" t="str">
        <f>B230&amp;".jpg"</f>
        <v>1411.jpg</v>
      </c>
      <c r="B230" s="46">
        <v>1411</v>
      </c>
      <c r="C230" s="24" t="s">
        <v>144</v>
      </c>
      <c r="D230" s="24" t="s">
        <v>150</v>
      </c>
      <c r="E230" s="24">
        <v>14</v>
      </c>
      <c r="F230" s="24" t="s">
        <v>25</v>
      </c>
      <c r="G230" s="22">
        <v>19420</v>
      </c>
      <c r="H230" s="22">
        <v>5782</v>
      </c>
      <c r="I230" s="22">
        <v>7165</v>
      </c>
      <c r="J230" s="24" t="s">
        <v>177</v>
      </c>
      <c r="K230" s="22">
        <f>SUM(G230,H230,I230)</f>
        <v>32367</v>
      </c>
      <c r="L230" s="23" t="s">
        <v>707</v>
      </c>
      <c r="M230" s="23" t="str">
        <f>VLOOKUP(L230,スキル!B:C,2,FALSE)</f>
        <v>一定確率で敵を範囲不可にする[超高確率]</v>
      </c>
      <c r="N230" s="23" t="s">
        <v>18</v>
      </c>
      <c r="O230" s="23" t="str">
        <f>VLOOKUP(N230,スキル!B:C,2,FALSE)</f>
        <v>　</v>
      </c>
      <c r="P230" s="23" t="s">
        <v>178</v>
      </c>
      <c r="Q230" s="23" t="str">
        <f>VLOOKUP(P230,タクティクス!B:C,2,FALSE)</f>
        <v>パーティ全体の攻撃力が大UP(3分間)</v>
      </c>
      <c r="R230" s="23" t="s">
        <v>18</v>
      </c>
      <c r="S230" s="23" t="str">
        <f>VLOOKUP(R230,タクティクス!B:C,2,FALSE)</f>
        <v>　</v>
      </c>
      <c r="T230" s="23" t="s">
        <v>18</v>
      </c>
      <c r="U230" s="23" t="s">
        <v>18</v>
      </c>
      <c r="V230" s="20" t="s">
        <v>1823</v>
      </c>
    </row>
    <row r="231" spans="1:22" ht="21.75" customHeight="1" x14ac:dyDescent="0.15">
      <c r="A231" s="20" t="str">
        <f>B231&amp;".jpg"</f>
        <v>1411_a.jpg</v>
      </c>
      <c r="B231" s="21" t="s">
        <v>1609</v>
      </c>
      <c r="C231" s="20" t="s">
        <v>1595</v>
      </c>
      <c r="D231" s="20" t="s">
        <v>1585</v>
      </c>
      <c r="E231" s="20">
        <v>14</v>
      </c>
      <c r="F231" s="20" t="s">
        <v>1586</v>
      </c>
      <c r="G231" s="27">
        <v>27967</v>
      </c>
      <c r="H231" s="27">
        <v>7630</v>
      </c>
      <c r="I231" s="27">
        <v>10966</v>
      </c>
      <c r="J231" s="20" t="s">
        <v>1587</v>
      </c>
      <c r="K231" s="22">
        <f>SUM(G231,H231,I231)</f>
        <v>46563</v>
      </c>
      <c r="L231" s="23" t="s">
        <v>1638</v>
      </c>
      <c r="M231" s="23" t="str">
        <f>VLOOKUP(L231,スキル!B:C,2,FALSE)</f>
        <v>一定確率で敵を範囲不可にする[超超高確率]</v>
      </c>
      <c r="N231" s="20" t="s">
        <v>1589</v>
      </c>
      <c r="O231" s="23" t="str">
        <f>VLOOKUP(N231,スキル!B:C,2,FALSE)</f>
        <v>　</v>
      </c>
      <c r="P231" s="23" t="s">
        <v>178</v>
      </c>
      <c r="Q231" s="23" t="str">
        <f>VLOOKUP(P231,タクティクス!B:C,2,FALSE)</f>
        <v>パーティ全体の攻撃力が大UP(3分間)</v>
      </c>
      <c r="R231" s="20" t="s">
        <v>1632</v>
      </c>
      <c r="S231" s="23" t="str">
        <f>VLOOKUP(R231,タクティクス!B:C,2,FALSE)</f>
        <v>　</v>
      </c>
      <c r="T231" s="20" t="s">
        <v>1626</v>
      </c>
      <c r="U231" s="20" t="s">
        <v>1011</v>
      </c>
      <c r="V231" s="20" t="s">
        <v>1822</v>
      </c>
    </row>
    <row r="232" spans="1:22" ht="21.75" customHeight="1" x14ac:dyDescent="0.15">
      <c r="A232" s="20" t="str">
        <f>B232&amp;".jpg"</f>
        <v>1411_b.jpg</v>
      </c>
      <c r="B232" s="21" t="s">
        <v>1610</v>
      </c>
      <c r="C232" s="20" t="s">
        <v>1595</v>
      </c>
      <c r="D232" s="20" t="s">
        <v>1585</v>
      </c>
      <c r="E232" s="20">
        <v>14</v>
      </c>
      <c r="F232" s="20" t="s">
        <v>1600</v>
      </c>
      <c r="G232" s="27">
        <v>27001</v>
      </c>
      <c r="H232" s="27">
        <v>7336</v>
      </c>
      <c r="I232" s="27">
        <v>10609</v>
      </c>
      <c r="J232" s="20" t="s">
        <v>1619</v>
      </c>
      <c r="K232" s="22">
        <f>SUM(G232,H232,I232)</f>
        <v>44946</v>
      </c>
      <c r="L232" s="23" t="s">
        <v>707</v>
      </c>
      <c r="M232" s="23" t="str">
        <f>VLOOKUP(L232,スキル!B:C,2,FALSE)</f>
        <v>一定確率で敵を範囲不可にする[超高確率]</v>
      </c>
      <c r="N232" s="20" t="s">
        <v>1011</v>
      </c>
      <c r="O232" s="23" t="str">
        <f>VLOOKUP(N232,スキル!B:C,2,FALSE)</f>
        <v>　</v>
      </c>
      <c r="P232" s="20" t="s">
        <v>1643</v>
      </c>
      <c r="Q232" s="23" t="str">
        <f>VLOOKUP(P232,タクティクス!B:C,2,FALSE)</f>
        <v>パーティ全体の攻撃力が極大UP(5分間)</v>
      </c>
      <c r="R232" s="20" t="s">
        <v>1632</v>
      </c>
      <c r="S232" s="23" t="str">
        <f>VLOOKUP(R232,タクティクス!B:C,2,FALSE)</f>
        <v>　</v>
      </c>
      <c r="T232" s="20" t="s">
        <v>1011</v>
      </c>
      <c r="U232" s="20" t="s">
        <v>1627</v>
      </c>
      <c r="V232" s="20" t="s">
        <v>1822</v>
      </c>
    </row>
    <row r="233" spans="1:22" ht="21.75" customHeight="1" x14ac:dyDescent="0.15">
      <c r="A233" s="20" t="str">
        <f>B233&amp;".jpg"</f>
        <v>1413.jpg</v>
      </c>
      <c r="B233" s="46">
        <v>1413</v>
      </c>
      <c r="C233" s="24" t="s">
        <v>190</v>
      </c>
      <c r="D233" s="24" t="s">
        <v>15</v>
      </c>
      <c r="E233" s="24">
        <v>13</v>
      </c>
      <c r="F233" s="24" t="s">
        <v>34</v>
      </c>
      <c r="G233" s="22">
        <v>22737</v>
      </c>
      <c r="H233" s="22">
        <v>5202</v>
      </c>
      <c r="I233" s="22">
        <v>6890</v>
      </c>
      <c r="J233" s="24" t="s">
        <v>35</v>
      </c>
      <c r="K233" s="22">
        <f>SUM(G233,H233,I233)</f>
        <v>34829</v>
      </c>
      <c r="L233" s="23" t="s">
        <v>611</v>
      </c>
      <c r="M233" s="23" t="str">
        <f>VLOOKUP(L233,スキル!B:C,2,FALSE)</f>
        <v>一定確率で敵の攻撃を引き付ける[高確率]</v>
      </c>
      <c r="N233" s="23" t="s">
        <v>18</v>
      </c>
      <c r="O233" s="23" t="str">
        <f>VLOOKUP(N233,スキル!B:C,2,FALSE)</f>
        <v>　</v>
      </c>
      <c r="P233" s="23" t="s">
        <v>83</v>
      </c>
      <c r="Q233" s="23" t="str">
        <f>VLOOKUP(P233,タクティクス!B:C,2,FALSE)</f>
        <v>騎士団全体の攻・防が小UP(3分間)</v>
      </c>
      <c r="R233" s="23" t="s">
        <v>18</v>
      </c>
      <c r="S233" s="23" t="str">
        <f>VLOOKUP(R233,タクティクス!B:C,2,FALSE)</f>
        <v>　</v>
      </c>
      <c r="T233" s="23" t="s">
        <v>18</v>
      </c>
      <c r="U233" s="23" t="s">
        <v>18</v>
      </c>
      <c r="V233" s="20" t="s">
        <v>1823</v>
      </c>
    </row>
    <row r="234" spans="1:22" ht="21.75" customHeight="1" x14ac:dyDescent="0.15">
      <c r="A234" s="20" t="str">
        <f>B234&amp;".jpg"</f>
        <v>1415.jpg</v>
      </c>
      <c r="B234" s="46">
        <v>1415</v>
      </c>
      <c r="C234" s="24" t="s">
        <v>191</v>
      </c>
      <c r="D234" s="24" t="s">
        <v>150</v>
      </c>
      <c r="E234" s="24">
        <v>14</v>
      </c>
      <c r="F234" s="24" t="s">
        <v>41</v>
      </c>
      <c r="G234" s="22">
        <v>18775</v>
      </c>
      <c r="H234" s="22">
        <v>6552</v>
      </c>
      <c r="I234" s="22">
        <v>5900</v>
      </c>
      <c r="J234" s="24" t="s">
        <v>55</v>
      </c>
      <c r="K234" s="22">
        <f>SUM(G234,H234,I234)</f>
        <v>31227</v>
      </c>
      <c r="L234" s="23" t="s">
        <v>709</v>
      </c>
      <c r="M234" s="23" t="str">
        <f>VLOOKUP(L234,スキル!B:C,2,FALSE)</f>
        <v>味方遠属性の攻撃力をUP[特大]</v>
      </c>
      <c r="N234" s="23" t="s">
        <v>18</v>
      </c>
      <c r="O234" s="23" t="str">
        <f>VLOOKUP(N234,スキル!B:C,2,FALSE)</f>
        <v>　</v>
      </c>
      <c r="P234" s="23" t="s">
        <v>192</v>
      </c>
      <c r="Q234" s="23" t="str">
        <f>VLOOKUP(P234,タクティクス!B:C,2,FALSE)</f>
        <v>パーティ全体の防御力が大UP(3分間)</v>
      </c>
      <c r="R234" s="23" t="s">
        <v>18</v>
      </c>
      <c r="S234" s="23" t="str">
        <f>VLOOKUP(R234,タクティクス!B:C,2,FALSE)</f>
        <v>　</v>
      </c>
      <c r="T234" s="23" t="s">
        <v>18</v>
      </c>
      <c r="U234" s="23" t="s">
        <v>18</v>
      </c>
      <c r="V234" s="20" t="s">
        <v>1823</v>
      </c>
    </row>
    <row r="235" spans="1:22" ht="21.75" customHeight="1" x14ac:dyDescent="0.15">
      <c r="A235" s="20" t="str">
        <f>B235&amp;".jpg"</f>
        <v>1415_a.jpg</v>
      </c>
      <c r="B235" s="21" t="s">
        <v>1251</v>
      </c>
      <c r="C235" s="20" t="s">
        <v>1197</v>
      </c>
      <c r="D235" s="20" t="s">
        <v>1190</v>
      </c>
      <c r="E235" s="20">
        <v>14</v>
      </c>
      <c r="F235" s="24" t="s">
        <v>41</v>
      </c>
      <c r="G235" s="27">
        <v>26293</v>
      </c>
      <c r="H235" s="27">
        <v>8841</v>
      </c>
      <c r="I235" s="27">
        <v>8546</v>
      </c>
      <c r="J235" s="20" t="s">
        <v>1205</v>
      </c>
      <c r="K235" s="22">
        <f>SUM(G235,H235,I235)</f>
        <v>43680</v>
      </c>
      <c r="L235" s="23" t="s">
        <v>1212</v>
      </c>
      <c r="M235" s="23" t="str">
        <f>VLOOKUP(L235,スキル!B:C,2,FALSE)</f>
        <v>味方遠属性の攻撃力をUP[超特大]</v>
      </c>
      <c r="N235" s="20" t="s">
        <v>1221</v>
      </c>
      <c r="O235" s="23" t="str">
        <f>VLOOKUP(N235,スキル!B:C,2,FALSE)</f>
        <v>　</v>
      </c>
      <c r="P235" s="20" t="s">
        <v>1243</v>
      </c>
      <c r="Q235" s="23" t="str">
        <f>VLOOKUP(P235,タクティクス!B:C,2,FALSE)</f>
        <v>パーティ全体の防御力が大UP(3分間)</v>
      </c>
      <c r="R235" s="20" t="s">
        <v>1220</v>
      </c>
      <c r="S235" s="23" t="str">
        <f>VLOOKUP(R235,タクティクス!B:C,2,FALSE)</f>
        <v>　</v>
      </c>
      <c r="T235" s="20" t="s">
        <v>1221</v>
      </c>
      <c r="U235" s="20" t="s">
        <v>1225</v>
      </c>
      <c r="V235" s="20" t="s">
        <v>1822</v>
      </c>
    </row>
    <row r="236" spans="1:22" ht="21.75" customHeight="1" x14ac:dyDescent="0.15">
      <c r="A236" s="20" t="str">
        <f>B236&amp;".jpg"</f>
        <v>1415_b.jpg</v>
      </c>
      <c r="B236" s="21" t="s">
        <v>1252</v>
      </c>
      <c r="C236" s="20" t="s">
        <v>1198</v>
      </c>
      <c r="D236" s="20" t="s">
        <v>1190</v>
      </c>
      <c r="E236" s="20">
        <v>14</v>
      </c>
      <c r="F236" s="24" t="s">
        <v>41</v>
      </c>
      <c r="G236" s="27">
        <v>24403</v>
      </c>
      <c r="H236" s="27">
        <v>8526</v>
      </c>
      <c r="I236" s="27">
        <v>7958</v>
      </c>
      <c r="J236" s="20" t="s">
        <v>1178</v>
      </c>
      <c r="K236" s="22">
        <f>SUM(G236,H236,I236)</f>
        <v>40887</v>
      </c>
      <c r="L236" s="23" t="s">
        <v>709</v>
      </c>
      <c r="M236" s="23" t="str">
        <f>VLOOKUP(L236,スキル!B:C,2,FALSE)</f>
        <v>味方遠属性の攻撃力をUP[特大]</v>
      </c>
      <c r="N236" s="20" t="s">
        <v>1220</v>
      </c>
      <c r="O236" s="23" t="str">
        <f>VLOOKUP(N236,スキル!B:C,2,FALSE)</f>
        <v>　</v>
      </c>
      <c r="P236" s="20" t="s">
        <v>1232</v>
      </c>
      <c r="Q236" s="23" t="str">
        <f>VLOOKUP(P236,タクティクス!B:C,2,FALSE)</f>
        <v>パーティ全体の防御力が極大UP(5分間)</v>
      </c>
      <c r="R236" s="20" t="s">
        <v>1011</v>
      </c>
      <c r="S236" s="23" t="str">
        <f>VLOOKUP(R236,タクティクス!B:C,2,FALSE)</f>
        <v>　</v>
      </c>
      <c r="T236" s="20" t="s">
        <v>1221</v>
      </c>
      <c r="U236" s="20" t="s">
        <v>1225</v>
      </c>
      <c r="V236" s="20" t="s">
        <v>1822</v>
      </c>
    </row>
    <row r="237" spans="1:22" ht="21.75" customHeight="1" x14ac:dyDescent="0.15">
      <c r="A237" s="20" t="str">
        <f>B237&amp;".jpg"</f>
        <v>1417.jpg</v>
      </c>
      <c r="B237" s="46">
        <v>1417</v>
      </c>
      <c r="C237" s="24" t="s">
        <v>76</v>
      </c>
      <c r="D237" s="24" t="s">
        <v>15</v>
      </c>
      <c r="E237" s="24">
        <v>13</v>
      </c>
      <c r="F237" s="24" t="s">
        <v>41</v>
      </c>
      <c r="G237" s="22">
        <v>17154</v>
      </c>
      <c r="H237" s="22">
        <v>5915</v>
      </c>
      <c r="I237" s="22">
        <v>5211</v>
      </c>
      <c r="J237" s="24" t="s">
        <v>42</v>
      </c>
      <c r="K237" s="22">
        <f>SUM(G237,H237,I237)</f>
        <v>28280</v>
      </c>
      <c r="L237" s="23" t="s">
        <v>597</v>
      </c>
      <c r="M237" s="23" t="str">
        <f>VLOOKUP(L237,スキル!B:C,2,FALSE)</f>
        <v>一定確率で敵を暗闇状態にする[高確率]</v>
      </c>
      <c r="N237" s="23" t="s">
        <v>18</v>
      </c>
      <c r="O237" s="23" t="str">
        <f>VLOOKUP(N237,スキル!B:C,2,FALSE)</f>
        <v>　</v>
      </c>
      <c r="P237" s="23" t="s">
        <v>53</v>
      </c>
      <c r="Q237" s="23" t="str">
        <f>VLOOKUP(P237,タクティクス!B:C,2,FALSE)</f>
        <v>高確率で遠属性のユニットを復帰</v>
      </c>
      <c r="R237" s="23" t="s">
        <v>18</v>
      </c>
      <c r="S237" s="23" t="str">
        <f>VLOOKUP(R237,タクティクス!B:C,2,FALSE)</f>
        <v>　</v>
      </c>
      <c r="T237" s="23" t="s">
        <v>18</v>
      </c>
      <c r="U237" s="23" t="s">
        <v>18</v>
      </c>
      <c r="V237" s="20" t="s">
        <v>1824</v>
      </c>
    </row>
    <row r="238" spans="1:22" ht="21.75" customHeight="1" x14ac:dyDescent="0.15">
      <c r="A238" s="20" t="str">
        <f>B238&amp;".jpg"</f>
        <v>1420.jpg</v>
      </c>
      <c r="B238" s="46">
        <v>1420</v>
      </c>
      <c r="C238" s="24" t="s">
        <v>193</v>
      </c>
      <c r="D238" s="24" t="s">
        <v>150</v>
      </c>
      <c r="E238" s="24">
        <v>14</v>
      </c>
      <c r="F238" s="24" t="s">
        <v>16</v>
      </c>
      <c r="G238" s="22">
        <v>15726</v>
      </c>
      <c r="H238" s="22">
        <v>8306</v>
      </c>
      <c r="I238" s="22">
        <v>6614</v>
      </c>
      <c r="J238" s="24" t="s">
        <v>151</v>
      </c>
      <c r="K238" s="22">
        <f>SUM(G238,H238,I238)</f>
        <v>30646</v>
      </c>
      <c r="L238" s="23" t="s">
        <v>664</v>
      </c>
      <c r="M238" s="23" t="str">
        <f>VLOOKUP(L238,スキル!B:C,2,FALSE)</f>
        <v>縦一列に攻撃[特大]</v>
      </c>
      <c r="N238" s="23" t="s">
        <v>18</v>
      </c>
      <c r="O238" s="23" t="str">
        <f>VLOOKUP(N238,スキル!B:C,2,FALSE)</f>
        <v>　</v>
      </c>
      <c r="P238" s="23" t="s">
        <v>180</v>
      </c>
      <c r="Q238" s="23" t="str">
        <f>VLOOKUP(P238,タクティクス!B:C,2,FALSE)</f>
        <v>獲得する騎士団戦スコアが大アップ(バトル3回)</v>
      </c>
      <c r="R238" s="23" t="s">
        <v>18</v>
      </c>
      <c r="S238" s="23" t="str">
        <f>VLOOKUP(R238,タクティクス!B:C,2,FALSE)</f>
        <v>　</v>
      </c>
      <c r="T238" s="23" t="s">
        <v>18</v>
      </c>
      <c r="U238" s="23" t="s">
        <v>18</v>
      </c>
      <c r="V238" s="20" t="s">
        <v>1864</v>
      </c>
    </row>
    <row r="239" spans="1:22" ht="21.75" customHeight="1" x14ac:dyDescent="0.15">
      <c r="A239" s="20" t="str">
        <f>B239&amp;".jpg"</f>
        <v>1422.jpg</v>
      </c>
      <c r="B239" s="46">
        <v>1422</v>
      </c>
      <c r="C239" s="24" t="s">
        <v>194</v>
      </c>
      <c r="D239" s="24" t="s">
        <v>150</v>
      </c>
      <c r="E239" s="24">
        <v>14</v>
      </c>
      <c r="F239" s="24" t="s">
        <v>41</v>
      </c>
      <c r="G239" s="22">
        <v>19249</v>
      </c>
      <c r="H239" s="22">
        <v>6690</v>
      </c>
      <c r="I239" s="22">
        <v>5851</v>
      </c>
      <c r="J239" s="24" t="s">
        <v>55</v>
      </c>
      <c r="K239" s="22">
        <f>SUM(G239,H239,I239)</f>
        <v>31790</v>
      </c>
      <c r="L239" s="23" t="s">
        <v>711</v>
      </c>
      <c r="M239" s="23" t="str">
        <f>VLOOKUP(L239,スキル!B:C,2,FALSE)</f>
        <v>味方全体の防御力をUP[大]</v>
      </c>
      <c r="N239" s="23" t="s">
        <v>18</v>
      </c>
      <c r="O239" s="23" t="str">
        <f>VLOOKUP(N239,スキル!B:C,2,FALSE)</f>
        <v>　</v>
      </c>
      <c r="P239" s="23" t="s">
        <v>195</v>
      </c>
      <c r="Q239" s="23" t="str">
        <f>VLOOKUP(P239,タクティクス!B:C,2,FALSE)</f>
        <v>パーティ全体のスキル発動率が大UP(3分間)</v>
      </c>
      <c r="R239" s="23" t="s">
        <v>18</v>
      </c>
      <c r="S239" s="23" t="str">
        <f>VLOOKUP(R239,タクティクス!B:C,2,FALSE)</f>
        <v>　</v>
      </c>
      <c r="T239" s="23" t="s">
        <v>18</v>
      </c>
      <c r="U239" s="23" t="s">
        <v>18</v>
      </c>
      <c r="V239" s="20" t="s">
        <v>1864</v>
      </c>
    </row>
    <row r="240" spans="1:22" ht="21.75" customHeight="1" x14ac:dyDescent="0.15">
      <c r="A240" s="20" t="str">
        <f>B240&amp;".jpg"</f>
        <v>1424.jpg</v>
      </c>
      <c r="B240" s="46">
        <v>1424</v>
      </c>
      <c r="C240" s="24" t="s">
        <v>196</v>
      </c>
      <c r="D240" s="24" t="s">
        <v>15</v>
      </c>
      <c r="E240" s="24">
        <v>13</v>
      </c>
      <c r="F240" s="24" t="s">
        <v>34</v>
      </c>
      <c r="G240" s="22">
        <v>22850</v>
      </c>
      <c r="H240" s="22">
        <v>5174</v>
      </c>
      <c r="I240" s="22">
        <v>6924</v>
      </c>
      <c r="J240" s="24" t="s">
        <v>35</v>
      </c>
      <c r="K240" s="22">
        <f>SUM(G240,H240,I240)</f>
        <v>34948</v>
      </c>
      <c r="L240" s="23" t="s">
        <v>713</v>
      </c>
      <c r="M240" s="23" t="str">
        <f>VLOOKUP(L240,スキル!B:C,2,FALSE)</f>
        <v>ランダムで1～4連撃。攻撃毎に与ダメ2倍[低確率]</v>
      </c>
      <c r="N240" s="23" t="s">
        <v>18</v>
      </c>
      <c r="O240" s="23" t="str">
        <f>VLOOKUP(N240,スキル!B:C,2,FALSE)</f>
        <v>　</v>
      </c>
      <c r="P240" s="23" t="s">
        <v>113</v>
      </c>
      <c r="Q240" s="23" t="str">
        <f>VLOOKUP(P240,タクティクス!B:C,2,FALSE)</f>
        <v>城の強度Lvが小UP(3分間)</v>
      </c>
      <c r="R240" s="23" t="s">
        <v>18</v>
      </c>
      <c r="S240" s="23" t="str">
        <f>VLOOKUP(R240,タクティクス!B:C,2,FALSE)</f>
        <v>　</v>
      </c>
      <c r="T240" s="23" t="s">
        <v>18</v>
      </c>
      <c r="U240" s="23" t="s">
        <v>18</v>
      </c>
      <c r="V240" s="20" t="s">
        <v>1864</v>
      </c>
    </row>
    <row r="241" spans="1:22" ht="21.75" customHeight="1" x14ac:dyDescent="0.15">
      <c r="A241" s="20" t="str">
        <f>B241&amp;".jpg"</f>
        <v>1426.jpg</v>
      </c>
      <c r="B241" s="46">
        <v>1426</v>
      </c>
      <c r="C241" s="24" t="s">
        <v>197</v>
      </c>
      <c r="D241" s="24" t="s">
        <v>15</v>
      </c>
      <c r="E241" s="24">
        <v>13</v>
      </c>
      <c r="F241" s="24" t="s">
        <v>34</v>
      </c>
      <c r="G241" s="22">
        <v>19485</v>
      </c>
      <c r="H241" s="22">
        <v>5446</v>
      </c>
      <c r="I241" s="22">
        <v>6959</v>
      </c>
      <c r="J241" s="24" t="s">
        <v>42</v>
      </c>
      <c r="K241" s="22">
        <f>SUM(G241,H241,I241)</f>
        <v>31890</v>
      </c>
      <c r="L241" s="23" t="s">
        <v>635</v>
      </c>
      <c r="M241" s="23" t="str">
        <f>VLOOKUP(L241,スキル!B:C,2,FALSE)</f>
        <v>単体攻撃（宝箱優先／追加ダメージ）[大]</v>
      </c>
      <c r="N241" s="23" t="s">
        <v>18</v>
      </c>
      <c r="O241" s="23" t="str">
        <f>VLOOKUP(N241,スキル!B:C,2,FALSE)</f>
        <v>　</v>
      </c>
      <c r="P241" s="23" t="s">
        <v>168</v>
      </c>
      <c r="Q241" s="23" t="str">
        <f>VLOOKUP(P241,タクティクス!B:C,2,FALSE)</f>
        <v>強襲CBの発生確率・強襲時獲得ポイント中UP(3回)</v>
      </c>
      <c r="R241" s="23" t="s">
        <v>18</v>
      </c>
      <c r="S241" s="23" t="str">
        <f>VLOOKUP(R241,タクティクス!B:C,2,FALSE)</f>
        <v>　</v>
      </c>
      <c r="T241" s="23" t="s">
        <v>18</v>
      </c>
      <c r="U241" s="23" t="s">
        <v>18</v>
      </c>
      <c r="V241" s="20" t="s">
        <v>1864</v>
      </c>
    </row>
    <row r="242" spans="1:22" ht="21.75" customHeight="1" x14ac:dyDescent="0.15">
      <c r="A242" s="20" t="str">
        <f>B242&amp;".jpg"</f>
        <v>1428.jpg</v>
      </c>
      <c r="B242" s="46">
        <v>1428</v>
      </c>
      <c r="C242" s="24" t="s">
        <v>198</v>
      </c>
      <c r="D242" s="24" t="s">
        <v>15</v>
      </c>
      <c r="E242" s="24">
        <v>13</v>
      </c>
      <c r="F242" s="24" t="s">
        <v>25</v>
      </c>
      <c r="G242" s="22">
        <v>17027</v>
      </c>
      <c r="H242" s="22">
        <v>5842</v>
      </c>
      <c r="I242" s="22">
        <v>5987</v>
      </c>
      <c r="J242" s="24" t="s">
        <v>26</v>
      </c>
      <c r="K242" s="22">
        <f>SUM(G242,H242,I242)</f>
        <v>28856</v>
      </c>
      <c r="L242" s="23" t="s">
        <v>615</v>
      </c>
      <c r="M242" s="23" t="str">
        <f>VLOOKUP(L242,スキル!B:C,2,FALSE)</f>
        <v>味方突属性の攻撃力と防御力をUP[大]</v>
      </c>
      <c r="N242" s="23" t="s">
        <v>18</v>
      </c>
      <c r="O242" s="23" t="str">
        <f>VLOOKUP(N242,スキル!B:C,2,FALSE)</f>
        <v>　</v>
      </c>
      <c r="P242" s="23" t="s">
        <v>79</v>
      </c>
      <c r="Q242" s="23" t="str">
        <f>VLOOKUP(P242,タクティクス!B:C,2,FALSE)</f>
        <v>騎士団全体の防御力が小UP(3分間)</v>
      </c>
      <c r="R242" s="23" t="s">
        <v>18</v>
      </c>
      <c r="S242" s="23" t="str">
        <f>VLOOKUP(R242,タクティクス!B:C,2,FALSE)</f>
        <v>　</v>
      </c>
      <c r="T242" s="23" t="s">
        <v>18</v>
      </c>
      <c r="U242" s="23" t="s">
        <v>18</v>
      </c>
      <c r="V242" s="20" t="s">
        <v>1864</v>
      </c>
    </row>
    <row r="243" spans="1:22" ht="21.75" customHeight="1" x14ac:dyDescent="0.15">
      <c r="A243" s="20" t="str">
        <f>B243&amp;".jpg"</f>
        <v>1430.jpg</v>
      </c>
      <c r="B243" s="46">
        <v>1430</v>
      </c>
      <c r="C243" s="24" t="s">
        <v>199</v>
      </c>
      <c r="D243" s="24" t="s">
        <v>15</v>
      </c>
      <c r="E243" s="24">
        <v>13</v>
      </c>
      <c r="F243" s="24" t="s">
        <v>41</v>
      </c>
      <c r="G243" s="22">
        <v>18902</v>
      </c>
      <c r="H243" s="22">
        <v>5767</v>
      </c>
      <c r="I243" s="22">
        <v>4943</v>
      </c>
      <c r="J243" s="24" t="s">
        <v>42</v>
      </c>
      <c r="K243" s="22">
        <f>SUM(G243,H243,I243)</f>
        <v>29612</v>
      </c>
      <c r="L243" s="23" t="s">
        <v>629</v>
      </c>
      <c r="M243" s="23" t="str">
        <f>VLOOKUP(L243,スキル!B:C,2,FALSE)</f>
        <v>敵単体に攻撃しつつHP回復[大]</v>
      </c>
      <c r="N243" s="23" t="s">
        <v>18</v>
      </c>
      <c r="O243" s="23" t="str">
        <f>VLOOKUP(N243,スキル!B:C,2,FALSE)</f>
        <v>　</v>
      </c>
      <c r="P243" s="23" t="s">
        <v>23</v>
      </c>
      <c r="Q243" s="23" t="str">
        <f>VLOOKUP(P243,タクティクス!B:C,2,FALSE)</f>
        <v>パーティ全体の攻撃力が中UP(3分間)</v>
      </c>
      <c r="R243" s="23" t="s">
        <v>18</v>
      </c>
      <c r="S243" s="23" t="str">
        <f>VLOOKUP(R243,タクティクス!B:C,2,FALSE)</f>
        <v>　</v>
      </c>
      <c r="T243" s="23" t="s">
        <v>18</v>
      </c>
      <c r="U243" s="23" t="s">
        <v>18</v>
      </c>
      <c r="V243" s="20" t="s">
        <v>1864</v>
      </c>
    </row>
    <row r="244" spans="1:22" ht="21.75" customHeight="1" x14ac:dyDescent="0.15">
      <c r="A244" s="20" t="str">
        <f>B244&amp;".jpg"</f>
        <v>1432.jpg</v>
      </c>
      <c r="B244" s="46">
        <v>1432</v>
      </c>
      <c r="C244" s="24" t="s">
        <v>200</v>
      </c>
      <c r="D244" s="24" t="s">
        <v>15</v>
      </c>
      <c r="E244" s="24">
        <v>13</v>
      </c>
      <c r="F244" s="24" t="s">
        <v>41</v>
      </c>
      <c r="G244" s="22">
        <v>18644</v>
      </c>
      <c r="H244" s="22">
        <v>6528</v>
      </c>
      <c r="I244" s="22">
        <v>4373</v>
      </c>
      <c r="J244" s="24" t="s">
        <v>42</v>
      </c>
      <c r="K244" s="22">
        <f>SUM(G244,H244,I244)</f>
        <v>29545</v>
      </c>
      <c r="L244" s="23" t="s">
        <v>580</v>
      </c>
      <c r="M244" s="23" t="str">
        <f>VLOOKUP(L244,スキル!B:C,2,FALSE)</f>
        <v>敵全体に攻撃[大]</v>
      </c>
      <c r="N244" s="23" t="s">
        <v>18</v>
      </c>
      <c r="O244" s="23" t="str">
        <f>VLOOKUP(N244,スキル!B:C,2,FALSE)</f>
        <v>　</v>
      </c>
      <c r="P244" s="23" t="s">
        <v>51</v>
      </c>
      <c r="Q244" s="23" t="str">
        <f>VLOOKUP(P244,タクティクス!B:C,2,FALSE)</f>
        <v>獲得する騎士団戦スコアが中アップ(バトル3回)</v>
      </c>
      <c r="R244" s="23" t="s">
        <v>18</v>
      </c>
      <c r="S244" s="23" t="str">
        <f>VLOOKUP(R244,タクティクス!B:C,2,FALSE)</f>
        <v>　</v>
      </c>
      <c r="T244" s="23" t="s">
        <v>18</v>
      </c>
      <c r="U244" s="23" t="s">
        <v>18</v>
      </c>
      <c r="V244" s="20" t="s">
        <v>1864</v>
      </c>
    </row>
    <row r="245" spans="1:22" ht="21.75" customHeight="1" x14ac:dyDescent="0.15">
      <c r="A245" s="20" t="str">
        <f>B245&amp;".jpg"</f>
        <v>1433.jpg</v>
      </c>
      <c r="B245" s="46">
        <v>1433</v>
      </c>
      <c r="C245" s="24" t="s">
        <v>201</v>
      </c>
      <c r="D245" s="24" t="s">
        <v>15</v>
      </c>
      <c r="E245" s="24">
        <v>13</v>
      </c>
      <c r="F245" s="24" t="s">
        <v>16</v>
      </c>
      <c r="G245" s="22">
        <v>16638</v>
      </c>
      <c r="H245" s="22">
        <v>7072</v>
      </c>
      <c r="I245" s="22">
        <v>5034</v>
      </c>
      <c r="J245" s="24" t="s">
        <v>17</v>
      </c>
      <c r="K245" s="22">
        <f>SUM(G245,H245,I245)</f>
        <v>28744</v>
      </c>
      <c r="L245" s="24" t="s">
        <v>568</v>
      </c>
      <c r="M245" s="23" t="str">
        <f>VLOOKUP(L245,スキル!B:C,2,FALSE)</f>
        <v>縦一列に攻撃[大]</v>
      </c>
      <c r="N245" s="23" t="s">
        <v>18</v>
      </c>
      <c r="O245" s="23" t="str">
        <f>VLOOKUP(N245,スキル!B:C,2,FALSE)</f>
        <v>　</v>
      </c>
      <c r="P245" s="23" t="s">
        <v>129</v>
      </c>
      <c r="Q245" s="23" t="str">
        <f>VLOOKUP(P245,タクティクス!B:C,2,FALSE)</f>
        <v>獲得する騎士団戦スコアが小アップ(バトル3回)</v>
      </c>
      <c r="R245" s="23" t="s">
        <v>18</v>
      </c>
      <c r="S245" s="23" t="str">
        <f>VLOOKUP(R245,タクティクス!B:C,2,FALSE)</f>
        <v>　</v>
      </c>
      <c r="T245" s="23" t="s">
        <v>18</v>
      </c>
      <c r="U245" s="23" t="s">
        <v>18</v>
      </c>
      <c r="V245" s="20" t="s">
        <v>1865</v>
      </c>
    </row>
    <row r="246" spans="1:22" ht="21.75" customHeight="1" x14ac:dyDescent="0.15">
      <c r="A246" s="20" t="str">
        <f>B246&amp;".jpg"</f>
        <v>1434.jpg</v>
      </c>
      <c r="B246" s="46">
        <v>1434</v>
      </c>
      <c r="C246" s="24" t="s">
        <v>202</v>
      </c>
      <c r="D246" s="24" t="s">
        <v>15</v>
      </c>
      <c r="E246" s="24">
        <v>13</v>
      </c>
      <c r="F246" s="24" t="s">
        <v>25</v>
      </c>
      <c r="G246" s="22">
        <v>16466</v>
      </c>
      <c r="H246" s="22">
        <v>5629</v>
      </c>
      <c r="I246" s="22">
        <v>6214</v>
      </c>
      <c r="J246" s="24" t="s">
        <v>26</v>
      </c>
      <c r="K246" s="22">
        <f>SUM(G246,H246,I246)</f>
        <v>28309</v>
      </c>
      <c r="L246" s="23" t="s">
        <v>633</v>
      </c>
      <c r="M246" s="23" t="str">
        <f>VLOOKUP(L246,スキル!B:C,2,FALSE)</f>
        <v>味方突属性の攻撃力と防御力をUP[中]</v>
      </c>
      <c r="N246" s="23" t="s">
        <v>18</v>
      </c>
      <c r="O246" s="23" t="str">
        <f>VLOOKUP(N246,スキル!B:C,2,FALSE)</f>
        <v>　</v>
      </c>
      <c r="P246" s="23" t="s">
        <v>148</v>
      </c>
      <c r="Q246" s="23" t="str">
        <f>VLOOKUP(P246,タクティクス!B:C,2,FALSE)</f>
        <v>パーティ全体の攻撃力が小UP(3分間)</v>
      </c>
      <c r="R246" s="23" t="s">
        <v>18</v>
      </c>
      <c r="S246" s="23" t="str">
        <f>VLOOKUP(R246,タクティクス!B:C,2,FALSE)</f>
        <v>　</v>
      </c>
      <c r="T246" s="23" t="s">
        <v>18</v>
      </c>
      <c r="U246" s="23" t="s">
        <v>18</v>
      </c>
      <c r="V246" s="20" t="s">
        <v>1865</v>
      </c>
    </row>
    <row r="247" spans="1:22" ht="21.75" customHeight="1" x14ac:dyDescent="0.15">
      <c r="A247" s="20" t="str">
        <f>B247&amp;".jpg"</f>
        <v>1435.jpg</v>
      </c>
      <c r="B247" s="46">
        <v>1435</v>
      </c>
      <c r="C247" s="24" t="s">
        <v>203</v>
      </c>
      <c r="D247" s="24" t="s">
        <v>150</v>
      </c>
      <c r="E247" s="24">
        <v>14</v>
      </c>
      <c r="F247" s="24" t="s">
        <v>16</v>
      </c>
      <c r="G247" s="22">
        <v>18117</v>
      </c>
      <c r="H247" s="22">
        <v>7525</v>
      </c>
      <c r="I247" s="22">
        <v>6331</v>
      </c>
      <c r="J247" s="24" t="s">
        <v>151</v>
      </c>
      <c r="K247" s="22">
        <f>SUM(G247,H247,I247)</f>
        <v>31973</v>
      </c>
      <c r="L247" s="23" t="s">
        <v>715</v>
      </c>
      <c r="M247" s="23" t="str">
        <f>VLOOKUP(L247,スキル!B:C,2,FALSE)</f>
        <v>打に強く遠に弱い縦一列攻撃[特大]</v>
      </c>
      <c r="N247" s="23" t="s">
        <v>18</v>
      </c>
      <c r="O247" s="23" t="str">
        <f>VLOOKUP(N247,スキル!B:C,2,FALSE)</f>
        <v>　</v>
      </c>
      <c r="P247" s="23" t="s">
        <v>185</v>
      </c>
      <c r="Q247" s="23" t="str">
        <f>VLOOKUP(P247,タクティクス!B:C,2,FALSE)</f>
        <v>バトル時の強襲CB率が中UP(3分間)</v>
      </c>
      <c r="R247" s="23" t="s">
        <v>18</v>
      </c>
      <c r="S247" s="23" t="str">
        <f>VLOOKUP(R247,タクティクス!B:C,2,FALSE)</f>
        <v>　</v>
      </c>
      <c r="T247" s="23" t="s">
        <v>18</v>
      </c>
      <c r="U247" s="23" t="s">
        <v>18</v>
      </c>
      <c r="V247" s="20" t="s">
        <v>1827</v>
      </c>
    </row>
    <row r="248" spans="1:22" ht="21.75" customHeight="1" x14ac:dyDescent="0.15">
      <c r="A248" s="20" t="str">
        <f>B248&amp;".jpg"</f>
        <v>1439.jpg</v>
      </c>
      <c r="B248" s="46">
        <v>1439</v>
      </c>
      <c r="C248" s="24" t="s">
        <v>204</v>
      </c>
      <c r="D248" s="24" t="s">
        <v>15</v>
      </c>
      <c r="E248" s="24">
        <v>13</v>
      </c>
      <c r="F248" s="24" t="s">
        <v>16</v>
      </c>
      <c r="G248" s="22">
        <v>16872</v>
      </c>
      <c r="H248" s="22">
        <v>7573</v>
      </c>
      <c r="I248" s="22">
        <v>5278</v>
      </c>
      <c r="J248" s="24" t="s">
        <v>17</v>
      </c>
      <c r="K248" s="22">
        <f>SUM(G248,H248,I248)</f>
        <v>29723</v>
      </c>
      <c r="L248" s="23" t="s">
        <v>717</v>
      </c>
      <c r="M248" s="23" t="str">
        <f>VLOOKUP(L248,スキル!B:C,2,FALSE)</f>
        <v>自分の攻撃力をUP[特大]</v>
      </c>
      <c r="N248" s="23" t="s">
        <v>18</v>
      </c>
      <c r="O248" s="23" t="str">
        <f>VLOOKUP(N248,スキル!B:C,2,FALSE)</f>
        <v>　</v>
      </c>
      <c r="P248" s="23" t="s">
        <v>60</v>
      </c>
      <c r="Q248" s="23" t="str">
        <f>VLOOKUP(P248,タクティクス!B:C,2,FALSE)</f>
        <v>パーティ全体の攻・防が中UP(3分間)</v>
      </c>
      <c r="R248" s="23" t="s">
        <v>18</v>
      </c>
      <c r="S248" s="23" t="str">
        <f>VLOOKUP(R248,タクティクス!B:C,2,FALSE)</f>
        <v>　</v>
      </c>
      <c r="T248" s="23" t="s">
        <v>18</v>
      </c>
      <c r="U248" s="23" t="s">
        <v>18</v>
      </c>
      <c r="V248" s="20" t="s">
        <v>1823</v>
      </c>
    </row>
    <row r="249" spans="1:22" ht="21.75" customHeight="1" x14ac:dyDescent="0.15">
      <c r="A249" s="20" t="str">
        <f>B249&amp;".jpg"</f>
        <v>1441.jpg</v>
      </c>
      <c r="B249" s="46">
        <v>1441</v>
      </c>
      <c r="C249" s="24" t="s">
        <v>205</v>
      </c>
      <c r="D249" s="24" t="s">
        <v>15</v>
      </c>
      <c r="E249" s="24">
        <v>13</v>
      </c>
      <c r="F249" s="24" t="s">
        <v>25</v>
      </c>
      <c r="G249" s="22">
        <v>17159</v>
      </c>
      <c r="H249" s="22">
        <v>5562</v>
      </c>
      <c r="I249" s="22">
        <v>5355</v>
      </c>
      <c r="J249" s="24" t="s">
        <v>31</v>
      </c>
      <c r="K249" s="22">
        <f>SUM(G249,H249,I249)</f>
        <v>28076</v>
      </c>
      <c r="L249" s="23" t="s">
        <v>595</v>
      </c>
      <c r="M249" s="23" t="str">
        <f>VLOOKUP(L249,スキル!B:C,2,FALSE)</f>
        <v>最もダメージが多い味方1人のHP回復[大]</v>
      </c>
      <c r="N249" s="23" t="s">
        <v>18</v>
      </c>
      <c r="O249" s="23" t="str">
        <f>VLOOKUP(N249,スキル!B:C,2,FALSE)</f>
        <v>　</v>
      </c>
      <c r="P249" s="23" t="s">
        <v>19</v>
      </c>
      <c r="Q249" s="23" t="str">
        <f>VLOOKUP(P249,タクティクス!B:C,2,FALSE)</f>
        <v>中確率でパーティ全員を復帰(全滅時のみ使用可)</v>
      </c>
      <c r="R249" s="23" t="s">
        <v>18</v>
      </c>
      <c r="S249" s="23" t="str">
        <f>VLOOKUP(R249,タクティクス!B:C,2,FALSE)</f>
        <v>　</v>
      </c>
      <c r="T249" s="23" t="s">
        <v>18</v>
      </c>
      <c r="U249" s="23" t="s">
        <v>18</v>
      </c>
      <c r="V249" s="20" t="s">
        <v>1823</v>
      </c>
    </row>
    <row r="250" spans="1:22" ht="21.75" customHeight="1" x14ac:dyDescent="0.15">
      <c r="A250" s="20" t="str">
        <f>B250&amp;".jpg"</f>
        <v>1443.jpg</v>
      </c>
      <c r="B250" s="46">
        <v>1443</v>
      </c>
      <c r="C250" s="24" t="s">
        <v>206</v>
      </c>
      <c r="D250" s="24" t="s">
        <v>15</v>
      </c>
      <c r="E250" s="24">
        <v>13</v>
      </c>
      <c r="F250" s="24" t="s">
        <v>34</v>
      </c>
      <c r="G250" s="22">
        <v>23085</v>
      </c>
      <c r="H250" s="22">
        <v>5118</v>
      </c>
      <c r="I250" s="22">
        <v>6995</v>
      </c>
      <c r="J250" s="24" t="s">
        <v>35</v>
      </c>
      <c r="K250" s="22">
        <f>SUM(G250,H250,I250)</f>
        <v>35198</v>
      </c>
      <c r="L250" s="24" t="s">
        <v>719</v>
      </c>
      <c r="M250" s="23" t="str">
        <f>VLOOKUP(L250,スキル!B:C,2,FALSE)</f>
        <v>X字型攻撃[大]自分の防御力UP[大]</v>
      </c>
      <c r="N250" s="23" t="s">
        <v>18</v>
      </c>
      <c r="O250" s="23" t="str">
        <f>VLOOKUP(N250,スキル!B:C,2,FALSE)</f>
        <v>　</v>
      </c>
      <c r="P250" s="23" t="s">
        <v>207</v>
      </c>
      <c r="Q250" s="23" t="str">
        <f>VLOOKUP(P250,タクティクス!B:C,2,FALSE)</f>
        <v>迎撃時にパーティ全体の攻・防が中UP(3分間)</v>
      </c>
      <c r="R250" s="23" t="s">
        <v>18</v>
      </c>
      <c r="S250" s="23" t="str">
        <f>VLOOKUP(R250,タクティクス!B:C,2,FALSE)</f>
        <v>　</v>
      </c>
      <c r="T250" s="23" t="s">
        <v>18</v>
      </c>
      <c r="U250" s="23" t="s">
        <v>18</v>
      </c>
      <c r="V250" s="20" t="s">
        <v>1823</v>
      </c>
    </row>
    <row r="251" spans="1:22" ht="21.75" customHeight="1" x14ac:dyDescent="0.15">
      <c r="A251" s="20" t="str">
        <f>B251&amp;".jpg"</f>
        <v>1445.jpg</v>
      </c>
      <c r="B251" s="46">
        <v>1445</v>
      </c>
      <c r="C251" s="24" t="s">
        <v>97</v>
      </c>
      <c r="D251" s="24" t="s">
        <v>150</v>
      </c>
      <c r="E251" s="24">
        <v>14</v>
      </c>
      <c r="F251" s="24" t="s">
        <v>41</v>
      </c>
      <c r="G251" s="22">
        <v>21158</v>
      </c>
      <c r="H251" s="22">
        <v>6264</v>
      </c>
      <c r="I251" s="22">
        <v>5523</v>
      </c>
      <c r="J251" s="24" t="s">
        <v>55</v>
      </c>
      <c r="K251" s="22">
        <f>SUM(G251,H251,I251)</f>
        <v>32945</v>
      </c>
      <c r="L251" s="23" t="s">
        <v>721</v>
      </c>
      <c r="M251" s="23" t="str">
        <f>VLOOKUP(L251,スキル!B:C,2,FALSE)</f>
        <v>突に強く斬に弱い横一列攻撃[特大]</v>
      </c>
      <c r="N251" s="23" t="s">
        <v>18</v>
      </c>
      <c r="O251" s="23" t="str">
        <f>VLOOKUP(N251,スキル!B:C,2,FALSE)</f>
        <v>　</v>
      </c>
      <c r="P251" s="23" t="s">
        <v>185</v>
      </c>
      <c r="Q251" s="23" t="str">
        <f>VLOOKUP(P251,タクティクス!B:C,2,FALSE)</f>
        <v>バトル時の強襲CB率が中UP(3分間)</v>
      </c>
      <c r="R251" s="23" t="s">
        <v>18</v>
      </c>
      <c r="S251" s="23" t="str">
        <f>VLOOKUP(R251,タクティクス!B:C,2,FALSE)</f>
        <v>　</v>
      </c>
      <c r="T251" s="23" t="s">
        <v>18</v>
      </c>
      <c r="U251" s="23" t="s">
        <v>18</v>
      </c>
      <c r="V251" s="20" t="s">
        <v>1823</v>
      </c>
    </row>
    <row r="252" spans="1:22" ht="21.75" customHeight="1" x14ac:dyDescent="0.15">
      <c r="A252" s="20" t="str">
        <f>B252&amp;".jpg"</f>
        <v>1445_a.jpg</v>
      </c>
      <c r="B252" s="21" t="s">
        <v>1615</v>
      </c>
      <c r="C252" s="20" t="s">
        <v>1597</v>
      </c>
      <c r="D252" s="20" t="s">
        <v>1585</v>
      </c>
      <c r="E252" s="20">
        <v>14</v>
      </c>
      <c r="F252" s="20" t="s">
        <v>1603</v>
      </c>
      <c r="G252" s="27">
        <v>27500</v>
      </c>
      <c r="H252" s="27">
        <v>8700</v>
      </c>
      <c r="I252" s="27">
        <v>8064</v>
      </c>
      <c r="J252" s="20" t="s">
        <v>1622</v>
      </c>
      <c r="K252" s="22">
        <f>SUM(G252,H252,I252)</f>
        <v>44264</v>
      </c>
      <c r="L252" s="23" t="s">
        <v>1534</v>
      </c>
      <c r="M252" s="23" t="str">
        <f>VLOOKUP(L252,スキル!B:C,2,FALSE)</f>
        <v>突に強く斬に弱い横一列攻撃[超極大]</v>
      </c>
      <c r="N252" s="23" t="s">
        <v>18</v>
      </c>
      <c r="O252" s="23" t="str">
        <f>VLOOKUP(N252,スキル!B:C,2,FALSE)</f>
        <v>　</v>
      </c>
      <c r="P252" s="23" t="s">
        <v>185</v>
      </c>
      <c r="Q252" s="23" t="str">
        <f>VLOOKUP(P252,タクティクス!B:C,2,FALSE)</f>
        <v>バトル時の強襲CB率が中UP(3分間)</v>
      </c>
      <c r="R252" s="20" t="s">
        <v>1632</v>
      </c>
      <c r="S252" s="23" t="str">
        <f>VLOOKUP(R252,タクティクス!B:C,2,FALSE)</f>
        <v>　</v>
      </c>
      <c r="T252" s="20" t="s">
        <v>1011</v>
      </c>
      <c r="U252" s="20" t="s">
        <v>1627</v>
      </c>
      <c r="V252" s="20" t="s">
        <v>1822</v>
      </c>
    </row>
    <row r="253" spans="1:22" ht="21.75" customHeight="1" x14ac:dyDescent="0.15">
      <c r="A253" s="20" t="str">
        <f>B253&amp;".jpg"</f>
        <v>1445_b.jpg</v>
      </c>
      <c r="B253" s="21" t="s">
        <v>1616</v>
      </c>
      <c r="C253" s="20" t="s">
        <v>1597</v>
      </c>
      <c r="D253" s="20" t="s">
        <v>1585</v>
      </c>
      <c r="E253" s="20">
        <v>14</v>
      </c>
      <c r="F253" s="20" t="s">
        <v>1604</v>
      </c>
      <c r="G253" s="27">
        <v>25400</v>
      </c>
      <c r="H253" s="27">
        <v>8385</v>
      </c>
      <c r="I253" s="27">
        <v>7518</v>
      </c>
      <c r="J253" s="20" t="s">
        <v>1622</v>
      </c>
      <c r="K253" s="22">
        <f>SUM(G253,H253,I253)</f>
        <v>41303</v>
      </c>
      <c r="L253" s="23" t="s">
        <v>721</v>
      </c>
      <c r="M253" s="23" t="str">
        <f>VLOOKUP(L253,スキル!B:C,2,FALSE)</f>
        <v>突に強く斬に弱い横一列攻撃[特大]</v>
      </c>
      <c r="N253" s="23" t="s">
        <v>18</v>
      </c>
      <c r="O253" s="23" t="str">
        <f>VLOOKUP(N253,スキル!B:C,2,FALSE)</f>
        <v>　</v>
      </c>
      <c r="P253" s="20" t="s">
        <v>1642</v>
      </c>
      <c r="Q253" s="23" t="str">
        <f>VLOOKUP(P253,タクティクス!B:C,2,FALSE)</f>
        <v>バトル時の強襲CB率が特大UP(5分間)</v>
      </c>
      <c r="R253" s="20" t="s">
        <v>1011</v>
      </c>
      <c r="S253" s="23" t="str">
        <f>VLOOKUP(R253,タクティクス!B:C,2,FALSE)</f>
        <v>　</v>
      </c>
      <c r="T253" s="20" t="s">
        <v>1627</v>
      </c>
      <c r="U253" s="20" t="s">
        <v>1011</v>
      </c>
      <c r="V253" s="20" t="s">
        <v>1822</v>
      </c>
    </row>
    <row r="254" spans="1:22" ht="21.75" customHeight="1" x14ac:dyDescent="0.15">
      <c r="A254" s="20" t="str">
        <f>B254&amp;".jpg"</f>
        <v>1446.jpg</v>
      </c>
      <c r="B254" s="46">
        <v>1446</v>
      </c>
      <c r="C254" s="24" t="s">
        <v>208</v>
      </c>
      <c r="D254" s="24" t="s">
        <v>15</v>
      </c>
      <c r="E254" s="24">
        <v>13</v>
      </c>
      <c r="F254" s="24" t="s">
        <v>34</v>
      </c>
      <c r="G254" s="22">
        <v>19823</v>
      </c>
      <c r="H254" s="22">
        <v>5246</v>
      </c>
      <c r="I254" s="22">
        <v>7986</v>
      </c>
      <c r="J254" s="24" t="s">
        <v>35</v>
      </c>
      <c r="K254" s="22">
        <f>SUM(G254,H254,I254)</f>
        <v>33055</v>
      </c>
      <c r="L254" s="23" t="s">
        <v>723</v>
      </c>
      <c r="M254" s="23" t="str">
        <f>VLOOKUP(L254,スキル!B:C,2,FALSE)</f>
        <v>ﾗﾝﾀﾞﾑで1～4連撃。攻撃毎に与ﾀﾞﾒ2倍[低確率]</v>
      </c>
      <c r="N254" s="23" t="s">
        <v>18</v>
      </c>
      <c r="O254" s="23" t="str">
        <f>VLOOKUP(N254,スキル!B:C,2,FALSE)</f>
        <v>　</v>
      </c>
      <c r="P254" s="23" t="s">
        <v>209</v>
      </c>
      <c r="Q254" s="23" t="str">
        <f>VLOOKUP(P254,タクティクス!B:C,2,FALSE)</f>
        <v>攻撃される確率が大UP(3分間)</v>
      </c>
      <c r="R254" s="23" t="s">
        <v>18</v>
      </c>
      <c r="S254" s="23" t="str">
        <f>VLOOKUP(R254,タクティクス!B:C,2,FALSE)</f>
        <v>　</v>
      </c>
      <c r="T254" s="23" t="s">
        <v>18</v>
      </c>
      <c r="U254" s="23" t="s">
        <v>18</v>
      </c>
      <c r="V254" s="20" t="s">
        <v>1872</v>
      </c>
    </row>
    <row r="255" spans="1:22" ht="21.75" customHeight="1" x14ac:dyDescent="0.15">
      <c r="A255" s="20" t="str">
        <f>B255&amp;".jpg"</f>
        <v>1447.jpg</v>
      </c>
      <c r="B255" s="46">
        <v>1447</v>
      </c>
      <c r="C255" s="24" t="s">
        <v>210</v>
      </c>
      <c r="D255" s="24" t="s">
        <v>15</v>
      </c>
      <c r="E255" s="24">
        <v>12</v>
      </c>
      <c r="F255" s="24" t="s">
        <v>16</v>
      </c>
      <c r="G255" s="22">
        <v>15802</v>
      </c>
      <c r="H255" s="22">
        <v>6325</v>
      </c>
      <c r="I255" s="22">
        <v>5046</v>
      </c>
      <c r="J255" s="24" t="s">
        <v>17</v>
      </c>
      <c r="K255" s="22">
        <f>SUM(G255,H255,I255)</f>
        <v>27173</v>
      </c>
      <c r="L255" s="23" t="s">
        <v>725</v>
      </c>
      <c r="M255" s="23" t="str">
        <f>VLOOKUP(L255,スキル!B:C,2,FALSE)</f>
        <v>自分の攻撃力をUP[大]</v>
      </c>
      <c r="N255" s="23" t="s">
        <v>18</v>
      </c>
      <c r="O255" s="23" t="str">
        <f>VLOOKUP(N255,スキル!B:C,2,FALSE)</f>
        <v>　</v>
      </c>
      <c r="P255" s="23" t="s">
        <v>29</v>
      </c>
      <c r="Q255" s="23" t="str">
        <f>VLOOKUP(P255,タクティクス!B:C,2,FALSE)</f>
        <v>生存ユニットのHPを中回復</v>
      </c>
      <c r="R255" s="23" t="s">
        <v>18</v>
      </c>
      <c r="S255" s="23" t="str">
        <f>VLOOKUP(R255,タクティクス!B:C,2,FALSE)</f>
        <v>　</v>
      </c>
      <c r="T255" s="23" t="s">
        <v>18</v>
      </c>
      <c r="U255" s="23" t="s">
        <v>18</v>
      </c>
      <c r="V255" s="20" t="s">
        <v>1912</v>
      </c>
    </row>
    <row r="256" spans="1:22" ht="21.75" customHeight="1" x14ac:dyDescent="0.15">
      <c r="A256" s="20" t="str">
        <f>B256&amp;".jpg"</f>
        <v>1449.jpg</v>
      </c>
      <c r="B256" s="46">
        <v>1449</v>
      </c>
      <c r="C256" s="24" t="s">
        <v>211</v>
      </c>
      <c r="D256" s="24" t="s">
        <v>15</v>
      </c>
      <c r="E256" s="24">
        <v>12</v>
      </c>
      <c r="F256" s="24" t="s">
        <v>34</v>
      </c>
      <c r="G256" s="22">
        <v>18032</v>
      </c>
      <c r="H256" s="22">
        <v>5674</v>
      </c>
      <c r="I256" s="22">
        <v>6441</v>
      </c>
      <c r="J256" s="24" t="s">
        <v>35</v>
      </c>
      <c r="K256" s="22">
        <f>SUM(G256,H256,I256)</f>
        <v>30147</v>
      </c>
      <c r="L256" s="23" t="s">
        <v>549</v>
      </c>
      <c r="M256" s="23" t="str">
        <f>VLOOKUP(L256,スキル!B:C,2,FALSE)</f>
        <v>味方打属性の防御力をUP[大]</v>
      </c>
      <c r="N256" s="23" t="s">
        <v>18</v>
      </c>
      <c r="O256" s="23" t="str">
        <f>VLOOKUP(N256,スキル!B:C,2,FALSE)</f>
        <v>　</v>
      </c>
      <c r="P256" s="23" t="s">
        <v>51</v>
      </c>
      <c r="Q256" s="23" t="str">
        <f>VLOOKUP(P256,タクティクス!B:C,2,FALSE)</f>
        <v>獲得する騎士団戦スコアが中アップ(バトル3回)</v>
      </c>
      <c r="R256" s="23" t="s">
        <v>18</v>
      </c>
      <c r="S256" s="23" t="str">
        <f>VLOOKUP(R256,タクティクス!B:C,2,FALSE)</f>
        <v>　</v>
      </c>
      <c r="T256" s="23" t="s">
        <v>18</v>
      </c>
      <c r="U256" s="23" t="s">
        <v>18</v>
      </c>
      <c r="V256" s="20" t="s">
        <v>1842</v>
      </c>
    </row>
    <row r="257" spans="1:22" ht="21.75" customHeight="1" x14ac:dyDescent="0.15">
      <c r="A257" s="20" t="str">
        <f>B257&amp;".jpg"</f>
        <v>1450.jpg</v>
      </c>
      <c r="B257" s="46">
        <v>1450</v>
      </c>
      <c r="C257" s="24" t="s">
        <v>211</v>
      </c>
      <c r="D257" s="24" t="s">
        <v>15</v>
      </c>
      <c r="E257" s="24">
        <v>13</v>
      </c>
      <c r="F257" s="24" t="s">
        <v>34</v>
      </c>
      <c r="G257" s="22">
        <v>19664</v>
      </c>
      <c r="H257" s="22">
        <v>6143</v>
      </c>
      <c r="I257" s="22">
        <v>6989</v>
      </c>
      <c r="J257" s="24" t="s">
        <v>35</v>
      </c>
      <c r="K257" s="22">
        <f>SUM(G257,H257,I257)</f>
        <v>32796</v>
      </c>
      <c r="L257" s="23" t="s">
        <v>549</v>
      </c>
      <c r="M257" s="23" t="str">
        <f>VLOOKUP(L257,スキル!B:C,2,FALSE)</f>
        <v>味方打属性の防御力をUP[大]</v>
      </c>
      <c r="N257" s="23" t="s">
        <v>18</v>
      </c>
      <c r="O257" s="23" t="str">
        <f>VLOOKUP(N257,スキル!B:C,2,FALSE)</f>
        <v>　</v>
      </c>
      <c r="P257" s="23" t="s">
        <v>51</v>
      </c>
      <c r="Q257" s="23" t="str">
        <f>VLOOKUP(P257,タクティクス!B:C,2,FALSE)</f>
        <v>獲得する騎士団戦スコアが中アップ(バトル3回)</v>
      </c>
      <c r="R257" s="23" t="s">
        <v>18</v>
      </c>
      <c r="S257" s="23" t="str">
        <f>VLOOKUP(R257,タクティクス!B:C,2,FALSE)</f>
        <v>　</v>
      </c>
      <c r="T257" s="23" t="s">
        <v>18</v>
      </c>
      <c r="U257" s="23" t="s">
        <v>18</v>
      </c>
      <c r="V257" s="20" t="s">
        <v>1842</v>
      </c>
    </row>
    <row r="258" spans="1:22" ht="21.75" customHeight="1" x14ac:dyDescent="0.15">
      <c r="A258" s="20" t="str">
        <f>B258&amp;".jpg"</f>
        <v>1451.jpg</v>
      </c>
      <c r="B258" s="46">
        <v>1451</v>
      </c>
      <c r="C258" s="24" t="s">
        <v>211</v>
      </c>
      <c r="D258" s="24" t="s">
        <v>150</v>
      </c>
      <c r="E258" s="24">
        <v>14</v>
      </c>
      <c r="F258" s="24" t="s">
        <v>34</v>
      </c>
      <c r="G258" s="22">
        <v>22251</v>
      </c>
      <c r="H258" s="22">
        <v>7017</v>
      </c>
      <c r="I258" s="22">
        <v>8197</v>
      </c>
      <c r="J258" s="24" t="s">
        <v>17</v>
      </c>
      <c r="K258" s="22">
        <f>SUM(G258,H258,I258)</f>
        <v>37465</v>
      </c>
      <c r="L258" s="23" t="s">
        <v>727</v>
      </c>
      <c r="M258" s="23" t="str">
        <f>VLOOKUP(L258,スキル!B:C,2,FALSE)</f>
        <v>味方打属性の防御力をUP[特大]</v>
      </c>
      <c r="N258" s="23" t="s">
        <v>18</v>
      </c>
      <c r="O258" s="23" t="str">
        <f>VLOOKUP(N258,スキル!B:C,2,FALSE)</f>
        <v>　</v>
      </c>
      <c r="P258" s="23" t="s">
        <v>180</v>
      </c>
      <c r="Q258" s="23" t="str">
        <f>VLOOKUP(P258,タクティクス!B:C,2,FALSE)</f>
        <v>獲得する騎士団戦スコアが大アップ(バトル3回)</v>
      </c>
      <c r="R258" s="23" t="s">
        <v>18</v>
      </c>
      <c r="S258" s="23" t="str">
        <f>VLOOKUP(R258,タクティクス!B:C,2,FALSE)</f>
        <v>　</v>
      </c>
      <c r="T258" s="23" t="s">
        <v>18</v>
      </c>
      <c r="U258" s="23" t="s">
        <v>18</v>
      </c>
      <c r="V258" s="20" t="s">
        <v>1842</v>
      </c>
    </row>
    <row r="259" spans="1:22" ht="21.75" customHeight="1" x14ac:dyDescent="0.15">
      <c r="A259" s="20" t="str">
        <f>B259&amp;".jpg"</f>
        <v>1453.jpg</v>
      </c>
      <c r="B259" s="46">
        <v>1453</v>
      </c>
      <c r="C259" s="24" t="s">
        <v>212</v>
      </c>
      <c r="D259" s="24" t="s">
        <v>15</v>
      </c>
      <c r="E259" s="24">
        <v>13</v>
      </c>
      <c r="F259" s="24" t="s">
        <v>16</v>
      </c>
      <c r="G259" s="22">
        <v>18123</v>
      </c>
      <c r="H259" s="22">
        <v>7073</v>
      </c>
      <c r="I259" s="22">
        <v>5018</v>
      </c>
      <c r="J259" s="24" t="s">
        <v>17</v>
      </c>
      <c r="K259" s="22">
        <f>SUM(G259,H259,I259)</f>
        <v>30214</v>
      </c>
      <c r="L259" s="23" t="s">
        <v>675</v>
      </c>
      <c r="M259" s="23" t="str">
        <f>VLOOKUP(L259,スキル!B:C,2,FALSE)</f>
        <v>打に強く遠に弱い横一列攻撃[大]</v>
      </c>
      <c r="N259" s="23" t="s">
        <v>18</v>
      </c>
      <c r="O259" s="23" t="str">
        <f>VLOOKUP(N259,スキル!B:C,2,FALSE)</f>
        <v>　</v>
      </c>
      <c r="P259" s="23" t="s">
        <v>51</v>
      </c>
      <c r="Q259" s="23" t="str">
        <f>VLOOKUP(P259,タクティクス!B:C,2,FALSE)</f>
        <v>獲得する騎士団戦スコアが中アップ(バトル3回)</v>
      </c>
      <c r="R259" s="23" t="s">
        <v>18</v>
      </c>
      <c r="S259" s="23" t="str">
        <f>VLOOKUP(R259,タクティクス!B:C,2,FALSE)</f>
        <v>　</v>
      </c>
      <c r="T259" s="23" t="s">
        <v>18</v>
      </c>
      <c r="U259" s="23" t="s">
        <v>18</v>
      </c>
      <c r="V259" s="20" t="s">
        <v>1823</v>
      </c>
    </row>
    <row r="260" spans="1:22" ht="21.75" customHeight="1" x14ac:dyDescent="0.15">
      <c r="A260" s="20" t="str">
        <f>B260&amp;".jpg"</f>
        <v>1455.jpg</v>
      </c>
      <c r="B260" s="46">
        <v>1455</v>
      </c>
      <c r="C260" s="24" t="s">
        <v>213</v>
      </c>
      <c r="D260" s="24" t="s">
        <v>15</v>
      </c>
      <c r="E260" s="24">
        <v>13</v>
      </c>
      <c r="F260" s="24" t="s">
        <v>25</v>
      </c>
      <c r="G260" s="22">
        <v>18640</v>
      </c>
      <c r="H260" s="22">
        <v>5548</v>
      </c>
      <c r="I260" s="22">
        <v>5749</v>
      </c>
      <c r="J260" s="24" t="s">
        <v>26</v>
      </c>
      <c r="K260" s="22">
        <f>SUM(G260,H260,I260)</f>
        <v>29937</v>
      </c>
      <c r="L260" s="23" t="s">
        <v>625</v>
      </c>
      <c r="M260" s="23" t="str">
        <f>VLOOKUP(L260,スキル!B:C,2,FALSE)</f>
        <v>敵全体の攻撃力をDOWN[大]</v>
      </c>
      <c r="N260" s="23" t="s">
        <v>18</v>
      </c>
      <c r="O260" s="23" t="str">
        <f>VLOOKUP(N260,スキル!B:C,2,FALSE)</f>
        <v>　</v>
      </c>
      <c r="P260" s="23" t="s">
        <v>214</v>
      </c>
      <c r="Q260" s="23" t="str">
        <f>VLOOKUP(P260,タクティクス!B:C,2,FALSE)</f>
        <v>パーティ全体の速度が中UP(3分間)</v>
      </c>
      <c r="R260" s="23" t="s">
        <v>18</v>
      </c>
      <c r="S260" s="23" t="str">
        <f>VLOOKUP(R260,タクティクス!B:C,2,FALSE)</f>
        <v>　</v>
      </c>
      <c r="T260" s="23" t="s">
        <v>18</v>
      </c>
      <c r="U260" s="23" t="s">
        <v>18</v>
      </c>
      <c r="V260" s="20" t="s">
        <v>1823</v>
      </c>
    </row>
    <row r="261" spans="1:22" ht="21.75" customHeight="1" x14ac:dyDescent="0.15">
      <c r="A261" s="20" t="str">
        <f>B261&amp;".jpg"</f>
        <v>1457.jpg</v>
      </c>
      <c r="B261" s="46">
        <v>1457</v>
      </c>
      <c r="C261" s="24" t="s">
        <v>39</v>
      </c>
      <c r="D261" s="24" t="s">
        <v>150</v>
      </c>
      <c r="E261" s="24">
        <v>14</v>
      </c>
      <c r="F261" s="24" t="s">
        <v>34</v>
      </c>
      <c r="G261" s="22">
        <v>20684</v>
      </c>
      <c r="H261" s="22">
        <v>6790</v>
      </c>
      <c r="I261" s="22">
        <v>9088</v>
      </c>
      <c r="J261" s="24" t="s">
        <v>17</v>
      </c>
      <c r="K261" s="22">
        <f>SUM(G261,H261,I261)</f>
        <v>36562</v>
      </c>
      <c r="L261" s="24" t="s">
        <v>729</v>
      </c>
      <c r="M261" s="23" t="str">
        <f>VLOOKUP(L261,スキル!B:C,2,FALSE)</f>
        <v>X字型に攻撃[特大]</v>
      </c>
      <c r="N261" s="23" t="s">
        <v>18</v>
      </c>
      <c r="O261" s="23" t="str">
        <f>VLOOKUP(N261,スキル!B:C,2,FALSE)</f>
        <v>　</v>
      </c>
      <c r="P261" s="23" t="s">
        <v>178</v>
      </c>
      <c r="Q261" s="23" t="str">
        <f>VLOOKUP(P261,タクティクス!B:C,2,FALSE)</f>
        <v>パーティ全体の攻撃力が大UP(3分間)</v>
      </c>
      <c r="R261" s="23" t="s">
        <v>18</v>
      </c>
      <c r="S261" s="23" t="str">
        <f>VLOOKUP(R261,タクティクス!B:C,2,FALSE)</f>
        <v>　</v>
      </c>
      <c r="T261" s="23" t="s">
        <v>18</v>
      </c>
      <c r="U261" s="23" t="s">
        <v>18</v>
      </c>
      <c r="V261" s="20" t="s">
        <v>1823</v>
      </c>
    </row>
    <row r="262" spans="1:22" ht="21.75" customHeight="1" x14ac:dyDescent="0.15">
      <c r="A262" s="20" t="str">
        <f>B262&amp;".jpg"</f>
        <v>1457_a.jpg</v>
      </c>
      <c r="B262" s="21" t="s">
        <v>1771</v>
      </c>
      <c r="C262" s="20" t="s">
        <v>1760</v>
      </c>
      <c r="D262" s="20" t="s">
        <v>1763</v>
      </c>
      <c r="E262" s="20">
        <v>14</v>
      </c>
      <c r="F262" s="20" t="s">
        <v>1267</v>
      </c>
      <c r="G262" s="27">
        <v>29168</v>
      </c>
      <c r="H262" s="27">
        <v>9037</v>
      </c>
      <c r="I262" s="27">
        <v>12721</v>
      </c>
      <c r="J262" s="20" t="s">
        <v>1767</v>
      </c>
      <c r="K262" s="22">
        <f>SUM(G262,H262,I262)</f>
        <v>50926</v>
      </c>
      <c r="L262" s="20" t="s">
        <v>1782</v>
      </c>
      <c r="M262" s="23" t="str">
        <f>VLOOKUP(L262,スキル!B:C,2,FALSE)</f>
        <v>X字型に攻撃[超極大]</v>
      </c>
      <c r="N262" s="20" t="s">
        <v>1783</v>
      </c>
      <c r="O262" s="23" t="str">
        <f>VLOOKUP(N262,スキル!B:C,2,FALSE)</f>
        <v>　</v>
      </c>
      <c r="P262" s="20" t="s">
        <v>178</v>
      </c>
      <c r="Q262" s="23" t="str">
        <f>VLOOKUP(P262,タクティクス!B:C,2,FALSE)</f>
        <v>パーティ全体の攻撃力が大UP(3分間)</v>
      </c>
      <c r="R262" s="20" t="s">
        <v>1787</v>
      </c>
      <c r="S262" s="23" t="str">
        <f>VLOOKUP(R262,タクティクス!B:C,2,FALSE)</f>
        <v>　</v>
      </c>
      <c r="T262" s="20" t="s">
        <v>1783</v>
      </c>
      <c r="U262" s="20" t="s">
        <v>1788</v>
      </c>
      <c r="V262" s="20" t="s">
        <v>1822</v>
      </c>
    </row>
    <row r="263" spans="1:22" ht="21.75" customHeight="1" x14ac:dyDescent="0.15">
      <c r="A263" s="20" t="str">
        <f>B263&amp;".jpg"</f>
        <v>1457_b.jpg</v>
      </c>
      <c r="B263" s="21" t="s">
        <v>1772</v>
      </c>
      <c r="C263" s="20" t="s">
        <v>1760</v>
      </c>
      <c r="D263" s="20" t="s">
        <v>1763</v>
      </c>
      <c r="E263" s="20">
        <v>14</v>
      </c>
      <c r="F263" s="20" t="s">
        <v>1267</v>
      </c>
      <c r="G263" s="27">
        <v>28139</v>
      </c>
      <c r="H263" s="27">
        <v>8701</v>
      </c>
      <c r="I263" s="27">
        <v>12259</v>
      </c>
      <c r="J263" s="20" t="s">
        <v>1767</v>
      </c>
      <c r="K263" s="22">
        <f>SUM(G263,H263,I263)</f>
        <v>49099</v>
      </c>
      <c r="L263" s="20" t="s">
        <v>729</v>
      </c>
      <c r="M263" s="23" t="str">
        <f>VLOOKUP(L263,スキル!B:C,2,FALSE)</f>
        <v>X字型に攻撃[特大]</v>
      </c>
      <c r="N263" s="20" t="s">
        <v>1784</v>
      </c>
      <c r="O263" s="23" t="str">
        <f>VLOOKUP(N263,スキル!B:C,2,FALSE)</f>
        <v>　</v>
      </c>
      <c r="P263" s="20" t="s">
        <v>1785</v>
      </c>
      <c r="Q263" s="23" t="str">
        <f>VLOOKUP(P263,タクティクス!B:C,2,FALSE)</f>
        <v>パーティ全体の攻撃力が極大UP(5分間)</v>
      </c>
      <c r="R263" s="20" t="s">
        <v>1788</v>
      </c>
      <c r="S263" s="23" t="str">
        <f>VLOOKUP(R263,タクティクス!B:C,2,FALSE)</f>
        <v>　</v>
      </c>
      <c r="T263" s="20" t="s">
        <v>1788</v>
      </c>
      <c r="U263" s="20" t="s">
        <v>1789</v>
      </c>
      <c r="V263" s="20" t="s">
        <v>1822</v>
      </c>
    </row>
    <row r="264" spans="1:22" ht="21.75" customHeight="1" x14ac:dyDescent="0.15">
      <c r="A264" s="20" t="str">
        <f>B264&amp;".jpg"</f>
        <v>1459.jpg</v>
      </c>
      <c r="B264" s="46">
        <v>1459</v>
      </c>
      <c r="C264" s="24" t="s">
        <v>215</v>
      </c>
      <c r="D264" s="24" t="s">
        <v>15</v>
      </c>
      <c r="E264" s="24">
        <v>13</v>
      </c>
      <c r="F264" s="24" t="s">
        <v>41</v>
      </c>
      <c r="G264" s="22">
        <v>18885</v>
      </c>
      <c r="H264" s="22">
        <v>6590</v>
      </c>
      <c r="I264" s="22">
        <v>4301</v>
      </c>
      <c r="J264" s="24" t="s">
        <v>42</v>
      </c>
      <c r="K264" s="22">
        <f>SUM(G264,H264,I264)</f>
        <v>29776</v>
      </c>
      <c r="L264" s="23" t="s">
        <v>731</v>
      </c>
      <c r="M264" s="23" t="str">
        <f>VLOOKUP(L264,スキル!B:C,2,FALSE)</f>
        <v>単体固定ﾀﾞﾒｰｼﾞ+ｽﾃｰﾀｽDOWN解除</v>
      </c>
      <c r="N264" s="23" t="s">
        <v>18</v>
      </c>
      <c r="O264" s="23" t="str">
        <f>VLOOKUP(N264,スキル!B:C,2,FALSE)</f>
        <v>　</v>
      </c>
      <c r="P264" s="23" t="s">
        <v>216</v>
      </c>
      <c r="Q264" s="23" t="str">
        <f>VLOOKUP(P264,タクティクス!B:C,2,FALSE)</f>
        <v>パーティ全体のスキル発動率が中UP(3分間)</v>
      </c>
      <c r="R264" s="23" t="s">
        <v>18</v>
      </c>
      <c r="S264" s="23" t="str">
        <f>VLOOKUP(R264,タクティクス!B:C,2,FALSE)</f>
        <v>　</v>
      </c>
      <c r="T264" s="23" t="s">
        <v>18</v>
      </c>
      <c r="U264" s="23" t="s">
        <v>18</v>
      </c>
      <c r="V264" s="20" t="s">
        <v>1823</v>
      </c>
    </row>
    <row r="265" spans="1:22" ht="21.75" customHeight="1" x14ac:dyDescent="0.15">
      <c r="A265" s="20" t="str">
        <f>B265&amp;".jpg"</f>
        <v>1464.jpg</v>
      </c>
      <c r="B265" s="46">
        <v>1464</v>
      </c>
      <c r="C265" s="24" t="s">
        <v>217</v>
      </c>
      <c r="D265" s="24" t="s">
        <v>15</v>
      </c>
      <c r="E265" s="24">
        <v>13</v>
      </c>
      <c r="F265" s="24" t="s">
        <v>16</v>
      </c>
      <c r="G265" s="22">
        <v>17485</v>
      </c>
      <c r="H265" s="22">
        <v>6824</v>
      </c>
      <c r="I265" s="22">
        <v>5071</v>
      </c>
      <c r="J265" s="24" t="s">
        <v>17</v>
      </c>
      <c r="K265" s="22">
        <f>SUM(G265,H265,I265)</f>
        <v>29380</v>
      </c>
      <c r="L265" s="23" t="s">
        <v>733</v>
      </c>
      <c r="M265" s="23" t="str">
        <f>VLOOKUP(L265,スキル!B:C,2,FALSE)</f>
        <v>敵単体攻撃[大]自分の防御力UP[大]</v>
      </c>
      <c r="N265" s="23" t="s">
        <v>18</v>
      </c>
      <c r="O265" s="23" t="str">
        <f>VLOOKUP(N265,スキル!B:C,2,FALSE)</f>
        <v>　</v>
      </c>
      <c r="P265" s="23" t="s">
        <v>56</v>
      </c>
      <c r="Q265" s="23" t="str">
        <f>VLOOKUP(P265,タクティクス!B:C,2,FALSE)</f>
        <v>バトルで敵を全滅するとBPが中回復(バトル3回)</v>
      </c>
      <c r="R265" s="23" t="s">
        <v>18</v>
      </c>
      <c r="S265" s="23" t="str">
        <f>VLOOKUP(R265,タクティクス!B:C,2,FALSE)</f>
        <v>　</v>
      </c>
      <c r="T265" s="23" t="s">
        <v>18</v>
      </c>
      <c r="U265" s="23" t="s">
        <v>18</v>
      </c>
      <c r="V265" s="20" t="s">
        <v>1877</v>
      </c>
    </row>
    <row r="266" spans="1:22" ht="21.75" customHeight="1" x14ac:dyDescent="0.15">
      <c r="A266" s="20" t="str">
        <f>B266&amp;".jpg"</f>
        <v>1466.jpg</v>
      </c>
      <c r="B266" s="46">
        <v>1466</v>
      </c>
      <c r="C266" s="24" t="s">
        <v>218</v>
      </c>
      <c r="D266" s="24" t="s">
        <v>15</v>
      </c>
      <c r="E266" s="24">
        <v>13</v>
      </c>
      <c r="F266" s="24" t="s">
        <v>25</v>
      </c>
      <c r="G266" s="22">
        <v>16597</v>
      </c>
      <c r="H266" s="22">
        <v>5828</v>
      </c>
      <c r="I266" s="22">
        <v>5787</v>
      </c>
      <c r="J266" s="24" t="s">
        <v>26</v>
      </c>
      <c r="K266" s="22">
        <f>SUM(G266,H266,I266)</f>
        <v>28212</v>
      </c>
      <c r="L266" s="23" t="s">
        <v>660</v>
      </c>
      <c r="M266" s="23" t="str">
        <f>VLOOKUP(L266,スキル!B:C,2,FALSE)</f>
        <v>ランダムで4連固定ダメージ[中]</v>
      </c>
      <c r="N266" s="23" t="s">
        <v>18</v>
      </c>
      <c r="O266" s="23" t="str">
        <f>VLOOKUP(N266,スキル!B:C,2,FALSE)</f>
        <v>　</v>
      </c>
      <c r="P266" s="23" t="s">
        <v>19</v>
      </c>
      <c r="Q266" s="23" t="str">
        <f>VLOOKUP(P266,タクティクス!B:C,2,FALSE)</f>
        <v>中確率でパーティ全員を復帰(全滅時のみ使用可)</v>
      </c>
      <c r="R266" s="23" t="s">
        <v>18</v>
      </c>
      <c r="S266" s="23" t="str">
        <f>VLOOKUP(R266,タクティクス!B:C,2,FALSE)</f>
        <v>　</v>
      </c>
      <c r="T266" s="23" t="s">
        <v>18</v>
      </c>
      <c r="U266" s="23" t="s">
        <v>18</v>
      </c>
      <c r="V266" s="20" t="s">
        <v>1824</v>
      </c>
    </row>
    <row r="267" spans="1:22" ht="21.75" customHeight="1" x14ac:dyDescent="0.15">
      <c r="A267" s="20" t="str">
        <f>B267&amp;".jpg"</f>
        <v>1468.jpg</v>
      </c>
      <c r="B267" s="46">
        <v>1468</v>
      </c>
      <c r="C267" s="24" t="s">
        <v>219</v>
      </c>
      <c r="D267" s="24" t="s">
        <v>150</v>
      </c>
      <c r="E267" s="24">
        <v>14</v>
      </c>
      <c r="F267" s="24" t="s">
        <v>16</v>
      </c>
      <c r="G267" s="22">
        <v>17359</v>
      </c>
      <c r="H267" s="22">
        <v>7981</v>
      </c>
      <c r="I267" s="22">
        <v>6292</v>
      </c>
      <c r="J267" s="24" t="s">
        <v>151</v>
      </c>
      <c r="K267" s="22">
        <f>SUM(G267,H267,I267)</f>
        <v>31632</v>
      </c>
      <c r="L267" s="23" t="s">
        <v>735</v>
      </c>
      <c r="M267" s="23" t="str">
        <f>VLOOKUP(L267,スキル!B:C,2,FALSE)</f>
        <v>X字型攻撃[特大]自分の攻撃力UP[特大]</v>
      </c>
      <c r="N267" s="23" t="s">
        <v>18</v>
      </c>
      <c r="O267" s="23" t="str">
        <f>VLOOKUP(N267,スキル!B:C,2,FALSE)</f>
        <v>　</v>
      </c>
      <c r="P267" s="23" t="s">
        <v>152</v>
      </c>
      <c r="Q267" s="23" t="str">
        <f>VLOOKUP(P267,タクティクス!B:C,2,FALSE)</f>
        <v>パーティ全体の攻・防が大UP(3分間)</v>
      </c>
      <c r="R267" s="23" t="s">
        <v>18</v>
      </c>
      <c r="S267" s="23" t="str">
        <f>VLOOKUP(R267,タクティクス!B:C,2,FALSE)</f>
        <v>　</v>
      </c>
      <c r="T267" s="23" t="s">
        <v>18</v>
      </c>
      <c r="U267" s="23" t="s">
        <v>18</v>
      </c>
      <c r="V267" s="20" t="s">
        <v>1823</v>
      </c>
    </row>
    <row r="268" spans="1:22" ht="21.75" customHeight="1" x14ac:dyDescent="0.15">
      <c r="A268" s="20" t="str">
        <f>B268&amp;".jpg"</f>
        <v>1470.jpg</v>
      </c>
      <c r="B268" s="46">
        <v>1470</v>
      </c>
      <c r="C268" s="24" t="s">
        <v>220</v>
      </c>
      <c r="D268" s="24" t="s">
        <v>150</v>
      </c>
      <c r="E268" s="24">
        <v>14</v>
      </c>
      <c r="F268" s="24" t="s">
        <v>25</v>
      </c>
      <c r="G268" s="22">
        <v>19292</v>
      </c>
      <c r="H268" s="22">
        <v>5722</v>
      </c>
      <c r="I268" s="22">
        <v>7207</v>
      </c>
      <c r="J268" s="24" t="s">
        <v>177</v>
      </c>
      <c r="K268" s="22">
        <f>SUM(G268,H268,I268)</f>
        <v>32221</v>
      </c>
      <c r="L268" s="23" t="s">
        <v>736</v>
      </c>
      <c r="M268" s="23" t="str">
        <f>VLOOKUP(L268,スキル!B:C,2,FALSE)</f>
        <v>敵全体に攻撃[特大]</v>
      </c>
      <c r="N268" s="23" t="s">
        <v>18</v>
      </c>
      <c r="O268" s="23" t="str">
        <f>VLOOKUP(N268,スキル!B:C,2,FALSE)</f>
        <v>　</v>
      </c>
      <c r="P268" s="23" t="s">
        <v>195</v>
      </c>
      <c r="Q268" s="23" t="str">
        <f>VLOOKUP(P268,タクティクス!B:C,2,FALSE)</f>
        <v>パーティ全体のスキル発動率が大UP(3分間)</v>
      </c>
      <c r="R268" s="23" t="s">
        <v>18</v>
      </c>
      <c r="S268" s="23" t="str">
        <f>VLOOKUP(R268,タクティクス!B:C,2,FALSE)</f>
        <v>　</v>
      </c>
      <c r="T268" s="23" t="s">
        <v>18</v>
      </c>
      <c r="U268" s="23" t="s">
        <v>18</v>
      </c>
      <c r="V268" s="20" t="s">
        <v>1823</v>
      </c>
    </row>
    <row r="269" spans="1:22" ht="21.75" customHeight="1" x14ac:dyDescent="0.15">
      <c r="A269" s="20" t="str">
        <f>B269&amp;".jpg"</f>
        <v>1472.jpg</v>
      </c>
      <c r="B269" s="46">
        <v>1472</v>
      </c>
      <c r="C269" s="24" t="s">
        <v>221</v>
      </c>
      <c r="D269" s="24" t="s">
        <v>15</v>
      </c>
      <c r="E269" s="24">
        <v>13</v>
      </c>
      <c r="F269" s="24" t="s">
        <v>41</v>
      </c>
      <c r="G269" s="22">
        <v>17251</v>
      </c>
      <c r="H269" s="22">
        <v>6019</v>
      </c>
      <c r="I269" s="22">
        <v>4955</v>
      </c>
      <c r="J269" s="24" t="s">
        <v>42</v>
      </c>
      <c r="K269" s="22">
        <f>SUM(G269,H269,I269)</f>
        <v>28225</v>
      </c>
      <c r="L269" s="23" t="s">
        <v>737</v>
      </c>
      <c r="M269" s="23" t="str">
        <f>VLOOKUP(L269,スキル!B:C,2,FALSE)</f>
        <v>ランダムで5連続攻撃[小]自分の防御力UP[小]</v>
      </c>
      <c r="N269" s="23" t="s">
        <v>18</v>
      </c>
      <c r="O269" s="23" t="str">
        <f>VLOOKUP(N269,スキル!B:C,2,FALSE)</f>
        <v>　</v>
      </c>
      <c r="P269" s="23" t="s">
        <v>81</v>
      </c>
      <c r="Q269" s="23" t="str">
        <f>VLOOKUP(P269,タクティクス!B:C,2,FALSE)</f>
        <v>騎士団全体の攻撃力が小UP(3分間)</v>
      </c>
      <c r="R269" s="23" t="s">
        <v>18</v>
      </c>
      <c r="S269" s="23" t="str">
        <f>VLOOKUP(R269,タクティクス!B:C,2,FALSE)</f>
        <v>　</v>
      </c>
      <c r="T269" s="23" t="s">
        <v>18</v>
      </c>
      <c r="U269" s="23" t="s">
        <v>18</v>
      </c>
      <c r="V269" s="20" t="s">
        <v>1823</v>
      </c>
    </row>
    <row r="270" spans="1:22" ht="21.75" customHeight="1" x14ac:dyDescent="0.15">
      <c r="A270" s="20" t="str">
        <f>B270&amp;".jpg"</f>
        <v>1474.jpg</v>
      </c>
      <c r="B270" s="46">
        <v>1474</v>
      </c>
      <c r="C270" s="24" t="s">
        <v>222</v>
      </c>
      <c r="D270" s="24" t="s">
        <v>15</v>
      </c>
      <c r="E270" s="24">
        <v>13</v>
      </c>
      <c r="F270" s="24" t="s">
        <v>41</v>
      </c>
      <c r="G270" s="22">
        <v>16463</v>
      </c>
      <c r="H270" s="22">
        <v>6782</v>
      </c>
      <c r="I270" s="22">
        <v>4635</v>
      </c>
      <c r="J270" s="24" t="s">
        <v>42</v>
      </c>
      <c r="K270" s="22">
        <f>SUM(G270,H270,I270)</f>
        <v>27880</v>
      </c>
      <c r="L270" s="23" t="s">
        <v>597</v>
      </c>
      <c r="M270" s="23" t="str">
        <f>VLOOKUP(L270,スキル!B:C,2,FALSE)</f>
        <v>一定確率で敵を暗闇状態にする[高確率]</v>
      </c>
      <c r="N270" s="23" t="s">
        <v>18</v>
      </c>
      <c r="O270" s="23" t="str">
        <f>VLOOKUP(N270,スキル!B:C,2,FALSE)</f>
        <v>　</v>
      </c>
      <c r="P270" s="23" t="s">
        <v>168</v>
      </c>
      <c r="Q270" s="23" t="str">
        <f>VLOOKUP(P270,タクティクス!B:C,2,FALSE)</f>
        <v>強襲CBの発生確率・強襲時獲得ポイント中UP(3回)</v>
      </c>
      <c r="R270" s="23" t="s">
        <v>18</v>
      </c>
      <c r="S270" s="23" t="str">
        <f>VLOOKUP(R270,タクティクス!B:C,2,FALSE)</f>
        <v>　</v>
      </c>
      <c r="T270" s="23" t="s">
        <v>18</v>
      </c>
      <c r="U270" s="23" t="s">
        <v>18</v>
      </c>
      <c r="V270" s="20" t="s">
        <v>1823</v>
      </c>
    </row>
    <row r="271" spans="1:22" ht="21.75" customHeight="1" x14ac:dyDescent="0.15">
      <c r="A271" s="20" t="str">
        <f>B271&amp;".jpg"</f>
        <v>1476.jpg</v>
      </c>
      <c r="B271" s="46">
        <v>1476</v>
      </c>
      <c r="C271" s="24" t="s">
        <v>223</v>
      </c>
      <c r="D271" s="24" t="s">
        <v>15</v>
      </c>
      <c r="E271" s="24">
        <v>13</v>
      </c>
      <c r="F271" s="24" t="s">
        <v>16</v>
      </c>
      <c r="G271" s="22">
        <v>15933</v>
      </c>
      <c r="H271" s="22">
        <v>7326</v>
      </c>
      <c r="I271" s="22">
        <v>5284</v>
      </c>
      <c r="J271" s="24" t="s">
        <v>17</v>
      </c>
      <c r="K271" s="22">
        <f>SUM(G271,H271,I271)</f>
        <v>28543</v>
      </c>
      <c r="L271" s="23" t="s">
        <v>564</v>
      </c>
      <c r="M271" s="23" t="str">
        <f>VLOOKUP(L271,スキル!B:C,2,FALSE)</f>
        <v>一定確率で敵を猛毒状態にする[高確率]</v>
      </c>
      <c r="N271" s="23" t="s">
        <v>18</v>
      </c>
      <c r="O271" s="23" t="str">
        <f>VLOOKUP(N271,スキル!B:C,2,FALSE)</f>
        <v>　</v>
      </c>
      <c r="P271" s="23" t="s">
        <v>224</v>
      </c>
      <c r="Q271" s="23" t="str">
        <f>VLOOKUP(P271,タクティクス!B:C,2,FALSE)</f>
        <v>対戦騎士団全体のスキル発動率が小DOWN(3分間)</v>
      </c>
      <c r="R271" s="23" t="s">
        <v>18</v>
      </c>
      <c r="S271" s="23" t="str">
        <f>VLOOKUP(R271,タクティクス!B:C,2,FALSE)</f>
        <v>　</v>
      </c>
      <c r="T271" s="23" t="s">
        <v>18</v>
      </c>
      <c r="U271" s="23" t="s">
        <v>18</v>
      </c>
      <c r="V271" s="20" t="s">
        <v>1823</v>
      </c>
    </row>
    <row r="272" spans="1:22" ht="21.75" customHeight="1" x14ac:dyDescent="0.15">
      <c r="A272" s="20" t="str">
        <f>B272&amp;".jpg"</f>
        <v>1478.jpg</v>
      </c>
      <c r="B272" s="46">
        <v>1478</v>
      </c>
      <c r="C272" s="24" t="s">
        <v>225</v>
      </c>
      <c r="D272" s="24" t="s">
        <v>15</v>
      </c>
      <c r="E272" s="24">
        <v>13</v>
      </c>
      <c r="F272" s="24" t="s">
        <v>16</v>
      </c>
      <c r="G272" s="22">
        <v>16329</v>
      </c>
      <c r="H272" s="22">
        <v>7514</v>
      </c>
      <c r="I272" s="22">
        <v>5149</v>
      </c>
      <c r="J272" s="24" t="s">
        <v>17</v>
      </c>
      <c r="K272" s="22">
        <f>SUM(G272,H272,I272)</f>
        <v>28992</v>
      </c>
      <c r="L272" s="23" t="s">
        <v>648</v>
      </c>
      <c r="M272" s="23" t="str">
        <f>VLOOKUP(L272,スキル!B:C,2,FALSE)</f>
        <v>横一列攻撃[大]自分の防御力UP[大]</v>
      </c>
      <c r="N272" s="23" t="s">
        <v>18</v>
      </c>
      <c r="O272" s="23" t="str">
        <f>VLOOKUP(N272,スキル!B:C,2,FALSE)</f>
        <v>　</v>
      </c>
      <c r="P272" s="23" t="s">
        <v>83</v>
      </c>
      <c r="Q272" s="23" t="str">
        <f>VLOOKUP(P272,タクティクス!B:C,2,FALSE)</f>
        <v>騎士団全体の攻・防が小UP(3分間)</v>
      </c>
      <c r="R272" s="23" t="s">
        <v>18</v>
      </c>
      <c r="S272" s="23" t="str">
        <f>VLOOKUP(R272,タクティクス!B:C,2,FALSE)</f>
        <v>　</v>
      </c>
      <c r="T272" s="23" t="s">
        <v>18</v>
      </c>
      <c r="U272" s="23" t="s">
        <v>18</v>
      </c>
      <c r="V272" s="20" t="s">
        <v>1878</v>
      </c>
    </row>
    <row r="273" spans="1:22" ht="21.75" customHeight="1" x14ac:dyDescent="0.15">
      <c r="A273" s="20" t="str">
        <f>B273&amp;".jpg"</f>
        <v>1480.jpg</v>
      </c>
      <c r="B273" s="46">
        <v>1480</v>
      </c>
      <c r="C273" s="24" t="s">
        <v>175</v>
      </c>
      <c r="D273" s="24" t="s">
        <v>15</v>
      </c>
      <c r="E273" s="24">
        <v>13</v>
      </c>
      <c r="F273" s="24" t="s">
        <v>16</v>
      </c>
      <c r="G273" s="22">
        <v>17717</v>
      </c>
      <c r="H273" s="22">
        <v>8023</v>
      </c>
      <c r="I273" s="22">
        <v>4598</v>
      </c>
      <c r="J273" s="24" t="s">
        <v>17</v>
      </c>
      <c r="K273" s="22">
        <f>SUM(G273,H273,I273)</f>
        <v>30338</v>
      </c>
      <c r="L273" s="23" t="s">
        <v>637</v>
      </c>
      <c r="M273" s="23" t="str">
        <f>VLOOKUP(L273,スキル!B:C,2,FALSE)</f>
        <v>打に強く遠に弱い縦一列攻撃[大]</v>
      </c>
      <c r="N273" s="23" t="s">
        <v>18</v>
      </c>
      <c r="O273" s="23" t="str">
        <f>VLOOKUP(N273,スキル!B:C,2,FALSE)</f>
        <v>　</v>
      </c>
      <c r="P273" s="23" t="s">
        <v>23</v>
      </c>
      <c r="Q273" s="23" t="str">
        <f>VLOOKUP(P273,タクティクス!B:C,2,FALSE)</f>
        <v>パーティ全体の攻撃力が中UP(3分間)</v>
      </c>
      <c r="R273" s="23" t="s">
        <v>18</v>
      </c>
      <c r="S273" s="23" t="str">
        <f>VLOOKUP(R273,タクティクス!B:C,2,FALSE)</f>
        <v>　</v>
      </c>
      <c r="T273" s="23" t="s">
        <v>18</v>
      </c>
      <c r="U273" s="23" t="s">
        <v>18</v>
      </c>
      <c r="V273" s="20" t="s">
        <v>1899</v>
      </c>
    </row>
    <row r="274" spans="1:22" ht="21.75" customHeight="1" x14ac:dyDescent="0.15">
      <c r="A274" s="20" t="str">
        <f>B274&amp;".jpg"</f>
        <v>1482.jpg</v>
      </c>
      <c r="B274" s="46">
        <v>1482</v>
      </c>
      <c r="C274" s="24" t="s">
        <v>74</v>
      </c>
      <c r="D274" s="24" t="s">
        <v>150</v>
      </c>
      <c r="E274" s="24">
        <v>14</v>
      </c>
      <c r="F274" s="24" t="s">
        <v>25</v>
      </c>
      <c r="G274" s="22">
        <v>19529</v>
      </c>
      <c r="H274" s="22">
        <v>5811</v>
      </c>
      <c r="I274" s="22">
        <v>7128</v>
      </c>
      <c r="J274" s="24" t="s">
        <v>177</v>
      </c>
      <c r="K274" s="22">
        <f>SUM(G274,H274,I274)</f>
        <v>32468</v>
      </c>
      <c r="L274" s="23" t="s">
        <v>691</v>
      </c>
      <c r="M274" s="23" t="str">
        <f>VLOOKUP(L274,スキル!B:C,2,FALSE)</f>
        <v>横一列に攻撃[特大]</v>
      </c>
      <c r="N274" s="23" t="s">
        <v>18</v>
      </c>
      <c r="O274" s="23" t="str">
        <f>VLOOKUP(N274,スキル!B:C,2,FALSE)</f>
        <v>　</v>
      </c>
      <c r="P274" s="23" t="s">
        <v>226</v>
      </c>
      <c r="Q274" s="23" t="str">
        <f>VLOOKUP(P274,タクティクス!B:C,2,FALSE)</f>
        <v>バトルで獲得する騎士団戦スコアが大アップ(3分間)</v>
      </c>
      <c r="R274" s="23" t="s">
        <v>18</v>
      </c>
      <c r="S274" s="23" t="str">
        <f>VLOOKUP(R274,タクティクス!B:C,2,FALSE)</f>
        <v>　</v>
      </c>
      <c r="T274" s="23" t="s">
        <v>18</v>
      </c>
      <c r="U274" s="23" t="s">
        <v>18</v>
      </c>
      <c r="V274" s="20" t="s">
        <v>1899</v>
      </c>
    </row>
    <row r="275" spans="1:22" ht="21.75" customHeight="1" x14ac:dyDescent="0.15">
      <c r="A275" s="20" t="str">
        <f>B275&amp;".jpg"</f>
        <v>1484.jpg</v>
      </c>
      <c r="B275" s="46">
        <v>1484</v>
      </c>
      <c r="C275" s="24" t="s">
        <v>89</v>
      </c>
      <c r="D275" s="24" t="s">
        <v>150</v>
      </c>
      <c r="E275" s="24">
        <v>14</v>
      </c>
      <c r="F275" s="24" t="s">
        <v>34</v>
      </c>
      <c r="G275" s="22">
        <v>22832</v>
      </c>
      <c r="H275" s="22">
        <v>6523</v>
      </c>
      <c r="I275" s="22">
        <v>8640</v>
      </c>
      <c r="J275" s="24" t="s">
        <v>17</v>
      </c>
      <c r="K275" s="22">
        <f>SUM(G275,H275,I275)</f>
        <v>37995</v>
      </c>
      <c r="L275" s="23" t="s">
        <v>739</v>
      </c>
      <c r="M275" s="23" t="str">
        <f>VLOOKUP(L275,スキル!B:C,2,FALSE)</f>
        <v>最もダメージが多い味方1人のHP回復[特大]</v>
      </c>
      <c r="N275" s="23" t="s">
        <v>18</v>
      </c>
      <c r="O275" s="23" t="str">
        <f>VLOOKUP(N275,スキル!B:C,2,FALSE)</f>
        <v>　</v>
      </c>
      <c r="P275" s="23" t="s">
        <v>180</v>
      </c>
      <c r="Q275" s="23" t="str">
        <f>VLOOKUP(P275,タクティクス!B:C,2,FALSE)</f>
        <v>獲得する騎士団戦スコアが大アップ(バトル3回)</v>
      </c>
      <c r="R275" s="23" t="s">
        <v>18</v>
      </c>
      <c r="S275" s="23" t="str">
        <f>VLOOKUP(R275,タクティクス!B:C,2,FALSE)</f>
        <v>　</v>
      </c>
      <c r="T275" s="23" t="s">
        <v>18</v>
      </c>
      <c r="U275" s="23" t="s">
        <v>18</v>
      </c>
      <c r="V275" s="20" t="s">
        <v>1899</v>
      </c>
    </row>
    <row r="276" spans="1:22" ht="21.75" customHeight="1" x14ac:dyDescent="0.15">
      <c r="A276" s="20" t="str">
        <f>B276&amp;".jpg"</f>
        <v>1486.jpg</v>
      </c>
      <c r="B276" s="46">
        <v>1486</v>
      </c>
      <c r="C276" s="24" t="s">
        <v>141</v>
      </c>
      <c r="D276" s="24" t="s">
        <v>15</v>
      </c>
      <c r="E276" s="24">
        <v>13</v>
      </c>
      <c r="F276" s="24" t="s">
        <v>41</v>
      </c>
      <c r="G276" s="22">
        <v>16352</v>
      </c>
      <c r="H276" s="22">
        <v>6555</v>
      </c>
      <c r="I276" s="22">
        <v>4967</v>
      </c>
      <c r="J276" s="24" t="s">
        <v>42</v>
      </c>
      <c r="K276" s="22">
        <f>SUM(G276,H276,I276)</f>
        <v>27874</v>
      </c>
      <c r="L276" s="23" t="s">
        <v>741</v>
      </c>
      <c r="M276" s="23" t="str">
        <f>VLOOKUP(L276,スキル!B:C,2,FALSE)</f>
        <v>自分の防御力をUP[特大]</v>
      </c>
      <c r="N276" s="23" t="s">
        <v>18</v>
      </c>
      <c r="O276" s="23" t="str">
        <f>VLOOKUP(N276,スキル!B:C,2,FALSE)</f>
        <v>　</v>
      </c>
      <c r="P276" s="23" t="s">
        <v>214</v>
      </c>
      <c r="Q276" s="23" t="str">
        <f>VLOOKUP(P276,タクティクス!B:C,2,FALSE)</f>
        <v>パーティ全体の速度が中UP(3分間)</v>
      </c>
      <c r="R276" s="23" t="s">
        <v>18</v>
      </c>
      <c r="S276" s="23" t="str">
        <f>VLOOKUP(R276,タクティクス!B:C,2,FALSE)</f>
        <v>　</v>
      </c>
      <c r="T276" s="23" t="s">
        <v>18</v>
      </c>
      <c r="U276" s="23" t="s">
        <v>18</v>
      </c>
      <c r="V276" s="20" t="s">
        <v>1899</v>
      </c>
    </row>
    <row r="277" spans="1:22" ht="21.75" customHeight="1" x14ac:dyDescent="0.15">
      <c r="A277" s="20" t="str">
        <f>B277&amp;".jpg"</f>
        <v>1489.jpg</v>
      </c>
      <c r="B277" s="46">
        <v>1489</v>
      </c>
      <c r="C277" s="24" t="s">
        <v>227</v>
      </c>
      <c r="D277" s="24" t="s">
        <v>15</v>
      </c>
      <c r="E277" s="24">
        <v>13</v>
      </c>
      <c r="F277" s="24" t="s">
        <v>41</v>
      </c>
      <c r="G277" s="22">
        <v>16437</v>
      </c>
      <c r="H277" s="22">
        <v>5732</v>
      </c>
      <c r="I277" s="22">
        <v>5189</v>
      </c>
      <c r="J277" s="24" t="s">
        <v>42</v>
      </c>
      <c r="K277" s="22">
        <f>SUM(G277,H277,I277)</f>
        <v>27358</v>
      </c>
      <c r="L277" s="23" t="s">
        <v>559</v>
      </c>
      <c r="M277" s="23" t="str">
        <f>VLOOKUP(L277,スキル!B:C,2,FALSE)</f>
        <v>敵全体に固定ダメージ[大]</v>
      </c>
      <c r="N277" s="23" t="s">
        <v>18</v>
      </c>
      <c r="O277" s="23" t="str">
        <f>VLOOKUP(N277,スキル!B:C,2,FALSE)</f>
        <v>　</v>
      </c>
      <c r="P277" s="23" t="s">
        <v>125</v>
      </c>
      <c r="Q277" s="23" t="str">
        <f>VLOOKUP(P277,タクティクス!B:C,2,FALSE)</f>
        <v>攻撃される確率が中UP(3分間)</v>
      </c>
      <c r="R277" s="23" t="s">
        <v>18</v>
      </c>
      <c r="S277" s="23" t="str">
        <f>VLOOKUP(R277,タクティクス!B:C,2,FALSE)</f>
        <v>　</v>
      </c>
      <c r="T277" s="23" t="s">
        <v>18</v>
      </c>
      <c r="U277" s="23" t="s">
        <v>18</v>
      </c>
      <c r="V277" s="20" t="s">
        <v>1879</v>
      </c>
    </row>
    <row r="278" spans="1:22" ht="21.75" customHeight="1" x14ac:dyDescent="0.15">
      <c r="A278" s="20" t="str">
        <f>B278&amp;".jpg"</f>
        <v>1490.jpg</v>
      </c>
      <c r="B278" s="46">
        <v>1490</v>
      </c>
      <c r="C278" s="24" t="s">
        <v>80</v>
      </c>
      <c r="D278" s="24" t="s">
        <v>150</v>
      </c>
      <c r="E278" s="24">
        <v>14</v>
      </c>
      <c r="F278" s="24" t="s">
        <v>25</v>
      </c>
      <c r="G278" s="22">
        <v>21885</v>
      </c>
      <c r="H278" s="22">
        <v>5526</v>
      </c>
      <c r="I278" s="22">
        <v>6706</v>
      </c>
      <c r="J278" s="24" t="s">
        <v>177</v>
      </c>
      <c r="K278" s="22">
        <f>SUM(G278,H278,I278)</f>
        <v>34117</v>
      </c>
      <c r="L278" s="23" t="s">
        <v>743</v>
      </c>
      <c r="M278" s="23" t="str">
        <f>VLOOKUP(L278,スキル!B:C,2,FALSE)</f>
        <v>味方突属性の攻撃力をUP[特大]</v>
      </c>
      <c r="N278" s="23" t="s">
        <v>18</v>
      </c>
      <c r="O278" s="23" t="str">
        <f>VLOOKUP(N278,スキル!B:C,2,FALSE)</f>
        <v>　</v>
      </c>
      <c r="P278" s="23" t="s">
        <v>228</v>
      </c>
      <c r="Q278" s="23" t="str">
        <f>VLOOKUP(P278,タクティクス!B:C,2,FALSE)</f>
        <v>強襲が発生無効、バトル時に攻・防中UP(3分間)</v>
      </c>
      <c r="R278" s="23" t="s">
        <v>18</v>
      </c>
      <c r="S278" s="23" t="str">
        <f>VLOOKUP(R278,タクティクス!B:C,2,FALSE)</f>
        <v>　</v>
      </c>
      <c r="T278" s="23" t="s">
        <v>18</v>
      </c>
      <c r="U278" s="23" t="s">
        <v>18</v>
      </c>
      <c r="V278" s="20" t="s">
        <v>1899</v>
      </c>
    </row>
    <row r="279" spans="1:22" ht="21.75" customHeight="1" x14ac:dyDescent="0.15">
      <c r="A279" s="20" t="str">
        <f>B279&amp;".jpg"</f>
        <v>1490_a.jpg</v>
      </c>
      <c r="B279" s="21" t="s">
        <v>1775</v>
      </c>
      <c r="C279" s="20" t="s">
        <v>1759</v>
      </c>
      <c r="D279" s="20" t="s">
        <v>1763</v>
      </c>
      <c r="E279" s="20">
        <v>14</v>
      </c>
      <c r="F279" s="20" t="s">
        <v>1266</v>
      </c>
      <c r="G279" s="27">
        <v>29319</v>
      </c>
      <c r="H279" s="27">
        <v>7731</v>
      </c>
      <c r="I279" s="27">
        <v>10402</v>
      </c>
      <c r="J279" s="20" t="s">
        <v>1765</v>
      </c>
      <c r="K279" s="22">
        <f>SUM(G279,H279,I279)</f>
        <v>47452</v>
      </c>
      <c r="L279" s="20" t="s">
        <v>1791</v>
      </c>
      <c r="M279" s="23" t="str">
        <f>VLOOKUP(L279,スキル!B:C,2,FALSE)</f>
        <v>味方突属性の攻撃力をUP[超特大]</v>
      </c>
      <c r="N279" s="20" t="s">
        <v>1788</v>
      </c>
      <c r="O279" s="23" t="str">
        <f>VLOOKUP(N279,スキル!B:C,2,FALSE)</f>
        <v>　</v>
      </c>
      <c r="P279" s="23" t="s">
        <v>228</v>
      </c>
      <c r="Q279" s="23" t="str">
        <f>VLOOKUP(P279,タクティクス!B:C,2,FALSE)</f>
        <v>強襲が発生無効、バトル時に攻・防中UP(3分間)</v>
      </c>
      <c r="R279" s="20" t="s">
        <v>1795</v>
      </c>
      <c r="S279" s="23" t="str">
        <f>VLOOKUP(R279,タクティクス!B:C,2,FALSE)</f>
        <v>　</v>
      </c>
      <c r="T279" s="20" t="s">
        <v>1141</v>
      </c>
      <c r="U279" s="20" t="s">
        <v>1788</v>
      </c>
      <c r="V279" s="20" t="s">
        <v>1822</v>
      </c>
    </row>
    <row r="280" spans="1:22" ht="21.75" customHeight="1" x14ac:dyDescent="0.15">
      <c r="A280" s="20" t="str">
        <f>B280&amp;".jpg"</f>
        <v>1490_b.jpg</v>
      </c>
      <c r="B280" s="21" t="s">
        <v>1776</v>
      </c>
      <c r="C280" s="20" t="s">
        <v>1759</v>
      </c>
      <c r="D280" s="20" t="s">
        <v>1763</v>
      </c>
      <c r="E280" s="20">
        <v>14</v>
      </c>
      <c r="F280" s="20" t="s">
        <v>1266</v>
      </c>
      <c r="G280" s="27">
        <v>28227</v>
      </c>
      <c r="H280" s="27">
        <v>7458</v>
      </c>
      <c r="I280" s="27">
        <v>10066</v>
      </c>
      <c r="J280" s="20" t="s">
        <v>1766</v>
      </c>
      <c r="K280" s="22">
        <f>SUM(G280,H280,I280)</f>
        <v>45751</v>
      </c>
      <c r="L280" s="20" t="s">
        <v>743</v>
      </c>
      <c r="M280" s="23" t="str">
        <f>VLOOKUP(L280,スキル!B:C,2,FALSE)</f>
        <v>味方突属性の攻撃力をUP[特大]</v>
      </c>
      <c r="N280" s="20" t="s">
        <v>1783</v>
      </c>
      <c r="O280" s="23" t="str">
        <f>VLOOKUP(N280,スキル!B:C,2,FALSE)</f>
        <v>　</v>
      </c>
      <c r="P280" s="20" t="s">
        <v>1793</v>
      </c>
      <c r="Q280" s="23" t="str">
        <f>VLOOKUP(P280,タクティクス!B:C,2,FALSE)</f>
        <v>強襲が発生無効、バトル時に攻・防特大UP(5分間)</v>
      </c>
      <c r="R280" s="20" t="s">
        <v>1796</v>
      </c>
      <c r="S280" s="23" t="str">
        <f>VLOOKUP(R280,タクティクス!B:C,2,FALSE)</f>
        <v>　</v>
      </c>
      <c r="T280" s="20" t="s">
        <v>1141</v>
      </c>
      <c r="U280" s="20" t="s">
        <v>1141</v>
      </c>
      <c r="V280" s="20" t="s">
        <v>1822</v>
      </c>
    </row>
    <row r="281" spans="1:22" ht="21.75" customHeight="1" x14ac:dyDescent="0.15">
      <c r="A281" s="20" t="str">
        <f>B281&amp;".jpg"</f>
        <v>1491.jpg</v>
      </c>
      <c r="B281" s="46">
        <v>1491</v>
      </c>
      <c r="C281" s="24" t="s">
        <v>186</v>
      </c>
      <c r="D281" s="24" t="s">
        <v>150</v>
      </c>
      <c r="E281" s="24">
        <v>14</v>
      </c>
      <c r="F281" s="24" t="s">
        <v>41</v>
      </c>
      <c r="G281" s="22">
        <v>18045</v>
      </c>
      <c r="H281" s="22">
        <v>6298</v>
      </c>
      <c r="I281" s="22">
        <v>6477</v>
      </c>
      <c r="J281" s="24" t="s">
        <v>55</v>
      </c>
      <c r="K281" s="22">
        <f>SUM(G281,H281,I281)</f>
        <v>30820</v>
      </c>
      <c r="L281" s="23" t="s">
        <v>745</v>
      </c>
      <c r="M281" s="23" t="str">
        <f>VLOOKUP(L281,スキル!B:C,2,FALSE)</f>
        <v>一定確率で敵を暗闇状態にする[超高確率]</v>
      </c>
      <c r="N281" s="23" t="s">
        <v>18</v>
      </c>
      <c r="O281" s="23" t="str">
        <f>VLOOKUP(N281,スキル!B:C,2,FALSE)</f>
        <v>　</v>
      </c>
      <c r="P281" s="23" t="s">
        <v>188</v>
      </c>
      <c r="Q281" s="23" t="str">
        <f>VLOOKUP(P281,タクティクス!B:C,2,FALSE)</f>
        <v>バトルで敵を全滅するとBPが大回復(バトル3回)</v>
      </c>
      <c r="R281" s="23" t="s">
        <v>18</v>
      </c>
      <c r="S281" s="23" t="str">
        <f>VLOOKUP(R281,タクティクス!B:C,2,FALSE)</f>
        <v>　</v>
      </c>
      <c r="T281" s="23" t="s">
        <v>18</v>
      </c>
      <c r="U281" s="23" t="s">
        <v>18</v>
      </c>
      <c r="V281" s="20" t="s">
        <v>1899</v>
      </c>
    </row>
    <row r="282" spans="1:22" ht="21.75" customHeight="1" x14ac:dyDescent="0.15">
      <c r="A282" s="20" t="str">
        <f>B282&amp;".jpg"</f>
        <v>1492.jpg</v>
      </c>
      <c r="B282" s="46">
        <v>1492</v>
      </c>
      <c r="C282" s="24" t="s">
        <v>229</v>
      </c>
      <c r="D282" s="24" t="s">
        <v>15</v>
      </c>
      <c r="E282" s="24">
        <v>13</v>
      </c>
      <c r="F282" s="24" t="s">
        <v>16</v>
      </c>
      <c r="G282" s="22">
        <v>15700</v>
      </c>
      <c r="H282" s="22">
        <v>7227</v>
      </c>
      <c r="I282" s="22">
        <v>5347</v>
      </c>
      <c r="J282" s="24" t="s">
        <v>17</v>
      </c>
      <c r="K282" s="22">
        <f>SUM(G282,H282,I282)</f>
        <v>28274</v>
      </c>
      <c r="L282" s="23" t="s">
        <v>564</v>
      </c>
      <c r="M282" s="23" t="str">
        <f>VLOOKUP(L282,スキル!B:C,2,FALSE)</f>
        <v>一定確率で敵を猛毒状態にする[高確率]</v>
      </c>
      <c r="N282" s="23" t="s">
        <v>18</v>
      </c>
      <c r="O282" s="23" t="str">
        <f>VLOOKUP(N282,スキル!B:C,2,FALSE)</f>
        <v>　</v>
      </c>
      <c r="P282" s="23" t="s">
        <v>47</v>
      </c>
      <c r="Q282" s="23" t="str">
        <f>VLOOKUP(P282,タクティクス!B:C,2,FALSE)</f>
        <v>斬属性の生存ユニットのHPを高確率で全回復</v>
      </c>
      <c r="R282" s="23" t="s">
        <v>18</v>
      </c>
      <c r="S282" s="23" t="str">
        <f>VLOOKUP(R282,タクティクス!B:C,2,FALSE)</f>
        <v>　</v>
      </c>
      <c r="T282" s="23" t="s">
        <v>18</v>
      </c>
      <c r="U282" s="23" t="s">
        <v>18</v>
      </c>
      <c r="V282" s="20" t="s">
        <v>1825</v>
      </c>
    </row>
    <row r="283" spans="1:22" ht="21.75" customHeight="1" x14ac:dyDescent="0.15">
      <c r="A283" s="20" t="str">
        <f>B283&amp;".jpg"</f>
        <v>1494.jpg</v>
      </c>
      <c r="B283" s="46">
        <v>1494</v>
      </c>
      <c r="C283" s="24" t="s">
        <v>230</v>
      </c>
      <c r="D283" s="24" t="s">
        <v>15</v>
      </c>
      <c r="E283" s="24">
        <v>13</v>
      </c>
      <c r="F283" s="24" t="s">
        <v>16</v>
      </c>
      <c r="G283" s="22">
        <v>16877</v>
      </c>
      <c r="H283" s="22">
        <v>7758</v>
      </c>
      <c r="I283" s="22">
        <v>4760</v>
      </c>
      <c r="J283" s="24" t="s">
        <v>17</v>
      </c>
      <c r="K283" s="22">
        <f>SUM(G283,H283,I283)</f>
        <v>29395</v>
      </c>
      <c r="L283" s="23" t="s">
        <v>683</v>
      </c>
      <c r="M283" s="23" t="str">
        <f>VLOOKUP(L283,スキル!B:C,2,FALSE)</f>
        <v>縦一列に攻撃[大]自分の防御力UP[大]</v>
      </c>
      <c r="N283" s="23" t="s">
        <v>18</v>
      </c>
      <c r="O283" s="23" t="str">
        <f>VLOOKUP(N283,スキル!B:C,2,FALSE)</f>
        <v>　</v>
      </c>
      <c r="P283" s="23" t="s">
        <v>214</v>
      </c>
      <c r="Q283" s="23" t="str">
        <f>VLOOKUP(P283,タクティクス!B:C,2,FALSE)</f>
        <v>パーティ全体の速度が中UP(3分間)</v>
      </c>
      <c r="R283" s="23" t="s">
        <v>18</v>
      </c>
      <c r="S283" s="23" t="str">
        <f>VLOOKUP(R283,タクティクス!B:C,2,FALSE)</f>
        <v>　</v>
      </c>
      <c r="T283" s="23" t="s">
        <v>18</v>
      </c>
      <c r="U283" s="23" t="s">
        <v>18</v>
      </c>
      <c r="V283" s="20" t="s">
        <v>1866</v>
      </c>
    </row>
    <row r="284" spans="1:22" ht="21.75" customHeight="1" x14ac:dyDescent="0.15">
      <c r="A284" s="20" t="str">
        <f>B284&amp;".jpg"</f>
        <v>1496.jpg</v>
      </c>
      <c r="B284" s="46">
        <v>1496</v>
      </c>
      <c r="C284" s="24" t="s">
        <v>231</v>
      </c>
      <c r="D284" s="24" t="s">
        <v>15</v>
      </c>
      <c r="E284" s="24">
        <v>12</v>
      </c>
      <c r="F284" s="24" t="s">
        <v>16</v>
      </c>
      <c r="G284" s="22">
        <v>14922</v>
      </c>
      <c r="H284" s="22">
        <v>6862</v>
      </c>
      <c r="I284" s="22">
        <v>4893</v>
      </c>
      <c r="J284" s="24" t="s">
        <v>17</v>
      </c>
      <c r="K284" s="22">
        <f>SUM(G284,H284,I284)</f>
        <v>26677</v>
      </c>
      <c r="L284" s="23" t="s">
        <v>725</v>
      </c>
      <c r="M284" s="23" t="str">
        <f>VLOOKUP(L284,スキル!B:C,2,FALSE)</f>
        <v>自分の攻撃力をUP[大]</v>
      </c>
      <c r="N284" s="23" t="s">
        <v>18</v>
      </c>
      <c r="O284" s="23" t="str">
        <f>VLOOKUP(N284,スキル!B:C,2,FALSE)</f>
        <v>　</v>
      </c>
      <c r="P284" s="23" t="s">
        <v>232</v>
      </c>
      <c r="Q284" s="23" t="str">
        <f>VLOOKUP(P284,タクティクス!B:C,2,FALSE)</f>
        <v>騎士団全員のBPを中回復</v>
      </c>
      <c r="R284" s="23" t="s">
        <v>18</v>
      </c>
      <c r="S284" s="23" t="str">
        <f>VLOOKUP(R284,タクティクス!B:C,2,FALSE)</f>
        <v>　</v>
      </c>
      <c r="T284" s="23" t="s">
        <v>18</v>
      </c>
      <c r="U284" s="23" t="s">
        <v>18</v>
      </c>
      <c r="V284" s="20" t="s">
        <v>1866</v>
      </c>
    </row>
    <row r="285" spans="1:22" ht="21.75" customHeight="1" x14ac:dyDescent="0.15">
      <c r="A285" s="20" t="str">
        <f>B285&amp;".jpg"</f>
        <v>1497.jpg</v>
      </c>
      <c r="B285" s="46">
        <v>1497</v>
      </c>
      <c r="C285" s="24" t="s">
        <v>231</v>
      </c>
      <c r="D285" s="24" t="s">
        <v>150</v>
      </c>
      <c r="E285" s="24">
        <v>14</v>
      </c>
      <c r="F285" s="24" t="s">
        <v>16</v>
      </c>
      <c r="G285" s="25">
        <v>17283</v>
      </c>
      <c r="H285" s="25">
        <v>7955</v>
      </c>
      <c r="I285" s="25">
        <v>6309</v>
      </c>
      <c r="J285" s="24" t="s">
        <v>151</v>
      </c>
      <c r="K285" s="22">
        <f>SUM(G285,H285,I285)</f>
        <v>31547</v>
      </c>
      <c r="L285" s="24" t="s">
        <v>691</v>
      </c>
      <c r="M285" s="23" t="str">
        <f>VLOOKUP(L285,スキル!B:C,2,FALSE)</f>
        <v>横一列に攻撃[特大]</v>
      </c>
      <c r="N285" s="23" t="s">
        <v>18</v>
      </c>
      <c r="O285" s="23" t="str">
        <f>VLOOKUP(N285,スキル!B:C,2,FALSE)</f>
        <v>　</v>
      </c>
      <c r="P285" s="23" t="s">
        <v>152</v>
      </c>
      <c r="Q285" s="23" t="str">
        <f>VLOOKUP(P285,タクティクス!B:C,2,FALSE)</f>
        <v>パーティ全体の攻・防が大UP(3分間)</v>
      </c>
      <c r="R285" s="23" t="s">
        <v>18</v>
      </c>
      <c r="S285" s="23" t="str">
        <f>VLOOKUP(R285,タクティクス!B:C,2,FALSE)</f>
        <v>　</v>
      </c>
      <c r="T285" s="23" t="s">
        <v>18</v>
      </c>
      <c r="U285" s="23" t="s">
        <v>18</v>
      </c>
      <c r="V285" s="20" t="s">
        <v>1866</v>
      </c>
    </row>
    <row r="286" spans="1:22" ht="21.75" customHeight="1" x14ac:dyDescent="0.15">
      <c r="A286" s="20" t="str">
        <f>B286&amp;".jpg"</f>
        <v>1499.jpg</v>
      </c>
      <c r="B286" s="46">
        <v>1499</v>
      </c>
      <c r="C286" s="24" t="s">
        <v>233</v>
      </c>
      <c r="D286" s="24" t="s">
        <v>15</v>
      </c>
      <c r="E286" s="24">
        <v>13</v>
      </c>
      <c r="F286" s="24" t="s">
        <v>16</v>
      </c>
      <c r="G286" s="22">
        <v>14544</v>
      </c>
      <c r="H286" s="22">
        <v>7679</v>
      </c>
      <c r="I286" s="22">
        <v>5536</v>
      </c>
      <c r="J286" s="24" t="s">
        <v>17</v>
      </c>
      <c r="K286" s="22">
        <f>SUM(G286,H286,I286)</f>
        <v>27759</v>
      </c>
      <c r="L286" s="23" t="s">
        <v>523</v>
      </c>
      <c r="M286" s="23" t="str">
        <f>VLOOKUP(L286,スキル!B:C,2,FALSE)</f>
        <v>味方斬属性の防御力をUP[大]</v>
      </c>
      <c r="N286" s="23" t="s">
        <v>18</v>
      </c>
      <c r="O286" s="23" t="str">
        <f>VLOOKUP(N286,スキル!B:C,2,FALSE)</f>
        <v>　</v>
      </c>
      <c r="P286" s="23" t="s">
        <v>81</v>
      </c>
      <c r="Q286" s="23" t="str">
        <f>VLOOKUP(P286,タクティクス!B:C,2,FALSE)</f>
        <v>騎士団全体の攻撃力が小UP(3分間)</v>
      </c>
      <c r="R286" s="23" t="s">
        <v>18</v>
      </c>
      <c r="S286" s="23" t="str">
        <f>VLOOKUP(R286,タクティクス!B:C,2,FALSE)</f>
        <v>　</v>
      </c>
      <c r="T286" s="23" t="s">
        <v>18</v>
      </c>
      <c r="U286" s="23" t="s">
        <v>18</v>
      </c>
      <c r="V286" s="20" t="s">
        <v>1867</v>
      </c>
    </row>
    <row r="287" spans="1:22" ht="21.75" customHeight="1" x14ac:dyDescent="0.15">
      <c r="A287" s="20" t="str">
        <f>B287&amp;".jpg"</f>
        <v>1501.jpg</v>
      </c>
      <c r="B287" s="46">
        <v>1501</v>
      </c>
      <c r="C287" s="24" t="s">
        <v>234</v>
      </c>
      <c r="D287" s="24" t="s">
        <v>150</v>
      </c>
      <c r="E287" s="24">
        <v>14</v>
      </c>
      <c r="F287" s="24" t="s">
        <v>41</v>
      </c>
      <c r="G287" s="22">
        <v>19187</v>
      </c>
      <c r="H287" s="22">
        <v>6697</v>
      </c>
      <c r="I287" s="22">
        <v>5782</v>
      </c>
      <c r="J287" s="24" t="s">
        <v>55</v>
      </c>
      <c r="K287" s="22">
        <f>SUM(G287,H287,I287)</f>
        <v>31666</v>
      </c>
      <c r="L287" s="23" t="s">
        <v>699</v>
      </c>
      <c r="M287" s="23" t="str">
        <f>VLOOKUP(L287,スキル!B:C,2,FALSE)</f>
        <v>敵全体に攻撃[特大]</v>
      </c>
      <c r="N287" s="23" t="s">
        <v>18</v>
      </c>
      <c r="O287" s="23" t="str">
        <f>VLOOKUP(N287,スキル!B:C,2,FALSE)</f>
        <v>　</v>
      </c>
      <c r="P287" s="23" t="s">
        <v>192</v>
      </c>
      <c r="Q287" s="23" t="str">
        <f>VLOOKUP(P287,タクティクス!B:C,2,FALSE)</f>
        <v>パーティ全体の防御力が大UP(3分間)</v>
      </c>
      <c r="R287" s="23" t="s">
        <v>18</v>
      </c>
      <c r="S287" s="23" t="str">
        <f>VLOOKUP(R287,タクティクス!B:C,2,FALSE)</f>
        <v>　</v>
      </c>
      <c r="T287" s="23" t="s">
        <v>18</v>
      </c>
      <c r="U287" s="23" t="s">
        <v>18</v>
      </c>
      <c r="V287" s="20" t="s">
        <v>1866</v>
      </c>
    </row>
    <row r="288" spans="1:22" ht="21.75" customHeight="1" x14ac:dyDescent="0.15">
      <c r="A288" s="20" t="str">
        <f>B288&amp;".jpg"</f>
        <v>1503.jpg</v>
      </c>
      <c r="B288" s="46">
        <v>1503</v>
      </c>
      <c r="C288" s="24" t="s">
        <v>235</v>
      </c>
      <c r="D288" s="24" t="s">
        <v>15</v>
      </c>
      <c r="E288" s="24">
        <v>13</v>
      </c>
      <c r="F288" s="24" t="s">
        <v>41</v>
      </c>
      <c r="G288" s="22">
        <v>16320</v>
      </c>
      <c r="H288" s="22">
        <v>6709</v>
      </c>
      <c r="I288" s="22">
        <v>4685</v>
      </c>
      <c r="J288" s="24" t="s">
        <v>42</v>
      </c>
      <c r="K288" s="22">
        <f>SUM(G288,H288,I288)</f>
        <v>27714</v>
      </c>
      <c r="L288" s="23" t="s">
        <v>671</v>
      </c>
      <c r="M288" s="23" t="str">
        <f>VLOOKUP(L288,スキル!B:C,2,FALSE)</f>
        <v>横一列攻撃[大]自分の攻撃力UP[大]</v>
      </c>
      <c r="N288" s="23" t="s">
        <v>18</v>
      </c>
      <c r="O288" s="23" t="str">
        <f>VLOOKUP(N288,スキル!B:C,2,FALSE)</f>
        <v>　</v>
      </c>
      <c r="P288" s="23" t="s">
        <v>224</v>
      </c>
      <c r="Q288" s="23" t="str">
        <f>VLOOKUP(P288,タクティクス!B:C,2,FALSE)</f>
        <v>対戦騎士団全体のスキル発動率が小DOWN(3分間)</v>
      </c>
      <c r="R288" s="23" t="s">
        <v>18</v>
      </c>
      <c r="S288" s="23" t="str">
        <f>VLOOKUP(R288,タクティクス!B:C,2,FALSE)</f>
        <v>　</v>
      </c>
      <c r="T288" s="23" t="s">
        <v>18</v>
      </c>
      <c r="U288" s="23" t="s">
        <v>18</v>
      </c>
      <c r="V288" s="20" t="s">
        <v>1866</v>
      </c>
    </row>
    <row r="289" spans="1:22" ht="21.75" customHeight="1" x14ac:dyDescent="0.15">
      <c r="A289" s="20" t="str">
        <f>B289&amp;".jpg"</f>
        <v>1505.jpg</v>
      </c>
      <c r="B289" s="46">
        <v>1505</v>
      </c>
      <c r="C289" s="24" t="s">
        <v>236</v>
      </c>
      <c r="D289" s="24" t="s">
        <v>150</v>
      </c>
      <c r="E289" s="24">
        <v>14</v>
      </c>
      <c r="F289" s="24" t="s">
        <v>25</v>
      </c>
      <c r="G289" s="22">
        <v>22006</v>
      </c>
      <c r="H289" s="22">
        <v>5557</v>
      </c>
      <c r="I289" s="22">
        <v>6672</v>
      </c>
      <c r="J289" s="24" t="s">
        <v>177</v>
      </c>
      <c r="K289" s="22">
        <f>SUM(G289,H289,I289)</f>
        <v>34235</v>
      </c>
      <c r="L289" s="23" t="s">
        <v>747</v>
      </c>
      <c r="M289" s="23" t="str">
        <f>VLOOKUP(L289,スキル!B:C,2,FALSE)</f>
        <v>打に強く遠に弱い横一列攻撃[特大]</v>
      </c>
      <c r="N289" s="23" t="s">
        <v>18</v>
      </c>
      <c r="O289" s="23" t="str">
        <f>VLOOKUP(N289,スキル!B:C,2,FALSE)</f>
        <v>　</v>
      </c>
      <c r="P289" s="23" t="s">
        <v>228</v>
      </c>
      <c r="Q289" s="23" t="str">
        <f>VLOOKUP(P289,タクティクス!B:C,2,FALSE)</f>
        <v>強襲が発生無効、バトル時に攻・防中UP(3分間)</v>
      </c>
      <c r="R289" s="23" t="s">
        <v>18</v>
      </c>
      <c r="S289" s="23" t="str">
        <f>VLOOKUP(R289,タクティクス!B:C,2,FALSE)</f>
        <v>　</v>
      </c>
      <c r="T289" s="23" t="s">
        <v>18</v>
      </c>
      <c r="U289" s="23" t="s">
        <v>18</v>
      </c>
      <c r="V289" s="20" t="s">
        <v>1827</v>
      </c>
    </row>
    <row r="290" spans="1:22" ht="21.75" customHeight="1" x14ac:dyDescent="0.15">
      <c r="A290" s="20" t="str">
        <f>B290&amp;".jpg"</f>
        <v>1507.jpg</v>
      </c>
      <c r="B290" s="46">
        <v>1507</v>
      </c>
      <c r="C290" s="24" t="s">
        <v>80</v>
      </c>
      <c r="D290" s="24" t="s">
        <v>15</v>
      </c>
      <c r="E290" s="24">
        <v>12</v>
      </c>
      <c r="F290" s="24" t="s">
        <v>25</v>
      </c>
      <c r="G290" s="22">
        <v>15636</v>
      </c>
      <c r="H290" s="22">
        <v>5346</v>
      </c>
      <c r="I290" s="22">
        <v>5656</v>
      </c>
      <c r="J290" s="24" t="s">
        <v>26</v>
      </c>
      <c r="K290" s="22">
        <f>SUM(G290,H290,I290)</f>
        <v>26638</v>
      </c>
      <c r="L290" s="23" t="s">
        <v>568</v>
      </c>
      <c r="M290" s="23" t="str">
        <f>VLOOKUP(L290,スキル!B:C,2,FALSE)</f>
        <v>縦一列に攻撃[大]</v>
      </c>
      <c r="N290" s="23" t="s">
        <v>18</v>
      </c>
      <c r="O290" s="23" t="str">
        <f>VLOOKUP(N290,スキル!B:C,2,FALSE)</f>
        <v>　</v>
      </c>
      <c r="P290" s="23" t="s">
        <v>56</v>
      </c>
      <c r="Q290" s="23" t="str">
        <f>VLOOKUP(P290,タクティクス!B:C,2,FALSE)</f>
        <v>バトルで敵を全滅するとBPが中回復(バトル3回)</v>
      </c>
      <c r="R290" s="23" t="s">
        <v>18</v>
      </c>
      <c r="S290" s="23" t="str">
        <f>VLOOKUP(R290,タクティクス!B:C,2,FALSE)</f>
        <v>　</v>
      </c>
      <c r="T290" s="23" t="s">
        <v>18</v>
      </c>
      <c r="U290" s="23" t="s">
        <v>18</v>
      </c>
      <c r="V290" s="20" t="s">
        <v>1843</v>
      </c>
    </row>
    <row r="291" spans="1:22" ht="21.75" customHeight="1" x14ac:dyDescent="0.15">
      <c r="A291" s="20" t="str">
        <f>B291&amp;".jpg"</f>
        <v>1508.jpg</v>
      </c>
      <c r="B291" s="46">
        <v>1508</v>
      </c>
      <c r="C291" s="24" t="s">
        <v>80</v>
      </c>
      <c r="D291" s="24" t="s">
        <v>15</v>
      </c>
      <c r="E291" s="24">
        <v>13</v>
      </c>
      <c r="F291" s="24" t="s">
        <v>25</v>
      </c>
      <c r="G291" s="22">
        <v>15954</v>
      </c>
      <c r="H291" s="22">
        <v>5453</v>
      </c>
      <c r="I291" s="22">
        <v>6414</v>
      </c>
      <c r="J291" s="24" t="s">
        <v>26</v>
      </c>
      <c r="K291" s="22">
        <f>SUM(G291,H291,I291)</f>
        <v>27821</v>
      </c>
      <c r="L291" s="23" t="s">
        <v>568</v>
      </c>
      <c r="M291" s="23" t="str">
        <f>VLOOKUP(L291,スキル!B:C,2,FALSE)</f>
        <v>縦一列に攻撃[大]</v>
      </c>
      <c r="N291" s="23" t="s">
        <v>18</v>
      </c>
      <c r="O291" s="23" t="str">
        <f>VLOOKUP(N291,スキル!B:C,2,FALSE)</f>
        <v>　</v>
      </c>
      <c r="P291" s="23" t="s">
        <v>56</v>
      </c>
      <c r="Q291" s="23" t="str">
        <f>VLOOKUP(P291,タクティクス!B:C,2,FALSE)</f>
        <v>バトルで敵を全滅するとBPが中回復(バトル3回)</v>
      </c>
      <c r="R291" s="23" t="s">
        <v>18</v>
      </c>
      <c r="S291" s="23" t="str">
        <f>VLOOKUP(R291,タクティクス!B:C,2,FALSE)</f>
        <v>　</v>
      </c>
      <c r="T291" s="23" t="s">
        <v>18</v>
      </c>
      <c r="U291" s="23" t="s">
        <v>18</v>
      </c>
      <c r="V291" s="20" t="s">
        <v>1843</v>
      </c>
    </row>
    <row r="292" spans="1:22" ht="21.75" customHeight="1" x14ac:dyDescent="0.15">
      <c r="A292" s="20" t="str">
        <f>B292&amp;".jpg"</f>
        <v>1509.jpg</v>
      </c>
      <c r="B292" s="46">
        <v>1509</v>
      </c>
      <c r="C292" s="24" t="s">
        <v>80</v>
      </c>
      <c r="D292" s="24" t="s">
        <v>150</v>
      </c>
      <c r="E292" s="24">
        <v>14</v>
      </c>
      <c r="F292" s="24" t="s">
        <v>25</v>
      </c>
      <c r="G292" s="22">
        <v>17582</v>
      </c>
      <c r="H292" s="22">
        <v>6035</v>
      </c>
      <c r="I292" s="22">
        <v>7517</v>
      </c>
      <c r="J292" s="24" t="s">
        <v>177</v>
      </c>
      <c r="K292" s="22">
        <f>SUM(G292,H292,I292)</f>
        <v>31134</v>
      </c>
      <c r="L292" s="23" t="s">
        <v>664</v>
      </c>
      <c r="M292" s="23" t="str">
        <f>VLOOKUP(L292,スキル!B:C,2,FALSE)</f>
        <v>縦一列に攻撃[特大]</v>
      </c>
      <c r="N292" s="23" t="s">
        <v>18</v>
      </c>
      <c r="O292" s="23" t="str">
        <f>VLOOKUP(N292,スキル!B:C,2,FALSE)</f>
        <v>　</v>
      </c>
      <c r="P292" s="23" t="s">
        <v>188</v>
      </c>
      <c r="Q292" s="23" t="str">
        <f>VLOOKUP(P292,タクティクス!B:C,2,FALSE)</f>
        <v>バトルで敵を全滅するとBPが大回復(バトル3回)</v>
      </c>
      <c r="R292" s="23" t="s">
        <v>18</v>
      </c>
      <c r="S292" s="23" t="str">
        <f>VLOOKUP(R292,タクティクス!B:C,2,FALSE)</f>
        <v>　</v>
      </c>
      <c r="T292" s="23" t="s">
        <v>18</v>
      </c>
      <c r="U292" s="23" t="s">
        <v>18</v>
      </c>
      <c r="V292" s="20" t="s">
        <v>1843</v>
      </c>
    </row>
    <row r="293" spans="1:22" ht="21.75" customHeight="1" x14ac:dyDescent="0.15">
      <c r="A293" s="20" t="str">
        <f>B293&amp;".jpg"</f>
        <v>1510.jpg</v>
      </c>
      <c r="B293" s="46">
        <v>1510</v>
      </c>
      <c r="C293" s="24" t="s">
        <v>237</v>
      </c>
      <c r="D293" s="24" t="s">
        <v>15</v>
      </c>
      <c r="E293" s="24">
        <v>0</v>
      </c>
      <c r="F293" s="24" t="s">
        <v>16</v>
      </c>
      <c r="G293" s="22">
        <v>13997</v>
      </c>
      <c r="H293" s="22">
        <v>6430</v>
      </c>
      <c r="I293" s="22">
        <v>5202</v>
      </c>
      <c r="J293" s="24" t="s">
        <v>17</v>
      </c>
      <c r="K293" s="22">
        <f>SUM(G293,H293,I293)</f>
        <v>25629</v>
      </c>
      <c r="L293" s="23" t="s">
        <v>521</v>
      </c>
      <c r="M293" s="23" t="str">
        <f>VLOOKUP(L293,スキル!B:C,2,FALSE)</f>
        <v>十字型に攻撃[大]</v>
      </c>
      <c r="N293" s="23" t="s">
        <v>18</v>
      </c>
      <c r="O293" s="23" t="str">
        <f>VLOOKUP(N293,スキル!B:C,2,FALSE)</f>
        <v>　</v>
      </c>
      <c r="P293" s="23" t="s">
        <v>238</v>
      </c>
      <c r="Q293" s="23" t="str">
        <f>VLOOKUP(P293,タクティクス!B:C,2,FALSE)</f>
        <v>騎士団全員のBPを大回復</v>
      </c>
      <c r="R293" s="23" t="s">
        <v>18</v>
      </c>
      <c r="S293" s="23" t="str">
        <f>VLOOKUP(R293,タクティクス!B:C,2,FALSE)</f>
        <v>　</v>
      </c>
      <c r="T293" s="23" t="s">
        <v>18</v>
      </c>
      <c r="U293" s="23" t="s">
        <v>18</v>
      </c>
      <c r="V293" s="20" t="s">
        <v>1880</v>
      </c>
    </row>
    <row r="294" spans="1:22" ht="21.75" customHeight="1" x14ac:dyDescent="0.15">
      <c r="A294" s="20" t="str">
        <f>B294&amp;".jpg"</f>
        <v>1512.jpg</v>
      </c>
      <c r="B294" s="46">
        <v>1512</v>
      </c>
      <c r="C294" s="24" t="s">
        <v>239</v>
      </c>
      <c r="D294" s="24" t="s">
        <v>15</v>
      </c>
      <c r="E294" s="24">
        <v>13</v>
      </c>
      <c r="F294" s="24" t="s">
        <v>16</v>
      </c>
      <c r="G294" s="22">
        <v>16427</v>
      </c>
      <c r="H294" s="22">
        <v>7556</v>
      </c>
      <c r="I294" s="22">
        <v>5107</v>
      </c>
      <c r="J294" s="24" t="s">
        <v>17</v>
      </c>
      <c r="K294" s="22">
        <f>SUM(G294,H294,I294)</f>
        <v>29090</v>
      </c>
      <c r="L294" s="23" t="s">
        <v>683</v>
      </c>
      <c r="M294" s="23" t="str">
        <f>VLOOKUP(L294,スキル!B:C,2,FALSE)</f>
        <v>縦一列に攻撃[大]自分の防御力UP[大]</v>
      </c>
      <c r="N294" s="23" t="s">
        <v>18</v>
      </c>
      <c r="O294" s="23" t="str">
        <f>VLOOKUP(N294,スキル!B:C,2,FALSE)</f>
        <v>　</v>
      </c>
      <c r="P294" s="23" t="s">
        <v>85</v>
      </c>
      <c r="Q294" s="23" t="str">
        <f>VLOOKUP(P294,タクティクス!B:C,2,FALSE)</f>
        <v>バトル時の強襲CB率が小UP(3分間)</v>
      </c>
      <c r="R294" s="23" t="s">
        <v>18</v>
      </c>
      <c r="S294" s="23" t="str">
        <f>VLOOKUP(R294,タクティクス!B:C,2,FALSE)</f>
        <v>　</v>
      </c>
      <c r="T294" s="23" t="s">
        <v>18</v>
      </c>
      <c r="U294" s="23" t="s">
        <v>18</v>
      </c>
      <c r="V294" s="20" t="s">
        <v>1823</v>
      </c>
    </row>
    <row r="295" spans="1:22" ht="21.75" customHeight="1" x14ac:dyDescent="0.15">
      <c r="A295" s="20" t="str">
        <f>B295&amp;".jpg"</f>
        <v>1514.jpg</v>
      </c>
      <c r="B295" s="46">
        <v>1514</v>
      </c>
      <c r="C295" s="24" t="s">
        <v>240</v>
      </c>
      <c r="D295" s="24" t="s">
        <v>15</v>
      </c>
      <c r="E295" s="24">
        <v>13</v>
      </c>
      <c r="F295" s="24" t="s">
        <v>25</v>
      </c>
      <c r="G295" s="22">
        <v>18377</v>
      </c>
      <c r="H295" s="22">
        <v>5479</v>
      </c>
      <c r="I295" s="22">
        <v>5824</v>
      </c>
      <c r="J295" s="24" t="s">
        <v>26</v>
      </c>
      <c r="K295" s="22">
        <f>SUM(G295,H295,I295)</f>
        <v>29680</v>
      </c>
      <c r="L295" s="23" t="s">
        <v>643</v>
      </c>
      <c r="M295" s="23" t="str">
        <f>VLOOKUP(L295,スキル!B:C,2,FALSE)</f>
        <v>ランダム4連続攻撃[中]自分の防御力UP[中]</v>
      </c>
      <c r="N295" s="23" t="s">
        <v>18</v>
      </c>
      <c r="O295" s="23" t="str">
        <f>VLOOKUP(N295,スキル!B:C,2,FALSE)</f>
        <v>　</v>
      </c>
      <c r="P295" s="23" t="s">
        <v>60</v>
      </c>
      <c r="Q295" s="23" t="str">
        <f>VLOOKUP(P295,タクティクス!B:C,2,FALSE)</f>
        <v>パーティ全体の攻・防が中UP(3分間)</v>
      </c>
      <c r="R295" s="23" t="s">
        <v>18</v>
      </c>
      <c r="S295" s="23" t="str">
        <f>VLOOKUP(R295,タクティクス!B:C,2,FALSE)</f>
        <v>　</v>
      </c>
      <c r="T295" s="23" t="s">
        <v>18</v>
      </c>
      <c r="U295" s="23" t="s">
        <v>18</v>
      </c>
      <c r="V295" s="20" t="s">
        <v>1823</v>
      </c>
    </row>
    <row r="296" spans="1:22" ht="21.75" customHeight="1" x14ac:dyDescent="0.15">
      <c r="A296" s="20" t="str">
        <f>B296&amp;".jpg"</f>
        <v>1516.jpg</v>
      </c>
      <c r="B296" s="46">
        <v>1516</v>
      </c>
      <c r="C296" s="24" t="s">
        <v>241</v>
      </c>
      <c r="D296" s="24" t="s">
        <v>150</v>
      </c>
      <c r="E296" s="24">
        <v>14</v>
      </c>
      <c r="F296" s="24" t="s">
        <v>34</v>
      </c>
      <c r="G296" s="22">
        <v>22954</v>
      </c>
      <c r="H296" s="22">
        <v>6559</v>
      </c>
      <c r="I296" s="22">
        <v>8597</v>
      </c>
      <c r="J296" s="24" t="s">
        <v>17</v>
      </c>
      <c r="K296" s="22">
        <f>SUM(G296,H296,I296)</f>
        <v>38110</v>
      </c>
      <c r="L296" s="23" t="s">
        <v>749</v>
      </c>
      <c r="M296" s="23" t="str">
        <f>VLOOKUP(L296,スキル!B:C,2,FALSE)</f>
        <v>味方打属性の攻撃力をUP[特大]</v>
      </c>
      <c r="N296" s="23" t="s">
        <v>18</v>
      </c>
      <c r="O296" s="23" t="str">
        <f>VLOOKUP(N296,スキル!B:C,2,FALSE)</f>
        <v>　</v>
      </c>
      <c r="P296" s="23" t="s">
        <v>180</v>
      </c>
      <c r="Q296" s="23" t="str">
        <f>VLOOKUP(P296,タクティクス!B:C,2,FALSE)</f>
        <v>獲得する騎士団戦スコアが大アップ(バトル3回)</v>
      </c>
      <c r="R296" s="23" t="s">
        <v>18</v>
      </c>
      <c r="S296" s="23" t="str">
        <f>VLOOKUP(R296,タクティクス!B:C,2,FALSE)</f>
        <v>　</v>
      </c>
      <c r="T296" s="23" t="s">
        <v>18</v>
      </c>
      <c r="U296" s="23" t="s">
        <v>18</v>
      </c>
      <c r="V296" s="20" t="s">
        <v>1823</v>
      </c>
    </row>
    <row r="297" spans="1:22" ht="21.75" customHeight="1" x14ac:dyDescent="0.15">
      <c r="A297" s="20" t="str">
        <f>B297&amp;".jpg"</f>
        <v>1516_a.jpg</v>
      </c>
      <c r="B297" s="21" t="s">
        <v>1481</v>
      </c>
      <c r="C297" s="20" t="s">
        <v>1491</v>
      </c>
      <c r="D297" s="20" t="s">
        <v>1173</v>
      </c>
      <c r="E297" s="20">
        <v>14</v>
      </c>
      <c r="F297" s="20" t="s">
        <v>1267</v>
      </c>
      <c r="G297" s="27">
        <v>30997</v>
      </c>
      <c r="H297" s="27">
        <v>8848</v>
      </c>
      <c r="I297" s="27">
        <v>12545</v>
      </c>
      <c r="J297" s="20" t="s">
        <v>26</v>
      </c>
      <c r="K297" s="22">
        <f>SUM(G297,H297,I297)</f>
        <v>52390</v>
      </c>
      <c r="L297" s="20" t="s">
        <v>1527</v>
      </c>
      <c r="M297" s="23" t="str">
        <f>VLOOKUP(L297,スキル!B:C,2,FALSE)</f>
        <v>味方打属性の攻撃力をUP[超特大]</v>
      </c>
      <c r="N297" s="20" t="s">
        <v>1515</v>
      </c>
      <c r="O297" s="23" t="str">
        <f>VLOOKUP(N297,スキル!B:C,2,FALSE)</f>
        <v>　</v>
      </c>
      <c r="P297" s="23" t="s">
        <v>180</v>
      </c>
      <c r="Q297" s="23" t="str">
        <f>VLOOKUP(P297,タクティクス!B:C,2,FALSE)</f>
        <v>獲得する騎士団戦スコアが大アップ(バトル3回)</v>
      </c>
      <c r="R297" s="20" t="s">
        <v>1011</v>
      </c>
      <c r="S297" s="23" t="str">
        <f>VLOOKUP(R297,タクティクス!B:C,2,FALSE)</f>
        <v>　</v>
      </c>
      <c r="T297" s="20" t="s">
        <v>1519</v>
      </c>
      <c r="U297" s="20" t="s">
        <v>1519</v>
      </c>
      <c r="V297" s="20" t="s">
        <v>1822</v>
      </c>
    </row>
    <row r="298" spans="1:22" ht="21.75" customHeight="1" x14ac:dyDescent="0.15">
      <c r="A298" s="20" t="str">
        <f>B298&amp;".jpg"</f>
        <v>1516_b.jpg</v>
      </c>
      <c r="B298" s="21" t="s">
        <v>1482</v>
      </c>
      <c r="C298" s="20" t="s">
        <v>1491</v>
      </c>
      <c r="D298" s="20" t="s">
        <v>1498</v>
      </c>
      <c r="E298" s="20">
        <v>14</v>
      </c>
      <c r="F298" s="20" t="s">
        <v>1267</v>
      </c>
      <c r="G298" s="27">
        <v>29842</v>
      </c>
      <c r="H298" s="27">
        <v>8533</v>
      </c>
      <c r="I298" s="27">
        <v>12125</v>
      </c>
      <c r="J298" s="20" t="s">
        <v>1504</v>
      </c>
      <c r="K298" s="22">
        <f>SUM(G298,H298,I298)</f>
        <v>50500</v>
      </c>
      <c r="L298" s="20" t="s">
        <v>749</v>
      </c>
      <c r="M298" s="23" t="str">
        <f>VLOOKUP(L298,スキル!B:C,2,FALSE)</f>
        <v>味方打属性の攻撃力をUP[特大]</v>
      </c>
      <c r="N298" s="20" t="s">
        <v>1515</v>
      </c>
      <c r="O298" s="23" t="str">
        <f>VLOOKUP(N298,スキル!B:C,2,FALSE)</f>
        <v>　</v>
      </c>
      <c r="P298" s="20" t="s">
        <v>1535</v>
      </c>
      <c r="Q298" s="23" t="str">
        <f>VLOOKUP(P298,タクティクス!B:C,2,FALSE)</f>
        <v>獲得する騎士団戦スコアが極大アップ(バトル8回)</v>
      </c>
      <c r="R298" s="20" t="s">
        <v>1011</v>
      </c>
      <c r="S298" s="23" t="str">
        <f>VLOOKUP(R298,タクティクス!B:C,2,FALSE)</f>
        <v>　</v>
      </c>
      <c r="T298" s="20" t="s">
        <v>1519</v>
      </c>
      <c r="U298" s="20" t="s">
        <v>1519</v>
      </c>
      <c r="V298" s="20" t="s">
        <v>1822</v>
      </c>
    </row>
    <row r="299" spans="1:22" ht="21.75" customHeight="1" x14ac:dyDescent="0.15">
      <c r="A299" s="20" t="str">
        <f>B299&amp;".jpg"</f>
        <v>1518.jpg</v>
      </c>
      <c r="B299" s="46">
        <v>1518</v>
      </c>
      <c r="C299" s="24" t="s">
        <v>242</v>
      </c>
      <c r="D299" s="24" t="s">
        <v>15</v>
      </c>
      <c r="E299" s="24">
        <v>13</v>
      </c>
      <c r="F299" s="24" t="s">
        <v>41</v>
      </c>
      <c r="G299" s="22">
        <v>17214</v>
      </c>
      <c r="H299" s="22">
        <v>6012</v>
      </c>
      <c r="I299" s="22">
        <v>4952</v>
      </c>
      <c r="J299" s="24" t="s">
        <v>42</v>
      </c>
      <c r="K299" s="22">
        <f>SUM(G299,H299,I299)</f>
        <v>28178</v>
      </c>
      <c r="L299" s="23" t="s">
        <v>539</v>
      </c>
      <c r="M299" s="23" t="str">
        <f>VLOOKUP(L299,スキル!B:C,2,FALSE)</f>
        <v>味方全体の防御力をUP[中]</v>
      </c>
      <c r="N299" s="23" t="s">
        <v>18</v>
      </c>
      <c r="O299" s="23" t="str">
        <f>VLOOKUP(N299,スキル!B:C,2,FALSE)</f>
        <v>　</v>
      </c>
      <c r="P299" s="23" t="s">
        <v>214</v>
      </c>
      <c r="Q299" s="23" t="str">
        <f>VLOOKUP(P299,タクティクス!B:C,2,FALSE)</f>
        <v>パーティ全体の速度が中UP(3分間)</v>
      </c>
      <c r="R299" s="23" t="s">
        <v>18</v>
      </c>
      <c r="S299" s="23" t="str">
        <f>VLOOKUP(R299,タクティクス!B:C,2,FALSE)</f>
        <v>　</v>
      </c>
      <c r="T299" s="23" t="s">
        <v>18</v>
      </c>
      <c r="U299" s="23" t="s">
        <v>18</v>
      </c>
      <c r="V299" s="20" t="s">
        <v>1823</v>
      </c>
    </row>
    <row r="300" spans="1:22" ht="21.75" customHeight="1" x14ac:dyDescent="0.15">
      <c r="A300" s="20" t="str">
        <f>B300&amp;".jpg"</f>
        <v>1519.jpg</v>
      </c>
      <c r="B300" s="46">
        <v>1519</v>
      </c>
      <c r="C300" s="24" t="s">
        <v>243</v>
      </c>
      <c r="D300" s="24" t="s">
        <v>15</v>
      </c>
      <c r="E300" s="24">
        <v>13</v>
      </c>
      <c r="F300" s="24" t="s">
        <v>25</v>
      </c>
      <c r="G300" s="22">
        <v>17692</v>
      </c>
      <c r="H300" s="22">
        <v>5608</v>
      </c>
      <c r="I300" s="22">
        <v>5392</v>
      </c>
      <c r="J300" s="24" t="s">
        <v>31</v>
      </c>
      <c r="K300" s="22">
        <f>SUM(G300,H300,I300)</f>
        <v>28692</v>
      </c>
      <c r="L300" s="23" t="s">
        <v>617</v>
      </c>
      <c r="M300" s="23" t="str">
        <f>VLOOKUP(L300,スキル!B:C,2,FALSE)</f>
        <v>敵全体の攻撃力と防御力をDOWN[中]</v>
      </c>
      <c r="N300" s="23" t="s">
        <v>18</v>
      </c>
      <c r="O300" s="23" t="str">
        <f>VLOOKUP(N300,スキル!B:C,2,FALSE)</f>
        <v>　</v>
      </c>
      <c r="P300" s="23" t="s">
        <v>244</v>
      </c>
      <c r="Q300" s="23" t="str">
        <f>VLOOKUP(P300,タクティクス!B:C,2,FALSE)</f>
        <v>バトルで獲得する騎士団戦スコアが小アップ(3分間)</v>
      </c>
      <c r="R300" s="23" t="s">
        <v>18</v>
      </c>
      <c r="S300" s="23" t="str">
        <f>VLOOKUP(R300,タクティクス!B:C,2,FALSE)</f>
        <v>　</v>
      </c>
      <c r="T300" s="23" t="s">
        <v>18</v>
      </c>
      <c r="U300" s="23" t="s">
        <v>18</v>
      </c>
      <c r="V300" s="20" t="s">
        <v>1872</v>
      </c>
    </row>
    <row r="301" spans="1:22" ht="21.75" customHeight="1" x14ac:dyDescent="0.15">
      <c r="A301" s="20" t="str">
        <f>B301&amp;".jpg"</f>
        <v>1521.jpg</v>
      </c>
      <c r="B301" s="46">
        <v>1521</v>
      </c>
      <c r="C301" s="24" t="s">
        <v>37</v>
      </c>
      <c r="D301" s="24" t="s">
        <v>15</v>
      </c>
      <c r="E301" s="24">
        <v>13</v>
      </c>
      <c r="F301" s="24" t="s">
        <v>34</v>
      </c>
      <c r="G301" s="22">
        <v>19365</v>
      </c>
      <c r="H301" s="22">
        <v>5140</v>
      </c>
      <c r="I301" s="22">
        <v>7733</v>
      </c>
      <c r="J301" s="24" t="s">
        <v>35</v>
      </c>
      <c r="K301" s="22">
        <f>SUM(G301,H301,I301)</f>
        <v>32238</v>
      </c>
      <c r="L301" s="23" t="s">
        <v>529</v>
      </c>
      <c r="M301" s="23" t="str">
        <f>VLOOKUP(L301,スキル!B:C,2,FALSE)</f>
        <v>横一列に攻撃[大]</v>
      </c>
      <c r="N301" s="23" t="s">
        <v>18</v>
      </c>
      <c r="O301" s="23" t="str">
        <f>VLOOKUP(N301,スキル!B:C,2,FALSE)</f>
        <v>　</v>
      </c>
      <c r="P301" s="23" t="s">
        <v>27</v>
      </c>
      <c r="Q301" s="23" t="str">
        <f>VLOOKUP(P301,タクティクス!B:C,2,FALSE)</f>
        <v>パーティ全体の防御力が中UP(3分間)</v>
      </c>
      <c r="R301" s="23" t="s">
        <v>18</v>
      </c>
      <c r="S301" s="23" t="str">
        <f>VLOOKUP(R301,タクティクス!B:C,2,FALSE)</f>
        <v>　</v>
      </c>
      <c r="T301" s="23" t="s">
        <v>18</v>
      </c>
      <c r="U301" s="23" t="s">
        <v>18</v>
      </c>
      <c r="V301" s="20" t="s">
        <v>1881</v>
      </c>
    </row>
    <row r="302" spans="1:22" ht="21.75" customHeight="1" x14ac:dyDescent="0.15">
      <c r="A302" s="20" t="str">
        <f>B302&amp;".jpg"</f>
        <v>1526.jpg</v>
      </c>
      <c r="B302" s="46">
        <v>1526</v>
      </c>
      <c r="C302" s="24" t="s">
        <v>245</v>
      </c>
      <c r="D302" s="24" t="s">
        <v>15</v>
      </c>
      <c r="E302" s="24">
        <v>13</v>
      </c>
      <c r="F302" s="24" t="s">
        <v>16</v>
      </c>
      <c r="G302" s="22">
        <v>15184</v>
      </c>
      <c r="H302" s="22">
        <v>6980</v>
      </c>
      <c r="I302" s="22">
        <v>5868</v>
      </c>
      <c r="J302" s="24" t="s">
        <v>17</v>
      </c>
      <c r="K302" s="22">
        <f>SUM(G302,H302,I302)</f>
        <v>28032</v>
      </c>
      <c r="L302" s="23" t="s">
        <v>751</v>
      </c>
      <c r="M302" s="23" t="str">
        <f>VLOOKUP(L302,スキル!B:C,2,FALSE)</f>
        <v>敵単体攻撃[大]自分の攻撃力UP[大]</v>
      </c>
      <c r="N302" s="23" t="s">
        <v>18</v>
      </c>
      <c r="O302" s="23" t="str">
        <f>VLOOKUP(N302,スキル!B:C,2,FALSE)</f>
        <v>　</v>
      </c>
      <c r="P302" s="23" t="s">
        <v>122</v>
      </c>
      <c r="Q302" s="23" t="str">
        <f>VLOOKUP(P302,タクティクス!B:C,2,FALSE)</f>
        <v>攻撃される確率が中DOWN(3分間)</v>
      </c>
      <c r="R302" s="23" t="s">
        <v>18</v>
      </c>
      <c r="S302" s="23" t="str">
        <f>VLOOKUP(R302,タクティクス!B:C,2,FALSE)</f>
        <v>　</v>
      </c>
      <c r="T302" s="23" t="s">
        <v>18</v>
      </c>
      <c r="U302" s="23" t="s">
        <v>18</v>
      </c>
      <c r="V302" s="20" t="s">
        <v>1877</v>
      </c>
    </row>
    <row r="303" spans="1:22" ht="21.75" customHeight="1" x14ac:dyDescent="0.15">
      <c r="A303" s="20" t="str">
        <f>B303&amp;".jpg"</f>
        <v>1528.jpg</v>
      </c>
      <c r="B303" s="46">
        <v>1528</v>
      </c>
      <c r="C303" s="24" t="s">
        <v>246</v>
      </c>
      <c r="D303" s="24" t="s">
        <v>15</v>
      </c>
      <c r="E303" s="24">
        <v>13</v>
      </c>
      <c r="F303" s="24" t="s">
        <v>16</v>
      </c>
      <c r="G303" s="22">
        <v>16513</v>
      </c>
      <c r="H303" s="22">
        <v>7596</v>
      </c>
      <c r="I303" s="22">
        <v>5087</v>
      </c>
      <c r="J303" s="24" t="s">
        <v>17</v>
      </c>
      <c r="K303" s="22">
        <f>SUM(G303,H303,I303)</f>
        <v>29196</v>
      </c>
      <c r="L303" s="23" t="s">
        <v>753</v>
      </c>
      <c r="M303" s="23" t="str">
        <f>VLOOKUP(L303,スキル!B:C,2,FALSE)</f>
        <v>突に強く斬に弱い横一列攻撃[大]</v>
      </c>
      <c r="N303" s="23" t="s">
        <v>18</v>
      </c>
      <c r="O303" s="23" t="str">
        <f>VLOOKUP(N303,スキル!B:C,2,FALSE)</f>
        <v>　</v>
      </c>
      <c r="P303" s="23" t="s">
        <v>168</v>
      </c>
      <c r="Q303" s="23" t="str">
        <f>VLOOKUP(P303,タクティクス!B:C,2,FALSE)</f>
        <v>強襲CBの発生確率・強襲時獲得ポイント中UP(3回)</v>
      </c>
      <c r="R303" s="23" t="s">
        <v>18</v>
      </c>
      <c r="S303" s="23" t="str">
        <f>VLOOKUP(R303,タクティクス!B:C,2,FALSE)</f>
        <v>　</v>
      </c>
      <c r="T303" s="23" t="s">
        <v>18</v>
      </c>
      <c r="U303" s="23" t="s">
        <v>18</v>
      </c>
      <c r="V303" s="20" t="s">
        <v>1823</v>
      </c>
    </row>
    <row r="304" spans="1:22" ht="21.75" customHeight="1" x14ac:dyDescent="0.15">
      <c r="A304" s="20" t="str">
        <f>B304&amp;".jpg"</f>
        <v>1530.jpg</v>
      </c>
      <c r="B304" s="46">
        <v>1530</v>
      </c>
      <c r="C304" s="24" t="s">
        <v>247</v>
      </c>
      <c r="D304" s="24" t="s">
        <v>15</v>
      </c>
      <c r="E304" s="24">
        <v>13</v>
      </c>
      <c r="F304" s="24" t="s">
        <v>25</v>
      </c>
      <c r="G304" s="22">
        <v>19467</v>
      </c>
      <c r="H304" s="22">
        <v>5791</v>
      </c>
      <c r="I304" s="22">
        <v>5246</v>
      </c>
      <c r="J304" s="24" t="s">
        <v>26</v>
      </c>
      <c r="K304" s="22">
        <f>SUM(G304,H304,I304)</f>
        <v>30504</v>
      </c>
      <c r="L304" s="23" t="s">
        <v>631</v>
      </c>
      <c r="M304" s="23" t="str">
        <f>VLOOKUP(L304,スキル!B:C,2,FALSE)</f>
        <v>突に強く斬に弱い縦一列攻撃[大]</v>
      </c>
      <c r="N304" s="23" t="s">
        <v>18</v>
      </c>
      <c r="O304" s="23" t="str">
        <f>VLOOKUP(N304,スキル!B:C,2,FALSE)</f>
        <v>　</v>
      </c>
      <c r="P304" s="23" t="s">
        <v>23</v>
      </c>
      <c r="Q304" s="23" t="str">
        <f>VLOOKUP(P304,タクティクス!B:C,2,FALSE)</f>
        <v>パーティ全体の攻撃力が中UP(3分間)</v>
      </c>
      <c r="R304" s="23" t="s">
        <v>18</v>
      </c>
      <c r="S304" s="23" t="str">
        <f>VLOOKUP(R304,タクティクス!B:C,2,FALSE)</f>
        <v>　</v>
      </c>
      <c r="T304" s="23" t="s">
        <v>18</v>
      </c>
      <c r="U304" s="23" t="s">
        <v>18</v>
      </c>
      <c r="V304" s="20" t="s">
        <v>1823</v>
      </c>
    </row>
    <row r="305" spans="1:22" ht="21.75" customHeight="1" x14ac:dyDescent="0.15">
      <c r="A305" s="20" t="str">
        <f>B305&amp;".jpg"</f>
        <v>1532.jpg</v>
      </c>
      <c r="B305" s="46">
        <v>1532</v>
      </c>
      <c r="C305" s="24" t="s">
        <v>248</v>
      </c>
      <c r="D305" s="24" t="s">
        <v>15</v>
      </c>
      <c r="E305" s="24">
        <v>13</v>
      </c>
      <c r="F305" s="24" t="s">
        <v>34</v>
      </c>
      <c r="G305" s="22">
        <v>18758</v>
      </c>
      <c r="H305" s="22">
        <v>5646</v>
      </c>
      <c r="I305" s="22">
        <v>7754</v>
      </c>
      <c r="J305" s="24" t="s">
        <v>35</v>
      </c>
      <c r="K305" s="22">
        <f>SUM(G305,H305,I305)</f>
        <v>32158</v>
      </c>
      <c r="L305" s="24" t="s">
        <v>648</v>
      </c>
      <c r="M305" s="23" t="str">
        <f>VLOOKUP(L305,スキル!B:C,2,FALSE)</f>
        <v>横一列攻撃[大]自分の防御力UP[大]</v>
      </c>
      <c r="N305" s="23" t="s">
        <v>18</v>
      </c>
      <c r="O305" s="23" t="str">
        <f>VLOOKUP(N305,スキル!B:C,2,FALSE)</f>
        <v>　</v>
      </c>
      <c r="P305" s="23" t="s">
        <v>79</v>
      </c>
      <c r="Q305" s="23" t="str">
        <f>VLOOKUP(P305,タクティクス!B:C,2,FALSE)</f>
        <v>騎士団全体の防御力が小UP(3分間)</v>
      </c>
      <c r="R305" s="23" t="s">
        <v>18</v>
      </c>
      <c r="S305" s="23" t="str">
        <f>VLOOKUP(R305,タクティクス!B:C,2,FALSE)</f>
        <v>　</v>
      </c>
      <c r="T305" s="23" t="s">
        <v>18</v>
      </c>
      <c r="U305" s="23" t="s">
        <v>18</v>
      </c>
      <c r="V305" s="20" t="s">
        <v>1823</v>
      </c>
    </row>
    <row r="306" spans="1:22" ht="21.75" customHeight="1" x14ac:dyDescent="0.15">
      <c r="A306" s="20" t="str">
        <f>B306&amp;".jpg"</f>
        <v>1534.jpg</v>
      </c>
      <c r="B306" s="46">
        <v>1534</v>
      </c>
      <c r="C306" s="24" t="s">
        <v>61</v>
      </c>
      <c r="D306" s="24" t="s">
        <v>150</v>
      </c>
      <c r="E306" s="24">
        <v>14</v>
      </c>
      <c r="F306" s="24" t="s">
        <v>41</v>
      </c>
      <c r="G306" s="22">
        <v>18670</v>
      </c>
      <c r="H306" s="22">
        <v>6513</v>
      </c>
      <c r="I306" s="22">
        <v>5930</v>
      </c>
      <c r="J306" s="24" t="s">
        <v>55</v>
      </c>
      <c r="K306" s="22">
        <f>SUM(G306,H306,I306)</f>
        <v>31113</v>
      </c>
      <c r="L306" s="23" t="s">
        <v>755</v>
      </c>
      <c r="M306" s="23" t="str">
        <f>VLOOKUP(L306,スキル!B:C,2,FALSE)</f>
        <v>遠に強く打に弱いX字型攻撃[特大]</v>
      </c>
      <c r="N306" s="23" t="s">
        <v>18</v>
      </c>
      <c r="O306" s="23" t="str">
        <f>VLOOKUP(N306,スキル!B:C,2,FALSE)</f>
        <v>　</v>
      </c>
      <c r="P306" s="23" t="s">
        <v>195</v>
      </c>
      <c r="Q306" s="23" t="str">
        <f>VLOOKUP(P306,タクティクス!B:C,2,FALSE)</f>
        <v>パーティ全体のスキル発動率が大UP(3分間)</v>
      </c>
      <c r="R306" s="23" t="s">
        <v>18</v>
      </c>
      <c r="S306" s="23" t="str">
        <f>VLOOKUP(R306,タクティクス!B:C,2,FALSE)</f>
        <v>　</v>
      </c>
      <c r="T306" s="23" t="s">
        <v>18</v>
      </c>
      <c r="U306" s="23" t="s">
        <v>18</v>
      </c>
      <c r="V306" s="20" t="s">
        <v>1823</v>
      </c>
    </row>
    <row r="307" spans="1:22" ht="21.75" customHeight="1" x14ac:dyDescent="0.15">
      <c r="A307" s="20" t="str">
        <f>B307&amp;".jpg"</f>
        <v>1535.jpg</v>
      </c>
      <c r="B307" s="46">
        <v>1535</v>
      </c>
      <c r="C307" s="24" t="s">
        <v>249</v>
      </c>
      <c r="D307" s="24" t="s">
        <v>150</v>
      </c>
      <c r="E307" s="24">
        <v>14</v>
      </c>
      <c r="F307" s="24" t="s">
        <v>25</v>
      </c>
      <c r="G307" s="22">
        <v>19849</v>
      </c>
      <c r="H307" s="22">
        <v>5907</v>
      </c>
      <c r="I307" s="22">
        <v>7020</v>
      </c>
      <c r="J307" s="24" t="s">
        <v>177</v>
      </c>
      <c r="K307" s="22">
        <f>SUM(G307,H307,I307)</f>
        <v>32776</v>
      </c>
      <c r="L307" s="23" t="s">
        <v>756</v>
      </c>
      <c r="M307" s="23" t="str">
        <f>VLOOKUP(L307,スキル!B:C,2,FALSE)</f>
        <v>単体固定ダメージ[大]+敵ステータスUP解除</v>
      </c>
      <c r="N307" s="23" t="s">
        <v>18</v>
      </c>
      <c r="O307" s="23" t="str">
        <f>VLOOKUP(N307,スキル!B:C,2,FALSE)</f>
        <v>　</v>
      </c>
      <c r="P307" s="23" t="s">
        <v>226</v>
      </c>
      <c r="Q307" s="23" t="str">
        <f>VLOOKUP(P307,タクティクス!B:C,2,FALSE)</f>
        <v>バトルで獲得する騎士団戦スコアが大アップ(3分間)</v>
      </c>
      <c r="R307" s="23" t="s">
        <v>18</v>
      </c>
      <c r="S307" s="23" t="str">
        <f>VLOOKUP(R307,タクティクス!B:C,2,FALSE)</f>
        <v>　</v>
      </c>
      <c r="T307" s="23" t="s">
        <v>18</v>
      </c>
      <c r="U307" s="23" t="s">
        <v>18</v>
      </c>
      <c r="V307" s="20" t="s">
        <v>1899</v>
      </c>
    </row>
    <row r="308" spans="1:22" ht="21.75" customHeight="1" x14ac:dyDescent="0.15">
      <c r="A308" s="20" t="str">
        <f>B308&amp;".jpg"</f>
        <v>1536.jpg</v>
      </c>
      <c r="B308" s="46">
        <v>1536</v>
      </c>
      <c r="C308" s="24" t="s">
        <v>120</v>
      </c>
      <c r="D308" s="24" t="s">
        <v>15</v>
      </c>
      <c r="E308" s="24">
        <v>13</v>
      </c>
      <c r="F308" s="24" t="s">
        <v>16</v>
      </c>
      <c r="G308" s="22">
        <v>17263</v>
      </c>
      <c r="H308" s="22">
        <v>6931</v>
      </c>
      <c r="I308" s="22">
        <v>5319</v>
      </c>
      <c r="J308" s="24" t="s">
        <v>17</v>
      </c>
      <c r="K308" s="22">
        <f>SUM(G308,H308,I308)</f>
        <v>29513</v>
      </c>
      <c r="L308" s="23" t="s">
        <v>725</v>
      </c>
      <c r="M308" s="23" t="str">
        <f>VLOOKUP(L308,スキル!B:C,2,FALSE)</f>
        <v>自分の攻撃力をUP[大]</v>
      </c>
      <c r="N308" s="23" t="s">
        <v>18</v>
      </c>
      <c r="O308" s="23" t="str">
        <f>VLOOKUP(N308,スキル!B:C,2,FALSE)</f>
        <v>　</v>
      </c>
      <c r="P308" s="23" t="s">
        <v>19</v>
      </c>
      <c r="Q308" s="23" t="str">
        <f>VLOOKUP(P308,タクティクス!B:C,2,FALSE)</f>
        <v>中確率でパーティ全員を復帰(全滅時のみ使用可)</v>
      </c>
      <c r="R308" s="23" t="s">
        <v>18</v>
      </c>
      <c r="S308" s="23" t="str">
        <f>VLOOKUP(R308,タクティクス!B:C,2,FALSE)</f>
        <v>　</v>
      </c>
      <c r="T308" s="23" t="s">
        <v>18</v>
      </c>
      <c r="U308" s="23" t="s">
        <v>18</v>
      </c>
      <c r="V308" s="20" t="s">
        <v>1900</v>
      </c>
    </row>
    <row r="309" spans="1:22" ht="21.75" customHeight="1" x14ac:dyDescent="0.15">
      <c r="A309" s="20" t="str">
        <f>B309&amp;".jpg"</f>
        <v>1538.jpg</v>
      </c>
      <c r="B309" s="46">
        <v>1538</v>
      </c>
      <c r="C309" s="24" t="s">
        <v>88</v>
      </c>
      <c r="D309" s="24" t="s">
        <v>15</v>
      </c>
      <c r="E309" s="24">
        <v>13</v>
      </c>
      <c r="F309" s="24" t="s">
        <v>25</v>
      </c>
      <c r="G309" s="22">
        <v>17682</v>
      </c>
      <c r="H309" s="22">
        <v>5595</v>
      </c>
      <c r="I309" s="22">
        <v>5402</v>
      </c>
      <c r="J309" s="24" t="s">
        <v>31</v>
      </c>
      <c r="K309" s="22">
        <f>SUM(G309,H309,I309)</f>
        <v>28679</v>
      </c>
      <c r="L309" s="23" t="s">
        <v>621</v>
      </c>
      <c r="M309" s="23" t="str">
        <f>VLOOKUP(L309,スキル!B:C,2,FALSE)</f>
        <v>ランダムで5連続攻撃[中]</v>
      </c>
      <c r="N309" s="23" t="s">
        <v>18</v>
      </c>
      <c r="O309" s="23" t="str">
        <f>VLOOKUP(N309,スキル!B:C,2,FALSE)</f>
        <v>　</v>
      </c>
      <c r="P309" s="23" t="s">
        <v>23</v>
      </c>
      <c r="Q309" s="23" t="str">
        <f>VLOOKUP(P309,タクティクス!B:C,2,FALSE)</f>
        <v>パーティ全体の攻撃力が中UP(3分間)</v>
      </c>
      <c r="R309" s="23" t="s">
        <v>18</v>
      </c>
      <c r="S309" s="23" t="str">
        <f>VLOOKUP(R309,タクティクス!B:C,2,FALSE)</f>
        <v>　</v>
      </c>
      <c r="T309" s="23" t="s">
        <v>18</v>
      </c>
      <c r="U309" s="23" t="s">
        <v>18</v>
      </c>
      <c r="V309" s="20" t="s">
        <v>1899</v>
      </c>
    </row>
    <row r="310" spans="1:22" ht="21.75" customHeight="1" x14ac:dyDescent="0.15">
      <c r="A310" s="20" t="str">
        <f>B310&amp;".jpg"</f>
        <v>1539.jpg</v>
      </c>
      <c r="B310" s="46">
        <v>1539</v>
      </c>
      <c r="C310" s="24" t="s">
        <v>250</v>
      </c>
      <c r="D310" s="24" t="s">
        <v>150</v>
      </c>
      <c r="E310" s="24">
        <v>14</v>
      </c>
      <c r="F310" s="24" t="s">
        <v>41</v>
      </c>
      <c r="G310" s="22">
        <v>19397</v>
      </c>
      <c r="H310" s="22">
        <v>6770</v>
      </c>
      <c r="I310" s="22">
        <v>5722</v>
      </c>
      <c r="J310" s="24" t="s">
        <v>55</v>
      </c>
      <c r="K310" s="22">
        <f>SUM(G310,H310,I310)</f>
        <v>31889</v>
      </c>
      <c r="L310" s="23" t="s">
        <v>758</v>
      </c>
      <c r="M310" s="23" t="str">
        <f>VLOOKUP(L310,スキル!B:C,2,FALSE)</f>
        <v>単体固定ダメージ[中]+味方ステータスDOWN解除</v>
      </c>
      <c r="N310" s="23" t="s">
        <v>18</v>
      </c>
      <c r="O310" s="23" t="str">
        <f>VLOOKUP(N310,スキル!B:C,2,FALSE)</f>
        <v>　</v>
      </c>
      <c r="P310" s="23" t="s">
        <v>251</v>
      </c>
      <c r="Q310" s="23" t="str">
        <f>VLOOKUP(P310,タクティクス!B:C,2,FALSE)</f>
        <v>パーティ全体の速度が大UP(3分間)</v>
      </c>
      <c r="R310" s="23" t="s">
        <v>18</v>
      </c>
      <c r="S310" s="23" t="str">
        <f>VLOOKUP(R310,タクティクス!B:C,2,FALSE)</f>
        <v>　</v>
      </c>
      <c r="T310" s="23" t="s">
        <v>18</v>
      </c>
      <c r="U310" s="23" t="s">
        <v>18</v>
      </c>
      <c r="V310" s="20" t="s">
        <v>1899</v>
      </c>
    </row>
    <row r="311" spans="1:22" ht="21.75" customHeight="1" x14ac:dyDescent="0.15">
      <c r="A311" s="20" t="str">
        <f>B311&amp;".jpg"</f>
        <v>1542.jpg</v>
      </c>
      <c r="B311" s="46">
        <v>1542</v>
      </c>
      <c r="C311" s="24" t="s">
        <v>252</v>
      </c>
      <c r="D311" s="24" t="s">
        <v>15</v>
      </c>
      <c r="E311" s="24">
        <v>13</v>
      </c>
      <c r="F311" s="24" t="s">
        <v>34</v>
      </c>
      <c r="G311" s="22">
        <v>18911</v>
      </c>
      <c r="H311" s="22">
        <v>5642</v>
      </c>
      <c r="I311" s="22">
        <v>7758</v>
      </c>
      <c r="J311" s="24" t="s">
        <v>35</v>
      </c>
      <c r="K311" s="22">
        <f>SUM(G311,H311,I311)</f>
        <v>32311</v>
      </c>
      <c r="L311" s="23" t="s">
        <v>619</v>
      </c>
      <c r="M311" s="23" t="str">
        <f>VLOOKUP(L311,スキル!B:C,2,FALSE)</f>
        <v>一定確率で敵を沈黙状態にする[高確率]</v>
      </c>
      <c r="N311" s="23" t="s">
        <v>18</v>
      </c>
      <c r="O311" s="23" t="str">
        <f>VLOOKUP(N311,スキル!B:C,2,FALSE)</f>
        <v>　</v>
      </c>
      <c r="P311" s="23" t="s">
        <v>207</v>
      </c>
      <c r="Q311" s="23" t="str">
        <f>VLOOKUP(P311,タクティクス!B:C,2,FALSE)</f>
        <v>迎撃時にパーティ全体の攻・防が中UP(3分間)</v>
      </c>
      <c r="R311" s="23" t="s">
        <v>18</v>
      </c>
      <c r="S311" s="23" t="str">
        <f>VLOOKUP(R311,タクティクス!B:C,2,FALSE)</f>
        <v>　</v>
      </c>
      <c r="T311" s="23" t="s">
        <v>18</v>
      </c>
      <c r="U311" s="23" t="s">
        <v>18</v>
      </c>
      <c r="V311" s="20" t="s">
        <v>1879</v>
      </c>
    </row>
    <row r="312" spans="1:22" ht="21.75" customHeight="1" x14ac:dyDescent="0.15">
      <c r="A312" s="20" t="str">
        <f>B312&amp;".jpg"</f>
        <v>1544.jpg</v>
      </c>
      <c r="B312" s="46">
        <v>1544</v>
      </c>
      <c r="C312" s="24" t="s">
        <v>204</v>
      </c>
      <c r="D312" s="24" t="s">
        <v>150</v>
      </c>
      <c r="E312" s="24">
        <v>14</v>
      </c>
      <c r="F312" s="24" t="s">
        <v>16</v>
      </c>
      <c r="G312" s="22">
        <v>17218</v>
      </c>
      <c r="H312" s="22">
        <v>7906</v>
      </c>
      <c r="I312" s="22">
        <v>6335</v>
      </c>
      <c r="J312" s="24" t="s">
        <v>151</v>
      </c>
      <c r="K312" s="22">
        <f>SUM(G312,H312,I312)</f>
        <v>31459</v>
      </c>
      <c r="L312" s="23" t="s">
        <v>747</v>
      </c>
      <c r="M312" s="23" t="str">
        <f>VLOOKUP(L312,スキル!B:C,2,FALSE)</f>
        <v>打に強く遠に弱い横一列攻撃[特大]</v>
      </c>
      <c r="N312" s="23" t="s">
        <v>18</v>
      </c>
      <c r="O312" s="23" t="str">
        <f>VLOOKUP(N312,スキル!B:C,2,FALSE)</f>
        <v>　</v>
      </c>
      <c r="P312" s="23" t="s">
        <v>188</v>
      </c>
      <c r="Q312" s="23" t="str">
        <f>VLOOKUP(P312,タクティクス!B:C,2,FALSE)</f>
        <v>バトルで敵を全滅するとBPが大回復(バトル3回)</v>
      </c>
      <c r="R312" s="23" t="s">
        <v>18</v>
      </c>
      <c r="S312" s="23" t="str">
        <f>VLOOKUP(R312,タクティクス!B:C,2,FALSE)</f>
        <v>　</v>
      </c>
      <c r="T312" s="23" t="s">
        <v>18</v>
      </c>
      <c r="U312" s="23" t="s">
        <v>18</v>
      </c>
      <c r="V312" s="20" t="s">
        <v>1823</v>
      </c>
    </row>
    <row r="313" spans="1:22" ht="21.75" customHeight="1" x14ac:dyDescent="0.15">
      <c r="A313" s="20" t="str">
        <f>B313&amp;".jpg"</f>
        <v>1546.jpg</v>
      </c>
      <c r="B313" s="46">
        <v>1546</v>
      </c>
      <c r="C313" s="24" t="s">
        <v>253</v>
      </c>
      <c r="D313" s="24" t="s">
        <v>15</v>
      </c>
      <c r="E313" s="24">
        <v>13</v>
      </c>
      <c r="F313" s="24" t="s">
        <v>25</v>
      </c>
      <c r="G313" s="22">
        <v>19044</v>
      </c>
      <c r="H313" s="22">
        <v>5126</v>
      </c>
      <c r="I313" s="22">
        <v>6032</v>
      </c>
      <c r="J313" s="24" t="s">
        <v>26</v>
      </c>
      <c r="K313" s="22">
        <f>SUM(G313,H313,I313)</f>
        <v>30202</v>
      </c>
      <c r="L313" s="23" t="s">
        <v>555</v>
      </c>
      <c r="M313" s="23" t="str">
        <f>VLOOKUP(L313,スキル!B:C,2,FALSE)</f>
        <v>味方突属性の防御力をUP[大]</v>
      </c>
      <c r="N313" s="23" t="s">
        <v>18</v>
      </c>
      <c r="O313" s="23" t="str">
        <f>VLOOKUP(N313,スキル!B:C,2,FALSE)</f>
        <v>　</v>
      </c>
      <c r="P313" s="23" t="s">
        <v>135</v>
      </c>
      <c r="Q313" s="23" t="str">
        <f>VLOOKUP(P313,タクティクス!B:C,2,FALSE)</f>
        <v>高確率で戦闘不能ユニットを復帰</v>
      </c>
      <c r="R313" s="23" t="s">
        <v>18</v>
      </c>
      <c r="S313" s="23" t="str">
        <f>VLOOKUP(R313,タクティクス!B:C,2,FALSE)</f>
        <v>　</v>
      </c>
      <c r="T313" s="23" t="s">
        <v>18</v>
      </c>
      <c r="U313" s="23" t="s">
        <v>18</v>
      </c>
      <c r="V313" s="20" t="s">
        <v>1823</v>
      </c>
    </row>
    <row r="314" spans="1:22" ht="21.75" customHeight="1" x14ac:dyDescent="0.15">
      <c r="A314" s="20" t="str">
        <f>B314&amp;".jpg"</f>
        <v>1548.jpg</v>
      </c>
      <c r="B314" s="46">
        <v>1548</v>
      </c>
      <c r="C314" s="24" t="s">
        <v>254</v>
      </c>
      <c r="D314" s="24" t="s">
        <v>15</v>
      </c>
      <c r="E314" s="24">
        <v>13</v>
      </c>
      <c r="F314" s="24" t="s">
        <v>34</v>
      </c>
      <c r="G314" s="22">
        <v>18839</v>
      </c>
      <c r="H314" s="22">
        <v>6279</v>
      </c>
      <c r="I314" s="22">
        <v>6728</v>
      </c>
      <c r="J314" s="24" t="s">
        <v>35</v>
      </c>
      <c r="K314" s="22">
        <f>SUM(G314,H314,I314)</f>
        <v>31846</v>
      </c>
      <c r="L314" s="24" t="s">
        <v>671</v>
      </c>
      <c r="M314" s="23" t="str">
        <f>VLOOKUP(L314,スキル!B:C,2,FALSE)</f>
        <v>横一列攻撃[大]自分の攻撃力UP[大]</v>
      </c>
      <c r="N314" s="23" t="s">
        <v>18</v>
      </c>
      <c r="O314" s="23" t="str">
        <f>VLOOKUP(N314,スキル!B:C,2,FALSE)</f>
        <v>　</v>
      </c>
      <c r="P314" s="23" t="s">
        <v>255</v>
      </c>
      <c r="Q314" s="23" t="str">
        <f>VLOOKUP(P314,タクティクス!B:C,2,FALSE)</f>
        <v>強襲が発生無効、バトル時に攻・防小UP(3分間)</v>
      </c>
      <c r="R314" s="23" t="s">
        <v>18</v>
      </c>
      <c r="S314" s="23" t="str">
        <f>VLOOKUP(R314,タクティクス!B:C,2,FALSE)</f>
        <v>　</v>
      </c>
      <c r="T314" s="23" t="s">
        <v>18</v>
      </c>
      <c r="U314" s="23" t="s">
        <v>18</v>
      </c>
      <c r="V314" s="20" t="s">
        <v>1823</v>
      </c>
    </row>
    <row r="315" spans="1:22" ht="21.75" customHeight="1" x14ac:dyDescent="0.15">
      <c r="A315" s="20" t="str">
        <f>B315&amp;".jpg"</f>
        <v>1550.jpg</v>
      </c>
      <c r="B315" s="46">
        <v>1550</v>
      </c>
      <c r="C315" s="24" t="s">
        <v>256</v>
      </c>
      <c r="D315" s="24" t="s">
        <v>15</v>
      </c>
      <c r="E315" s="24">
        <v>13</v>
      </c>
      <c r="F315" s="24" t="s">
        <v>41</v>
      </c>
      <c r="G315" s="22">
        <v>17109</v>
      </c>
      <c r="H315" s="22">
        <v>6336</v>
      </c>
      <c r="I315" s="22">
        <v>4449</v>
      </c>
      <c r="J315" s="24" t="s">
        <v>26</v>
      </c>
      <c r="K315" s="22">
        <f>SUM(G315,H315,I315)</f>
        <v>27894</v>
      </c>
      <c r="L315" s="23" t="s">
        <v>629</v>
      </c>
      <c r="M315" s="23" t="str">
        <f>VLOOKUP(L315,スキル!B:C,2,FALSE)</f>
        <v>敵単体に攻撃しつつHP回復[大]</v>
      </c>
      <c r="N315" s="23" t="s">
        <v>18</v>
      </c>
      <c r="O315" s="23" t="str">
        <f>VLOOKUP(N315,スキル!B:C,2,FALSE)</f>
        <v>　</v>
      </c>
      <c r="P315" s="23" t="s">
        <v>161</v>
      </c>
      <c r="Q315" s="23" t="str">
        <f>VLOOKUP(P315,タクティクス!B:C,2,FALSE)</f>
        <v>バトルで獲得する騎士団戦スコアが中アップ(3分間)</v>
      </c>
      <c r="R315" s="23" t="s">
        <v>18</v>
      </c>
      <c r="S315" s="23" t="str">
        <f>VLOOKUP(R315,タクティクス!B:C,2,FALSE)</f>
        <v>　</v>
      </c>
      <c r="T315" s="23" t="s">
        <v>18</v>
      </c>
      <c r="U315" s="23" t="s">
        <v>18</v>
      </c>
      <c r="V315" s="20" t="s">
        <v>1823</v>
      </c>
    </row>
    <row r="316" spans="1:22" ht="21.75" customHeight="1" x14ac:dyDescent="0.15">
      <c r="A316" s="20" t="str">
        <f>B316&amp;".jpg"</f>
        <v>1552.jpg</v>
      </c>
      <c r="B316" s="46">
        <v>1552</v>
      </c>
      <c r="C316" s="24" t="s">
        <v>101</v>
      </c>
      <c r="D316" s="24" t="s">
        <v>15</v>
      </c>
      <c r="E316" s="24">
        <v>13</v>
      </c>
      <c r="F316" s="24" t="s">
        <v>16</v>
      </c>
      <c r="G316" s="22">
        <v>15891</v>
      </c>
      <c r="H316" s="22">
        <v>7296</v>
      </c>
      <c r="I316" s="22">
        <v>5042</v>
      </c>
      <c r="J316" s="24" t="s">
        <v>17</v>
      </c>
      <c r="K316" s="22">
        <f>SUM(G316,H316,I316)</f>
        <v>28229</v>
      </c>
      <c r="L316" s="23" t="s">
        <v>529</v>
      </c>
      <c r="M316" s="23" t="str">
        <f>VLOOKUP(L316,スキル!B:C,2,FALSE)</f>
        <v>横一列に攻撃[大]</v>
      </c>
      <c r="N316" s="23" t="s">
        <v>18</v>
      </c>
      <c r="O316" s="23" t="str">
        <f>VLOOKUP(N316,スキル!B:C,2,FALSE)</f>
        <v>　</v>
      </c>
      <c r="P316" s="23" t="s">
        <v>209</v>
      </c>
      <c r="Q316" s="23" t="str">
        <f>VLOOKUP(P316,タクティクス!B:C,2,FALSE)</f>
        <v>攻撃される確率が大UP(3分間)</v>
      </c>
      <c r="R316" s="23" t="s">
        <v>18</v>
      </c>
      <c r="S316" s="23" t="str">
        <f>VLOOKUP(R316,タクティクス!B:C,2,FALSE)</f>
        <v>　</v>
      </c>
      <c r="T316" s="23" t="s">
        <v>18</v>
      </c>
      <c r="U316" s="23" t="s">
        <v>18</v>
      </c>
      <c r="V316" s="20" t="s">
        <v>1824</v>
      </c>
    </row>
    <row r="317" spans="1:22" ht="21.75" customHeight="1" x14ac:dyDescent="0.15">
      <c r="A317" s="20" t="str">
        <f>B317&amp;".jpg"</f>
        <v>1553.jpg</v>
      </c>
      <c r="B317" s="46">
        <v>1553</v>
      </c>
      <c r="C317" s="24" t="s">
        <v>257</v>
      </c>
      <c r="D317" s="24" t="s">
        <v>15</v>
      </c>
      <c r="E317" s="24">
        <v>12</v>
      </c>
      <c r="F317" s="24" t="s">
        <v>34</v>
      </c>
      <c r="G317" s="22">
        <v>19170</v>
      </c>
      <c r="H317" s="22">
        <v>5061</v>
      </c>
      <c r="I317" s="22">
        <v>6845</v>
      </c>
      <c r="J317" s="24" t="s">
        <v>35</v>
      </c>
      <c r="K317" s="22">
        <f>SUM(G317,H317,I317)</f>
        <v>31076</v>
      </c>
      <c r="L317" s="23" t="s">
        <v>760</v>
      </c>
      <c r="M317" s="23" t="str">
        <f>VLOOKUP(L317,スキル!B:C,2,FALSE)</f>
        <v>攻撃をカウンター[高確率]</v>
      </c>
      <c r="N317" s="23" t="s">
        <v>18</v>
      </c>
      <c r="O317" s="23" t="str">
        <f>VLOOKUP(N317,スキル!B:C,2,FALSE)</f>
        <v>　</v>
      </c>
      <c r="P317" s="23" t="s">
        <v>19</v>
      </c>
      <c r="Q317" s="23" t="str">
        <f>VLOOKUP(P317,タクティクス!B:C,2,FALSE)</f>
        <v>中確率でパーティ全員を復帰(全滅時のみ使用可)</v>
      </c>
      <c r="R317" s="23" t="s">
        <v>18</v>
      </c>
      <c r="S317" s="23" t="str">
        <f>VLOOKUP(R317,タクティクス!B:C,2,FALSE)</f>
        <v>　</v>
      </c>
      <c r="T317" s="23" t="s">
        <v>18</v>
      </c>
      <c r="U317" s="23" t="s">
        <v>18</v>
      </c>
      <c r="V317" s="20" t="s">
        <v>1913</v>
      </c>
    </row>
    <row r="318" spans="1:22" ht="21.75" customHeight="1" x14ac:dyDescent="0.15">
      <c r="A318" s="20" t="str">
        <f>B318&amp;".jpg"</f>
        <v>1555.jpg</v>
      </c>
      <c r="B318" s="46">
        <v>1555</v>
      </c>
      <c r="C318" s="24" t="s">
        <v>57</v>
      </c>
      <c r="D318" s="24" t="s">
        <v>15</v>
      </c>
      <c r="E318" s="24">
        <v>13</v>
      </c>
      <c r="F318" s="24" t="s">
        <v>16</v>
      </c>
      <c r="G318" s="22">
        <v>17745</v>
      </c>
      <c r="H318" s="22">
        <v>6985</v>
      </c>
      <c r="I318" s="22">
        <v>5270</v>
      </c>
      <c r="J318" s="24" t="s">
        <v>17</v>
      </c>
      <c r="K318" s="22">
        <f>SUM(G318,H318,I318)</f>
        <v>30000</v>
      </c>
      <c r="L318" s="23" t="s">
        <v>623</v>
      </c>
      <c r="M318" s="23" t="str">
        <f>VLOOKUP(L318,スキル!B:C,2,FALSE)</f>
        <v>味方斬属性の攻撃力と防御力をUP[大]</v>
      </c>
      <c r="N318" s="23" t="s">
        <v>18</v>
      </c>
      <c r="O318" s="23" t="str">
        <f>VLOOKUP(N318,スキル!B:C,2,FALSE)</f>
        <v>　</v>
      </c>
      <c r="P318" s="23" t="s">
        <v>56</v>
      </c>
      <c r="Q318" s="23" t="str">
        <f>VLOOKUP(P318,タクティクス!B:C,2,FALSE)</f>
        <v>バトルで敵を全滅するとBPが中回復(バトル3回)</v>
      </c>
      <c r="R318" s="23" t="s">
        <v>18</v>
      </c>
      <c r="S318" s="23" t="str">
        <f>VLOOKUP(R318,タクティクス!B:C,2,FALSE)</f>
        <v>　</v>
      </c>
      <c r="T318" s="23" t="s">
        <v>18</v>
      </c>
      <c r="U318" s="23" t="s">
        <v>18</v>
      </c>
      <c r="V318" s="20" t="s">
        <v>1844</v>
      </c>
    </row>
    <row r="319" spans="1:22" ht="21.75" customHeight="1" x14ac:dyDescent="0.15">
      <c r="A319" s="20" t="str">
        <f>B319&amp;".jpg"</f>
        <v>1557.jpg</v>
      </c>
      <c r="B319" s="46">
        <v>1557</v>
      </c>
      <c r="C319" s="24" t="s">
        <v>71</v>
      </c>
      <c r="D319" s="24" t="s">
        <v>150</v>
      </c>
      <c r="E319" s="24">
        <v>14</v>
      </c>
      <c r="F319" s="24" t="s">
        <v>16</v>
      </c>
      <c r="G319" s="22">
        <v>15969</v>
      </c>
      <c r="H319" s="22">
        <v>8426</v>
      </c>
      <c r="I319" s="22">
        <v>6542</v>
      </c>
      <c r="J319" s="24" t="s">
        <v>151</v>
      </c>
      <c r="K319" s="22">
        <f>SUM(G319,H319,I319)</f>
        <v>30937</v>
      </c>
      <c r="L319" s="23" t="s">
        <v>701</v>
      </c>
      <c r="M319" s="23" t="str">
        <f>VLOOKUP(L319,スキル!B:C,2,FALSE)</f>
        <v>十字型に攻撃[特大]</v>
      </c>
      <c r="N319" s="23" t="s">
        <v>18</v>
      </c>
      <c r="O319" s="23" t="str">
        <f>VLOOKUP(N319,スキル!B:C,2,FALSE)</f>
        <v>　</v>
      </c>
      <c r="P319" s="23" t="s">
        <v>178</v>
      </c>
      <c r="Q319" s="23" t="str">
        <f>VLOOKUP(P319,タクティクス!B:C,2,FALSE)</f>
        <v>パーティ全体の攻撃力が大UP(3分間)</v>
      </c>
      <c r="R319" s="23" t="s">
        <v>18</v>
      </c>
      <c r="S319" s="23" t="str">
        <f>VLOOKUP(R319,タクティクス!B:C,2,FALSE)</f>
        <v>　</v>
      </c>
      <c r="T319" s="23" t="s">
        <v>18</v>
      </c>
      <c r="U319" s="23" t="s">
        <v>18</v>
      </c>
      <c r="V319" s="20" t="s">
        <v>1844</v>
      </c>
    </row>
    <row r="320" spans="1:22" ht="21.75" customHeight="1" x14ac:dyDescent="0.15">
      <c r="A320" s="20" t="str">
        <f>B320&amp;".jpg"</f>
        <v>1559.jpg</v>
      </c>
      <c r="B320" s="46">
        <v>1559</v>
      </c>
      <c r="C320" s="24" t="s">
        <v>114</v>
      </c>
      <c r="D320" s="24" t="s">
        <v>15</v>
      </c>
      <c r="E320" s="24">
        <v>13</v>
      </c>
      <c r="F320" s="24" t="s">
        <v>25</v>
      </c>
      <c r="G320" s="22">
        <v>16502</v>
      </c>
      <c r="H320" s="22">
        <v>5904</v>
      </c>
      <c r="I320" s="22">
        <v>6049</v>
      </c>
      <c r="J320" s="24" t="s">
        <v>26</v>
      </c>
      <c r="K320" s="22">
        <f>SUM(G320,H320,I320)</f>
        <v>28455</v>
      </c>
      <c r="L320" s="23" t="s">
        <v>761</v>
      </c>
      <c r="M320" s="23" t="str">
        <f>VLOOKUP(L320,スキル!B:C,2,FALSE)</f>
        <v>ランダム5連続攻撃[小]自分の防御力UP[小]</v>
      </c>
      <c r="N320" s="23" t="s">
        <v>18</v>
      </c>
      <c r="O320" s="23" t="str">
        <f>VLOOKUP(N320,スキル!B:C,2,FALSE)</f>
        <v>　</v>
      </c>
      <c r="P320" s="23" t="s">
        <v>81</v>
      </c>
      <c r="Q320" s="23" t="str">
        <f>VLOOKUP(P320,タクティクス!B:C,2,FALSE)</f>
        <v>騎士団全体の攻撃力が小UP(3分間)</v>
      </c>
      <c r="R320" s="23" t="s">
        <v>18</v>
      </c>
      <c r="S320" s="23" t="str">
        <f>VLOOKUP(R320,タクティクス!B:C,2,FALSE)</f>
        <v>　</v>
      </c>
      <c r="T320" s="23" t="s">
        <v>18</v>
      </c>
      <c r="U320" s="23" t="s">
        <v>18</v>
      </c>
      <c r="V320" s="20" t="s">
        <v>1844</v>
      </c>
    </row>
    <row r="321" spans="1:22" ht="21.75" customHeight="1" x14ac:dyDescent="0.15">
      <c r="A321" s="20" t="str">
        <f>B321&amp;".jpg"</f>
        <v>1561.jpg</v>
      </c>
      <c r="B321" s="46">
        <v>1561</v>
      </c>
      <c r="C321" s="24" t="s">
        <v>84</v>
      </c>
      <c r="D321" s="24" t="s">
        <v>150</v>
      </c>
      <c r="E321" s="24">
        <v>14</v>
      </c>
      <c r="F321" s="24" t="s">
        <v>41</v>
      </c>
      <c r="G321" s="22">
        <v>19444</v>
      </c>
      <c r="H321" s="22">
        <v>6802</v>
      </c>
      <c r="I321" s="22">
        <v>5703</v>
      </c>
      <c r="J321" s="24" t="s">
        <v>55</v>
      </c>
      <c r="K321" s="22">
        <f>SUM(G321,H321,I321)</f>
        <v>31949</v>
      </c>
      <c r="L321" s="23" t="s">
        <v>763</v>
      </c>
      <c r="M321" s="23" t="str">
        <f>VLOOKUP(L321,スキル!B:C,2,FALSE)</f>
        <v>味方遠属性の防御力をUP[特大]</v>
      </c>
      <c r="N321" s="23" t="s">
        <v>18</v>
      </c>
      <c r="O321" s="23" t="str">
        <f>VLOOKUP(N321,スキル!B:C,2,FALSE)</f>
        <v>　</v>
      </c>
      <c r="P321" s="23" t="s">
        <v>181</v>
      </c>
      <c r="Q321" s="23" t="str">
        <f>VLOOKUP(P321,タクティクス!B:C,2,FALSE)</f>
        <v>騎士団全体の強襲CB率が小UP(3分間)</v>
      </c>
      <c r="R321" s="23" t="s">
        <v>18</v>
      </c>
      <c r="S321" s="23" t="str">
        <f>VLOOKUP(R321,タクティクス!B:C,2,FALSE)</f>
        <v>　</v>
      </c>
      <c r="T321" s="23" t="s">
        <v>18</v>
      </c>
      <c r="U321" s="23" t="s">
        <v>18</v>
      </c>
      <c r="V321" s="20" t="s">
        <v>1844</v>
      </c>
    </row>
    <row r="322" spans="1:22" ht="21.75" customHeight="1" x14ac:dyDescent="0.15">
      <c r="A322" s="20" t="str">
        <f>B322&amp;".jpg"</f>
        <v>1563.jpg</v>
      </c>
      <c r="B322" s="46">
        <v>1563</v>
      </c>
      <c r="C322" s="24" t="s">
        <v>258</v>
      </c>
      <c r="D322" s="24" t="s">
        <v>15</v>
      </c>
      <c r="E322" s="24">
        <v>12</v>
      </c>
      <c r="F322" s="24" t="s">
        <v>25</v>
      </c>
      <c r="G322" s="22">
        <v>14947</v>
      </c>
      <c r="H322" s="22">
        <v>5244</v>
      </c>
      <c r="I322" s="22">
        <v>5545</v>
      </c>
      <c r="J322" s="24" t="s">
        <v>26</v>
      </c>
      <c r="K322" s="22">
        <f>SUM(G322,H322,I322)</f>
        <v>25736</v>
      </c>
      <c r="L322" s="23" t="s">
        <v>595</v>
      </c>
      <c r="M322" s="23" t="str">
        <f>VLOOKUP(L322,スキル!B:C,2,FALSE)</f>
        <v>最もダメージが多い味方1人のHP回復[大]</v>
      </c>
      <c r="N322" s="23" t="s">
        <v>18</v>
      </c>
      <c r="O322" s="23" t="str">
        <f>VLOOKUP(N322,スキル!B:C,2,FALSE)</f>
        <v>　</v>
      </c>
      <c r="P322" s="23" t="s">
        <v>232</v>
      </c>
      <c r="Q322" s="23" t="str">
        <f>VLOOKUP(P322,タクティクス!B:C,2,FALSE)</f>
        <v>騎士団全員のBPを中回復</v>
      </c>
      <c r="R322" s="23" t="s">
        <v>18</v>
      </c>
      <c r="S322" s="23" t="str">
        <f>VLOOKUP(R322,タクティクス!B:C,2,FALSE)</f>
        <v>　</v>
      </c>
      <c r="T322" s="23" t="s">
        <v>18</v>
      </c>
      <c r="U322" s="23" t="s">
        <v>18</v>
      </c>
      <c r="V322" s="20" t="s">
        <v>1844</v>
      </c>
    </row>
    <row r="323" spans="1:22" ht="21.75" customHeight="1" x14ac:dyDescent="0.15">
      <c r="A323" s="20" t="str">
        <f>B323&amp;".jpg"</f>
        <v>1564.jpg</v>
      </c>
      <c r="B323" s="46">
        <v>1564</v>
      </c>
      <c r="C323" s="24" t="s">
        <v>258</v>
      </c>
      <c r="D323" s="24" t="s">
        <v>150</v>
      </c>
      <c r="E323" s="24">
        <v>14</v>
      </c>
      <c r="F323" s="24" t="s">
        <v>25</v>
      </c>
      <c r="G323" s="22">
        <v>18310</v>
      </c>
      <c r="H323" s="22">
        <v>6437</v>
      </c>
      <c r="I323" s="22">
        <v>6784</v>
      </c>
      <c r="J323" s="24" t="s">
        <v>177</v>
      </c>
      <c r="K323" s="22">
        <f>SUM(G323,H323,I323)</f>
        <v>31531</v>
      </c>
      <c r="L323" s="23" t="s">
        <v>715</v>
      </c>
      <c r="M323" s="23" t="str">
        <f>VLOOKUP(L323,スキル!B:C,2,FALSE)</f>
        <v>打に強く遠に弱い縦一列攻撃[特大]</v>
      </c>
      <c r="N323" s="23" t="s">
        <v>18</v>
      </c>
      <c r="O323" s="23" t="str">
        <f>VLOOKUP(N323,スキル!B:C,2,FALSE)</f>
        <v>　</v>
      </c>
      <c r="P323" s="23" t="s">
        <v>226</v>
      </c>
      <c r="Q323" s="23" t="str">
        <f>VLOOKUP(P323,タクティクス!B:C,2,FALSE)</f>
        <v>バトルで獲得する騎士団戦スコアが大アップ(3分間)</v>
      </c>
      <c r="R323" s="23" t="s">
        <v>18</v>
      </c>
      <c r="S323" s="23" t="str">
        <f>VLOOKUP(R323,タクティクス!B:C,2,FALSE)</f>
        <v>　</v>
      </c>
      <c r="T323" s="23" t="s">
        <v>18</v>
      </c>
      <c r="U323" s="23" t="s">
        <v>18</v>
      </c>
      <c r="V323" s="20" t="s">
        <v>1844</v>
      </c>
    </row>
    <row r="324" spans="1:22" ht="21.75" customHeight="1" x14ac:dyDescent="0.15">
      <c r="A324" s="20" t="str">
        <f>B324&amp;".jpg"</f>
        <v>1566.jpg</v>
      </c>
      <c r="B324" s="46">
        <v>1566</v>
      </c>
      <c r="C324" s="24" t="s">
        <v>259</v>
      </c>
      <c r="D324" s="24" t="s">
        <v>150</v>
      </c>
      <c r="E324" s="24">
        <v>14</v>
      </c>
      <c r="F324" s="24" t="s">
        <v>34</v>
      </c>
      <c r="G324" s="22">
        <v>20729</v>
      </c>
      <c r="H324" s="22">
        <v>6810</v>
      </c>
      <c r="I324" s="22">
        <v>9057</v>
      </c>
      <c r="J324" s="24" t="s">
        <v>17</v>
      </c>
      <c r="K324" s="22">
        <f>SUM(G324,H324,I324)</f>
        <v>36596</v>
      </c>
      <c r="L324" s="23" t="s">
        <v>765</v>
      </c>
      <c r="M324" s="23" t="str">
        <f>VLOOKUP(L324,スキル!B:C,2,FALSE)</f>
        <v>X字型攻撃[大]自分の攻撃力UP[特大]</v>
      </c>
      <c r="N324" s="23" t="s">
        <v>18</v>
      </c>
      <c r="O324" s="23" t="str">
        <f>VLOOKUP(N324,スキル!B:C,2,FALSE)</f>
        <v>　</v>
      </c>
      <c r="P324" s="23" t="s">
        <v>180</v>
      </c>
      <c r="Q324" s="23" t="str">
        <f>VLOOKUP(P324,タクティクス!B:C,2,FALSE)</f>
        <v>獲得する騎士団戦スコアが大アップ(バトル3回)</v>
      </c>
      <c r="R324" s="23" t="s">
        <v>18</v>
      </c>
      <c r="S324" s="23" t="str">
        <f>VLOOKUP(R324,タクティクス!B:C,2,FALSE)</f>
        <v>　</v>
      </c>
      <c r="T324" s="23" t="s">
        <v>18</v>
      </c>
      <c r="U324" s="23" t="s">
        <v>18</v>
      </c>
      <c r="V324" s="20" t="s">
        <v>1844</v>
      </c>
    </row>
    <row r="325" spans="1:22" ht="21.75" customHeight="1" x14ac:dyDescent="0.15">
      <c r="A325" s="20" t="str">
        <f>B325&amp;".jpg"</f>
        <v>1568.jpg</v>
      </c>
      <c r="B325" s="46">
        <v>1568</v>
      </c>
      <c r="C325" s="24" t="s">
        <v>260</v>
      </c>
      <c r="D325" s="24" t="s">
        <v>150</v>
      </c>
      <c r="E325" s="24">
        <v>14</v>
      </c>
      <c r="F325" s="24" t="s">
        <v>16</v>
      </c>
      <c r="G325" s="22">
        <v>16670</v>
      </c>
      <c r="H325" s="22">
        <v>8102</v>
      </c>
      <c r="I325" s="22">
        <v>5878</v>
      </c>
      <c r="J325" s="24" t="s">
        <v>261</v>
      </c>
      <c r="K325" s="22">
        <f>SUM(G325,H325,I325)</f>
        <v>30650</v>
      </c>
      <c r="L325" s="24" t="s">
        <v>691</v>
      </c>
      <c r="M325" s="23" t="str">
        <f>VLOOKUP(L325,スキル!B:C,2,FALSE)</f>
        <v>横一列に攻撃[特大]</v>
      </c>
      <c r="N325" s="23" t="s">
        <v>18</v>
      </c>
      <c r="O325" s="23" t="str">
        <f>VLOOKUP(N325,スキル!B:C,2,FALSE)</f>
        <v>　</v>
      </c>
      <c r="P325" s="23" t="s">
        <v>251</v>
      </c>
      <c r="Q325" s="23" t="str">
        <f>VLOOKUP(P325,タクティクス!B:C,2,FALSE)</f>
        <v>パーティ全体の速度が大UP(3分間)</v>
      </c>
      <c r="R325" s="23" t="s">
        <v>18</v>
      </c>
      <c r="S325" s="23" t="str">
        <f>VLOOKUP(R325,タクティクス!B:C,2,FALSE)</f>
        <v>　</v>
      </c>
      <c r="T325" s="23" t="s">
        <v>18</v>
      </c>
      <c r="U325" s="23" t="s">
        <v>18</v>
      </c>
      <c r="V325" s="20" t="s">
        <v>1844</v>
      </c>
    </row>
    <row r="326" spans="1:22" ht="21.75" customHeight="1" x14ac:dyDescent="0.15">
      <c r="A326" s="20" t="str">
        <f>B326&amp;".jpg"</f>
        <v>1570.jpg</v>
      </c>
      <c r="B326" s="46">
        <v>1570</v>
      </c>
      <c r="C326" s="24" t="s">
        <v>262</v>
      </c>
      <c r="D326" s="24" t="s">
        <v>150</v>
      </c>
      <c r="E326" s="24">
        <v>14</v>
      </c>
      <c r="F326" s="24" t="s">
        <v>41</v>
      </c>
      <c r="G326" s="22">
        <v>19574</v>
      </c>
      <c r="H326" s="22">
        <v>5941</v>
      </c>
      <c r="I326" s="22">
        <v>6183</v>
      </c>
      <c r="J326" s="24" t="s">
        <v>55</v>
      </c>
      <c r="K326" s="22">
        <f>SUM(G326,H326,I326)</f>
        <v>31698</v>
      </c>
      <c r="L326" s="23" t="s">
        <v>767</v>
      </c>
      <c r="M326" s="23" t="str">
        <f>VLOOKUP(L326,スキル!B:C,2,FALSE)</f>
        <v>味方全員のHPを回復[大]</v>
      </c>
      <c r="N326" s="23" t="s">
        <v>18</v>
      </c>
      <c r="O326" s="23" t="str">
        <f>VLOOKUP(N326,スキル!B:C,2,FALSE)</f>
        <v>　</v>
      </c>
      <c r="P326" s="23" t="s">
        <v>263</v>
      </c>
      <c r="Q326" s="23" t="str">
        <f>VLOOKUP(P326,タクティクス!B:C,2,FALSE)</f>
        <v>攻撃される確率が大DOWN(3分間)</v>
      </c>
      <c r="R326" s="23" t="s">
        <v>18</v>
      </c>
      <c r="S326" s="23" t="str">
        <f>VLOOKUP(R326,タクティクス!B:C,2,FALSE)</f>
        <v>　</v>
      </c>
      <c r="T326" s="23" t="s">
        <v>18</v>
      </c>
      <c r="U326" s="23" t="s">
        <v>18</v>
      </c>
      <c r="V326" s="20" t="s">
        <v>1844</v>
      </c>
    </row>
    <row r="327" spans="1:22" ht="21.75" customHeight="1" x14ac:dyDescent="0.15">
      <c r="A327" s="20" t="str">
        <f>B327&amp;".jpg"</f>
        <v>1572.jpg</v>
      </c>
      <c r="B327" s="46">
        <v>1572</v>
      </c>
      <c r="C327" s="24" t="s">
        <v>264</v>
      </c>
      <c r="D327" s="24" t="s">
        <v>15</v>
      </c>
      <c r="E327" s="24">
        <v>13</v>
      </c>
      <c r="F327" s="24" t="s">
        <v>34</v>
      </c>
      <c r="G327" s="22">
        <v>19727</v>
      </c>
      <c r="H327" s="22">
        <v>5693</v>
      </c>
      <c r="I327" s="22">
        <v>7043</v>
      </c>
      <c r="J327" s="24" t="s">
        <v>35</v>
      </c>
      <c r="K327" s="22">
        <f>SUM(G327,H327,I327)</f>
        <v>32463</v>
      </c>
      <c r="L327" s="23" t="s">
        <v>723</v>
      </c>
      <c r="M327" s="23" t="str">
        <f>VLOOKUP(L327,スキル!B:C,2,FALSE)</f>
        <v>ﾗﾝﾀﾞﾑで1～4連撃。攻撃毎に与ﾀﾞﾒ2倍[低確率]</v>
      </c>
      <c r="N327" s="23" t="s">
        <v>18</v>
      </c>
      <c r="O327" s="23" t="str">
        <f>VLOOKUP(N327,スキル!B:C,2,FALSE)</f>
        <v>　</v>
      </c>
      <c r="P327" s="23" t="s">
        <v>60</v>
      </c>
      <c r="Q327" s="23" t="str">
        <f>VLOOKUP(P327,タクティクス!B:C,2,FALSE)</f>
        <v>パーティ全体の攻・防が中UP(3分間)</v>
      </c>
      <c r="R327" s="23" t="s">
        <v>18</v>
      </c>
      <c r="S327" s="23" t="str">
        <f>VLOOKUP(R327,タクティクス!B:C,2,FALSE)</f>
        <v>　</v>
      </c>
      <c r="T327" s="23" t="s">
        <v>18</v>
      </c>
      <c r="U327" s="23" t="s">
        <v>18</v>
      </c>
      <c r="V327" s="20" t="s">
        <v>1844</v>
      </c>
    </row>
    <row r="328" spans="1:22" ht="21.75" customHeight="1" x14ac:dyDescent="0.15">
      <c r="A328" s="20" t="str">
        <f>B328&amp;".jpg"</f>
        <v>1574.jpg</v>
      </c>
      <c r="B328" s="46">
        <v>1574</v>
      </c>
      <c r="C328" s="24" t="s">
        <v>265</v>
      </c>
      <c r="D328" s="24" t="s">
        <v>15</v>
      </c>
      <c r="E328" s="24">
        <v>12</v>
      </c>
      <c r="F328" s="24" t="s">
        <v>34</v>
      </c>
      <c r="G328" s="22">
        <v>19602</v>
      </c>
      <c r="H328" s="22">
        <v>5221</v>
      </c>
      <c r="I328" s="22">
        <v>5937</v>
      </c>
      <c r="J328" s="24" t="s">
        <v>35</v>
      </c>
      <c r="K328" s="22">
        <f>SUM(G328,H328,I328)</f>
        <v>30760</v>
      </c>
      <c r="L328" s="23" t="s">
        <v>635</v>
      </c>
      <c r="M328" s="23" t="str">
        <f>VLOOKUP(L328,スキル!B:C,2,FALSE)</f>
        <v>単体攻撃（宝箱優先／追加ダメージ）[大]</v>
      </c>
      <c r="N328" s="23" t="s">
        <v>18</v>
      </c>
      <c r="O328" s="23" t="str">
        <f>VLOOKUP(N328,スキル!B:C,2,FALSE)</f>
        <v>　</v>
      </c>
      <c r="P328" s="23" t="s">
        <v>27</v>
      </c>
      <c r="Q328" s="23" t="str">
        <f>VLOOKUP(P328,タクティクス!B:C,2,FALSE)</f>
        <v>パーティ全体の防御力が中UP(3分間)</v>
      </c>
      <c r="R328" s="23" t="s">
        <v>18</v>
      </c>
      <c r="S328" s="23" t="str">
        <f>VLOOKUP(R328,タクティクス!B:C,2,FALSE)</f>
        <v>　</v>
      </c>
      <c r="T328" s="23" t="s">
        <v>18</v>
      </c>
      <c r="U328" s="23" t="s">
        <v>18</v>
      </c>
      <c r="V328" s="20" t="s">
        <v>1844</v>
      </c>
    </row>
    <row r="329" spans="1:22" ht="21.75" customHeight="1" x14ac:dyDescent="0.15">
      <c r="A329" s="20" t="str">
        <f>B329&amp;".jpg"</f>
        <v>1576.jpg</v>
      </c>
      <c r="B329" s="46">
        <v>1576</v>
      </c>
      <c r="C329" s="24" t="s">
        <v>266</v>
      </c>
      <c r="D329" s="24" t="s">
        <v>15</v>
      </c>
      <c r="E329" s="24">
        <v>13</v>
      </c>
      <c r="F329" s="24" t="s">
        <v>41</v>
      </c>
      <c r="G329" s="22">
        <v>17039</v>
      </c>
      <c r="H329" s="22">
        <v>7006</v>
      </c>
      <c r="I329" s="22">
        <v>4480</v>
      </c>
      <c r="J329" s="24" t="s">
        <v>42</v>
      </c>
      <c r="K329" s="22">
        <f>SUM(G329,H329,I329)</f>
        <v>28525</v>
      </c>
      <c r="L329" s="23" t="s">
        <v>769</v>
      </c>
      <c r="M329" s="23" t="str">
        <f>VLOOKUP(L329,スキル!B:C,2,FALSE)</f>
        <v>敵打属性の攻撃力と防御力をDOWN[大]</v>
      </c>
      <c r="N329" s="23" t="s">
        <v>18</v>
      </c>
      <c r="O329" s="23" t="str">
        <f>VLOOKUP(N329,スキル!B:C,2,FALSE)</f>
        <v>　</v>
      </c>
      <c r="P329" s="23" t="s">
        <v>83</v>
      </c>
      <c r="Q329" s="23" t="str">
        <f>VLOOKUP(P329,タクティクス!B:C,2,FALSE)</f>
        <v>騎士団全体の攻・防が小UP(3分間)</v>
      </c>
      <c r="R329" s="23" t="s">
        <v>18</v>
      </c>
      <c r="S329" s="23" t="str">
        <f>VLOOKUP(R329,タクティクス!B:C,2,FALSE)</f>
        <v>　</v>
      </c>
      <c r="T329" s="23" t="s">
        <v>18</v>
      </c>
      <c r="U329" s="23" t="s">
        <v>18</v>
      </c>
      <c r="V329" s="20" t="s">
        <v>1844</v>
      </c>
    </row>
    <row r="330" spans="1:22" ht="21.75" customHeight="1" x14ac:dyDescent="0.15">
      <c r="A330" s="20" t="str">
        <f>B330&amp;".jpg"</f>
        <v>1579.jpg</v>
      </c>
      <c r="B330" s="46">
        <v>1579</v>
      </c>
      <c r="C330" s="24" t="s">
        <v>267</v>
      </c>
      <c r="D330" s="24" t="s">
        <v>15</v>
      </c>
      <c r="E330" s="24">
        <v>13</v>
      </c>
      <c r="F330" s="24" t="s">
        <v>41</v>
      </c>
      <c r="G330" s="22">
        <v>16871</v>
      </c>
      <c r="H330" s="22">
        <v>6980</v>
      </c>
      <c r="I330" s="22">
        <v>4517</v>
      </c>
      <c r="J330" s="24" t="s">
        <v>42</v>
      </c>
      <c r="K330" s="22">
        <f>SUM(G330,H330,I330)</f>
        <v>28368</v>
      </c>
      <c r="L330" s="23" t="s">
        <v>629</v>
      </c>
      <c r="M330" s="23" t="str">
        <f>VLOOKUP(L330,スキル!B:C,2,FALSE)</f>
        <v>敵単体に攻撃しつつHP回復[大]</v>
      </c>
      <c r="N330" s="23" t="s">
        <v>18</v>
      </c>
      <c r="O330" s="23" t="str">
        <f>VLOOKUP(N330,スキル!B:C,2,FALSE)</f>
        <v>　</v>
      </c>
      <c r="P330" s="23" t="s">
        <v>56</v>
      </c>
      <c r="Q330" s="23" t="str">
        <f>VLOOKUP(P330,タクティクス!B:C,2,FALSE)</f>
        <v>バトルで敵を全滅するとBPが中回復(バトル3回)</v>
      </c>
      <c r="R330" s="23" t="s">
        <v>18</v>
      </c>
      <c r="S330" s="23" t="str">
        <f>VLOOKUP(R330,タクティクス!B:C,2,FALSE)</f>
        <v>　</v>
      </c>
      <c r="T330" s="23" t="s">
        <v>18</v>
      </c>
      <c r="U330" s="23" t="s">
        <v>18</v>
      </c>
      <c r="V330" s="20" t="s">
        <v>1872</v>
      </c>
    </row>
    <row r="331" spans="1:22" ht="21.75" customHeight="1" x14ac:dyDescent="0.15">
      <c r="A331" s="20" t="str">
        <f>B331&amp;".jpg"</f>
        <v>1581.jpg</v>
      </c>
      <c r="B331" s="46">
        <v>1581</v>
      </c>
      <c r="C331" s="24" t="s">
        <v>268</v>
      </c>
      <c r="D331" s="24" t="s">
        <v>15</v>
      </c>
      <c r="E331" s="24">
        <v>13</v>
      </c>
      <c r="F331" s="24" t="s">
        <v>16</v>
      </c>
      <c r="G331" s="22">
        <v>14835</v>
      </c>
      <c r="H331" s="22">
        <v>7844</v>
      </c>
      <c r="I331" s="22">
        <v>5405</v>
      </c>
      <c r="J331" s="24" t="s">
        <v>17</v>
      </c>
      <c r="K331" s="22">
        <f>SUM(G331,H331,I331)</f>
        <v>28084</v>
      </c>
      <c r="L331" s="23" t="s">
        <v>523</v>
      </c>
      <c r="M331" s="23" t="str">
        <f>VLOOKUP(L331,スキル!B:C,2,FALSE)</f>
        <v>味方斬属性の防御力をUP[大]</v>
      </c>
      <c r="N331" s="23" t="s">
        <v>18</v>
      </c>
      <c r="O331" s="23" t="str">
        <f>VLOOKUP(N331,スキル!B:C,2,FALSE)</f>
        <v>　</v>
      </c>
      <c r="P331" s="23" t="s">
        <v>56</v>
      </c>
      <c r="Q331" s="23" t="str">
        <f>VLOOKUP(P331,タクティクス!B:C,2,FALSE)</f>
        <v>バトルで敵を全滅するとBPが中回復(バトル3回)</v>
      </c>
      <c r="R331" s="23" t="s">
        <v>18</v>
      </c>
      <c r="S331" s="23" t="str">
        <f>VLOOKUP(R331,タクティクス!B:C,2,FALSE)</f>
        <v>　</v>
      </c>
      <c r="T331" s="23" t="s">
        <v>18</v>
      </c>
      <c r="U331" s="23" t="s">
        <v>18</v>
      </c>
      <c r="V331" s="20" t="s">
        <v>1823</v>
      </c>
    </row>
    <row r="332" spans="1:22" ht="21.75" customHeight="1" x14ac:dyDescent="0.15">
      <c r="A332" s="20" t="str">
        <f>B332&amp;".jpg"</f>
        <v>1583.jpg</v>
      </c>
      <c r="B332" s="46">
        <v>1583</v>
      </c>
      <c r="C332" s="24" t="s">
        <v>269</v>
      </c>
      <c r="D332" s="24" t="s">
        <v>150</v>
      </c>
      <c r="E332" s="24">
        <v>14</v>
      </c>
      <c r="F332" s="24" t="s">
        <v>25</v>
      </c>
      <c r="G332" s="22">
        <v>19957</v>
      </c>
      <c r="H332" s="22">
        <v>5940</v>
      </c>
      <c r="I332" s="22">
        <v>6984</v>
      </c>
      <c r="J332" s="24" t="s">
        <v>177</v>
      </c>
      <c r="K332" s="22">
        <f>SUM(G332,H332,I332)</f>
        <v>32881</v>
      </c>
      <c r="L332" s="23" t="s">
        <v>568</v>
      </c>
      <c r="M332" s="23" t="str">
        <f>VLOOKUP(L332,スキル!B:C,2,FALSE)</f>
        <v>縦一列に攻撃[大]</v>
      </c>
      <c r="N332" s="23" t="s">
        <v>18</v>
      </c>
      <c r="O332" s="23" t="str">
        <f>VLOOKUP(N332,スキル!B:C,2,FALSE)</f>
        <v>　</v>
      </c>
      <c r="P332" s="23" t="s">
        <v>152</v>
      </c>
      <c r="Q332" s="23" t="str">
        <f>VLOOKUP(P332,タクティクス!B:C,2,FALSE)</f>
        <v>パーティ全体の攻・防が大UP(3分間)</v>
      </c>
      <c r="R332" s="23" t="s">
        <v>18</v>
      </c>
      <c r="S332" s="23" t="str">
        <f>VLOOKUP(R332,タクティクス!B:C,2,FALSE)</f>
        <v>　</v>
      </c>
      <c r="T332" s="23" t="s">
        <v>18</v>
      </c>
      <c r="U332" s="23" t="s">
        <v>18</v>
      </c>
      <c r="V332" s="20" t="s">
        <v>1823</v>
      </c>
    </row>
    <row r="333" spans="1:22" ht="21.75" customHeight="1" x14ac:dyDescent="0.15">
      <c r="A333" s="20" t="str">
        <f>B333&amp;".jpg"</f>
        <v>1585.jpg</v>
      </c>
      <c r="B333" s="46">
        <v>1585</v>
      </c>
      <c r="C333" s="24" t="s">
        <v>68</v>
      </c>
      <c r="D333" s="24" t="s">
        <v>150</v>
      </c>
      <c r="E333" s="24">
        <v>14</v>
      </c>
      <c r="F333" s="24" t="s">
        <v>34</v>
      </c>
      <c r="G333" s="22">
        <v>23967</v>
      </c>
      <c r="H333" s="22">
        <v>6852</v>
      </c>
      <c r="I333" s="22">
        <v>7855</v>
      </c>
      <c r="J333" s="24" t="s">
        <v>17</v>
      </c>
      <c r="K333" s="22">
        <f>SUM(G333,H333,I333)</f>
        <v>38674</v>
      </c>
      <c r="L333" s="23" t="s">
        <v>771</v>
      </c>
      <c r="M333" s="23" t="str">
        <f>VLOOKUP(L333,スキル!B:C,2,FALSE)</f>
        <v>自分の防御力をUP[特大]</v>
      </c>
      <c r="N333" s="23" t="s">
        <v>18</v>
      </c>
      <c r="O333" s="23" t="str">
        <f>VLOOKUP(N333,スキル!B:C,2,FALSE)</f>
        <v>　</v>
      </c>
      <c r="P333" s="23" t="s">
        <v>270</v>
      </c>
      <c r="Q333" s="23" t="str">
        <f>VLOOKUP(P333,タクティクス!B:C,2,FALSE)</f>
        <v>迎撃時にパーティ全体の攻・防が大UP(3分間)</v>
      </c>
      <c r="R333" s="23" t="s">
        <v>18</v>
      </c>
      <c r="S333" s="23" t="str">
        <f>VLOOKUP(R333,タクティクス!B:C,2,FALSE)</f>
        <v>　</v>
      </c>
      <c r="T333" s="23" t="s">
        <v>18</v>
      </c>
      <c r="U333" s="23" t="s">
        <v>18</v>
      </c>
      <c r="V333" s="20" t="s">
        <v>1823</v>
      </c>
    </row>
    <row r="334" spans="1:22" ht="21.75" customHeight="1" x14ac:dyDescent="0.15">
      <c r="A334" s="20" t="str">
        <f>B334&amp;".jpg"</f>
        <v>1585_a.jpg</v>
      </c>
      <c r="B334" s="21" t="s">
        <v>1443</v>
      </c>
      <c r="C334" s="20" t="s">
        <v>1383</v>
      </c>
      <c r="D334" s="20" t="s">
        <v>1385</v>
      </c>
      <c r="E334" s="20">
        <v>14</v>
      </c>
      <c r="F334" s="24" t="s">
        <v>34</v>
      </c>
      <c r="G334" s="27">
        <v>31149</v>
      </c>
      <c r="H334" s="27">
        <v>9246</v>
      </c>
      <c r="I334" s="27">
        <v>10207</v>
      </c>
      <c r="J334" s="20" t="s">
        <v>1392</v>
      </c>
      <c r="K334" s="22">
        <f>SUM(G334,H334,I334)</f>
        <v>50602</v>
      </c>
      <c r="L334" s="20" t="s">
        <v>1413</v>
      </c>
      <c r="M334" s="23" t="str">
        <f>VLOOKUP(L334,スキル!B:C,2,FALSE)</f>
        <v>自分の防御力をUP[超極大]</v>
      </c>
      <c r="N334" s="20" t="s">
        <v>1396</v>
      </c>
      <c r="O334" s="23" t="str">
        <f>VLOOKUP(N334,スキル!B:C,2,FALSE)</f>
        <v>　</v>
      </c>
      <c r="P334" s="20" t="s">
        <v>1414</v>
      </c>
      <c r="Q334" s="23" t="str">
        <f>VLOOKUP(P334,タクティクス!B:C,2,FALSE)</f>
        <v>迎撃時にパーティ全体の攻・防が大UP(3分間)</v>
      </c>
      <c r="R334" s="20" t="s">
        <v>1396</v>
      </c>
      <c r="S334" s="23" t="str">
        <f>VLOOKUP(R334,タクティクス!B:C,2,FALSE)</f>
        <v>　</v>
      </c>
      <c r="T334" s="20" t="s">
        <v>1433</v>
      </c>
      <c r="U334" s="20" t="s">
        <v>1397</v>
      </c>
      <c r="V334" s="20" t="s">
        <v>1822</v>
      </c>
    </row>
    <row r="335" spans="1:22" ht="21.75" customHeight="1" x14ac:dyDescent="0.15">
      <c r="A335" s="20" t="str">
        <f>B335&amp;".jpg"</f>
        <v>1585_b.jpg</v>
      </c>
      <c r="B335" s="21" t="s">
        <v>1444</v>
      </c>
      <c r="C335" s="20" t="s">
        <v>1383</v>
      </c>
      <c r="D335" s="20" t="s">
        <v>1173</v>
      </c>
      <c r="E335" s="20">
        <v>14</v>
      </c>
      <c r="F335" s="24" t="s">
        <v>34</v>
      </c>
      <c r="G335" s="27">
        <v>29952</v>
      </c>
      <c r="H335" s="27">
        <v>8910</v>
      </c>
      <c r="I335" s="27">
        <v>9829</v>
      </c>
      <c r="J335" s="20" t="s">
        <v>1392</v>
      </c>
      <c r="K335" s="22">
        <f>SUM(G335,H335,I335)</f>
        <v>48691</v>
      </c>
      <c r="L335" s="20" t="s">
        <v>1412</v>
      </c>
      <c r="M335" s="23" t="str">
        <f>VLOOKUP(L335,スキル!B:C,2,FALSE)</f>
        <v>自分の防御力をUP[特大]</v>
      </c>
      <c r="N335" s="20" t="s">
        <v>1396</v>
      </c>
      <c r="O335" s="23" t="str">
        <f>VLOOKUP(N335,スキル!B:C,2,FALSE)</f>
        <v>　</v>
      </c>
      <c r="P335" s="20" t="s">
        <v>1415</v>
      </c>
      <c r="Q335" s="23" t="str">
        <f>VLOOKUP(P335,タクティクス!B:C,2,FALSE)</f>
        <v>迎撃時にパーティ全体の攻・防が極大UP(5分間)</v>
      </c>
      <c r="R335" s="20" t="s">
        <v>1396</v>
      </c>
      <c r="S335" s="23" t="str">
        <f>VLOOKUP(R335,タクティクス!B:C,2,FALSE)</f>
        <v>　</v>
      </c>
      <c r="T335" s="20" t="s">
        <v>1397</v>
      </c>
      <c r="U335" s="20" t="s">
        <v>1397</v>
      </c>
      <c r="V335" s="20" t="s">
        <v>1822</v>
      </c>
    </row>
    <row r="336" spans="1:22" ht="21.75" customHeight="1" x14ac:dyDescent="0.15">
      <c r="A336" s="20" t="str">
        <f>B336&amp;".jpg"</f>
        <v>1587.jpg</v>
      </c>
      <c r="B336" s="46">
        <v>1587</v>
      </c>
      <c r="C336" s="24" t="s">
        <v>271</v>
      </c>
      <c r="D336" s="24" t="s">
        <v>15</v>
      </c>
      <c r="E336" s="24">
        <v>13</v>
      </c>
      <c r="F336" s="24" t="s">
        <v>41</v>
      </c>
      <c r="G336" s="22">
        <v>18813</v>
      </c>
      <c r="H336" s="22">
        <v>5716</v>
      </c>
      <c r="I336" s="22">
        <v>4964</v>
      </c>
      <c r="J336" s="24" t="s">
        <v>42</v>
      </c>
      <c r="K336" s="22">
        <f>SUM(G336,H336,I336)</f>
        <v>29493</v>
      </c>
      <c r="L336" s="23" t="s">
        <v>588</v>
      </c>
      <c r="M336" s="23" t="str">
        <f>VLOOKUP(L336,スキル!B:C,2,FALSE)</f>
        <v>味方1体を蘇生[HP中]</v>
      </c>
      <c r="N336" s="23" t="s">
        <v>18</v>
      </c>
      <c r="O336" s="23" t="str">
        <f>VLOOKUP(N336,スキル!B:C,2,FALSE)</f>
        <v>　</v>
      </c>
      <c r="P336" s="23" t="s">
        <v>216</v>
      </c>
      <c r="Q336" s="23" t="str">
        <f>VLOOKUP(P336,タクティクス!B:C,2,FALSE)</f>
        <v>パーティ全体のスキル発動率が中UP(3分間)</v>
      </c>
      <c r="R336" s="23" t="s">
        <v>18</v>
      </c>
      <c r="S336" s="23" t="str">
        <f>VLOOKUP(R336,タクティクス!B:C,2,FALSE)</f>
        <v>　</v>
      </c>
      <c r="T336" s="23" t="s">
        <v>18</v>
      </c>
      <c r="U336" s="23" t="s">
        <v>18</v>
      </c>
      <c r="V336" s="20" t="s">
        <v>1823</v>
      </c>
    </row>
    <row r="337" spans="1:22" ht="21.75" customHeight="1" x14ac:dyDescent="0.15">
      <c r="A337" s="20" t="str">
        <f>B337&amp;".jpg"</f>
        <v>1589.jpg</v>
      </c>
      <c r="B337" s="46">
        <v>1589</v>
      </c>
      <c r="C337" s="24" t="s">
        <v>43</v>
      </c>
      <c r="D337" s="24" t="s">
        <v>15</v>
      </c>
      <c r="E337" s="24">
        <v>13</v>
      </c>
      <c r="F337" s="24" t="s">
        <v>41</v>
      </c>
      <c r="G337" s="22">
        <v>17473</v>
      </c>
      <c r="H337" s="22">
        <v>6094</v>
      </c>
      <c r="I337" s="22">
        <v>4658</v>
      </c>
      <c r="J337" s="24" t="s">
        <v>42</v>
      </c>
      <c r="K337" s="22">
        <f>SUM(G337,H337,I337)</f>
        <v>28225</v>
      </c>
      <c r="L337" s="23" t="s">
        <v>613</v>
      </c>
      <c r="M337" s="23" t="str">
        <f>VLOOKUP(L337,スキル!B:C,2,FALSE)</f>
        <v>味方遠属性の防御力をUP[大]</v>
      </c>
      <c r="N337" s="23" t="s">
        <v>18</v>
      </c>
      <c r="O337" s="23" t="str">
        <f>VLOOKUP(N337,スキル!B:C,2,FALSE)</f>
        <v>　</v>
      </c>
      <c r="P337" s="23" t="s">
        <v>53</v>
      </c>
      <c r="Q337" s="23" t="str">
        <f>VLOOKUP(P337,タクティクス!B:C,2,FALSE)</f>
        <v>高確率で遠属性のユニットを復帰</v>
      </c>
      <c r="R337" s="23" t="s">
        <v>18</v>
      </c>
      <c r="S337" s="23" t="str">
        <f>VLOOKUP(R337,タクティクス!B:C,2,FALSE)</f>
        <v>　</v>
      </c>
      <c r="T337" s="23" t="s">
        <v>18</v>
      </c>
      <c r="U337" s="23" t="s">
        <v>18</v>
      </c>
      <c r="V337" s="20" t="s">
        <v>1902</v>
      </c>
    </row>
    <row r="338" spans="1:22" ht="21.75" customHeight="1" x14ac:dyDescent="0.15">
      <c r="A338" s="20" t="str">
        <f>B338&amp;".jpg"</f>
        <v>1591.jpg</v>
      </c>
      <c r="B338" s="46">
        <v>1591</v>
      </c>
      <c r="C338" s="24" t="s">
        <v>272</v>
      </c>
      <c r="D338" s="24" t="s">
        <v>15</v>
      </c>
      <c r="E338" s="24">
        <v>13</v>
      </c>
      <c r="F338" s="24" t="s">
        <v>16</v>
      </c>
      <c r="G338" s="22">
        <v>17118</v>
      </c>
      <c r="H338" s="22">
        <v>7875</v>
      </c>
      <c r="I338" s="22">
        <v>4682</v>
      </c>
      <c r="J338" s="24" t="s">
        <v>17</v>
      </c>
      <c r="K338" s="22">
        <f>SUM(G338,H338,I338)</f>
        <v>29675</v>
      </c>
      <c r="L338" s="23" t="s">
        <v>648</v>
      </c>
      <c r="M338" s="23" t="str">
        <f>VLOOKUP(L338,スキル!B:C,2,FALSE)</f>
        <v>横一列攻撃[大]自分の防御力UP[大]</v>
      </c>
      <c r="N338" s="23" t="s">
        <v>18</v>
      </c>
      <c r="O338" s="23" t="str">
        <f>VLOOKUP(N338,スキル!B:C,2,FALSE)</f>
        <v>　</v>
      </c>
      <c r="P338" s="23" t="s">
        <v>224</v>
      </c>
      <c r="Q338" s="23" t="str">
        <f>VLOOKUP(P338,タクティクス!B:C,2,FALSE)</f>
        <v>対戦騎士団全体のスキル発動率が小DOWN(3分間)</v>
      </c>
      <c r="R338" s="23" t="s">
        <v>18</v>
      </c>
      <c r="S338" s="23" t="str">
        <f>VLOOKUP(R338,タクティクス!B:C,2,FALSE)</f>
        <v>　</v>
      </c>
      <c r="T338" s="23" t="s">
        <v>18</v>
      </c>
      <c r="U338" s="23" t="s">
        <v>18</v>
      </c>
      <c r="V338" s="20" t="s">
        <v>1823</v>
      </c>
    </row>
    <row r="339" spans="1:22" ht="21.75" customHeight="1" x14ac:dyDescent="0.15">
      <c r="A339" s="20" t="str">
        <f>B339&amp;".jpg"</f>
        <v>1593.jpg</v>
      </c>
      <c r="B339" s="46">
        <v>1593</v>
      </c>
      <c r="C339" s="24" t="s">
        <v>273</v>
      </c>
      <c r="D339" s="24" t="s">
        <v>150</v>
      </c>
      <c r="E339" s="24">
        <v>14</v>
      </c>
      <c r="F339" s="24" t="s">
        <v>25</v>
      </c>
      <c r="G339" s="22">
        <v>17849</v>
      </c>
      <c r="H339" s="22">
        <v>6101</v>
      </c>
      <c r="I339" s="22">
        <v>7437</v>
      </c>
      <c r="J339" s="24" t="s">
        <v>177</v>
      </c>
      <c r="K339" s="22">
        <f>SUM(G339,H339,I339)</f>
        <v>31387</v>
      </c>
      <c r="L339" s="23" t="s">
        <v>743</v>
      </c>
      <c r="M339" s="23" t="str">
        <f>VLOOKUP(L339,スキル!B:C,2,FALSE)</f>
        <v>味方突属性の攻撃力をUP[特大]</v>
      </c>
      <c r="N339" s="23" t="s">
        <v>18</v>
      </c>
      <c r="O339" s="23" t="str">
        <f>VLOOKUP(N339,スキル!B:C,2,FALSE)</f>
        <v>　</v>
      </c>
      <c r="P339" s="23" t="s">
        <v>274</v>
      </c>
      <c r="Q339" s="23" t="str">
        <f>VLOOKUP(P339,タクティクス!B:C,2,FALSE)</f>
        <v>パーティ全体の攻撃力・速度が中UP(3分間)</v>
      </c>
      <c r="R339" s="23" t="s">
        <v>18</v>
      </c>
      <c r="S339" s="23" t="str">
        <f>VLOOKUP(R339,タクティクス!B:C,2,FALSE)</f>
        <v>　</v>
      </c>
      <c r="T339" s="23" t="s">
        <v>18</v>
      </c>
      <c r="U339" s="23" t="s">
        <v>18</v>
      </c>
      <c r="V339" s="20" t="s">
        <v>1823</v>
      </c>
    </row>
    <row r="340" spans="1:22" ht="21.75" customHeight="1" x14ac:dyDescent="0.15">
      <c r="A340" s="20" t="str">
        <f>B340&amp;".jpg"</f>
        <v>1595.jpg</v>
      </c>
      <c r="B340" s="46">
        <v>1595</v>
      </c>
      <c r="C340" s="24" t="s">
        <v>275</v>
      </c>
      <c r="D340" s="24" t="s">
        <v>150</v>
      </c>
      <c r="E340" s="24">
        <v>14</v>
      </c>
      <c r="F340" s="24" t="s">
        <v>34</v>
      </c>
      <c r="G340" s="22">
        <v>23079</v>
      </c>
      <c r="H340" s="22">
        <v>6595</v>
      </c>
      <c r="I340" s="22">
        <v>8551</v>
      </c>
      <c r="J340" s="24" t="s">
        <v>17</v>
      </c>
      <c r="K340" s="22">
        <f>SUM(G340,H340,I340)</f>
        <v>38225</v>
      </c>
      <c r="L340" s="24" t="s">
        <v>755</v>
      </c>
      <c r="M340" s="23" t="str">
        <f>VLOOKUP(L340,スキル!B:C,2,FALSE)</f>
        <v>遠に強く打に弱いX字型攻撃[特大]</v>
      </c>
      <c r="N340" s="23" t="s">
        <v>18</v>
      </c>
      <c r="O340" s="23" t="str">
        <f>VLOOKUP(N340,スキル!B:C,2,FALSE)</f>
        <v>　</v>
      </c>
      <c r="P340" s="23" t="s">
        <v>192</v>
      </c>
      <c r="Q340" s="23" t="str">
        <f>VLOOKUP(P340,タクティクス!B:C,2,FALSE)</f>
        <v>パーティ全体の防御力が大UP(3分間)</v>
      </c>
      <c r="R340" s="23" t="s">
        <v>18</v>
      </c>
      <c r="S340" s="23" t="str">
        <f>VLOOKUP(R340,タクティクス!B:C,2,FALSE)</f>
        <v>　</v>
      </c>
      <c r="T340" s="23" t="s">
        <v>18</v>
      </c>
      <c r="U340" s="23" t="s">
        <v>18</v>
      </c>
      <c r="V340" s="20" t="s">
        <v>1823</v>
      </c>
    </row>
    <row r="341" spans="1:22" ht="21.75" customHeight="1" x14ac:dyDescent="0.15">
      <c r="A341" s="20" t="str">
        <f>B341&amp;".jpg"</f>
        <v>1597.jpg</v>
      </c>
      <c r="B341" s="46">
        <v>1597</v>
      </c>
      <c r="C341" s="24" t="s">
        <v>276</v>
      </c>
      <c r="D341" s="24" t="s">
        <v>15</v>
      </c>
      <c r="E341" s="24">
        <v>13</v>
      </c>
      <c r="F341" s="24" t="s">
        <v>41</v>
      </c>
      <c r="G341" s="22">
        <v>16753</v>
      </c>
      <c r="H341" s="22">
        <v>5840</v>
      </c>
      <c r="I341" s="22">
        <v>5380</v>
      </c>
      <c r="J341" s="24" t="s">
        <v>42</v>
      </c>
      <c r="K341" s="22">
        <f>SUM(G341,H341,I341)</f>
        <v>27973</v>
      </c>
      <c r="L341" s="23" t="s">
        <v>641</v>
      </c>
      <c r="M341" s="23" t="str">
        <f>VLOOKUP(L341,スキル!B:C,2,FALSE)</f>
        <v>味方全体の攻撃力と防御力をUP[中]</v>
      </c>
      <c r="N341" s="23" t="s">
        <v>18</v>
      </c>
      <c r="O341" s="23" t="str">
        <f>VLOOKUP(N341,スキル!B:C,2,FALSE)</f>
        <v>　</v>
      </c>
      <c r="P341" s="23" t="s">
        <v>113</v>
      </c>
      <c r="Q341" s="23" t="str">
        <f>VLOOKUP(P341,タクティクス!B:C,2,FALSE)</f>
        <v>城の強度Lvが小UP(3分間)</v>
      </c>
      <c r="R341" s="23" t="s">
        <v>18</v>
      </c>
      <c r="S341" s="23" t="str">
        <f>VLOOKUP(R341,タクティクス!B:C,2,FALSE)</f>
        <v>　</v>
      </c>
      <c r="T341" s="23" t="s">
        <v>18</v>
      </c>
      <c r="U341" s="23" t="s">
        <v>18</v>
      </c>
      <c r="V341" s="20" t="s">
        <v>1823</v>
      </c>
    </row>
    <row r="342" spans="1:22" ht="21.75" customHeight="1" x14ac:dyDescent="0.15">
      <c r="A342" s="20" t="str">
        <f>B342&amp;".jpg"</f>
        <v>1599.jpg</v>
      </c>
      <c r="B342" s="46">
        <v>1599</v>
      </c>
      <c r="C342" s="24" t="s">
        <v>277</v>
      </c>
      <c r="D342" s="24" t="s">
        <v>150</v>
      </c>
      <c r="E342" s="24">
        <v>14</v>
      </c>
      <c r="F342" s="24" t="s">
        <v>41</v>
      </c>
      <c r="G342" s="22">
        <v>19292</v>
      </c>
      <c r="H342" s="22">
        <v>6733</v>
      </c>
      <c r="I342" s="22">
        <v>5752</v>
      </c>
      <c r="J342" s="24" t="s">
        <v>55</v>
      </c>
      <c r="K342" s="22">
        <f>SUM(G342,H342,I342)</f>
        <v>31777</v>
      </c>
      <c r="L342" s="23" t="s">
        <v>772</v>
      </c>
      <c r="M342" s="23" t="str">
        <f>VLOOKUP(L342,スキル!B:C,2,FALSE)</f>
        <v>味方全体の攻撃力と防御力をUP[大]</v>
      </c>
      <c r="N342" s="23" t="s">
        <v>18</v>
      </c>
      <c r="O342" s="23" t="str">
        <f>VLOOKUP(N342,スキル!B:C,2,FALSE)</f>
        <v>　</v>
      </c>
      <c r="P342" s="23" t="s">
        <v>178</v>
      </c>
      <c r="Q342" s="23" t="str">
        <f>VLOOKUP(P342,タクティクス!B:C,2,FALSE)</f>
        <v>パーティ全体の攻撃力が大UP(3分間)</v>
      </c>
      <c r="R342" s="23" t="s">
        <v>18</v>
      </c>
      <c r="S342" s="23" t="str">
        <f>VLOOKUP(R342,タクティクス!B:C,2,FALSE)</f>
        <v>　</v>
      </c>
      <c r="T342" s="23" t="s">
        <v>18</v>
      </c>
      <c r="U342" s="23" t="s">
        <v>18</v>
      </c>
      <c r="V342" s="20" t="s">
        <v>1878</v>
      </c>
    </row>
    <row r="343" spans="1:22" ht="21.75" customHeight="1" x14ac:dyDescent="0.15">
      <c r="A343" s="20" t="str">
        <f>B343&amp;".jpg"</f>
        <v>1602.jpg</v>
      </c>
      <c r="B343" s="46">
        <v>1602</v>
      </c>
      <c r="C343" s="24" t="s">
        <v>278</v>
      </c>
      <c r="D343" s="24" t="s">
        <v>150</v>
      </c>
      <c r="E343" s="24">
        <v>14</v>
      </c>
      <c r="F343" s="24" t="s">
        <v>16</v>
      </c>
      <c r="G343" s="22">
        <v>17921</v>
      </c>
      <c r="H343" s="22">
        <v>8240</v>
      </c>
      <c r="I343" s="22">
        <v>5797</v>
      </c>
      <c r="J343" s="24" t="s">
        <v>151</v>
      </c>
      <c r="K343" s="22">
        <f>SUM(G343,H343,I343)</f>
        <v>31958</v>
      </c>
      <c r="L343" s="23" t="s">
        <v>774</v>
      </c>
      <c r="M343" s="23" t="str">
        <f>VLOOKUP(L343,スキル!B:C,2,FALSE)</f>
        <v>味方斬属性の防御力をUP[特大]</v>
      </c>
      <c r="N343" s="23" t="s">
        <v>18</v>
      </c>
      <c r="O343" s="23" t="str">
        <f>VLOOKUP(N343,スキル!B:C,2,FALSE)</f>
        <v>　</v>
      </c>
      <c r="P343" s="23" t="s">
        <v>180</v>
      </c>
      <c r="Q343" s="23" t="str">
        <f>VLOOKUP(P343,タクティクス!B:C,2,FALSE)</f>
        <v>獲得する騎士団戦スコアが大アップ(バトル3回)</v>
      </c>
      <c r="R343" s="23" t="s">
        <v>18</v>
      </c>
      <c r="S343" s="23" t="str">
        <f>VLOOKUP(R343,タクティクス!B:C,2,FALSE)</f>
        <v>　</v>
      </c>
      <c r="T343" s="23" t="s">
        <v>18</v>
      </c>
      <c r="U343" s="23" t="s">
        <v>18</v>
      </c>
      <c r="V343" s="20" t="s">
        <v>1899</v>
      </c>
    </row>
    <row r="344" spans="1:22" ht="21.75" customHeight="1" x14ac:dyDescent="0.15">
      <c r="A344" s="20" t="str">
        <f>B344&amp;".jpg"</f>
        <v>1604.jpg</v>
      </c>
      <c r="B344" s="46">
        <v>1604</v>
      </c>
      <c r="C344" s="24" t="s">
        <v>279</v>
      </c>
      <c r="D344" s="24" t="s">
        <v>15</v>
      </c>
      <c r="E344" s="24">
        <v>12</v>
      </c>
      <c r="F344" s="24" t="s">
        <v>16</v>
      </c>
      <c r="G344" s="22">
        <v>14352</v>
      </c>
      <c r="H344" s="22">
        <v>6600</v>
      </c>
      <c r="I344" s="22">
        <v>5347</v>
      </c>
      <c r="J344" s="24" t="s">
        <v>17</v>
      </c>
      <c r="K344" s="22">
        <f>SUM(G344,H344,I344)</f>
        <v>26299</v>
      </c>
      <c r="L344" s="23" t="s">
        <v>637</v>
      </c>
      <c r="M344" s="23" t="str">
        <f>VLOOKUP(L344,スキル!B:C,2,FALSE)</f>
        <v>打に強く遠に弱い縦一列攻撃[大]</v>
      </c>
      <c r="N344" s="23" t="s">
        <v>18</v>
      </c>
      <c r="O344" s="23" t="str">
        <f>VLOOKUP(N344,スキル!B:C,2,FALSE)</f>
        <v>　</v>
      </c>
      <c r="P344" s="23" t="s">
        <v>280</v>
      </c>
      <c r="Q344" s="23" t="str">
        <f>VLOOKUP(P344,タクティクス!B:C,2,FALSE)</f>
        <v>CB時に獲得ポイント中UP＆BPが中回復(3回)</v>
      </c>
      <c r="R344" s="23" t="s">
        <v>18</v>
      </c>
      <c r="S344" s="23" t="str">
        <f>VLOOKUP(R344,タクティクス!B:C,2,FALSE)</f>
        <v>　</v>
      </c>
      <c r="T344" s="23" t="s">
        <v>18</v>
      </c>
      <c r="U344" s="23" t="s">
        <v>18</v>
      </c>
      <c r="V344" s="20" t="s">
        <v>1845</v>
      </c>
    </row>
    <row r="345" spans="1:22" ht="21.75" customHeight="1" x14ac:dyDescent="0.15">
      <c r="A345" s="20" t="str">
        <f>B345&amp;".jpg"</f>
        <v>1605.jpg</v>
      </c>
      <c r="B345" s="46">
        <v>1605</v>
      </c>
      <c r="C345" s="24" t="s">
        <v>279</v>
      </c>
      <c r="D345" s="24" t="s">
        <v>15</v>
      </c>
      <c r="E345" s="24">
        <v>13</v>
      </c>
      <c r="F345" s="24" t="s">
        <v>16</v>
      </c>
      <c r="G345" s="22">
        <v>15632</v>
      </c>
      <c r="H345" s="22">
        <v>7188</v>
      </c>
      <c r="I345" s="22">
        <v>5670</v>
      </c>
      <c r="J345" s="24" t="s">
        <v>17</v>
      </c>
      <c r="K345" s="22">
        <f>SUM(G345,H345,I345)</f>
        <v>28490</v>
      </c>
      <c r="L345" s="23" t="s">
        <v>637</v>
      </c>
      <c r="M345" s="23" t="str">
        <f>VLOOKUP(L345,スキル!B:C,2,FALSE)</f>
        <v>打に強く遠に弱い縦一列攻撃[大]</v>
      </c>
      <c r="N345" s="23" t="s">
        <v>18</v>
      </c>
      <c r="O345" s="23" t="str">
        <f>VLOOKUP(N345,スキル!B:C,2,FALSE)</f>
        <v>　</v>
      </c>
      <c r="P345" s="23" t="s">
        <v>280</v>
      </c>
      <c r="Q345" s="23" t="str">
        <f>VLOOKUP(P345,タクティクス!B:C,2,FALSE)</f>
        <v>CB時に獲得ポイント中UP＆BPが中回復(3回)</v>
      </c>
      <c r="R345" s="23" t="s">
        <v>18</v>
      </c>
      <c r="S345" s="23" t="str">
        <f>VLOOKUP(R345,タクティクス!B:C,2,FALSE)</f>
        <v>　</v>
      </c>
      <c r="T345" s="23" t="s">
        <v>18</v>
      </c>
      <c r="U345" s="23" t="s">
        <v>18</v>
      </c>
      <c r="V345" s="20" t="s">
        <v>1845</v>
      </c>
    </row>
    <row r="346" spans="1:22" ht="21.75" customHeight="1" x14ac:dyDescent="0.15">
      <c r="A346" s="20" t="str">
        <f>B346&amp;".jpg"</f>
        <v>1606.jpg</v>
      </c>
      <c r="B346" s="46">
        <v>1606</v>
      </c>
      <c r="C346" s="24" t="s">
        <v>279</v>
      </c>
      <c r="D346" s="24" t="s">
        <v>150</v>
      </c>
      <c r="E346" s="24">
        <v>14</v>
      </c>
      <c r="F346" s="24" t="s">
        <v>16</v>
      </c>
      <c r="G346" s="22">
        <v>16504</v>
      </c>
      <c r="H346" s="22">
        <v>7590</v>
      </c>
      <c r="I346" s="22">
        <v>6977</v>
      </c>
      <c r="J346" s="24" t="s">
        <v>151</v>
      </c>
      <c r="K346" s="22">
        <f>SUM(G346,H346,I346)</f>
        <v>31071</v>
      </c>
      <c r="L346" s="23" t="s">
        <v>715</v>
      </c>
      <c r="M346" s="23" t="str">
        <f>VLOOKUP(L346,スキル!B:C,2,FALSE)</f>
        <v>打に強く遠に弱い縦一列攻撃[特大]</v>
      </c>
      <c r="N346" s="23" t="s">
        <v>18</v>
      </c>
      <c r="O346" s="23" t="str">
        <f>VLOOKUP(N346,スキル!B:C,2,FALSE)</f>
        <v>　</v>
      </c>
      <c r="P346" s="23" t="s">
        <v>281</v>
      </c>
      <c r="Q346" s="23" t="str">
        <f>VLOOKUP(P346,タクティクス!B:C,2,FALSE)</f>
        <v>CB時に獲得ポイント大UP＆BPが大回復(3回)</v>
      </c>
      <c r="R346" s="23" t="s">
        <v>18</v>
      </c>
      <c r="S346" s="23" t="str">
        <f>VLOOKUP(R346,タクティクス!B:C,2,FALSE)</f>
        <v>　</v>
      </c>
      <c r="T346" s="23" t="s">
        <v>18</v>
      </c>
      <c r="U346" s="23" t="s">
        <v>18</v>
      </c>
      <c r="V346" s="20" t="s">
        <v>1845</v>
      </c>
    </row>
    <row r="347" spans="1:22" ht="21.75" customHeight="1" x14ac:dyDescent="0.15">
      <c r="A347" s="20" t="str">
        <f>B347&amp;".jpg"</f>
        <v>1608.jpg</v>
      </c>
      <c r="B347" s="46">
        <v>1608</v>
      </c>
      <c r="C347" s="24" t="s">
        <v>159</v>
      </c>
      <c r="D347" s="24" t="s">
        <v>150</v>
      </c>
      <c r="E347" s="24">
        <v>14</v>
      </c>
      <c r="F347" s="24" t="s">
        <v>16</v>
      </c>
      <c r="G347" s="22">
        <v>17646</v>
      </c>
      <c r="H347" s="22">
        <v>8113</v>
      </c>
      <c r="I347" s="22">
        <v>6197</v>
      </c>
      <c r="J347" s="24" t="s">
        <v>151</v>
      </c>
      <c r="K347" s="22">
        <f>SUM(G347,H347,I347)</f>
        <v>31956</v>
      </c>
      <c r="L347" s="23" t="s">
        <v>776</v>
      </c>
      <c r="M347" s="23" t="str">
        <f>VLOOKUP(L347,スキル!B:C,2,FALSE)</f>
        <v>味方斬属性の攻撃力をUP[特大]</v>
      </c>
      <c r="N347" s="23" t="s">
        <v>18</v>
      </c>
      <c r="O347" s="23" t="str">
        <f>VLOOKUP(N347,スキル!B:C,2,FALSE)</f>
        <v>　</v>
      </c>
      <c r="P347" s="23" t="s">
        <v>185</v>
      </c>
      <c r="Q347" s="23" t="str">
        <f>VLOOKUP(P347,タクティクス!B:C,2,FALSE)</f>
        <v>バトル時の強襲CB率が中UP(3分間)</v>
      </c>
      <c r="R347" s="23" t="s">
        <v>18</v>
      </c>
      <c r="S347" s="23" t="str">
        <f>VLOOKUP(R347,タクティクス!B:C,2,FALSE)</f>
        <v>　</v>
      </c>
      <c r="T347" s="23" t="s">
        <v>18</v>
      </c>
      <c r="U347" s="23" t="s">
        <v>18</v>
      </c>
      <c r="V347" s="20" t="s">
        <v>1823</v>
      </c>
    </row>
    <row r="348" spans="1:22" ht="21.75" customHeight="1" x14ac:dyDescent="0.15">
      <c r="A348" s="20" t="str">
        <f>B348&amp;".jpg"</f>
        <v>1610.jpg</v>
      </c>
      <c r="B348" s="46">
        <v>1610</v>
      </c>
      <c r="C348" s="24" t="s">
        <v>67</v>
      </c>
      <c r="D348" s="24" t="s">
        <v>150</v>
      </c>
      <c r="E348" s="24">
        <v>14</v>
      </c>
      <c r="F348" s="24" t="s">
        <v>25</v>
      </c>
      <c r="G348" s="22">
        <v>18971</v>
      </c>
      <c r="H348" s="22">
        <v>5977</v>
      </c>
      <c r="I348" s="22">
        <v>6569</v>
      </c>
      <c r="J348" s="24" t="s">
        <v>282</v>
      </c>
      <c r="K348" s="22">
        <f>SUM(G348,H348,I348)</f>
        <v>31517</v>
      </c>
      <c r="L348" s="23" t="s">
        <v>747</v>
      </c>
      <c r="M348" s="23" t="str">
        <f>VLOOKUP(L348,スキル!B:C,2,FALSE)</f>
        <v>打に強く遠に弱い横一列攻撃[特大]</v>
      </c>
      <c r="N348" s="23" t="s">
        <v>18</v>
      </c>
      <c r="O348" s="23" t="str">
        <f>VLOOKUP(N348,スキル!B:C,2,FALSE)</f>
        <v>　</v>
      </c>
      <c r="P348" s="23" t="s">
        <v>226</v>
      </c>
      <c r="Q348" s="23" t="str">
        <f>VLOOKUP(P348,タクティクス!B:C,2,FALSE)</f>
        <v>バトルで獲得する騎士団戦スコアが大アップ(3分間)</v>
      </c>
      <c r="R348" s="23" t="s">
        <v>18</v>
      </c>
      <c r="S348" s="23" t="str">
        <f>VLOOKUP(R348,タクティクス!B:C,2,FALSE)</f>
        <v>　</v>
      </c>
      <c r="T348" s="23" t="s">
        <v>18</v>
      </c>
      <c r="U348" s="23" t="s">
        <v>18</v>
      </c>
      <c r="V348" s="20" t="s">
        <v>1823</v>
      </c>
    </row>
    <row r="349" spans="1:22" ht="21.75" customHeight="1" x14ac:dyDescent="0.15">
      <c r="A349" s="20" t="str">
        <f>B349&amp;".jpg"</f>
        <v>1612.jpg</v>
      </c>
      <c r="B349" s="46">
        <v>1612</v>
      </c>
      <c r="C349" s="24" t="s">
        <v>283</v>
      </c>
      <c r="D349" s="24" t="s">
        <v>15</v>
      </c>
      <c r="E349" s="24">
        <v>13</v>
      </c>
      <c r="F349" s="24" t="s">
        <v>34</v>
      </c>
      <c r="G349" s="22">
        <v>18998</v>
      </c>
      <c r="H349" s="22">
        <v>6213</v>
      </c>
      <c r="I349" s="22">
        <v>6784</v>
      </c>
      <c r="J349" s="24" t="s">
        <v>35</v>
      </c>
      <c r="K349" s="22">
        <f>SUM(G349,H349,I349)</f>
        <v>31995</v>
      </c>
      <c r="L349" s="24" t="s">
        <v>719</v>
      </c>
      <c r="M349" s="23" t="str">
        <f>VLOOKUP(L349,スキル!B:C,2,FALSE)</f>
        <v>X字型攻撃[大]自分の防御力UP[大]</v>
      </c>
      <c r="N349" s="23" t="s">
        <v>18</v>
      </c>
      <c r="O349" s="23" t="str">
        <f>VLOOKUP(N349,スキル!B:C,2,FALSE)</f>
        <v>　</v>
      </c>
      <c r="P349" s="23" t="s">
        <v>51</v>
      </c>
      <c r="Q349" s="23" t="str">
        <f>VLOOKUP(P349,タクティクス!B:C,2,FALSE)</f>
        <v>獲得する騎士団戦スコアが中アップ(バトル3回)</v>
      </c>
      <c r="R349" s="23" t="s">
        <v>18</v>
      </c>
      <c r="S349" s="23" t="str">
        <f>VLOOKUP(R349,タクティクス!B:C,2,FALSE)</f>
        <v>　</v>
      </c>
      <c r="T349" s="23" t="s">
        <v>18</v>
      </c>
      <c r="U349" s="23" t="s">
        <v>18</v>
      </c>
      <c r="V349" s="20" t="s">
        <v>1823</v>
      </c>
    </row>
    <row r="350" spans="1:22" ht="21.75" customHeight="1" x14ac:dyDescent="0.15">
      <c r="A350" s="20" t="str">
        <f>B350&amp;".jpg"</f>
        <v>1614.jpg</v>
      </c>
      <c r="B350" s="46">
        <v>1614</v>
      </c>
      <c r="C350" s="24" t="s">
        <v>48</v>
      </c>
      <c r="D350" s="24" t="s">
        <v>15</v>
      </c>
      <c r="E350" s="24">
        <v>13</v>
      </c>
      <c r="F350" s="24" t="s">
        <v>41</v>
      </c>
      <c r="G350" s="22">
        <v>18813</v>
      </c>
      <c r="H350" s="22">
        <v>6566</v>
      </c>
      <c r="I350" s="22">
        <v>4325</v>
      </c>
      <c r="J350" s="24" t="s">
        <v>42</v>
      </c>
      <c r="K350" s="22">
        <f>SUM(G350,H350,I350)</f>
        <v>29704</v>
      </c>
      <c r="L350" s="23" t="s">
        <v>645</v>
      </c>
      <c r="M350" s="23" t="str">
        <f>VLOOKUP(L350,スキル!B:C,2,FALSE)</f>
        <v>縦一列攻撃[大]自分の攻撃力UP[大]</v>
      </c>
      <c r="N350" s="23" t="s">
        <v>18</v>
      </c>
      <c r="O350" s="23" t="str">
        <f>VLOOKUP(N350,スキル!B:C,2,FALSE)</f>
        <v>　</v>
      </c>
      <c r="P350" s="23" t="s">
        <v>83</v>
      </c>
      <c r="Q350" s="23" t="str">
        <f>VLOOKUP(P350,タクティクス!B:C,2,FALSE)</f>
        <v>騎士団全体の攻・防が小UP(3分間)</v>
      </c>
      <c r="R350" s="23" t="s">
        <v>18</v>
      </c>
      <c r="S350" s="23" t="str">
        <f>VLOOKUP(R350,タクティクス!B:C,2,FALSE)</f>
        <v>　</v>
      </c>
      <c r="T350" s="23" t="s">
        <v>18</v>
      </c>
      <c r="U350" s="23" t="s">
        <v>18</v>
      </c>
      <c r="V350" s="20" t="s">
        <v>1823</v>
      </c>
    </row>
    <row r="351" spans="1:22" ht="21.75" customHeight="1" x14ac:dyDescent="0.15">
      <c r="A351" s="20" t="str">
        <f>B351&amp;".jpg"</f>
        <v>1615.jpg</v>
      </c>
      <c r="B351" s="46">
        <v>1615</v>
      </c>
      <c r="C351" s="24" t="s">
        <v>284</v>
      </c>
      <c r="D351" s="24" t="s">
        <v>15</v>
      </c>
      <c r="E351" s="24">
        <v>13</v>
      </c>
      <c r="F351" s="24" t="s">
        <v>25</v>
      </c>
      <c r="G351" s="22">
        <v>16379</v>
      </c>
      <c r="H351" s="22">
        <v>5646</v>
      </c>
      <c r="I351" s="22">
        <v>6204</v>
      </c>
      <c r="J351" s="24" t="s">
        <v>26</v>
      </c>
      <c r="K351" s="22">
        <f>SUM(G351,H351,I351)</f>
        <v>28229</v>
      </c>
      <c r="L351" s="23" t="s">
        <v>635</v>
      </c>
      <c r="M351" s="23" t="str">
        <f>VLOOKUP(L351,スキル!B:C,2,FALSE)</f>
        <v>単体攻撃（宝箱優先／追加ダメージ）[大]</v>
      </c>
      <c r="N351" s="23" t="s">
        <v>18</v>
      </c>
      <c r="O351" s="23" t="str">
        <f>VLOOKUP(N351,スキル!B:C,2,FALSE)</f>
        <v>　</v>
      </c>
      <c r="P351" s="23" t="s">
        <v>27</v>
      </c>
      <c r="Q351" s="23" t="str">
        <f>VLOOKUP(P351,タクティクス!B:C,2,FALSE)</f>
        <v>パーティ全体の防御力が中UP(3分間)</v>
      </c>
      <c r="R351" s="23" t="s">
        <v>18</v>
      </c>
      <c r="S351" s="23" t="str">
        <f>VLOOKUP(R351,タクティクス!B:C,2,FALSE)</f>
        <v>　</v>
      </c>
      <c r="T351" s="23" t="s">
        <v>18</v>
      </c>
      <c r="U351" s="23" t="s">
        <v>18</v>
      </c>
      <c r="V351" s="20" t="s">
        <v>1825</v>
      </c>
    </row>
    <row r="352" spans="1:22" ht="21.75" customHeight="1" x14ac:dyDescent="0.15">
      <c r="A352" s="20" t="str">
        <f>B352&amp;".jpg"</f>
        <v>1617.jpg</v>
      </c>
      <c r="B352" s="46">
        <v>1617</v>
      </c>
      <c r="C352" s="24" t="s">
        <v>285</v>
      </c>
      <c r="D352" s="24" t="s">
        <v>150</v>
      </c>
      <c r="E352" s="24">
        <v>14</v>
      </c>
      <c r="F352" s="24" t="s">
        <v>16</v>
      </c>
      <c r="G352" s="22">
        <v>16877</v>
      </c>
      <c r="H352" s="22">
        <v>7824</v>
      </c>
      <c r="I352" s="22">
        <v>6753</v>
      </c>
      <c r="J352" s="24" t="s">
        <v>151</v>
      </c>
      <c r="K352" s="22">
        <f>SUM(G352,H352,I352)</f>
        <v>31454</v>
      </c>
      <c r="L352" s="23" t="s">
        <v>778</v>
      </c>
      <c r="M352" s="23" t="str">
        <f>VLOOKUP(L352,スキル!B:C,2,FALSE)</f>
        <v>横一列攻撃[特大]自分の防御力UP[特大]</v>
      </c>
      <c r="N352" s="23" t="s">
        <v>18</v>
      </c>
      <c r="O352" s="23" t="str">
        <f>VLOOKUP(N352,スキル!B:C,2,FALSE)</f>
        <v>　</v>
      </c>
      <c r="P352" s="23" t="s">
        <v>286</v>
      </c>
      <c r="Q352" s="23" t="str">
        <f>VLOOKUP(P352,タクティクス!B:C,2,FALSE)</f>
        <v>対戦騎士団全体のスキル発動率が中DOWN(3分間)</v>
      </c>
      <c r="R352" s="23" t="s">
        <v>18</v>
      </c>
      <c r="S352" s="23" t="str">
        <f>VLOOKUP(R352,タクティクス!B:C,2,FALSE)</f>
        <v>　</v>
      </c>
      <c r="T352" s="23" t="s">
        <v>18</v>
      </c>
      <c r="U352" s="23" t="s">
        <v>18</v>
      </c>
      <c r="V352" s="20" t="s">
        <v>1827</v>
      </c>
    </row>
    <row r="353" spans="1:22" ht="21.75" customHeight="1" x14ac:dyDescent="0.15">
      <c r="A353" s="20" t="str">
        <f>B353&amp;".jpg"</f>
        <v>1619.jpg</v>
      </c>
      <c r="B353" s="46">
        <v>1619</v>
      </c>
      <c r="C353" s="24" t="s">
        <v>149</v>
      </c>
      <c r="D353" s="24" t="s">
        <v>150</v>
      </c>
      <c r="E353" s="24">
        <v>14</v>
      </c>
      <c r="F353" s="24" t="s">
        <v>16</v>
      </c>
      <c r="G353" s="22">
        <v>16183</v>
      </c>
      <c r="H353" s="22">
        <v>7437</v>
      </c>
      <c r="I353" s="22">
        <v>7116</v>
      </c>
      <c r="J353" s="24" t="s">
        <v>151</v>
      </c>
      <c r="K353" s="22">
        <f>SUM(G353,H353,I353)</f>
        <v>30736</v>
      </c>
      <c r="L353" s="23" t="s">
        <v>664</v>
      </c>
      <c r="M353" s="23" t="str">
        <f>VLOOKUP(L353,スキル!B:C,2,FALSE)</f>
        <v>縦一列に攻撃[特大]</v>
      </c>
      <c r="N353" s="23" t="s">
        <v>18</v>
      </c>
      <c r="O353" s="23" t="str">
        <f>VLOOKUP(N353,スキル!B:C,2,FALSE)</f>
        <v>　</v>
      </c>
      <c r="P353" s="23" t="s">
        <v>287</v>
      </c>
      <c r="Q353" s="23" t="str">
        <f>VLOOKUP(P353,タクティクス!B:C,2,FALSE)</f>
        <v>騎士団全体の攻・防が中UP(3分間)</v>
      </c>
      <c r="R353" s="23" t="s">
        <v>18</v>
      </c>
      <c r="S353" s="23" t="str">
        <f>VLOOKUP(R353,タクティクス!B:C,2,FALSE)</f>
        <v>　</v>
      </c>
      <c r="T353" s="23" t="s">
        <v>18</v>
      </c>
      <c r="U353" s="23" t="s">
        <v>18</v>
      </c>
      <c r="V353" s="20" t="s">
        <v>1899</v>
      </c>
    </row>
    <row r="354" spans="1:22" ht="21.75" customHeight="1" x14ac:dyDescent="0.15">
      <c r="A354" s="20" t="str">
        <f>B354&amp;".jpg"</f>
        <v>1619_a.jpg</v>
      </c>
      <c r="B354" s="21" t="s">
        <v>1486</v>
      </c>
      <c r="C354" s="20" t="s">
        <v>1493</v>
      </c>
      <c r="D354" s="20" t="s">
        <v>1499</v>
      </c>
      <c r="E354" s="20">
        <v>14</v>
      </c>
      <c r="F354" s="20" t="s">
        <v>1338</v>
      </c>
      <c r="G354" s="27">
        <v>22504</v>
      </c>
      <c r="H354" s="27">
        <v>11091</v>
      </c>
      <c r="I354" s="27">
        <v>8607</v>
      </c>
      <c r="J354" s="20" t="s">
        <v>1506</v>
      </c>
      <c r="K354" s="22">
        <f>SUM(G354,H354,I354)</f>
        <v>42202</v>
      </c>
      <c r="L354" s="20" t="s">
        <v>1529</v>
      </c>
      <c r="M354" s="23" t="str">
        <f>VLOOKUP(L354,スキル!B:C,2,FALSE)</f>
        <v>縦一列に攻撃[超極大]</v>
      </c>
      <c r="N354" s="20" t="s">
        <v>1518</v>
      </c>
      <c r="O354" s="23" t="str">
        <f>VLOOKUP(N354,スキル!B:C,2,FALSE)</f>
        <v>　</v>
      </c>
      <c r="P354" s="20" t="s">
        <v>287</v>
      </c>
      <c r="Q354" s="23" t="str">
        <f>VLOOKUP(P354,タクティクス!B:C,2,FALSE)</f>
        <v>騎士団全体の攻・防が中UP(3分間)</v>
      </c>
      <c r="R354" s="20" t="s">
        <v>1515</v>
      </c>
      <c r="S354" s="23" t="str">
        <f>VLOOKUP(R354,タクティクス!B:C,2,FALSE)</f>
        <v>　</v>
      </c>
      <c r="T354" s="20" t="s">
        <v>1520</v>
      </c>
      <c r="U354" s="20" t="s">
        <v>1519</v>
      </c>
      <c r="V354" s="20" t="s">
        <v>1822</v>
      </c>
    </row>
    <row r="355" spans="1:22" ht="21.75" customHeight="1" x14ac:dyDescent="0.15">
      <c r="A355" s="20" t="str">
        <f>B355&amp;".jpg"</f>
        <v>1619_b.jpg</v>
      </c>
      <c r="B355" s="21" t="s">
        <v>1487</v>
      </c>
      <c r="C355" s="20" t="s">
        <v>1494</v>
      </c>
      <c r="D355" s="20" t="s">
        <v>1173</v>
      </c>
      <c r="E355" s="20">
        <v>14</v>
      </c>
      <c r="F355" s="20" t="s">
        <v>1338</v>
      </c>
      <c r="G355" s="27">
        <v>21685</v>
      </c>
      <c r="H355" s="27">
        <v>10713</v>
      </c>
      <c r="I355" s="27">
        <v>8250</v>
      </c>
      <c r="J355" s="20" t="s">
        <v>1505</v>
      </c>
      <c r="K355" s="22">
        <f>SUM(G355,H355,I355)</f>
        <v>40648</v>
      </c>
      <c r="L355" s="20" t="s">
        <v>664</v>
      </c>
      <c r="M355" s="23" t="str">
        <f>VLOOKUP(L355,スキル!B:C,2,FALSE)</f>
        <v>縦一列に攻撃[特大]</v>
      </c>
      <c r="N355" s="20" t="s">
        <v>1515</v>
      </c>
      <c r="O355" s="23" t="str">
        <f>VLOOKUP(N355,スキル!B:C,2,FALSE)</f>
        <v>　</v>
      </c>
      <c r="P355" s="20" t="s">
        <v>1536</v>
      </c>
      <c r="Q355" s="23" t="str">
        <f>VLOOKUP(P355,タクティクス!B:C,2,FALSE)</f>
        <v>騎士団全体の攻・防が特大UP(3分間)</v>
      </c>
      <c r="R355" s="20" t="s">
        <v>1011</v>
      </c>
      <c r="S355" s="23" t="str">
        <f>VLOOKUP(R355,タクティクス!B:C,2,FALSE)</f>
        <v>　</v>
      </c>
      <c r="T355" s="20" t="s">
        <v>1519</v>
      </c>
      <c r="U355" s="20" t="s">
        <v>1519</v>
      </c>
      <c r="V355" s="20" t="s">
        <v>1822</v>
      </c>
    </row>
    <row r="356" spans="1:22" ht="21.75" customHeight="1" x14ac:dyDescent="0.15">
      <c r="A356" s="20" t="str">
        <f>B356&amp;".jpg"</f>
        <v>1621.jpg</v>
      </c>
      <c r="B356" s="46">
        <v>1621</v>
      </c>
      <c r="C356" s="24" t="s">
        <v>64</v>
      </c>
      <c r="D356" s="24" t="s">
        <v>150</v>
      </c>
      <c r="E356" s="24">
        <v>14</v>
      </c>
      <c r="F356" s="24" t="s">
        <v>25</v>
      </c>
      <c r="G356" s="22">
        <v>18512</v>
      </c>
      <c r="H356" s="22">
        <v>6331</v>
      </c>
      <c r="I356" s="22">
        <v>7176</v>
      </c>
      <c r="J356" s="24" t="s">
        <v>177</v>
      </c>
      <c r="K356" s="22">
        <f>SUM(G356,H356,I356)</f>
        <v>32019</v>
      </c>
      <c r="L356" s="23" t="s">
        <v>779</v>
      </c>
      <c r="M356" s="23" t="str">
        <f>VLOOKUP(L356,スキル!B:C,2,FALSE)</f>
        <v>敵全体の攻撃力をDOWN[特大]</v>
      </c>
      <c r="N356" s="23" t="s">
        <v>18</v>
      </c>
      <c r="O356" s="23" t="str">
        <f>VLOOKUP(N356,スキル!B:C,2,FALSE)</f>
        <v>　</v>
      </c>
      <c r="P356" s="23" t="s">
        <v>274</v>
      </c>
      <c r="Q356" s="23" t="str">
        <f>VLOOKUP(P356,タクティクス!B:C,2,FALSE)</f>
        <v>パーティ全体の攻撃力・速度が中UP(3分間)</v>
      </c>
      <c r="R356" s="23" t="s">
        <v>18</v>
      </c>
      <c r="S356" s="23" t="str">
        <f>VLOOKUP(R356,タクティクス!B:C,2,FALSE)</f>
        <v>　</v>
      </c>
      <c r="T356" s="23" t="s">
        <v>18</v>
      </c>
      <c r="U356" s="23" t="s">
        <v>18</v>
      </c>
      <c r="V356" s="20" t="s">
        <v>1899</v>
      </c>
    </row>
    <row r="357" spans="1:22" ht="21.75" customHeight="1" x14ac:dyDescent="0.15">
      <c r="A357" s="20" t="str">
        <f>B357&amp;".jpg"</f>
        <v>1621_a.jpg</v>
      </c>
      <c r="B357" s="46" t="s">
        <v>1117</v>
      </c>
      <c r="C357" s="24" t="s">
        <v>64</v>
      </c>
      <c r="D357" s="24" t="s">
        <v>150</v>
      </c>
      <c r="E357" s="24">
        <v>14</v>
      </c>
      <c r="F357" s="24" t="s">
        <v>25</v>
      </c>
      <c r="G357" s="22">
        <v>24056</v>
      </c>
      <c r="H357" s="22">
        <v>7906</v>
      </c>
      <c r="I357" s="22">
        <v>9696</v>
      </c>
      <c r="J357" s="24" t="s">
        <v>456</v>
      </c>
      <c r="K357" s="22">
        <f>SUM(G357,H357,I357)</f>
        <v>41658</v>
      </c>
      <c r="L357" s="23" t="s">
        <v>951</v>
      </c>
      <c r="M357" s="23" t="str">
        <f>VLOOKUP(L357,スキル!B:C,2,FALSE)</f>
        <v>敵全体の攻撃力をDOWN[極大]</v>
      </c>
      <c r="N357" s="23" t="s">
        <v>18</v>
      </c>
      <c r="O357" s="23" t="str">
        <f>VLOOKUP(N357,スキル!B:C,2,FALSE)</f>
        <v>　</v>
      </c>
      <c r="P357" s="23" t="s">
        <v>274</v>
      </c>
      <c r="Q357" s="23" t="str">
        <f>VLOOKUP(P357,タクティクス!B:C,2,FALSE)</f>
        <v>パーティ全体の攻撃力・速度が中UP(3分間)</v>
      </c>
      <c r="R357" s="23" t="s">
        <v>18</v>
      </c>
      <c r="S357" s="23" t="str">
        <f>VLOOKUP(R357,タクティクス!B:C,2,FALSE)</f>
        <v>　</v>
      </c>
      <c r="T357" s="23" t="s">
        <v>18</v>
      </c>
      <c r="U357" s="23" t="s">
        <v>18</v>
      </c>
      <c r="V357" s="20" t="s">
        <v>1822</v>
      </c>
    </row>
    <row r="358" spans="1:22" ht="21.75" customHeight="1" x14ac:dyDescent="0.15">
      <c r="A358" s="20" t="str">
        <f>B358&amp;".jpg"</f>
        <v>1621_b.jpg</v>
      </c>
      <c r="B358" s="46" t="s">
        <v>1118</v>
      </c>
      <c r="C358" s="24" t="s">
        <v>64</v>
      </c>
      <c r="D358" s="24" t="s">
        <v>150</v>
      </c>
      <c r="E358" s="24">
        <v>14</v>
      </c>
      <c r="F358" s="24" t="s">
        <v>25</v>
      </c>
      <c r="G358" s="22">
        <v>22208</v>
      </c>
      <c r="H358" s="22">
        <v>7591</v>
      </c>
      <c r="I358" s="22">
        <v>8604</v>
      </c>
      <c r="J358" s="24" t="s">
        <v>456</v>
      </c>
      <c r="K358" s="22">
        <f>SUM(G358,H358,I358)</f>
        <v>38403</v>
      </c>
      <c r="L358" s="23" t="s">
        <v>779</v>
      </c>
      <c r="M358" s="23" t="str">
        <f>VLOOKUP(L358,スキル!B:C,2,FALSE)</f>
        <v>敵全体の攻撃力をDOWN[特大]</v>
      </c>
      <c r="N358" s="23" t="s">
        <v>18</v>
      </c>
      <c r="O358" s="23" t="str">
        <f>VLOOKUP(N358,スキル!B:C,2,FALSE)</f>
        <v>　</v>
      </c>
      <c r="P358" s="23" t="s">
        <v>1114</v>
      </c>
      <c r="Q358" s="23" t="str">
        <f>VLOOKUP(P358,タクティクス!B:C,2,FALSE)</f>
        <v>パーティ全体の攻撃力極大UP・速度が中UP(4分間)</v>
      </c>
      <c r="R358" s="23" t="s">
        <v>18</v>
      </c>
      <c r="S358" s="23" t="str">
        <f>VLOOKUP(R358,タクティクス!B:C,2,FALSE)</f>
        <v>　</v>
      </c>
      <c r="T358" s="23" t="s">
        <v>18</v>
      </c>
      <c r="U358" s="23" t="s">
        <v>18</v>
      </c>
      <c r="V358" s="20" t="s">
        <v>1822</v>
      </c>
    </row>
    <row r="359" spans="1:22" ht="21.75" customHeight="1" x14ac:dyDescent="0.15">
      <c r="A359" s="20" t="str">
        <f>B359&amp;".jpg"</f>
        <v>1625.jpg</v>
      </c>
      <c r="B359" s="46">
        <v>1625</v>
      </c>
      <c r="C359" s="24" t="s">
        <v>107</v>
      </c>
      <c r="D359" s="24" t="s">
        <v>15</v>
      </c>
      <c r="E359" s="24">
        <v>13</v>
      </c>
      <c r="F359" s="24" t="s">
        <v>34</v>
      </c>
      <c r="G359" s="22">
        <v>17961</v>
      </c>
      <c r="H359" s="22">
        <v>6580</v>
      </c>
      <c r="I359" s="22">
        <v>6416</v>
      </c>
      <c r="J359" s="24" t="s">
        <v>35</v>
      </c>
      <c r="K359" s="22">
        <f>SUM(G359,H359,I359)</f>
        <v>30957</v>
      </c>
      <c r="L359" s="23" t="s">
        <v>677</v>
      </c>
      <c r="M359" s="23" t="str">
        <f>VLOOKUP(L359,スキル!B:C,2,FALSE)</f>
        <v>ランダムで2～5連撃。攻撃毎に与ダメ2倍[低確率]</v>
      </c>
      <c r="N359" s="23" t="s">
        <v>18</v>
      </c>
      <c r="O359" s="23" t="str">
        <f>VLOOKUP(N359,スキル!B:C,2,FALSE)</f>
        <v>　</v>
      </c>
      <c r="P359" s="23" t="s">
        <v>23</v>
      </c>
      <c r="Q359" s="23" t="str">
        <f>VLOOKUP(P359,タクティクス!B:C,2,FALSE)</f>
        <v>パーティ全体の攻撃力が中UP(3分間)</v>
      </c>
      <c r="R359" s="23" t="s">
        <v>18</v>
      </c>
      <c r="S359" s="23" t="str">
        <f>VLOOKUP(R359,タクティクス!B:C,2,FALSE)</f>
        <v>　</v>
      </c>
      <c r="T359" s="23" t="s">
        <v>18</v>
      </c>
      <c r="U359" s="23" t="s">
        <v>18</v>
      </c>
      <c r="V359" s="20" t="s">
        <v>1899</v>
      </c>
    </row>
    <row r="360" spans="1:22" ht="21.75" customHeight="1" x14ac:dyDescent="0.15">
      <c r="A360" s="20" t="str">
        <f>B360&amp;".jpg"</f>
        <v>1627.jpg</v>
      </c>
      <c r="B360" s="46">
        <v>1627</v>
      </c>
      <c r="C360" s="24" t="s">
        <v>45</v>
      </c>
      <c r="D360" s="24" t="s">
        <v>15</v>
      </c>
      <c r="E360" s="24">
        <v>13</v>
      </c>
      <c r="F360" s="24" t="s">
        <v>41</v>
      </c>
      <c r="G360" s="22">
        <v>16457</v>
      </c>
      <c r="H360" s="22">
        <v>6586</v>
      </c>
      <c r="I360" s="22">
        <v>4953</v>
      </c>
      <c r="J360" s="24" t="s">
        <v>42</v>
      </c>
      <c r="K360" s="22">
        <f>SUM(G360,H360,I360)</f>
        <v>27996</v>
      </c>
      <c r="L360" s="23" t="s">
        <v>609</v>
      </c>
      <c r="M360" s="23" t="str">
        <f>VLOOKUP(L360,スキル!B:C,2,FALSE)</f>
        <v>単体固定ダメージ[中]+味方状態異常解除</v>
      </c>
      <c r="N360" s="23" t="s">
        <v>18</v>
      </c>
      <c r="O360" s="23" t="str">
        <f>VLOOKUP(N360,スキル!B:C,2,FALSE)</f>
        <v>　</v>
      </c>
      <c r="P360" s="23" t="s">
        <v>280</v>
      </c>
      <c r="Q360" s="23" t="str">
        <f>VLOOKUP(P360,タクティクス!B:C,2,FALSE)</f>
        <v>CB時に獲得ポイント中UP＆BPが中回復(3回)</v>
      </c>
      <c r="R360" s="23" t="s">
        <v>18</v>
      </c>
      <c r="S360" s="23" t="str">
        <f>VLOOKUP(R360,タクティクス!B:C,2,FALSE)</f>
        <v>　</v>
      </c>
      <c r="T360" s="23" t="s">
        <v>18</v>
      </c>
      <c r="U360" s="23" t="s">
        <v>18</v>
      </c>
      <c r="V360" s="20" t="s">
        <v>1899</v>
      </c>
    </row>
    <row r="361" spans="1:22" ht="21.75" customHeight="1" x14ac:dyDescent="0.15">
      <c r="A361" s="20" t="str">
        <f>B361&amp;".jpg"</f>
        <v>1629.jpg</v>
      </c>
      <c r="B361" s="46">
        <v>1629</v>
      </c>
      <c r="C361" s="24" t="s">
        <v>288</v>
      </c>
      <c r="D361" s="24" t="s">
        <v>15</v>
      </c>
      <c r="E361" s="24">
        <v>13</v>
      </c>
      <c r="F361" s="24" t="s">
        <v>16</v>
      </c>
      <c r="G361" s="22">
        <v>14922</v>
      </c>
      <c r="H361" s="22">
        <v>7885</v>
      </c>
      <c r="I361" s="22">
        <v>5374</v>
      </c>
      <c r="J361" s="24" t="s">
        <v>17</v>
      </c>
      <c r="K361" s="22">
        <f>SUM(G361,H361,I361)</f>
        <v>28181</v>
      </c>
      <c r="L361" s="23" t="s">
        <v>662</v>
      </c>
      <c r="M361" s="23" t="str">
        <f>VLOOKUP(L361,スキル!B:C,2,FALSE)</f>
        <v>遠に強く打に弱い横一列攻撃[大]</v>
      </c>
      <c r="N361" s="23" t="s">
        <v>18</v>
      </c>
      <c r="O361" s="23" t="str">
        <f>VLOOKUP(N361,スキル!B:C,2,FALSE)</f>
        <v>　</v>
      </c>
      <c r="P361" s="23" t="s">
        <v>168</v>
      </c>
      <c r="Q361" s="23" t="str">
        <f>VLOOKUP(P361,タクティクス!B:C,2,FALSE)</f>
        <v>強襲CBの発生確率・強襲時獲得ポイント中UP(3回)</v>
      </c>
      <c r="R361" s="23" t="s">
        <v>18</v>
      </c>
      <c r="S361" s="23" t="str">
        <f>VLOOKUP(R361,タクティクス!B:C,2,FALSE)</f>
        <v>　</v>
      </c>
      <c r="T361" s="23" t="s">
        <v>18</v>
      </c>
      <c r="U361" s="23" t="s">
        <v>18</v>
      </c>
      <c r="V361" s="20" t="s">
        <v>1823</v>
      </c>
    </row>
    <row r="362" spans="1:22" ht="21.75" customHeight="1" x14ac:dyDescent="0.15">
      <c r="A362" s="20" t="str">
        <f>B362&amp;".jpg"</f>
        <v>1631.jpg</v>
      </c>
      <c r="B362" s="46">
        <v>1631</v>
      </c>
      <c r="C362" s="24" t="s">
        <v>289</v>
      </c>
      <c r="D362" s="24" t="s">
        <v>15</v>
      </c>
      <c r="E362" s="24">
        <v>13</v>
      </c>
      <c r="F362" s="24" t="s">
        <v>25</v>
      </c>
      <c r="G362" s="22">
        <v>19488</v>
      </c>
      <c r="H362" s="22">
        <v>5798</v>
      </c>
      <c r="I362" s="22">
        <v>5243</v>
      </c>
      <c r="J362" s="24" t="s">
        <v>26</v>
      </c>
      <c r="K362" s="22">
        <f>SUM(G362,H362,I362)</f>
        <v>30529</v>
      </c>
      <c r="L362" s="23" t="s">
        <v>615</v>
      </c>
      <c r="M362" s="23" t="str">
        <f>VLOOKUP(L362,スキル!B:C,2,FALSE)</f>
        <v>味方突属性の攻撃力と防御力をUP[大]</v>
      </c>
      <c r="N362" s="23" t="s">
        <v>18</v>
      </c>
      <c r="O362" s="23" t="str">
        <f>VLOOKUP(N362,スキル!B:C,2,FALSE)</f>
        <v>　</v>
      </c>
      <c r="P362" s="23" t="s">
        <v>56</v>
      </c>
      <c r="Q362" s="23" t="str">
        <f>VLOOKUP(P362,タクティクス!B:C,2,FALSE)</f>
        <v>バトルで敵を全滅するとBPが中回復(バトル3回)</v>
      </c>
      <c r="R362" s="23" t="s">
        <v>18</v>
      </c>
      <c r="S362" s="23" t="str">
        <f>VLOOKUP(R362,タクティクス!B:C,2,FALSE)</f>
        <v>　</v>
      </c>
      <c r="T362" s="23" t="s">
        <v>18</v>
      </c>
      <c r="U362" s="23" t="s">
        <v>18</v>
      </c>
      <c r="V362" s="20" t="s">
        <v>1823</v>
      </c>
    </row>
    <row r="363" spans="1:22" ht="21.75" customHeight="1" x14ac:dyDescent="0.15">
      <c r="A363" s="20" t="str">
        <f>B363&amp;".jpg"</f>
        <v>1633.jpg</v>
      </c>
      <c r="B363" s="46">
        <v>1633</v>
      </c>
      <c r="C363" s="24" t="s">
        <v>290</v>
      </c>
      <c r="D363" s="24" t="s">
        <v>150</v>
      </c>
      <c r="E363" s="24">
        <v>14</v>
      </c>
      <c r="F363" s="24" t="s">
        <v>34</v>
      </c>
      <c r="G363" s="22">
        <v>23204</v>
      </c>
      <c r="H363" s="22">
        <v>6631</v>
      </c>
      <c r="I363" s="22">
        <v>8508</v>
      </c>
      <c r="J363" s="24" t="s">
        <v>17</v>
      </c>
      <c r="K363" s="22">
        <f>SUM(G363,H363,I363)</f>
        <v>38343</v>
      </c>
      <c r="L363" s="24" t="s">
        <v>691</v>
      </c>
      <c r="M363" s="23" t="str">
        <f>VLOOKUP(L363,スキル!B:C,2,FALSE)</f>
        <v>横一列に攻撃[特大]</v>
      </c>
      <c r="N363" s="23" t="s">
        <v>18</v>
      </c>
      <c r="O363" s="23" t="str">
        <f>VLOOKUP(N363,スキル!B:C,2,FALSE)</f>
        <v>　</v>
      </c>
      <c r="P363" s="23" t="s">
        <v>270</v>
      </c>
      <c r="Q363" s="23" t="str">
        <f>VLOOKUP(P363,タクティクス!B:C,2,FALSE)</f>
        <v>迎撃時にパーティ全体の攻・防が大UP(3分間)</v>
      </c>
      <c r="R363" s="23" t="s">
        <v>18</v>
      </c>
      <c r="S363" s="23" t="str">
        <f>VLOOKUP(R363,タクティクス!B:C,2,FALSE)</f>
        <v>　</v>
      </c>
      <c r="T363" s="23" t="s">
        <v>18</v>
      </c>
      <c r="U363" s="23" t="s">
        <v>18</v>
      </c>
      <c r="V363" s="20" t="s">
        <v>1823</v>
      </c>
    </row>
    <row r="364" spans="1:22" ht="21.75" customHeight="1" x14ac:dyDescent="0.15">
      <c r="A364" s="20" t="str">
        <f>B364&amp;".jpg"</f>
        <v>1635.jpg</v>
      </c>
      <c r="B364" s="46">
        <v>1635</v>
      </c>
      <c r="C364" s="24" t="s">
        <v>291</v>
      </c>
      <c r="D364" s="24" t="s">
        <v>150</v>
      </c>
      <c r="E364" s="24">
        <v>14</v>
      </c>
      <c r="F364" s="24" t="s">
        <v>41</v>
      </c>
      <c r="G364" s="22">
        <v>18437</v>
      </c>
      <c r="H364" s="22">
        <v>6435</v>
      </c>
      <c r="I364" s="22">
        <v>6345</v>
      </c>
      <c r="J364" s="24" t="s">
        <v>55</v>
      </c>
      <c r="K364" s="22">
        <f>SUM(G364,H364,I364)</f>
        <v>31217</v>
      </c>
      <c r="L364" s="23" t="s">
        <v>767</v>
      </c>
      <c r="M364" s="23" t="str">
        <f>VLOOKUP(L364,スキル!B:C,2,FALSE)</f>
        <v>味方全員のHPを回復[大]</v>
      </c>
      <c r="N364" s="23" t="s">
        <v>18</v>
      </c>
      <c r="O364" s="23" t="str">
        <f>VLOOKUP(N364,スキル!B:C,2,FALSE)</f>
        <v>　</v>
      </c>
      <c r="P364" s="23" t="s">
        <v>180</v>
      </c>
      <c r="Q364" s="23" t="str">
        <f>VLOOKUP(P364,タクティクス!B:C,2,FALSE)</f>
        <v>獲得する騎士団戦スコアが大アップ(バトル3回)</v>
      </c>
      <c r="R364" s="23" t="s">
        <v>18</v>
      </c>
      <c r="S364" s="23" t="str">
        <f>VLOOKUP(R364,タクティクス!B:C,2,FALSE)</f>
        <v>　</v>
      </c>
      <c r="T364" s="23" t="s">
        <v>18</v>
      </c>
      <c r="U364" s="23" t="s">
        <v>18</v>
      </c>
      <c r="V364" s="20" t="s">
        <v>1823</v>
      </c>
    </row>
    <row r="365" spans="1:22" ht="21.75" customHeight="1" x14ac:dyDescent="0.15">
      <c r="A365" s="20" t="str">
        <f>B365&amp;".jpg"</f>
        <v>1639.jpg</v>
      </c>
      <c r="B365" s="46">
        <v>1639</v>
      </c>
      <c r="C365" s="24" t="s">
        <v>292</v>
      </c>
      <c r="D365" s="24" t="s">
        <v>15</v>
      </c>
      <c r="E365" s="24">
        <v>13</v>
      </c>
      <c r="F365" s="24" t="s">
        <v>41</v>
      </c>
      <c r="G365" s="22">
        <v>17094</v>
      </c>
      <c r="H365" s="22">
        <v>6310</v>
      </c>
      <c r="I365" s="22">
        <v>4483</v>
      </c>
      <c r="J365" s="24" t="s">
        <v>26</v>
      </c>
      <c r="K365" s="22">
        <f>SUM(G365,H365,I365)</f>
        <v>27887</v>
      </c>
      <c r="L365" s="23" t="s">
        <v>559</v>
      </c>
      <c r="M365" s="23" t="str">
        <f>VLOOKUP(L365,スキル!B:C,2,FALSE)</f>
        <v>敵全体に固定ダメージ[大]</v>
      </c>
      <c r="N365" s="23" t="s">
        <v>18</v>
      </c>
      <c r="O365" s="23" t="str">
        <f>VLOOKUP(N365,スキル!B:C,2,FALSE)</f>
        <v>　</v>
      </c>
      <c r="P365" s="23" t="s">
        <v>214</v>
      </c>
      <c r="Q365" s="23" t="str">
        <f>VLOOKUP(P365,タクティクス!B:C,2,FALSE)</f>
        <v>パーティ全体の速度が中UP(3分間)</v>
      </c>
      <c r="R365" s="23" t="s">
        <v>18</v>
      </c>
      <c r="S365" s="23" t="str">
        <f>VLOOKUP(R365,タクティクス!B:C,2,FALSE)</f>
        <v>　</v>
      </c>
      <c r="T365" s="23" t="s">
        <v>18</v>
      </c>
      <c r="U365" s="23" t="s">
        <v>18</v>
      </c>
      <c r="V365" s="20" t="s">
        <v>1877</v>
      </c>
    </row>
    <row r="366" spans="1:22" ht="21.75" customHeight="1" x14ac:dyDescent="0.15">
      <c r="A366" s="20" t="str">
        <f>B366&amp;".jpg"</f>
        <v>1642.jpg</v>
      </c>
      <c r="B366" s="46">
        <v>1642</v>
      </c>
      <c r="C366" s="24" t="s">
        <v>30</v>
      </c>
      <c r="D366" s="24" t="s">
        <v>15</v>
      </c>
      <c r="E366" s="24">
        <v>13</v>
      </c>
      <c r="F366" s="24" t="s">
        <v>25</v>
      </c>
      <c r="G366" s="22">
        <v>17495</v>
      </c>
      <c r="H366" s="22">
        <v>5509</v>
      </c>
      <c r="I366" s="22">
        <v>5476</v>
      </c>
      <c r="J366" s="24" t="s">
        <v>31</v>
      </c>
      <c r="K366" s="22">
        <f>SUM(G366,H366,I366)</f>
        <v>28480</v>
      </c>
      <c r="L366" s="23" t="s">
        <v>527</v>
      </c>
      <c r="M366" s="23" t="str">
        <f>VLOOKUP(L366,スキル!B:C,2,FALSE)</f>
        <v>ランダムで5連固定ダメージ[小]</v>
      </c>
      <c r="N366" s="23" t="s">
        <v>18</v>
      </c>
      <c r="O366" s="23" t="str">
        <f>VLOOKUP(N366,スキル!B:C,2,FALSE)</f>
        <v>　</v>
      </c>
      <c r="P366" s="23" t="s">
        <v>122</v>
      </c>
      <c r="Q366" s="23" t="str">
        <f>VLOOKUP(P366,タクティクス!B:C,2,FALSE)</f>
        <v>攻撃される確率が中DOWN(3分間)</v>
      </c>
      <c r="R366" s="23" t="s">
        <v>18</v>
      </c>
      <c r="S366" s="23" t="str">
        <f>VLOOKUP(R366,タクティクス!B:C,2,FALSE)</f>
        <v>　</v>
      </c>
      <c r="T366" s="23" t="s">
        <v>18</v>
      </c>
      <c r="U366" s="23" t="s">
        <v>18</v>
      </c>
      <c r="V366" s="20" t="s">
        <v>1902</v>
      </c>
    </row>
    <row r="367" spans="1:22" ht="21.75" customHeight="1" x14ac:dyDescent="0.15">
      <c r="A367" s="20" t="str">
        <f>B367&amp;".jpg"</f>
        <v>1643.jpg</v>
      </c>
      <c r="B367" s="46">
        <v>1643</v>
      </c>
      <c r="C367" s="24" t="s">
        <v>80</v>
      </c>
      <c r="D367" s="24" t="s">
        <v>150</v>
      </c>
      <c r="E367" s="24">
        <v>14</v>
      </c>
      <c r="F367" s="24" t="s">
        <v>25</v>
      </c>
      <c r="G367" s="22">
        <v>18374</v>
      </c>
      <c r="H367" s="22">
        <v>6280</v>
      </c>
      <c r="I367" s="22">
        <v>7231</v>
      </c>
      <c r="J367" s="24" t="s">
        <v>177</v>
      </c>
      <c r="K367" s="22">
        <f>SUM(G367,H367,I367)</f>
        <v>31885</v>
      </c>
      <c r="L367" s="23" t="s">
        <v>756</v>
      </c>
      <c r="M367" s="23" t="str">
        <f>VLOOKUP(L367,スキル!B:C,2,FALSE)</f>
        <v>単体固定ダメージ[大]+敵ステータスUP解除</v>
      </c>
      <c r="N367" s="23" t="s">
        <v>18</v>
      </c>
      <c r="O367" s="23" t="str">
        <f>VLOOKUP(N367,スキル!B:C,2,FALSE)</f>
        <v>　</v>
      </c>
      <c r="P367" s="23" t="s">
        <v>293</v>
      </c>
      <c r="Q367" s="23" t="str">
        <f>VLOOKUP(P367,タクティクス!B:C,2,FALSE)</f>
        <v>騎士団全体の防御力が中UP(3分間)</v>
      </c>
      <c r="R367" s="23" t="s">
        <v>18</v>
      </c>
      <c r="S367" s="23" t="str">
        <f>VLOOKUP(R367,タクティクス!B:C,2,FALSE)</f>
        <v>　</v>
      </c>
      <c r="T367" s="23" t="s">
        <v>18</v>
      </c>
      <c r="U367" s="23" t="s">
        <v>18</v>
      </c>
      <c r="V367" s="20" t="s">
        <v>1899</v>
      </c>
    </row>
    <row r="368" spans="1:22" ht="21.75" customHeight="1" x14ac:dyDescent="0.15">
      <c r="A368" s="20" t="str">
        <f>B368&amp;".jpg"</f>
        <v>1644.jpg</v>
      </c>
      <c r="B368" s="46">
        <v>1644</v>
      </c>
      <c r="C368" s="24" t="s">
        <v>111</v>
      </c>
      <c r="D368" s="24" t="s">
        <v>150</v>
      </c>
      <c r="E368" s="24">
        <v>14</v>
      </c>
      <c r="F368" s="24" t="s">
        <v>16</v>
      </c>
      <c r="G368" s="22">
        <v>18658</v>
      </c>
      <c r="H368" s="22">
        <v>7468</v>
      </c>
      <c r="I368" s="22">
        <v>6414</v>
      </c>
      <c r="J368" s="24" t="s">
        <v>151</v>
      </c>
      <c r="K368" s="22">
        <f>SUM(G368,H368,I368)</f>
        <v>32540</v>
      </c>
      <c r="L368" s="23" t="s">
        <v>781</v>
      </c>
      <c r="M368" s="23" t="str">
        <f>VLOOKUP(L368,スキル!B:C,2,FALSE)</f>
        <v>縦一列攻撃[特大]自分の防御力UP[特大]</v>
      </c>
      <c r="N368" s="23" t="s">
        <v>18</v>
      </c>
      <c r="O368" s="23" t="str">
        <f>VLOOKUP(N368,スキル!B:C,2,FALSE)</f>
        <v>　</v>
      </c>
      <c r="P368" s="23" t="s">
        <v>181</v>
      </c>
      <c r="Q368" s="23" t="str">
        <f>VLOOKUP(P368,タクティクス!B:C,2,FALSE)</f>
        <v>騎士団全体の強襲CB率が小UP(3分間)</v>
      </c>
      <c r="R368" s="23" t="s">
        <v>18</v>
      </c>
      <c r="S368" s="23" t="str">
        <f>VLOOKUP(R368,タクティクス!B:C,2,FALSE)</f>
        <v>　</v>
      </c>
      <c r="T368" s="23" t="s">
        <v>18</v>
      </c>
      <c r="U368" s="23" t="s">
        <v>18</v>
      </c>
      <c r="V368" s="20" t="s">
        <v>1899</v>
      </c>
    </row>
    <row r="369" spans="1:22" ht="21.75" customHeight="1" x14ac:dyDescent="0.15">
      <c r="A369" s="20" t="str">
        <f>B369&amp;".jpg"</f>
        <v>1644_a.jpg</v>
      </c>
      <c r="B369" s="46" t="s">
        <v>1119</v>
      </c>
      <c r="C369" s="24" t="s">
        <v>111</v>
      </c>
      <c r="D369" s="24" t="s">
        <v>150</v>
      </c>
      <c r="E369" s="24">
        <v>14</v>
      </c>
      <c r="F369" s="24" t="s">
        <v>16</v>
      </c>
      <c r="G369" s="22">
        <v>24265</v>
      </c>
      <c r="H369" s="22">
        <v>9337</v>
      </c>
      <c r="I369" s="22">
        <v>8661</v>
      </c>
      <c r="J369" s="24" t="s">
        <v>177</v>
      </c>
      <c r="K369" s="22">
        <f>SUM(G369,H369,I369)</f>
        <v>42263</v>
      </c>
      <c r="L369" s="23" t="s">
        <v>952</v>
      </c>
      <c r="M369" s="23" t="str">
        <f>VLOOKUP(L369,スキル!B:C,2,FALSE)</f>
        <v>縦一列攻撃[極大]自分の防御力UP[特大]</v>
      </c>
      <c r="N369" s="23" t="s">
        <v>18</v>
      </c>
      <c r="O369" s="23" t="str">
        <f>VLOOKUP(N369,スキル!B:C,2,FALSE)</f>
        <v>　</v>
      </c>
      <c r="P369" s="23" t="s">
        <v>181</v>
      </c>
      <c r="Q369" s="23" t="str">
        <f>VLOOKUP(P369,タクティクス!B:C,2,FALSE)</f>
        <v>騎士団全体の強襲CB率が小UP(3分間)</v>
      </c>
      <c r="R369" s="23" t="s">
        <v>18</v>
      </c>
      <c r="S369" s="23" t="str">
        <f>VLOOKUP(R369,タクティクス!B:C,2,FALSE)</f>
        <v>　</v>
      </c>
      <c r="T369" s="23" t="s">
        <v>18</v>
      </c>
      <c r="U369" s="23" t="s">
        <v>18</v>
      </c>
      <c r="V369" s="20" t="s">
        <v>1822</v>
      </c>
    </row>
    <row r="370" spans="1:22" ht="21.75" customHeight="1" x14ac:dyDescent="0.15">
      <c r="A370" s="20" t="str">
        <f>B370&amp;".jpg"</f>
        <v>1644_b.jpg</v>
      </c>
      <c r="B370" s="46" t="s">
        <v>1120</v>
      </c>
      <c r="C370" s="24" t="s">
        <v>111</v>
      </c>
      <c r="D370" s="24" t="s">
        <v>150</v>
      </c>
      <c r="E370" s="24">
        <v>14</v>
      </c>
      <c r="F370" s="24" t="s">
        <v>16</v>
      </c>
      <c r="G370" s="22">
        <v>22396</v>
      </c>
      <c r="H370" s="22">
        <v>8959</v>
      </c>
      <c r="I370" s="22">
        <v>7695</v>
      </c>
      <c r="J370" s="24" t="s">
        <v>177</v>
      </c>
      <c r="K370" s="22">
        <f>SUM(G370,H370,I370)</f>
        <v>39050</v>
      </c>
      <c r="L370" s="23" t="s">
        <v>781</v>
      </c>
      <c r="M370" s="23" t="str">
        <f>VLOOKUP(L370,スキル!B:C,2,FALSE)</f>
        <v>縦一列攻撃[特大]自分の防御力UP[特大]</v>
      </c>
      <c r="N370" s="23" t="s">
        <v>18</v>
      </c>
      <c r="O370" s="23" t="str">
        <f>VLOOKUP(N370,スキル!B:C,2,FALSE)</f>
        <v>　</v>
      </c>
      <c r="P370" s="23" t="s">
        <v>996</v>
      </c>
      <c r="Q370" s="23" t="str">
        <f>VLOOKUP(P370,タクティクス!B:C,2,FALSE)</f>
        <v>騎士団全体の強襲率が大UP(3分間)</v>
      </c>
      <c r="R370" s="23" t="s">
        <v>18</v>
      </c>
      <c r="S370" s="23" t="str">
        <f>VLOOKUP(R370,タクティクス!B:C,2,FALSE)</f>
        <v>　</v>
      </c>
      <c r="T370" s="23" t="s">
        <v>18</v>
      </c>
      <c r="U370" s="23" t="s">
        <v>18</v>
      </c>
      <c r="V370" s="20" t="s">
        <v>1822</v>
      </c>
    </row>
    <row r="371" spans="1:22" ht="21.75" customHeight="1" x14ac:dyDescent="0.15">
      <c r="A371" s="20" t="str">
        <f>B371&amp;".jpg"</f>
        <v>1647.jpg</v>
      </c>
      <c r="B371" s="46">
        <v>1647</v>
      </c>
      <c r="C371" s="24" t="s">
        <v>294</v>
      </c>
      <c r="D371" s="24" t="s">
        <v>15</v>
      </c>
      <c r="E371" s="24">
        <v>13</v>
      </c>
      <c r="F371" s="24" t="s">
        <v>25</v>
      </c>
      <c r="G371" s="22">
        <v>17979</v>
      </c>
      <c r="H371" s="22">
        <v>4658</v>
      </c>
      <c r="I371" s="22">
        <v>6531</v>
      </c>
      <c r="J371" s="24" t="s">
        <v>26</v>
      </c>
      <c r="K371" s="22">
        <f>SUM(G371,H371,I371)</f>
        <v>29168</v>
      </c>
      <c r="L371" s="23" t="s">
        <v>561</v>
      </c>
      <c r="M371" s="23" t="str">
        <f>VLOOKUP(L371,スキル!B:C,2,FALSE)</f>
        <v>敵全体の防御力をDOWN[中]</v>
      </c>
      <c r="N371" s="23" t="s">
        <v>18</v>
      </c>
      <c r="O371" s="23" t="str">
        <f>VLOOKUP(N371,スキル!B:C,2,FALSE)</f>
        <v>　</v>
      </c>
      <c r="P371" s="23" t="s">
        <v>113</v>
      </c>
      <c r="Q371" s="23" t="str">
        <f>VLOOKUP(P371,タクティクス!B:C,2,FALSE)</f>
        <v>城の強度Lvが小UP(3分間)</v>
      </c>
      <c r="R371" s="23" t="s">
        <v>18</v>
      </c>
      <c r="S371" s="23" t="str">
        <f>VLOOKUP(R371,タクティクス!B:C,2,FALSE)</f>
        <v>　</v>
      </c>
      <c r="T371" s="23" t="s">
        <v>18</v>
      </c>
      <c r="U371" s="23" t="s">
        <v>18</v>
      </c>
      <c r="V371" s="20" t="s">
        <v>1879</v>
      </c>
    </row>
    <row r="372" spans="1:22" ht="21.75" customHeight="1" x14ac:dyDescent="0.15">
      <c r="A372" s="20" t="str">
        <f>B372&amp;".jpg"</f>
        <v>1649.jpg</v>
      </c>
      <c r="B372" s="46">
        <v>1649</v>
      </c>
      <c r="C372" s="24" t="s">
        <v>22</v>
      </c>
      <c r="D372" s="24" t="s">
        <v>150</v>
      </c>
      <c r="E372" s="24">
        <v>14</v>
      </c>
      <c r="F372" s="24" t="s">
        <v>16</v>
      </c>
      <c r="G372" s="22">
        <v>17738</v>
      </c>
      <c r="H372" s="22">
        <v>8156</v>
      </c>
      <c r="I372" s="22">
        <v>6164</v>
      </c>
      <c r="J372" s="24" t="s">
        <v>151</v>
      </c>
      <c r="K372" s="22">
        <f>SUM(G372,H372,I372)</f>
        <v>32058</v>
      </c>
      <c r="L372" s="23" t="s">
        <v>774</v>
      </c>
      <c r="M372" s="23" t="str">
        <f>VLOOKUP(L372,スキル!B:C,2,FALSE)</f>
        <v>味方斬属性の防御力をUP[特大]</v>
      </c>
      <c r="N372" s="23" t="s">
        <v>18</v>
      </c>
      <c r="O372" s="23" t="str">
        <f>VLOOKUP(N372,スキル!B:C,2,FALSE)</f>
        <v>　</v>
      </c>
      <c r="P372" s="23" t="s">
        <v>180</v>
      </c>
      <c r="Q372" s="23" t="str">
        <f>VLOOKUP(P372,タクティクス!B:C,2,FALSE)</f>
        <v>獲得する騎士団戦スコアが大アップ(バトル3回)</v>
      </c>
      <c r="R372" s="23" t="s">
        <v>18</v>
      </c>
      <c r="S372" s="23" t="str">
        <f>VLOOKUP(R372,タクティクス!B:C,2,FALSE)</f>
        <v>　</v>
      </c>
      <c r="T372" s="23" t="s">
        <v>18</v>
      </c>
      <c r="U372" s="23" t="s">
        <v>18</v>
      </c>
      <c r="V372" s="20" t="s">
        <v>1823</v>
      </c>
    </row>
    <row r="373" spans="1:22" ht="21.75" customHeight="1" x14ac:dyDescent="0.15">
      <c r="A373" s="20" t="str">
        <f>B373&amp;".jpg"</f>
        <v>1651.jpg</v>
      </c>
      <c r="B373" s="46">
        <v>1651</v>
      </c>
      <c r="C373" s="24" t="s">
        <v>295</v>
      </c>
      <c r="D373" s="24" t="s">
        <v>15</v>
      </c>
      <c r="E373" s="24">
        <v>13</v>
      </c>
      <c r="F373" s="24" t="s">
        <v>25</v>
      </c>
      <c r="G373" s="22">
        <v>18875</v>
      </c>
      <c r="H373" s="22">
        <v>5639</v>
      </c>
      <c r="I373" s="22">
        <v>5407</v>
      </c>
      <c r="J373" s="24" t="s">
        <v>26</v>
      </c>
      <c r="K373" s="22">
        <f>SUM(G373,H373,I373)</f>
        <v>29921</v>
      </c>
      <c r="L373" s="23" t="s">
        <v>783</v>
      </c>
      <c r="M373" s="23" t="str">
        <f>VLOOKUP(L373,スキル!B:C,2,FALSE)</f>
        <v>ランダム4連続攻撃[中]自分の攻撃力UP[中]</v>
      </c>
      <c r="N373" s="23" t="s">
        <v>18</v>
      </c>
      <c r="O373" s="23" t="str">
        <f>VLOOKUP(N373,スキル!B:C,2,FALSE)</f>
        <v>　</v>
      </c>
      <c r="P373" s="23" t="s">
        <v>168</v>
      </c>
      <c r="Q373" s="23" t="str">
        <f>VLOOKUP(P373,タクティクス!B:C,2,FALSE)</f>
        <v>強襲CBの発生確率・強襲時獲得ポイント中UP(3回)</v>
      </c>
      <c r="R373" s="23" t="s">
        <v>18</v>
      </c>
      <c r="S373" s="23" t="str">
        <f>VLOOKUP(R373,タクティクス!B:C,2,FALSE)</f>
        <v>　</v>
      </c>
      <c r="T373" s="23" t="s">
        <v>18</v>
      </c>
      <c r="U373" s="23" t="s">
        <v>18</v>
      </c>
      <c r="V373" s="20" t="s">
        <v>1823</v>
      </c>
    </row>
    <row r="374" spans="1:22" ht="21.75" customHeight="1" x14ac:dyDescent="0.15">
      <c r="A374" s="20" t="str">
        <f>B374&amp;".jpg"</f>
        <v>1653.jpg</v>
      </c>
      <c r="B374" s="46">
        <v>1653</v>
      </c>
      <c r="C374" s="24" t="s">
        <v>296</v>
      </c>
      <c r="D374" s="24" t="s">
        <v>15</v>
      </c>
      <c r="E374" s="24">
        <v>13</v>
      </c>
      <c r="F374" s="24" t="s">
        <v>34</v>
      </c>
      <c r="G374" s="22">
        <v>17843</v>
      </c>
      <c r="H374" s="22">
        <v>6613</v>
      </c>
      <c r="I374" s="22">
        <v>6376</v>
      </c>
      <c r="J374" s="24" t="s">
        <v>35</v>
      </c>
      <c r="K374" s="22">
        <f>SUM(G374,H374,I374)</f>
        <v>30832</v>
      </c>
      <c r="L374" s="23" t="s">
        <v>611</v>
      </c>
      <c r="M374" s="23" t="str">
        <f>VLOOKUP(L374,スキル!B:C,2,FALSE)</f>
        <v>一定確率で敵の攻撃を引き付ける[高確率]</v>
      </c>
      <c r="N374" s="23" t="s">
        <v>18</v>
      </c>
      <c r="O374" s="23" t="str">
        <f>VLOOKUP(N374,スキル!B:C,2,FALSE)</f>
        <v>　</v>
      </c>
      <c r="P374" s="23" t="s">
        <v>255</v>
      </c>
      <c r="Q374" s="23" t="str">
        <f>VLOOKUP(P374,タクティクス!B:C,2,FALSE)</f>
        <v>強襲が発生無効、バトル時に攻・防小UP(3分間)</v>
      </c>
      <c r="R374" s="23" t="s">
        <v>18</v>
      </c>
      <c r="S374" s="23" t="str">
        <f>VLOOKUP(R374,タクティクス!B:C,2,FALSE)</f>
        <v>　</v>
      </c>
      <c r="T374" s="23" t="s">
        <v>18</v>
      </c>
      <c r="U374" s="23" t="s">
        <v>18</v>
      </c>
      <c r="V374" s="20" t="s">
        <v>1823</v>
      </c>
    </row>
    <row r="375" spans="1:22" ht="21.75" customHeight="1" x14ac:dyDescent="0.15">
      <c r="A375" s="20" t="str">
        <f>B375&amp;".jpg"</f>
        <v>1655.jpg</v>
      </c>
      <c r="B375" s="46">
        <v>1655</v>
      </c>
      <c r="C375" s="24" t="s">
        <v>297</v>
      </c>
      <c r="D375" s="24" t="s">
        <v>150</v>
      </c>
      <c r="E375" s="24">
        <v>14</v>
      </c>
      <c r="F375" s="24" t="s">
        <v>41</v>
      </c>
      <c r="G375" s="22">
        <v>19605</v>
      </c>
      <c r="H375" s="22">
        <v>6842</v>
      </c>
      <c r="I375" s="22">
        <v>5663</v>
      </c>
      <c r="J375" s="24" t="s">
        <v>55</v>
      </c>
      <c r="K375" s="22">
        <f>SUM(G375,H375,I375)</f>
        <v>32110</v>
      </c>
      <c r="L375" s="23" t="s">
        <v>691</v>
      </c>
      <c r="M375" s="23" t="str">
        <f>VLOOKUP(L375,スキル!B:C,2,FALSE)</f>
        <v>横一列に攻撃[特大]</v>
      </c>
      <c r="N375" s="23" t="s">
        <v>18</v>
      </c>
      <c r="O375" s="23" t="str">
        <f>VLOOKUP(N375,スキル!B:C,2,FALSE)</f>
        <v>　</v>
      </c>
      <c r="P375" s="23" t="s">
        <v>188</v>
      </c>
      <c r="Q375" s="23" t="str">
        <f>VLOOKUP(P375,タクティクス!B:C,2,FALSE)</f>
        <v>バトルで敵を全滅するとBPが大回復(バトル3回)</v>
      </c>
      <c r="R375" s="23" t="s">
        <v>18</v>
      </c>
      <c r="S375" s="23" t="str">
        <f>VLOOKUP(R375,タクティクス!B:C,2,FALSE)</f>
        <v>　</v>
      </c>
      <c r="T375" s="23" t="s">
        <v>18</v>
      </c>
      <c r="U375" s="23" t="s">
        <v>18</v>
      </c>
      <c r="V375" s="20" t="s">
        <v>1823</v>
      </c>
    </row>
    <row r="376" spans="1:22" ht="21.75" customHeight="1" x14ac:dyDescent="0.15">
      <c r="A376" s="20" t="str">
        <f>B376&amp;".jpg"</f>
        <v>1655_a.jpg</v>
      </c>
      <c r="B376" s="21" t="s">
        <v>1484</v>
      </c>
      <c r="C376" s="20" t="s">
        <v>1492</v>
      </c>
      <c r="D376" s="20" t="s">
        <v>1499</v>
      </c>
      <c r="E376" s="20">
        <v>14</v>
      </c>
      <c r="F376" s="20" t="s">
        <v>1176</v>
      </c>
      <c r="G376" s="27">
        <v>27249</v>
      </c>
      <c r="H376" s="27">
        <v>8816</v>
      </c>
      <c r="I376" s="27">
        <v>9002</v>
      </c>
      <c r="J376" s="20" t="s">
        <v>1508</v>
      </c>
      <c r="K376" s="22">
        <f>SUM(G376,H376,I376)</f>
        <v>45067</v>
      </c>
      <c r="L376" s="20" t="s">
        <v>1531</v>
      </c>
      <c r="M376" s="23" t="str">
        <f>VLOOKUP(L376,スキル!B:C,2,FALSE)</f>
        <v>横一列に攻撃[超極大]</v>
      </c>
      <c r="N376" s="20" t="s">
        <v>1516</v>
      </c>
      <c r="O376" s="23" t="str">
        <f>VLOOKUP(N376,スキル!B:C,2,FALSE)</f>
        <v>　</v>
      </c>
      <c r="P376" s="20" t="s">
        <v>188</v>
      </c>
      <c r="Q376" s="23" t="str">
        <f>VLOOKUP(P376,タクティクス!B:C,2,FALSE)</f>
        <v>バトルで敵を全滅するとBPが大回復(バトル3回)</v>
      </c>
      <c r="R376" s="20" t="s">
        <v>1515</v>
      </c>
      <c r="S376" s="23" t="str">
        <f>VLOOKUP(R376,タクティクス!B:C,2,FALSE)</f>
        <v>　</v>
      </c>
      <c r="T376" s="20" t="s">
        <v>1516</v>
      </c>
      <c r="U376" s="20" t="s">
        <v>1520</v>
      </c>
      <c r="V376" s="20" t="s">
        <v>1822</v>
      </c>
    </row>
    <row r="377" spans="1:22" ht="21.75" customHeight="1" x14ac:dyDescent="0.15">
      <c r="A377" s="20" t="str">
        <f>B377&amp;".jpg"</f>
        <v>1655_b.jpg</v>
      </c>
      <c r="B377" s="21" t="s">
        <v>1485</v>
      </c>
      <c r="C377" s="20" t="s">
        <v>1492</v>
      </c>
      <c r="D377" s="20" t="s">
        <v>1500</v>
      </c>
      <c r="E377" s="20">
        <v>14</v>
      </c>
      <c r="F377" s="20" t="s">
        <v>1176</v>
      </c>
      <c r="G377" s="27">
        <v>25296</v>
      </c>
      <c r="H377" s="27">
        <v>8480</v>
      </c>
      <c r="I377" s="27">
        <v>8435</v>
      </c>
      <c r="J377" s="20" t="s">
        <v>1509</v>
      </c>
      <c r="K377" s="22">
        <f>SUM(G377,H377,I377)</f>
        <v>42211</v>
      </c>
      <c r="L377" s="20" t="s">
        <v>691</v>
      </c>
      <c r="M377" s="23" t="str">
        <f>VLOOKUP(L377,スキル!B:C,2,FALSE)</f>
        <v>横一列に攻撃[特大]</v>
      </c>
      <c r="N377" s="20" t="s">
        <v>1517</v>
      </c>
      <c r="O377" s="23" t="str">
        <f>VLOOKUP(N377,スキル!B:C,2,FALSE)</f>
        <v>　</v>
      </c>
      <c r="P377" s="20" t="s">
        <v>1537</v>
      </c>
      <c r="Q377" s="23" t="str">
        <f>VLOOKUP(P377,タクティクス!B:C,2,FALSE)</f>
        <v>バトルで敵を全滅するとBPが極大回復(バトル8回)</v>
      </c>
      <c r="R377" s="20" t="s">
        <v>1515</v>
      </c>
      <c r="S377" s="23" t="str">
        <f>VLOOKUP(R377,タクティクス!B:C,2,FALSE)</f>
        <v>　</v>
      </c>
      <c r="T377" s="20" t="s">
        <v>1519</v>
      </c>
      <c r="U377" s="20" t="s">
        <v>1520</v>
      </c>
      <c r="V377" s="20" t="s">
        <v>1822</v>
      </c>
    </row>
    <row r="378" spans="1:22" ht="21.75" customHeight="1" x14ac:dyDescent="0.15">
      <c r="A378" s="20" t="str">
        <f>B378&amp;".jpg"</f>
        <v>1656.jpg</v>
      </c>
      <c r="B378" s="46">
        <v>1656</v>
      </c>
      <c r="C378" s="24" t="s">
        <v>157</v>
      </c>
      <c r="D378" s="24" t="s">
        <v>15</v>
      </c>
      <c r="E378" s="24">
        <v>13</v>
      </c>
      <c r="F378" s="24" t="s">
        <v>41</v>
      </c>
      <c r="G378" s="22">
        <v>16460</v>
      </c>
      <c r="H378" s="22">
        <v>6593</v>
      </c>
      <c r="I378" s="22">
        <v>4957</v>
      </c>
      <c r="J378" s="24" t="s">
        <v>42</v>
      </c>
      <c r="K378" s="22">
        <f>SUM(G378,H378,I378)</f>
        <v>28010</v>
      </c>
      <c r="L378" s="23" t="s">
        <v>654</v>
      </c>
      <c r="M378" s="23" t="str">
        <f>VLOOKUP(L378,スキル!B:C,2,FALSE)</f>
        <v>斬に強く突に弱い縦一列攻撃[大]</v>
      </c>
      <c r="N378" s="23" t="s">
        <v>18</v>
      </c>
      <c r="O378" s="23" t="str">
        <f>VLOOKUP(N378,スキル!B:C,2,FALSE)</f>
        <v>　</v>
      </c>
      <c r="P378" s="23" t="s">
        <v>216</v>
      </c>
      <c r="Q378" s="23" t="str">
        <f>VLOOKUP(P378,タクティクス!B:C,2,FALSE)</f>
        <v>パーティ全体のスキル発動率が中UP(3分間)</v>
      </c>
      <c r="R378" s="23" t="s">
        <v>18</v>
      </c>
      <c r="S378" s="23" t="str">
        <f>VLOOKUP(R378,タクティクス!B:C,2,FALSE)</f>
        <v>　</v>
      </c>
      <c r="T378" s="23" t="s">
        <v>18</v>
      </c>
      <c r="U378" s="23" t="s">
        <v>18</v>
      </c>
      <c r="V378" s="20" t="s">
        <v>1899</v>
      </c>
    </row>
    <row r="379" spans="1:22" ht="21.75" customHeight="1" x14ac:dyDescent="0.15">
      <c r="A379" s="20" t="str">
        <f>B379&amp;".jpg"</f>
        <v>1657.jpg</v>
      </c>
      <c r="B379" s="46">
        <v>1657</v>
      </c>
      <c r="C379" s="24" t="s">
        <v>50</v>
      </c>
      <c r="D379" s="24" t="s">
        <v>150</v>
      </c>
      <c r="E379" s="24">
        <v>14</v>
      </c>
      <c r="F379" s="24" t="s">
        <v>34</v>
      </c>
      <c r="G379" s="22">
        <v>21236</v>
      </c>
      <c r="H379" s="22">
        <v>6995</v>
      </c>
      <c r="I379" s="22">
        <v>8222</v>
      </c>
      <c r="J379" s="24" t="s">
        <v>17</v>
      </c>
      <c r="K379" s="22">
        <f>SUM(G379,H379,I379)</f>
        <v>36453</v>
      </c>
      <c r="L379" s="23" t="s">
        <v>784</v>
      </c>
      <c r="M379" s="23" t="str">
        <f>VLOOKUP(L379,スキル!B:C,2,FALSE)</f>
        <v>敵遠属性の攻撃力をDOWN[特大]</v>
      </c>
      <c r="N379" s="23" t="s">
        <v>18</v>
      </c>
      <c r="O379" s="23" t="str">
        <f>VLOOKUP(N379,スキル!B:C,2,FALSE)</f>
        <v>　</v>
      </c>
      <c r="P379" s="23" t="s">
        <v>298</v>
      </c>
      <c r="Q379" s="23" t="str">
        <f>VLOOKUP(P379,タクティクス!B:C,2,FALSE)</f>
        <v>城の強度Lvが中UP(3分間)</v>
      </c>
      <c r="R379" s="23" t="s">
        <v>18</v>
      </c>
      <c r="S379" s="23" t="str">
        <f>VLOOKUP(R379,タクティクス!B:C,2,FALSE)</f>
        <v>　</v>
      </c>
      <c r="T379" s="23" t="s">
        <v>18</v>
      </c>
      <c r="U379" s="23" t="s">
        <v>18</v>
      </c>
      <c r="V379" s="20" t="s">
        <v>1899</v>
      </c>
    </row>
    <row r="380" spans="1:22" ht="21.75" customHeight="1" x14ac:dyDescent="0.15">
      <c r="A380" s="20" t="str">
        <f>B380&amp;".jpg"</f>
        <v>1658.jpg</v>
      </c>
      <c r="B380" s="46">
        <v>1658</v>
      </c>
      <c r="C380" s="24" t="s">
        <v>187</v>
      </c>
      <c r="D380" s="24" t="s">
        <v>150</v>
      </c>
      <c r="E380" s="24">
        <v>14</v>
      </c>
      <c r="F380" s="24" t="s">
        <v>25</v>
      </c>
      <c r="G380" s="22">
        <v>18250</v>
      </c>
      <c r="H380" s="22">
        <v>6393</v>
      </c>
      <c r="I380" s="22">
        <v>6812</v>
      </c>
      <c r="J380" s="24" t="s">
        <v>177</v>
      </c>
      <c r="K380" s="22">
        <f>SUM(G380,H380,I380)</f>
        <v>31455</v>
      </c>
      <c r="L380" s="23" t="s">
        <v>786</v>
      </c>
      <c r="M380" s="23" t="str">
        <f>VLOOKUP(L380,スキル!B:C,2,FALSE)</f>
        <v>ランダムで6連続攻撃[中]</v>
      </c>
      <c r="N380" s="23" t="s">
        <v>18</v>
      </c>
      <c r="O380" s="23" t="str">
        <f>VLOOKUP(N380,スキル!B:C,2,FALSE)</f>
        <v>　</v>
      </c>
      <c r="P380" s="23" t="s">
        <v>286</v>
      </c>
      <c r="Q380" s="23" t="str">
        <f>VLOOKUP(P380,タクティクス!B:C,2,FALSE)</f>
        <v>対戦騎士団全体のスキル発動率が中DOWN(3分間)</v>
      </c>
      <c r="R380" s="23" t="s">
        <v>18</v>
      </c>
      <c r="S380" s="23" t="str">
        <f>VLOOKUP(R380,タクティクス!B:C,2,FALSE)</f>
        <v>　</v>
      </c>
      <c r="T380" s="23" t="s">
        <v>18</v>
      </c>
      <c r="U380" s="23" t="s">
        <v>18</v>
      </c>
      <c r="V380" s="20" t="s">
        <v>1899</v>
      </c>
    </row>
    <row r="381" spans="1:22" ht="21.75" customHeight="1" x14ac:dyDescent="0.15">
      <c r="A381" s="20" t="str">
        <f>B381&amp;".jpg"</f>
        <v>1659.jpg</v>
      </c>
      <c r="B381" s="46">
        <v>1659</v>
      </c>
      <c r="C381" s="24" t="s">
        <v>299</v>
      </c>
      <c r="D381" s="24" t="s">
        <v>150</v>
      </c>
      <c r="E381" s="24">
        <v>14</v>
      </c>
      <c r="F381" s="24" t="s">
        <v>16</v>
      </c>
      <c r="G381" s="22">
        <v>19984</v>
      </c>
      <c r="H381" s="22">
        <v>7796</v>
      </c>
      <c r="I381" s="22">
        <v>5769</v>
      </c>
      <c r="J381" s="24" t="s">
        <v>151</v>
      </c>
      <c r="K381" s="22">
        <f>SUM(G381,H381,I381)</f>
        <v>33549</v>
      </c>
      <c r="L381" s="23" t="s">
        <v>788</v>
      </c>
      <c r="M381" s="23" t="str">
        <f>VLOOKUP(L381,スキル!B:C,2,FALSE)</f>
        <v>一定確率で敵を毒状態にする[超高確率]</v>
      </c>
      <c r="N381" s="23" t="s">
        <v>18</v>
      </c>
      <c r="O381" s="23" t="str">
        <f>VLOOKUP(N381,スキル!B:C,2,FALSE)</f>
        <v>　</v>
      </c>
      <c r="P381" s="23" t="s">
        <v>178</v>
      </c>
      <c r="Q381" s="23" t="str">
        <f>VLOOKUP(P381,タクティクス!B:C,2,FALSE)</f>
        <v>パーティ全体の攻撃力が大UP(3分間)</v>
      </c>
      <c r="R381" s="23" t="s">
        <v>18</v>
      </c>
      <c r="S381" s="23" t="str">
        <f>VLOOKUP(R381,タクティクス!B:C,2,FALSE)</f>
        <v>　</v>
      </c>
      <c r="T381" s="23" t="s">
        <v>18</v>
      </c>
      <c r="U381" s="23" t="s">
        <v>18</v>
      </c>
      <c r="V381" s="20" t="s">
        <v>1823</v>
      </c>
    </row>
    <row r="382" spans="1:22" ht="21.75" customHeight="1" x14ac:dyDescent="0.15">
      <c r="A382" s="20" t="str">
        <f>B382&amp;".jpg"</f>
        <v>1662.jpg</v>
      </c>
      <c r="B382" s="46">
        <v>1662</v>
      </c>
      <c r="C382" s="24" t="s">
        <v>300</v>
      </c>
      <c r="D382" s="24" t="s">
        <v>15</v>
      </c>
      <c r="E382" s="24">
        <v>13</v>
      </c>
      <c r="F382" s="24" t="s">
        <v>16</v>
      </c>
      <c r="G382" s="22">
        <v>14813</v>
      </c>
      <c r="H382" s="22">
        <v>6815</v>
      </c>
      <c r="I382" s="22">
        <v>5986</v>
      </c>
      <c r="J382" s="24" t="s">
        <v>17</v>
      </c>
      <c r="K382" s="22">
        <f>SUM(G382,H382,I382)</f>
        <v>27614</v>
      </c>
      <c r="L382" s="23" t="s">
        <v>790</v>
      </c>
      <c r="M382" s="23" t="str">
        <f>VLOOKUP(L382,スキル!B:C,2,FALSE)</f>
        <v>X字型攻撃[大]自分の防御力UP[大]</v>
      </c>
      <c r="N382" s="23" t="s">
        <v>18</v>
      </c>
      <c r="O382" s="23" t="str">
        <f>VLOOKUP(N382,スキル!B:C,2,FALSE)</f>
        <v>　</v>
      </c>
      <c r="P382" s="23" t="s">
        <v>232</v>
      </c>
      <c r="Q382" s="23" t="str">
        <f>VLOOKUP(P382,タクティクス!B:C,2,FALSE)</f>
        <v>騎士団全員のBPを中回復</v>
      </c>
      <c r="R382" s="23" t="s">
        <v>18</v>
      </c>
      <c r="S382" s="23" t="str">
        <f>VLOOKUP(R382,タクティクス!B:C,2,FALSE)</f>
        <v>　</v>
      </c>
      <c r="T382" s="23" t="s">
        <v>18</v>
      </c>
      <c r="U382" s="23" t="s">
        <v>18</v>
      </c>
      <c r="V382" s="20" t="s">
        <v>1868</v>
      </c>
    </row>
    <row r="383" spans="1:22" ht="21.75" customHeight="1" x14ac:dyDescent="0.15">
      <c r="A383" s="20" t="str">
        <f>B383&amp;".jpg"</f>
        <v>1664.jpg</v>
      </c>
      <c r="B383" s="46">
        <v>1664</v>
      </c>
      <c r="C383" s="24" t="s">
        <v>301</v>
      </c>
      <c r="D383" s="24" t="s">
        <v>150</v>
      </c>
      <c r="E383" s="24">
        <v>14</v>
      </c>
      <c r="F383" s="24" t="s">
        <v>16</v>
      </c>
      <c r="G383" s="22">
        <v>16418</v>
      </c>
      <c r="H383" s="22">
        <v>8671</v>
      </c>
      <c r="I383" s="22">
        <v>6349</v>
      </c>
      <c r="J383" s="24" t="s">
        <v>151</v>
      </c>
      <c r="K383" s="22">
        <f>SUM(G383,H383,I383)</f>
        <v>31438</v>
      </c>
      <c r="L383" s="23" t="s">
        <v>791</v>
      </c>
      <c r="M383" s="23" t="str">
        <f>VLOOKUP(L383,スキル!B:C,2,FALSE)</f>
        <v>縦一列に攻撃[特大]</v>
      </c>
      <c r="N383" s="23" t="s">
        <v>18</v>
      </c>
      <c r="O383" s="23" t="str">
        <f>VLOOKUP(N383,スキル!B:C,2,FALSE)</f>
        <v>　</v>
      </c>
      <c r="P383" s="23" t="s">
        <v>293</v>
      </c>
      <c r="Q383" s="23" t="str">
        <f>VLOOKUP(P383,タクティクス!B:C,2,FALSE)</f>
        <v>騎士団全体の防御力が中UP(3分間)</v>
      </c>
      <c r="R383" s="23" t="s">
        <v>18</v>
      </c>
      <c r="S383" s="23" t="str">
        <f>VLOOKUP(R383,タクティクス!B:C,2,FALSE)</f>
        <v>　</v>
      </c>
      <c r="T383" s="23" t="s">
        <v>18</v>
      </c>
      <c r="U383" s="23" t="s">
        <v>18</v>
      </c>
      <c r="V383" s="20" t="s">
        <v>1868</v>
      </c>
    </row>
    <row r="384" spans="1:22" ht="21.75" customHeight="1" x14ac:dyDescent="0.15">
      <c r="A384" s="20" t="str">
        <f>B384&amp;".jpg"</f>
        <v>1666.jpg</v>
      </c>
      <c r="B384" s="46">
        <v>1666</v>
      </c>
      <c r="C384" s="24" t="s">
        <v>302</v>
      </c>
      <c r="D384" s="24" t="s">
        <v>150</v>
      </c>
      <c r="E384" s="24">
        <v>14</v>
      </c>
      <c r="F384" s="24" t="s">
        <v>41</v>
      </c>
      <c r="G384" s="22">
        <v>19707</v>
      </c>
      <c r="H384" s="22">
        <v>6878</v>
      </c>
      <c r="I384" s="22">
        <v>5633</v>
      </c>
      <c r="J384" s="24" t="s">
        <v>55</v>
      </c>
      <c r="K384" s="22">
        <f>SUM(G384,H384,I384)</f>
        <v>32218</v>
      </c>
      <c r="L384" s="23" t="s">
        <v>792</v>
      </c>
      <c r="M384" s="23" t="str">
        <f>VLOOKUP(L384,スキル!B:C,2,FALSE)</f>
        <v>味方全員のHPを回復[大]</v>
      </c>
      <c r="N384" s="23" t="s">
        <v>18</v>
      </c>
      <c r="O384" s="23" t="str">
        <f>VLOOKUP(N384,スキル!B:C,2,FALSE)</f>
        <v>　</v>
      </c>
      <c r="P384" s="23" t="s">
        <v>226</v>
      </c>
      <c r="Q384" s="23" t="str">
        <f>VLOOKUP(P384,タクティクス!B:C,2,FALSE)</f>
        <v>バトルで獲得する騎士団戦スコアが大アップ(3分間)</v>
      </c>
      <c r="R384" s="23" t="s">
        <v>18</v>
      </c>
      <c r="S384" s="23" t="str">
        <f>VLOOKUP(R384,タクティクス!B:C,2,FALSE)</f>
        <v>　</v>
      </c>
      <c r="T384" s="23" t="s">
        <v>18</v>
      </c>
      <c r="U384" s="23" t="s">
        <v>18</v>
      </c>
      <c r="V384" s="20" t="s">
        <v>1868</v>
      </c>
    </row>
    <row r="385" spans="1:22" ht="21.75" customHeight="1" x14ac:dyDescent="0.15">
      <c r="A385" s="20" t="str">
        <f>B385&amp;".jpg"</f>
        <v>1668.jpg</v>
      </c>
      <c r="B385" s="46">
        <v>1668</v>
      </c>
      <c r="C385" s="24" t="s">
        <v>303</v>
      </c>
      <c r="D385" s="24" t="s">
        <v>15</v>
      </c>
      <c r="E385" s="24">
        <v>13</v>
      </c>
      <c r="F385" s="24" t="s">
        <v>16</v>
      </c>
      <c r="G385" s="22">
        <v>14997</v>
      </c>
      <c r="H385" s="22">
        <v>6893</v>
      </c>
      <c r="I385" s="22">
        <v>5916</v>
      </c>
      <c r="J385" s="24" t="s">
        <v>17</v>
      </c>
      <c r="K385" s="22">
        <f>SUM(G385,H385,I385)</f>
        <v>27806</v>
      </c>
      <c r="L385" s="23" t="s">
        <v>623</v>
      </c>
      <c r="M385" s="23" t="str">
        <f>VLOOKUP(L385,スキル!B:C,2,FALSE)</f>
        <v>味方斬属性の攻撃力と防御力をUP[大]</v>
      </c>
      <c r="N385" s="23" t="s">
        <v>18</v>
      </c>
      <c r="O385" s="23" t="str">
        <f>VLOOKUP(N385,スキル!B:C,2,FALSE)</f>
        <v>　</v>
      </c>
      <c r="P385" s="23" t="s">
        <v>216</v>
      </c>
      <c r="Q385" s="23" t="str">
        <f>VLOOKUP(P385,タクティクス!B:C,2,FALSE)</f>
        <v>パーティ全体のスキル発動率が中UP(3分間)</v>
      </c>
      <c r="R385" s="23" t="s">
        <v>18</v>
      </c>
      <c r="S385" s="23" t="str">
        <f>VLOOKUP(R385,タクティクス!B:C,2,FALSE)</f>
        <v>　</v>
      </c>
      <c r="T385" s="23" t="s">
        <v>18</v>
      </c>
      <c r="U385" s="23" t="s">
        <v>18</v>
      </c>
      <c r="V385" s="20" t="s">
        <v>1823</v>
      </c>
    </row>
    <row r="386" spans="1:22" ht="21.75" customHeight="1" x14ac:dyDescent="0.15">
      <c r="A386" s="20" t="str">
        <f>B386&amp;".jpg"</f>
        <v>1670.jpg</v>
      </c>
      <c r="B386" s="46">
        <v>1670</v>
      </c>
      <c r="C386" s="24" t="s">
        <v>304</v>
      </c>
      <c r="D386" s="24" t="s">
        <v>150</v>
      </c>
      <c r="E386" s="24">
        <v>14</v>
      </c>
      <c r="F386" s="24" t="s">
        <v>25</v>
      </c>
      <c r="G386" s="22">
        <v>21214</v>
      </c>
      <c r="H386" s="22">
        <v>6314</v>
      </c>
      <c r="I386" s="22">
        <v>6262</v>
      </c>
      <c r="J386" s="24" t="s">
        <v>177</v>
      </c>
      <c r="K386" s="22">
        <f>SUM(G386,H386,I386)</f>
        <v>33790</v>
      </c>
      <c r="L386" s="23" t="s">
        <v>793</v>
      </c>
      <c r="M386" s="23" t="str">
        <f>VLOOKUP(L386,スキル!B:C,2,FALSE)</f>
        <v>味方突属性の防御力をUP[特大]</v>
      </c>
      <c r="N386" s="23" t="s">
        <v>18</v>
      </c>
      <c r="O386" s="23" t="str">
        <f>VLOOKUP(N386,スキル!B:C,2,FALSE)</f>
        <v>　</v>
      </c>
      <c r="P386" s="23" t="s">
        <v>251</v>
      </c>
      <c r="Q386" s="23" t="str">
        <f>VLOOKUP(P386,タクティクス!B:C,2,FALSE)</f>
        <v>パーティ全体の速度が大UP(3分間)</v>
      </c>
      <c r="R386" s="23" t="s">
        <v>18</v>
      </c>
      <c r="S386" s="23" t="str">
        <f>VLOOKUP(R386,タクティクス!B:C,2,FALSE)</f>
        <v>　</v>
      </c>
      <c r="T386" s="23" t="s">
        <v>18</v>
      </c>
      <c r="U386" s="23" t="s">
        <v>18</v>
      </c>
      <c r="V386" s="20" t="s">
        <v>1823</v>
      </c>
    </row>
    <row r="387" spans="1:22" ht="21.75" customHeight="1" x14ac:dyDescent="0.15">
      <c r="A387" s="20" t="str">
        <f>B387&amp;".jpg"</f>
        <v>1670_a.jpg</v>
      </c>
      <c r="B387" s="21" t="s">
        <v>1437</v>
      </c>
      <c r="C387" s="20" t="s">
        <v>1380</v>
      </c>
      <c r="D387" s="20" t="s">
        <v>1385</v>
      </c>
      <c r="E387" s="20">
        <v>14</v>
      </c>
      <c r="F387" s="24" t="s">
        <v>25</v>
      </c>
      <c r="G387" s="27">
        <v>28648</v>
      </c>
      <c r="H387" s="27">
        <v>7763</v>
      </c>
      <c r="I387" s="27">
        <v>10651</v>
      </c>
      <c r="J387" s="20" t="s">
        <v>1390</v>
      </c>
      <c r="K387" s="22">
        <f>SUM(G387,H387,I387)</f>
        <v>47062</v>
      </c>
      <c r="L387" s="20" t="s">
        <v>1401</v>
      </c>
      <c r="M387" s="23" t="str">
        <f>VLOOKUP(L387,スキル!B:C,2,FALSE)</f>
        <v>味方突属性の防御力をUP[超極大]</v>
      </c>
      <c r="N387" s="20" t="s">
        <v>1396</v>
      </c>
      <c r="O387" s="23" t="str">
        <f>VLOOKUP(N387,スキル!B:C,2,FALSE)</f>
        <v>　</v>
      </c>
      <c r="P387" s="20" t="s">
        <v>1402</v>
      </c>
      <c r="Q387" s="23" t="str">
        <f>VLOOKUP(P387,タクティクス!B:C,2,FALSE)</f>
        <v>パーティ全体の速度が大UP(3分間)</v>
      </c>
      <c r="R387" s="20" t="s">
        <v>1396</v>
      </c>
      <c r="S387" s="23" t="str">
        <f>VLOOKUP(R387,タクティクス!B:C,2,FALSE)</f>
        <v>　</v>
      </c>
      <c r="T387" s="20" t="s">
        <v>1396</v>
      </c>
      <c r="U387" s="20" t="s">
        <v>1397</v>
      </c>
      <c r="V387" s="20" t="s">
        <v>1822</v>
      </c>
    </row>
    <row r="388" spans="1:22" ht="21.75" customHeight="1" x14ac:dyDescent="0.15">
      <c r="A388" s="20" t="str">
        <f>B388&amp;".jpg"</f>
        <v>1670_b.jpg</v>
      </c>
      <c r="B388" s="21" t="s">
        <v>1438</v>
      </c>
      <c r="C388" s="20" t="s">
        <v>1380</v>
      </c>
      <c r="D388" s="20" t="s">
        <v>1385</v>
      </c>
      <c r="E388" s="20">
        <v>14</v>
      </c>
      <c r="F388" s="24" t="s">
        <v>25</v>
      </c>
      <c r="G388" s="27">
        <v>26527</v>
      </c>
      <c r="H388" s="27">
        <v>7448</v>
      </c>
      <c r="I388" s="27">
        <v>10021</v>
      </c>
      <c r="J388" s="20" t="s">
        <v>1391</v>
      </c>
      <c r="K388" s="22">
        <f>SUM(G388,H388,I388)</f>
        <v>43996</v>
      </c>
      <c r="L388" s="20" t="s">
        <v>1400</v>
      </c>
      <c r="M388" s="23" t="str">
        <f>VLOOKUP(L388,スキル!B:C,2,FALSE)</f>
        <v>味方突属性の防御力をUP[特大]</v>
      </c>
      <c r="N388" s="20" t="s">
        <v>1396</v>
      </c>
      <c r="O388" s="23" t="str">
        <f>VLOOKUP(N388,スキル!B:C,2,FALSE)</f>
        <v>　</v>
      </c>
      <c r="P388" s="20" t="s">
        <v>1403</v>
      </c>
      <c r="Q388" s="23" t="str">
        <f>VLOOKUP(P388,タクティクス!B:C,2,FALSE)</f>
        <v>パーティ全体の速度が大UP(5分間)</v>
      </c>
      <c r="R388" s="20" t="s">
        <v>1011</v>
      </c>
      <c r="S388" s="23" t="str">
        <f>VLOOKUP(R388,タクティクス!B:C,2,FALSE)</f>
        <v>　</v>
      </c>
      <c r="T388" s="20" t="s">
        <v>1397</v>
      </c>
      <c r="U388" s="20" t="s">
        <v>1397</v>
      </c>
      <c r="V388" s="20" t="s">
        <v>1822</v>
      </c>
    </row>
    <row r="389" spans="1:22" ht="21.75" customHeight="1" x14ac:dyDescent="0.15">
      <c r="A389" s="20" t="str">
        <f>B389&amp;".jpg"</f>
        <v>1672.jpg</v>
      </c>
      <c r="B389" s="46">
        <v>1672</v>
      </c>
      <c r="C389" s="24" t="s">
        <v>305</v>
      </c>
      <c r="D389" s="24" t="s">
        <v>15</v>
      </c>
      <c r="E389" s="24">
        <v>13</v>
      </c>
      <c r="F389" s="24" t="s">
        <v>34</v>
      </c>
      <c r="G389" s="22">
        <v>18554</v>
      </c>
      <c r="H389" s="22">
        <v>5730</v>
      </c>
      <c r="I389" s="22">
        <v>6625</v>
      </c>
      <c r="J389" s="24" t="s">
        <v>42</v>
      </c>
      <c r="K389" s="22">
        <f>SUM(G389,H389,I389)</f>
        <v>30909</v>
      </c>
      <c r="L389" s="23" t="s">
        <v>654</v>
      </c>
      <c r="M389" s="23" t="str">
        <f>VLOOKUP(L389,スキル!B:C,2,FALSE)</f>
        <v>斬に強く突に弱い縦一列攻撃[大]</v>
      </c>
      <c r="N389" s="23" t="s">
        <v>18</v>
      </c>
      <c r="O389" s="23" t="str">
        <f>VLOOKUP(N389,スキル!B:C,2,FALSE)</f>
        <v>　</v>
      </c>
      <c r="P389" s="23" t="s">
        <v>306</v>
      </c>
      <c r="Q389" s="23" t="str">
        <f>VLOOKUP(P389,タクティクス!B:C,2,FALSE)</f>
        <v>対戦騎士団の城強度Lvが小DOWN(3分間)</v>
      </c>
      <c r="R389" s="23" t="s">
        <v>18</v>
      </c>
      <c r="S389" s="23" t="str">
        <f>VLOOKUP(R389,タクティクス!B:C,2,FALSE)</f>
        <v>　</v>
      </c>
      <c r="T389" s="23" t="s">
        <v>18</v>
      </c>
      <c r="U389" s="23" t="s">
        <v>18</v>
      </c>
      <c r="V389" s="20" t="s">
        <v>1823</v>
      </c>
    </row>
    <row r="390" spans="1:22" ht="21.75" customHeight="1" x14ac:dyDescent="0.15">
      <c r="A390" s="20" t="str">
        <f>B390&amp;".jpg"</f>
        <v>1674.jpg</v>
      </c>
      <c r="B390" s="46">
        <v>1674</v>
      </c>
      <c r="C390" s="24" t="s">
        <v>307</v>
      </c>
      <c r="D390" s="24" t="s">
        <v>150</v>
      </c>
      <c r="E390" s="24">
        <v>14</v>
      </c>
      <c r="F390" s="24" t="s">
        <v>41</v>
      </c>
      <c r="G390" s="22">
        <v>18735</v>
      </c>
      <c r="H390" s="22">
        <v>6919</v>
      </c>
      <c r="I390" s="22">
        <v>5299</v>
      </c>
      <c r="J390" s="24" t="s">
        <v>177</v>
      </c>
      <c r="K390" s="22">
        <f>SUM(G390,H390,I390)</f>
        <v>30953</v>
      </c>
      <c r="L390" s="23" t="s">
        <v>747</v>
      </c>
      <c r="M390" s="23" t="str">
        <f>VLOOKUP(L390,スキル!B:C,2,FALSE)</f>
        <v>打に強く遠に弱い横一列攻撃[特大]</v>
      </c>
      <c r="N390" s="23" t="s">
        <v>18</v>
      </c>
      <c r="O390" s="23" t="str">
        <f>VLOOKUP(N390,スキル!B:C,2,FALSE)</f>
        <v>　</v>
      </c>
      <c r="P390" s="23" t="s">
        <v>274</v>
      </c>
      <c r="Q390" s="23" t="str">
        <f>VLOOKUP(P390,タクティクス!B:C,2,FALSE)</f>
        <v>パーティ全体の攻撃力・速度が中UP(3分間)</v>
      </c>
      <c r="R390" s="23" t="s">
        <v>18</v>
      </c>
      <c r="S390" s="23" t="str">
        <f>VLOOKUP(R390,タクティクス!B:C,2,FALSE)</f>
        <v>　</v>
      </c>
      <c r="T390" s="23" t="s">
        <v>18</v>
      </c>
      <c r="U390" s="23" t="s">
        <v>18</v>
      </c>
      <c r="V390" s="20" t="s">
        <v>1823</v>
      </c>
    </row>
    <row r="391" spans="1:22" ht="21.75" customHeight="1" x14ac:dyDescent="0.15">
      <c r="A391" s="20" t="str">
        <f>B391&amp;".jpg"</f>
        <v>1676.jpg</v>
      </c>
      <c r="B391" s="46">
        <v>1676</v>
      </c>
      <c r="C391" s="24" t="s">
        <v>208</v>
      </c>
      <c r="D391" s="24" t="s">
        <v>150</v>
      </c>
      <c r="E391" s="24">
        <v>14</v>
      </c>
      <c r="F391" s="24" t="s">
        <v>34</v>
      </c>
      <c r="G391" s="22">
        <v>21395</v>
      </c>
      <c r="H391" s="22">
        <v>6121</v>
      </c>
      <c r="I391" s="22">
        <v>9711</v>
      </c>
      <c r="J391" s="24" t="s">
        <v>17</v>
      </c>
      <c r="K391" s="22">
        <f>SUM(G391,H391,I391)</f>
        <v>37227</v>
      </c>
      <c r="L391" s="23" t="s">
        <v>715</v>
      </c>
      <c r="M391" s="23" t="str">
        <f>VLOOKUP(L391,スキル!B:C,2,FALSE)</f>
        <v>打に強く遠に弱い縦一列攻撃[特大]</v>
      </c>
      <c r="N391" s="23" t="s">
        <v>18</v>
      </c>
      <c r="O391" s="23" t="str">
        <f>VLOOKUP(N391,スキル!B:C,2,FALSE)</f>
        <v>　</v>
      </c>
      <c r="P391" s="23" t="s">
        <v>308</v>
      </c>
      <c r="Q391" s="23" t="str">
        <f>VLOOKUP(P391,タクティクス!B:C,2,FALSE)</f>
        <v>騎士団全体の攻撃力が中UP(3分間)</v>
      </c>
      <c r="R391" s="23" t="s">
        <v>18</v>
      </c>
      <c r="S391" s="23" t="str">
        <f>VLOOKUP(R391,タクティクス!B:C,2,FALSE)</f>
        <v>　</v>
      </c>
      <c r="T391" s="23" t="s">
        <v>18</v>
      </c>
      <c r="U391" s="23" t="s">
        <v>18</v>
      </c>
      <c r="V391" s="20" t="s">
        <v>1878</v>
      </c>
    </row>
    <row r="392" spans="1:22" ht="21.75" customHeight="1" x14ac:dyDescent="0.15">
      <c r="A392" s="20" t="str">
        <f>B392&amp;".jpg"</f>
        <v>1676_a.jpg</v>
      </c>
      <c r="B392" s="21" t="s">
        <v>1611</v>
      </c>
      <c r="C392" s="20" t="s">
        <v>1596</v>
      </c>
      <c r="D392" s="20" t="s">
        <v>1585</v>
      </c>
      <c r="E392" s="20">
        <v>14</v>
      </c>
      <c r="F392" s="20" t="s">
        <v>1601</v>
      </c>
      <c r="G392" s="27">
        <v>29963</v>
      </c>
      <c r="H392" s="27">
        <v>8578</v>
      </c>
      <c r="I392" s="27">
        <v>12924</v>
      </c>
      <c r="J392" s="20" t="s">
        <v>1620</v>
      </c>
      <c r="K392" s="22">
        <f>SUM(G392,H392,I392)</f>
        <v>51465</v>
      </c>
      <c r="L392" s="23" t="s">
        <v>1635</v>
      </c>
      <c r="M392" s="23" t="str">
        <f>VLOOKUP(L392,スキル!B:C,2,FALSE)</f>
        <v>打に強く遠に弱い縦一列攻撃[超極大]</v>
      </c>
      <c r="N392" s="23" t="s">
        <v>18</v>
      </c>
      <c r="O392" s="23" t="str">
        <f>VLOOKUP(N392,スキル!B:C,2,FALSE)</f>
        <v>　</v>
      </c>
      <c r="P392" s="23" t="s">
        <v>308</v>
      </c>
      <c r="Q392" s="23" t="str">
        <f>VLOOKUP(P392,タクティクス!B:C,2,FALSE)</f>
        <v>騎士団全体の攻撃力が中UP(3分間)</v>
      </c>
      <c r="R392" s="20" t="s">
        <v>1632</v>
      </c>
      <c r="S392" s="23" t="str">
        <f>VLOOKUP(R392,タクティクス!B:C,2,FALSE)</f>
        <v>　</v>
      </c>
      <c r="T392" s="20" t="s">
        <v>1626</v>
      </c>
      <c r="U392" s="20" t="s">
        <v>1628</v>
      </c>
      <c r="V392" s="20" t="s">
        <v>1822</v>
      </c>
    </row>
    <row r="393" spans="1:22" ht="21.75" customHeight="1" x14ac:dyDescent="0.15">
      <c r="A393" s="20" t="str">
        <f>B393&amp;".jpg"</f>
        <v>1676_b.jpg</v>
      </c>
      <c r="B393" s="21" t="s">
        <v>1612</v>
      </c>
      <c r="C393" s="20" t="s">
        <v>1596</v>
      </c>
      <c r="D393" s="20" t="s">
        <v>1585</v>
      </c>
      <c r="E393" s="20">
        <v>14</v>
      </c>
      <c r="F393" s="20" t="s">
        <v>1602</v>
      </c>
      <c r="G393" s="27">
        <v>28892</v>
      </c>
      <c r="H393" s="27">
        <v>8263</v>
      </c>
      <c r="I393" s="27">
        <v>12420</v>
      </c>
      <c r="J393" s="20" t="s">
        <v>1620</v>
      </c>
      <c r="K393" s="22">
        <f>SUM(G393,H393,I393)</f>
        <v>49575</v>
      </c>
      <c r="L393" s="23" t="s">
        <v>715</v>
      </c>
      <c r="M393" s="23" t="str">
        <f>VLOOKUP(L393,スキル!B:C,2,FALSE)</f>
        <v>打に強く遠に弱い縦一列攻撃[特大]</v>
      </c>
      <c r="N393" s="23" t="s">
        <v>18</v>
      </c>
      <c r="O393" s="23" t="str">
        <f>VLOOKUP(N393,スキル!B:C,2,FALSE)</f>
        <v>　</v>
      </c>
      <c r="P393" s="20" t="s">
        <v>1640</v>
      </c>
      <c r="Q393" s="23" t="str">
        <f>VLOOKUP(P393,タクティクス!B:C,2,FALSE)</f>
        <v>騎士団全体の攻撃力が特大UP(3分間)</v>
      </c>
      <c r="R393" s="20" t="s">
        <v>1627</v>
      </c>
      <c r="S393" s="23" t="str">
        <f>VLOOKUP(R393,タクティクス!B:C,2,FALSE)</f>
        <v>　</v>
      </c>
      <c r="T393" s="20" t="s">
        <v>1626</v>
      </c>
      <c r="U393" s="20" t="s">
        <v>1626</v>
      </c>
      <c r="V393" s="20" t="s">
        <v>1822</v>
      </c>
    </row>
    <row r="394" spans="1:22" ht="21.75" customHeight="1" x14ac:dyDescent="0.15">
      <c r="A394" s="20" t="str">
        <f>B394&amp;".jpg"</f>
        <v>1678.jpg</v>
      </c>
      <c r="B394" s="46">
        <v>1678</v>
      </c>
      <c r="C394" s="24" t="s">
        <v>143</v>
      </c>
      <c r="D394" s="24" t="s">
        <v>15</v>
      </c>
      <c r="E394" s="24">
        <v>13</v>
      </c>
      <c r="F394" s="24" t="s">
        <v>16</v>
      </c>
      <c r="G394" s="22">
        <v>14998</v>
      </c>
      <c r="H394" s="22">
        <v>7295</v>
      </c>
      <c r="I394" s="22">
        <v>5019</v>
      </c>
      <c r="J394" s="24" t="s">
        <v>55</v>
      </c>
      <c r="K394" s="22">
        <f>SUM(G394,H394,I394)</f>
        <v>27312</v>
      </c>
      <c r="L394" s="23" t="s">
        <v>795</v>
      </c>
      <c r="M394" s="23" t="str">
        <f>VLOOKUP(L394,スキル!B:C,2,FALSE)</f>
        <v>敵突属性の攻撃力をDOWN[大]</v>
      </c>
      <c r="N394" s="23" t="s">
        <v>18</v>
      </c>
      <c r="O394" s="23" t="str">
        <f>VLOOKUP(N394,スキル!B:C,2,FALSE)</f>
        <v>　</v>
      </c>
      <c r="P394" s="23" t="s">
        <v>27</v>
      </c>
      <c r="Q394" s="23" t="str">
        <f>VLOOKUP(P394,タクティクス!B:C,2,FALSE)</f>
        <v>パーティ全体の防御力が中UP(3分間)</v>
      </c>
      <c r="R394" s="23" t="s">
        <v>18</v>
      </c>
      <c r="S394" s="23" t="str">
        <f>VLOOKUP(R394,タクティクス!B:C,2,FALSE)</f>
        <v>　</v>
      </c>
      <c r="T394" s="23" t="s">
        <v>18</v>
      </c>
      <c r="U394" s="23" t="s">
        <v>18</v>
      </c>
      <c r="V394" s="20" t="s">
        <v>1902</v>
      </c>
    </row>
    <row r="395" spans="1:22" ht="21.75" customHeight="1" x14ac:dyDescent="0.15">
      <c r="A395" s="20" t="str">
        <f>B395&amp;".jpg"</f>
        <v>1679.jpg</v>
      </c>
      <c r="B395" s="46">
        <v>1679</v>
      </c>
      <c r="C395" s="24" t="s">
        <v>309</v>
      </c>
      <c r="D395" s="24" t="s">
        <v>15</v>
      </c>
      <c r="E395" s="24">
        <v>13</v>
      </c>
      <c r="F395" s="24" t="s">
        <v>16</v>
      </c>
      <c r="G395" s="22">
        <v>15717</v>
      </c>
      <c r="H395" s="22">
        <v>7647</v>
      </c>
      <c r="I395" s="22">
        <v>4788</v>
      </c>
      <c r="J395" s="24" t="s">
        <v>55</v>
      </c>
      <c r="K395" s="22">
        <f>SUM(G395,H395,I395)</f>
        <v>28152</v>
      </c>
      <c r="L395" s="23" t="s">
        <v>631</v>
      </c>
      <c r="M395" s="23" t="str">
        <f>VLOOKUP(L395,スキル!B:C,2,FALSE)</f>
        <v>突に強く斬に弱い縦一列攻撃[大]</v>
      </c>
      <c r="N395" s="23" t="s">
        <v>18</v>
      </c>
      <c r="O395" s="23" t="str">
        <f>VLOOKUP(N395,スキル!B:C,2,FALSE)</f>
        <v>　</v>
      </c>
      <c r="P395" s="23" t="s">
        <v>280</v>
      </c>
      <c r="Q395" s="23" t="str">
        <f>VLOOKUP(P395,タクティクス!B:C,2,FALSE)</f>
        <v>CB時に獲得ポイント中UP＆BPが中回復(3回)</v>
      </c>
      <c r="R395" s="23" t="s">
        <v>18</v>
      </c>
      <c r="S395" s="23" t="str">
        <f>VLOOKUP(R395,タクティクス!B:C,2,FALSE)</f>
        <v>　</v>
      </c>
      <c r="T395" s="23" t="s">
        <v>18</v>
      </c>
      <c r="U395" s="23" t="s">
        <v>18</v>
      </c>
      <c r="V395" s="20" t="s">
        <v>1872</v>
      </c>
    </row>
    <row r="396" spans="1:22" ht="21.75" customHeight="1" x14ac:dyDescent="0.15">
      <c r="A396" s="20" t="str">
        <f>B396&amp;".jpg"</f>
        <v>1681.jpg</v>
      </c>
      <c r="B396" s="46">
        <v>1681</v>
      </c>
      <c r="C396" s="24" t="s">
        <v>257</v>
      </c>
      <c r="D396" s="24" t="s">
        <v>15</v>
      </c>
      <c r="E396" s="24">
        <v>12</v>
      </c>
      <c r="F396" s="24" t="s">
        <v>34</v>
      </c>
      <c r="G396" s="22">
        <v>17758</v>
      </c>
      <c r="H396" s="22">
        <v>5611</v>
      </c>
      <c r="I396" s="22">
        <v>6507</v>
      </c>
      <c r="J396" s="24" t="s">
        <v>35</v>
      </c>
      <c r="K396" s="22">
        <f>SUM(G396,H396,I396)</f>
        <v>29876</v>
      </c>
      <c r="L396" s="23" t="s">
        <v>669</v>
      </c>
      <c r="M396" s="23" t="str">
        <f>VLOOKUP(L396,スキル!B:C,2,FALSE)</f>
        <v>X字型攻撃[大]自分の攻撃力UP[大]</v>
      </c>
      <c r="N396" s="23" t="s">
        <v>18</v>
      </c>
      <c r="O396" s="23" t="str">
        <f>VLOOKUP(N396,スキル!B:C,2,FALSE)</f>
        <v>　</v>
      </c>
      <c r="P396" s="23" t="s">
        <v>161</v>
      </c>
      <c r="Q396" s="23" t="str">
        <f>VLOOKUP(P396,タクティクス!B:C,2,FALSE)</f>
        <v>バトルで獲得する騎士団戦スコアが中アップ(3分間)</v>
      </c>
      <c r="R396" s="23" t="s">
        <v>18</v>
      </c>
      <c r="S396" s="23" t="str">
        <f>VLOOKUP(R396,タクティクス!B:C,2,FALSE)</f>
        <v>　</v>
      </c>
      <c r="T396" s="23" t="s">
        <v>18</v>
      </c>
      <c r="U396" s="23" t="s">
        <v>18</v>
      </c>
      <c r="V396" s="20" t="s">
        <v>1846</v>
      </c>
    </row>
    <row r="397" spans="1:22" ht="21.75" customHeight="1" x14ac:dyDescent="0.15">
      <c r="A397" s="20" t="str">
        <f>B397&amp;".jpg"</f>
        <v>1682.jpg</v>
      </c>
      <c r="B397" s="46">
        <v>1682</v>
      </c>
      <c r="C397" s="24" t="s">
        <v>257</v>
      </c>
      <c r="D397" s="24" t="s">
        <v>15</v>
      </c>
      <c r="E397" s="24">
        <v>13</v>
      </c>
      <c r="F397" s="24" t="s">
        <v>34</v>
      </c>
      <c r="G397" s="22">
        <v>19978</v>
      </c>
      <c r="H397" s="22">
        <v>6635</v>
      </c>
      <c r="I397" s="22">
        <v>7216</v>
      </c>
      <c r="J397" s="24" t="s">
        <v>35</v>
      </c>
      <c r="K397" s="22">
        <f>SUM(G397,H397,I397)</f>
        <v>33829</v>
      </c>
      <c r="L397" s="23" t="s">
        <v>669</v>
      </c>
      <c r="M397" s="23" t="str">
        <f>VLOOKUP(L397,スキル!B:C,2,FALSE)</f>
        <v>X字型攻撃[大]自分の攻撃力UP[大]</v>
      </c>
      <c r="N397" s="23" t="s">
        <v>18</v>
      </c>
      <c r="O397" s="23" t="str">
        <f>VLOOKUP(N397,スキル!B:C,2,FALSE)</f>
        <v>　</v>
      </c>
      <c r="P397" s="23" t="s">
        <v>161</v>
      </c>
      <c r="Q397" s="23" t="str">
        <f>VLOOKUP(P397,タクティクス!B:C,2,FALSE)</f>
        <v>バトルで獲得する騎士団戦スコアが中アップ(3分間)</v>
      </c>
      <c r="R397" s="23" t="s">
        <v>18</v>
      </c>
      <c r="S397" s="23" t="str">
        <f>VLOOKUP(R397,タクティクス!B:C,2,FALSE)</f>
        <v>　</v>
      </c>
      <c r="T397" s="23" t="s">
        <v>18</v>
      </c>
      <c r="U397" s="23" t="s">
        <v>18</v>
      </c>
      <c r="V397" s="20" t="s">
        <v>1846</v>
      </c>
    </row>
    <row r="398" spans="1:22" ht="21.75" customHeight="1" x14ac:dyDescent="0.15">
      <c r="A398" s="20" t="str">
        <f>B398&amp;".jpg"</f>
        <v>1683.jpg</v>
      </c>
      <c r="B398" s="46">
        <v>1683</v>
      </c>
      <c r="C398" s="24" t="s">
        <v>257</v>
      </c>
      <c r="D398" s="24" t="s">
        <v>150</v>
      </c>
      <c r="E398" s="24">
        <v>14</v>
      </c>
      <c r="F398" s="24" t="s">
        <v>34</v>
      </c>
      <c r="G398" s="22">
        <v>22055</v>
      </c>
      <c r="H398" s="22">
        <v>7428</v>
      </c>
      <c r="I398" s="22">
        <v>8004</v>
      </c>
      <c r="J398" s="24" t="s">
        <v>17</v>
      </c>
      <c r="K398" s="22">
        <f>SUM(G398,H398,I398)</f>
        <v>37487</v>
      </c>
      <c r="L398" s="23" t="s">
        <v>697</v>
      </c>
      <c r="M398" s="23" t="str">
        <f>VLOOKUP(L398,スキル!B:C,2,FALSE)</f>
        <v>X字型攻撃[特大]自分の攻撃力UP[特大]</v>
      </c>
      <c r="N398" s="23" t="s">
        <v>18</v>
      </c>
      <c r="O398" s="23" t="str">
        <f>VLOOKUP(N398,スキル!B:C,2,FALSE)</f>
        <v>　</v>
      </c>
      <c r="P398" s="23" t="s">
        <v>226</v>
      </c>
      <c r="Q398" s="23" t="str">
        <f>VLOOKUP(P398,タクティクス!B:C,2,FALSE)</f>
        <v>バトルで獲得する騎士団戦スコアが大アップ(3分間)</v>
      </c>
      <c r="R398" s="23" t="s">
        <v>18</v>
      </c>
      <c r="S398" s="23" t="str">
        <f>VLOOKUP(R398,タクティクス!B:C,2,FALSE)</f>
        <v>　</v>
      </c>
      <c r="T398" s="23" t="s">
        <v>18</v>
      </c>
      <c r="U398" s="23" t="s">
        <v>18</v>
      </c>
      <c r="V398" s="20" t="s">
        <v>1846</v>
      </c>
    </row>
    <row r="399" spans="1:22" ht="21.75" customHeight="1" x14ac:dyDescent="0.15">
      <c r="A399" s="20" t="str">
        <f>B399&amp;".jpg"</f>
        <v>1684.jpg</v>
      </c>
      <c r="B399" s="46">
        <v>1684</v>
      </c>
      <c r="C399" s="24" t="s">
        <v>310</v>
      </c>
      <c r="D399" s="24" t="s">
        <v>15</v>
      </c>
      <c r="E399" s="24">
        <v>13</v>
      </c>
      <c r="F399" s="24" t="s">
        <v>25</v>
      </c>
      <c r="G399" s="22">
        <v>19061</v>
      </c>
      <c r="H399" s="22">
        <v>5673</v>
      </c>
      <c r="I399" s="22">
        <v>5392</v>
      </c>
      <c r="J399" s="24" t="s">
        <v>26</v>
      </c>
      <c r="K399" s="22">
        <f>SUM(G399,H399,I399)</f>
        <v>30126</v>
      </c>
      <c r="L399" s="24" t="s">
        <v>568</v>
      </c>
      <c r="M399" s="23" t="str">
        <f>VLOOKUP(L399,スキル!B:C,2,FALSE)</f>
        <v>縦一列に攻撃[大]</v>
      </c>
      <c r="N399" s="23" t="s">
        <v>18</v>
      </c>
      <c r="O399" s="23" t="str">
        <f>VLOOKUP(N399,スキル!B:C,2,FALSE)</f>
        <v>　</v>
      </c>
      <c r="P399" s="23" t="s">
        <v>79</v>
      </c>
      <c r="Q399" s="23" t="str">
        <f>VLOOKUP(P399,タクティクス!B:C,2,FALSE)</f>
        <v>騎士団全体の防御力が小UP(3分間)</v>
      </c>
      <c r="R399" s="23" t="s">
        <v>18</v>
      </c>
      <c r="S399" s="23" t="str">
        <f>VLOOKUP(R399,タクティクス!B:C,2,FALSE)</f>
        <v>　</v>
      </c>
      <c r="T399" s="23" t="s">
        <v>18</v>
      </c>
      <c r="U399" s="23" t="s">
        <v>18</v>
      </c>
      <c r="V399" s="20" t="s">
        <v>1825</v>
      </c>
    </row>
    <row r="400" spans="1:22" ht="21.75" customHeight="1" x14ac:dyDescent="0.15">
      <c r="A400" s="20" t="str">
        <f>B400&amp;".jpg"</f>
        <v>1685.jpg</v>
      </c>
      <c r="B400" s="46">
        <v>1685</v>
      </c>
      <c r="C400" s="24" t="s">
        <v>120</v>
      </c>
      <c r="D400" s="24" t="s">
        <v>150</v>
      </c>
      <c r="E400" s="24">
        <v>14</v>
      </c>
      <c r="F400" s="24" t="s">
        <v>16</v>
      </c>
      <c r="G400" s="22">
        <v>18958</v>
      </c>
      <c r="H400" s="22">
        <v>7588</v>
      </c>
      <c r="I400" s="22">
        <v>6314</v>
      </c>
      <c r="J400" s="24" t="s">
        <v>151</v>
      </c>
      <c r="K400" s="22">
        <f>SUM(G400,H400,I400)</f>
        <v>32860</v>
      </c>
      <c r="L400" s="23" t="s">
        <v>797</v>
      </c>
      <c r="M400" s="23" t="str">
        <f>VLOOKUP(L400,スキル!B:C,2,FALSE)</f>
        <v>横一列攻撃[特大]自分の攻撃力UP[特大]</v>
      </c>
      <c r="N400" s="23" t="s">
        <v>18</v>
      </c>
      <c r="O400" s="23" t="str">
        <f>VLOOKUP(N400,スキル!B:C,2,FALSE)</f>
        <v>　</v>
      </c>
      <c r="P400" s="23" t="s">
        <v>311</v>
      </c>
      <c r="Q400" s="23" t="str">
        <f>VLOOKUP(P400,タクティクス!B:C,2,FALSE)</f>
        <v>対戦騎士団全体の防御力が中DOWN(3分間)</v>
      </c>
      <c r="R400" s="23" t="s">
        <v>18</v>
      </c>
      <c r="S400" s="23" t="str">
        <f>VLOOKUP(R400,タクティクス!B:C,2,FALSE)</f>
        <v>　</v>
      </c>
      <c r="T400" s="23" t="s">
        <v>18</v>
      </c>
      <c r="U400" s="23" t="s">
        <v>18</v>
      </c>
      <c r="V400" s="20" t="s">
        <v>1827</v>
      </c>
    </row>
    <row r="401" spans="1:22" ht="21.75" customHeight="1" x14ac:dyDescent="0.15">
      <c r="A401" s="20" t="str">
        <f>B401&amp;".jpg"</f>
        <v>1686.jpg</v>
      </c>
      <c r="B401" s="46">
        <v>1686</v>
      </c>
      <c r="C401" s="24" t="s">
        <v>82</v>
      </c>
      <c r="D401" s="24" t="s">
        <v>150</v>
      </c>
      <c r="E401" s="24">
        <v>14</v>
      </c>
      <c r="F401" s="24" t="s">
        <v>34</v>
      </c>
      <c r="G401" s="22">
        <v>26139</v>
      </c>
      <c r="H401" s="22">
        <v>6335</v>
      </c>
      <c r="I401" s="22">
        <v>7961</v>
      </c>
      <c r="J401" s="24" t="s">
        <v>17</v>
      </c>
      <c r="K401" s="22">
        <f>SUM(G401,H401,I401)</f>
        <v>40435</v>
      </c>
      <c r="L401" s="23" t="s">
        <v>799</v>
      </c>
      <c r="M401" s="23" t="str">
        <f>VLOOKUP(L401,スキル!B:C,2,FALSE)</f>
        <v>X字型攻撃[特大]自分の防御力UP[特大]</v>
      </c>
      <c r="N401" s="23" t="s">
        <v>18</v>
      </c>
      <c r="O401" s="23" t="str">
        <f>VLOOKUP(N401,スキル!B:C,2,FALSE)</f>
        <v>　</v>
      </c>
      <c r="P401" s="23" t="s">
        <v>293</v>
      </c>
      <c r="Q401" s="23" t="str">
        <f>VLOOKUP(P401,タクティクス!B:C,2,FALSE)</f>
        <v>騎士団全体の防御力が中UP(3分間)</v>
      </c>
      <c r="R401" s="23" t="s">
        <v>18</v>
      </c>
      <c r="S401" s="23" t="str">
        <f>VLOOKUP(R401,タクティクス!B:C,2,FALSE)</f>
        <v>　</v>
      </c>
      <c r="T401" s="23" t="s">
        <v>18</v>
      </c>
      <c r="U401" s="23" t="s">
        <v>18</v>
      </c>
      <c r="V401" s="20" t="s">
        <v>1827</v>
      </c>
    </row>
    <row r="402" spans="1:22" ht="21.75" customHeight="1" x14ac:dyDescent="0.15">
      <c r="A402" s="20" t="str">
        <f>B402&amp;".jpg"</f>
        <v>1688.jpg</v>
      </c>
      <c r="B402" s="46">
        <v>1688</v>
      </c>
      <c r="C402" s="24" t="s">
        <v>312</v>
      </c>
      <c r="D402" s="24" t="s">
        <v>150</v>
      </c>
      <c r="E402" s="24">
        <v>14</v>
      </c>
      <c r="F402" s="24" t="s">
        <v>16</v>
      </c>
      <c r="G402" s="22">
        <v>17241</v>
      </c>
      <c r="H402" s="22">
        <v>7922</v>
      </c>
      <c r="I402" s="22">
        <v>6328</v>
      </c>
      <c r="J402" s="24" t="s">
        <v>151</v>
      </c>
      <c r="K402" s="22">
        <f>SUM(G402,H402,I402)</f>
        <v>31491</v>
      </c>
      <c r="L402" s="23" t="s">
        <v>701</v>
      </c>
      <c r="M402" s="23" t="str">
        <f>VLOOKUP(L402,スキル!B:C,2,FALSE)</f>
        <v>十字型に攻撃[特大]</v>
      </c>
      <c r="N402" s="23" t="s">
        <v>18</v>
      </c>
      <c r="O402" s="23" t="str">
        <f>VLOOKUP(N402,スキル!B:C,2,FALSE)</f>
        <v>　</v>
      </c>
      <c r="P402" s="23" t="s">
        <v>298</v>
      </c>
      <c r="Q402" s="23" t="str">
        <f>VLOOKUP(P402,タクティクス!B:C,2,FALSE)</f>
        <v>城の強度Lvが中UP(3分間)</v>
      </c>
      <c r="R402" s="23" t="s">
        <v>18</v>
      </c>
      <c r="S402" s="23" t="str">
        <f>VLOOKUP(R402,タクティクス!B:C,2,FALSE)</f>
        <v>　</v>
      </c>
      <c r="T402" s="23" t="s">
        <v>18</v>
      </c>
      <c r="U402" s="23" t="s">
        <v>18</v>
      </c>
      <c r="V402" s="20" t="s">
        <v>1823</v>
      </c>
    </row>
    <row r="403" spans="1:22" ht="21.75" customHeight="1" x14ac:dyDescent="0.15">
      <c r="A403" s="20" t="str">
        <f>B403&amp;".jpg"</f>
        <v>1690.jpg</v>
      </c>
      <c r="B403" s="46">
        <v>1690</v>
      </c>
      <c r="C403" s="24" t="s">
        <v>24</v>
      </c>
      <c r="D403" s="24" t="s">
        <v>150</v>
      </c>
      <c r="E403" s="24">
        <v>14</v>
      </c>
      <c r="F403" s="24" t="s">
        <v>25</v>
      </c>
      <c r="G403" s="22">
        <v>20385</v>
      </c>
      <c r="H403" s="22">
        <v>6268</v>
      </c>
      <c r="I403" s="22">
        <v>6842</v>
      </c>
      <c r="J403" s="24" t="s">
        <v>177</v>
      </c>
      <c r="K403" s="22">
        <f>SUM(G403,H403,I403)</f>
        <v>33495</v>
      </c>
      <c r="L403" s="23" t="s">
        <v>801</v>
      </c>
      <c r="M403" s="23" t="str">
        <f>VLOOKUP(L403,スキル!B:C,2,FALSE)</f>
        <v>ランダム5連続攻撃[中]自分の防御力UP[中]</v>
      </c>
      <c r="N403" s="23" t="s">
        <v>18</v>
      </c>
      <c r="O403" s="23" t="str">
        <f>VLOOKUP(N403,スキル!B:C,2,FALSE)</f>
        <v>　</v>
      </c>
      <c r="P403" s="23" t="s">
        <v>178</v>
      </c>
      <c r="Q403" s="23" t="str">
        <f>VLOOKUP(P403,タクティクス!B:C,2,FALSE)</f>
        <v>パーティ全体の攻撃力が大UP(3分間)</v>
      </c>
      <c r="R403" s="23" t="s">
        <v>18</v>
      </c>
      <c r="S403" s="23" t="str">
        <f>VLOOKUP(R403,タクティクス!B:C,2,FALSE)</f>
        <v>　</v>
      </c>
      <c r="T403" s="23" t="s">
        <v>18</v>
      </c>
      <c r="U403" s="23" t="s">
        <v>18</v>
      </c>
      <c r="V403" s="20" t="s">
        <v>1823</v>
      </c>
    </row>
    <row r="404" spans="1:22" ht="21.75" customHeight="1" x14ac:dyDescent="0.15">
      <c r="A404" s="20" t="str">
        <f>B404&amp;".jpg"</f>
        <v>1692.jpg</v>
      </c>
      <c r="B404" s="46">
        <v>1692</v>
      </c>
      <c r="C404" s="24" t="s">
        <v>313</v>
      </c>
      <c r="D404" s="24" t="s">
        <v>15</v>
      </c>
      <c r="E404" s="24">
        <v>13</v>
      </c>
      <c r="F404" s="24" t="s">
        <v>34</v>
      </c>
      <c r="G404" s="22">
        <v>18677</v>
      </c>
      <c r="H404" s="22">
        <v>6338</v>
      </c>
      <c r="I404" s="22">
        <v>6665</v>
      </c>
      <c r="J404" s="24" t="s">
        <v>35</v>
      </c>
      <c r="K404" s="22">
        <f>SUM(G404,H404,I404)</f>
        <v>31680</v>
      </c>
      <c r="L404" s="23" t="s">
        <v>631</v>
      </c>
      <c r="M404" s="23" t="str">
        <f>VLOOKUP(L404,スキル!B:C,2,FALSE)</f>
        <v>突に強く斬に弱い縦一列攻撃[大]</v>
      </c>
      <c r="N404" s="23" t="s">
        <v>18</v>
      </c>
      <c r="O404" s="23" t="str">
        <f>VLOOKUP(N404,スキル!B:C,2,FALSE)</f>
        <v>　</v>
      </c>
      <c r="P404" s="23" t="s">
        <v>314</v>
      </c>
      <c r="Q404" s="23" t="str">
        <f>VLOOKUP(P404,タクティクス!B:C,2,FALSE)</f>
        <v>ヘイトUP＆迎撃時にパーティ全体の攻・防が小UP(3分間)</v>
      </c>
      <c r="R404" s="23" t="s">
        <v>18</v>
      </c>
      <c r="S404" s="23" t="str">
        <f>VLOOKUP(R404,タクティクス!B:C,2,FALSE)</f>
        <v>　</v>
      </c>
      <c r="T404" s="23" t="s">
        <v>18</v>
      </c>
      <c r="U404" s="23" t="s">
        <v>18</v>
      </c>
      <c r="V404" s="20" t="s">
        <v>1823</v>
      </c>
    </row>
    <row r="405" spans="1:22" ht="21.75" customHeight="1" x14ac:dyDescent="0.15">
      <c r="A405" s="20" t="str">
        <f>B405&amp;".jpg"</f>
        <v>1694.jpg</v>
      </c>
      <c r="B405" s="46">
        <v>1694</v>
      </c>
      <c r="C405" s="24" t="s">
        <v>315</v>
      </c>
      <c r="D405" s="24" t="s">
        <v>15</v>
      </c>
      <c r="E405" s="24">
        <v>13</v>
      </c>
      <c r="F405" s="24" t="s">
        <v>41</v>
      </c>
      <c r="G405" s="22">
        <v>16857</v>
      </c>
      <c r="H405" s="22">
        <v>6237</v>
      </c>
      <c r="I405" s="22">
        <v>4533</v>
      </c>
      <c r="J405" s="24" t="s">
        <v>26</v>
      </c>
      <c r="K405" s="22">
        <f>SUM(G405,H405,I405)</f>
        <v>27627</v>
      </c>
      <c r="L405" s="23" t="s">
        <v>705</v>
      </c>
      <c r="M405" s="23" t="str">
        <f>VLOOKUP(L405,スキル!B:C,2,FALSE)</f>
        <v>ランダム4連続攻撃[中]自分の防御力UP[中]</v>
      </c>
      <c r="N405" s="23" t="s">
        <v>18</v>
      </c>
      <c r="O405" s="23" t="str">
        <f>VLOOKUP(N405,スキル!B:C,2,FALSE)</f>
        <v>　</v>
      </c>
      <c r="P405" s="23" t="s">
        <v>127</v>
      </c>
      <c r="Q405" s="23" t="str">
        <f>VLOOKUP(P405,タクティクス!B:C,2,FALSE)</f>
        <v>生存ユニットのHPを大回復</v>
      </c>
      <c r="R405" s="23" t="s">
        <v>18</v>
      </c>
      <c r="S405" s="23" t="str">
        <f>VLOOKUP(R405,タクティクス!B:C,2,FALSE)</f>
        <v>　</v>
      </c>
      <c r="T405" s="23" t="s">
        <v>18</v>
      </c>
      <c r="U405" s="23" t="s">
        <v>18</v>
      </c>
      <c r="V405" s="20" t="s">
        <v>1823</v>
      </c>
    </row>
    <row r="406" spans="1:22" ht="21.75" customHeight="1" x14ac:dyDescent="0.15">
      <c r="A406" s="20" t="str">
        <f>B406&amp;".jpg"</f>
        <v>1699.jpg</v>
      </c>
      <c r="B406" s="46">
        <v>1699</v>
      </c>
      <c r="C406" s="24" t="s">
        <v>316</v>
      </c>
      <c r="D406" s="24" t="s">
        <v>15</v>
      </c>
      <c r="E406" s="24">
        <v>13</v>
      </c>
      <c r="F406" s="24" t="s">
        <v>16</v>
      </c>
      <c r="G406" s="22">
        <v>15221</v>
      </c>
      <c r="H406" s="22">
        <v>7002</v>
      </c>
      <c r="I406" s="22">
        <v>5832</v>
      </c>
      <c r="J406" s="24" t="s">
        <v>17</v>
      </c>
      <c r="K406" s="22">
        <f>SUM(G406,H406,I406)</f>
        <v>28055</v>
      </c>
      <c r="L406" s="23" t="s">
        <v>803</v>
      </c>
      <c r="M406" s="23" t="str">
        <f>VLOOKUP(L406,スキル!B:C,2,FALSE)</f>
        <v>遠に強く打に弱い縦一列攻撃[大]</v>
      </c>
      <c r="N406" s="23" t="s">
        <v>18</v>
      </c>
      <c r="O406" s="23" t="str">
        <f>VLOOKUP(N406,スキル!B:C,2,FALSE)</f>
        <v>　</v>
      </c>
      <c r="P406" s="23" t="s">
        <v>51</v>
      </c>
      <c r="Q406" s="23" t="str">
        <f>VLOOKUP(P406,タクティクス!B:C,2,FALSE)</f>
        <v>獲得する騎士団戦スコアが中アップ(バトル3回)</v>
      </c>
      <c r="R406" s="23" t="s">
        <v>18</v>
      </c>
      <c r="S406" s="23" t="str">
        <f>VLOOKUP(R406,タクティクス!B:C,2,FALSE)</f>
        <v>　</v>
      </c>
      <c r="T406" s="23" t="s">
        <v>18</v>
      </c>
      <c r="U406" s="23" t="s">
        <v>18</v>
      </c>
      <c r="V406" s="20" t="s">
        <v>1877</v>
      </c>
    </row>
    <row r="407" spans="1:22" ht="21.75" customHeight="1" x14ac:dyDescent="0.15">
      <c r="A407" s="20" t="str">
        <f>B407&amp;".jpg"</f>
        <v>1701.jpg</v>
      </c>
      <c r="B407" s="46">
        <v>1701</v>
      </c>
      <c r="C407" s="24" t="s">
        <v>317</v>
      </c>
      <c r="D407" s="24" t="s">
        <v>150</v>
      </c>
      <c r="E407" s="24">
        <v>14</v>
      </c>
      <c r="F407" s="24" t="s">
        <v>16</v>
      </c>
      <c r="G407" s="22">
        <v>17223</v>
      </c>
      <c r="H407" s="22">
        <v>7917</v>
      </c>
      <c r="I407" s="22">
        <v>6690</v>
      </c>
      <c r="J407" s="24" t="s">
        <v>151</v>
      </c>
      <c r="K407" s="22">
        <f>SUM(G407,H407,I407)</f>
        <v>31830</v>
      </c>
      <c r="L407" s="23" t="s">
        <v>805</v>
      </c>
      <c r="M407" s="23" t="str">
        <f>VLOOKUP(L407,スキル!B:C,2,FALSE)</f>
        <v>十字型攻撃[特大]自分の防御力UP[特大]</v>
      </c>
      <c r="N407" s="23" t="s">
        <v>18</v>
      </c>
      <c r="O407" s="23" t="str">
        <f>VLOOKUP(N407,スキル!B:C,2,FALSE)</f>
        <v>　</v>
      </c>
      <c r="P407" s="23" t="s">
        <v>281</v>
      </c>
      <c r="Q407" s="23" t="str">
        <f>VLOOKUP(P407,タクティクス!B:C,2,FALSE)</f>
        <v>CB時に獲得ポイント大UP＆BPが大回復(3回)</v>
      </c>
      <c r="R407" s="23" t="s">
        <v>18</v>
      </c>
      <c r="S407" s="23" t="str">
        <f>VLOOKUP(R407,タクティクス!B:C,2,FALSE)</f>
        <v>　</v>
      </c>
      <c r="T407" s="23" t="s">
        <v>18</v>
      </c>
      <c r="U407" s="23" t="s">
        <v>18</v>
      </c>
      <c r="V407" s="20" t="s">
        <v>1899</v>
      </c>
    </row>
    <row r="408" spans="1:22" ht="21.75" customHeight="1" x14ac:dyDescent="0.15">
      <c r="A408" s="20" t="str">
        <f>B408&amp;".jpg"</f>
        <v>1703.jpg</v>
      </c>
      <c r="B408" s="46">
        <v>1703</v>
      </c>
      <c r="C408" s="24" t="s">
        <v>318</v>
      </c>
      <c r="D408" s="24" t="s">
        <v>150</v>
      </c>
      <c r="E408" s="24">
        <v>14</v>
      </c>
      <c r="F408" s="24" t="s">
        <v>41</v>
      </c>
      <c r="G408" s="22">
        <v>19914</v>
      </c>
      <c r="H408" s="22">
        <v>6951</v>
      </c>
      <c r="I408" s="22">
        <v>5574</v>
      </c>
      <c r="J408" s="24" t="s">
        <v>55</v>
      </c>
      <c r="K408" s="22">
        <f>SUM(G408,H408,I408)</f>
        <v>32439</v>
      </c>
      <c r="L408" s="23" t="s">
        <v>807</v>
      </c>
      <c r="M408" s="23" t="str">
        <f>VLOOKUP(L408,スキル!B:C,2,FALSE)</f>
        <v>敵単体に攻撃しつつHP回復[特大]</v>
      </c>
      <c r="N408" s="23" t="s">
        <v>18</v>
      </c>
      <c r="O408" s="23" t="str">
        <f>VLOOKUP(N408,スキル!B:C,2,FALSE)</f>
        <v>　</v>
      </c>
      <c r="P408" s="23" t="s">
        <v>319</v>
      </c>
      <c r="Q408" s="23" t="str">
        <f>VLOOKUP(P408,タクティクス!B:C,2,FALSE)</f>
        <v>対戦騎士団の城強度Lvが中DOWN(3分間)</v>
      </c>
      <c r="R408" s="23" t="s">
        <v>18</v>
      </c>
      <c r="S408" s="23" t="str">
        <f>VLOOKUP(R408,タクティクス!B:C,2,FALSE)</f>
        <v>　</v>
      </c>
      <c r="T408" s="23" t="s">
        <v>18</v>
      </c>
      <c r="U408" s="23" t="s">
        <v>18</v>
      </c>
      <c r="V408" s="20" t="s">
        <v>1899</v>
      </c>
    </row>
    <row r="409" spans="1:22" ht="21.75" customHeight="1" x14ac:dyDescent="0.15">
      <c r="A409" s="20" t="str">
        <f>B409&amp;".jpg"</f>
        <v>1709.jpg</v>
      </c>
      <c r="B409" s="46">
        <v>1709</v>
      </c>
      <c r="C409" s="24" t="s">
        <v>320</v>
      </c>
      <c r="D409" s="24" t="s">
        <v>15</v>
      </c>
      <c r="E409" s="24">
        <v>13</v>
      </c>
      <c r="F409" s="24" t="s">
        <v>16</v>
      </c>
      <c r="G409" s="22">
        <v>15528</v>
      </c>
      <c r="H409" s="22">
        <v>7138</v>
      </c>
      <c r="I409" s="22">
        <v>5429</v>
      </c>
      <c r="J409" s="24" t="s">
        <v>17</v>
      </c>
      <c r="K409" s="22">
        <f>SUM(G409,H409,I409)</f>
        <v>28095</v>
      </c>
      <c r="L409" s="23" t="s">
        <v>656</v>
      </c>
      <c r="M409" s="23" t="str">
        <f>VLOOKUP(L409,スキル!B:C,2,FALSE)</f>
        <v>十字型攻撃[大]自分の防御力UP[大]</v>
      </c>
      <c r="N409" s="23" t="s">
        <v>18</v>
      </c>
      <c r="O409" s="23" t="str">
        <f>VLOOKUP(N409,スキル!B:C,2,FALSE)</f>
        <v>　</v>
      </c>
      <c r="P409" s="23" t="s">
        <v>83</v>
      </c>
      <c r="Q409" s="23" t="str">
        <f>VLOOKUP(P409,タクティクス!B:C,2,FALSE)</f>
        <v>騎士団全体の攻・防が小UP(3分間)</v>
      </c>
      <c r="R409" s="23" t="s">
        <v>18</v>
      </c>
      <c r="S409" s="23" t="str">
        <f>VLOOKUP(R409,タクティクス!B:C,2,FALSE)</f>
        <v>　</v>
      </c>
      <c r="T409" s="23" t="s">
        <v>18</v>
      </c>
      <c r="U409" s="23" t="s">
        <v>18</v>
      </c>
      <c r="V409" s="20" t="s">
        <v>1828</v>
      </c>
    </row>
    <row r="410" spans="1:22" ht="21.75" customHeight="1" x14ac:dyDescent="0.15">
      <c r="A410" s="20" t="str">
        <f>B410&amp;".jpg"</f>
        <v>1710.jpg</v>
      </c>
      <c r="B410" s="46">
        <v>1710</v>
      </c>
      <c r="C410" s="24" t="s">
        <v>320</v>
      </c>
      <c r="D410" s="24" t="s">
        <v>150</v>
      </c>
      <c r="E410" s="24">
        <v>14</v>
      </c>
      <c r="F410" s="24" t="s">
        <v>16</v>
      </c>
      <c r="G410" s="22">
        <v>17422</v>
      </c>
      <c r="H410" s="22">
        <v>8004</v>
      </c>
      <c r="I410" s="22">
        <v>6279</v>
      </c>
      <c r="J410" s="24" t="s">
        <v>151</v>
      </c>
      <c r="K410" s="22">
        <f>SUM(G410,H410,I410)</f>
        <v>31705</v>
      </c>
      <c r="L410" s="23" t="s">
        <v>809</v>
      </c>
      <c r="M410" s="23" t="str">
        <f>VLOOKUP(L410,スキル!B:C,2,FALSE)</f>
        <v>突に強く斬に弱い十字型攻撃[特大]</v>
      </c>
      <c r="N410" s="23" t="s">
        <v>18</v>
      </c>
      <c r="O410" s="23" t="str">
        <f>VLOOKUP(N410,スキル!B:C,2,FALSE)</f>
        <v>　</v>
      </c>
      <c r="P410" s="23" t="s">
        <v>311</v>
      </c>
      <c r="Q410" s="23" t="str">
        <f>VLOOKUP(P410,タクティクス!B:C,2,FALSE)</f>
        <v>対戦騎士団全体の防御力が中DOWN(3分間)</v>
      </c>
      <c r="R410" s="23" t="s">
        <v>18</v>
      </c>
      <c r="S410" s="23" t="str">
        <f>VLOOKUP(R410,タクティクス!B:C,2,FALSE)</f>
        <v>　</v>
      </c>
      <c r="T410" s="23" t="s">
        <v>18</v>
      </c>
      <c r="U410" s="23" t="s">
        <v>18</v>
      </c>
      <c r="V410" s="20" t="s">
        <v>1829</v>
      </c>
    </row>
    <row r="411" spans="1:22" ht="21.75" customHeight="1" x14ac:dyDescent="0.15">
      <c r="A411" s="20" t="str">
        <f>B411&amp;".jpg"</f>
        <v>1712.jpg</v>
      </c>
      <c r="B411" s="46">
        <v>1712</v>
      </c>
      <c r="C411" s="24" t="s">
        <v>321</v>
      </c>
      <c r="D411" s="24" t="s">
        <v>15</v>
      </c>
      <c r="E411" s="24">
        <v>13</v>
      </c>
      <c r="F411" s="24" t="s">
        <v>16</v>
      </c>
      <c r="G411" s="22">
        <v>14651</v>
      </c>
      <c r="H411" s="22">
        <v>6721</v>
      </c>
      <c r="I411" s="22">
        <v>6099</v>
      </c>
      <c r="J411" s="24" t="s">
        <v>17</v>
      </c>
      <c r="K411" s="22">
        <f>SUM(G411,H411,I411)</f>
        <v>27471</v>
      </c>
      <c r="L411" s="23" t="s">
        <v>671</v>
      </c>
      <c r="M411" s="23" t="str">
        <f>VLOOKUP(L411,スキル!B:C,2,FALSE)</f>
        <v>横一列攻撃[大]自分の攻撃力UP[大]</v>
      </c>
      <c r="N411" s="23" t="s">
        <v>18</v>
      </c>
      <c r="O411" s="23" t="str">
        <f>VLOOKUP(N411,スキル!B:C,2,FALSE)</f>
        <v>　</v>
      </c>
      <c r="P411" s="23" t="s">
        <v>56</v>
      </c>
      <c r="Q411" s="23" t="str">
        <f>VLOOKUP(P411,タクティクス!B:C,2,FALSE)</f>
        <v>バトルで敵を全滅するとBPが中回復(バトル3回)</v>
      </c>
      <c r="R411" s="23" t="s">
        <v>18</v>
      </c>
      <c r="S411" s="23" t="str">
        <f>VLOOKUP(R411,タクティクス!B:C,2,FALSE)</f>
        <v>　</v>
      </c>
      <c r="T411" s="23" t="s">
        <v>18</v>
      </c>
      <c r="U411" s="23" t="s">
        <v>18</v>
      </c>
      <c r="V411" s="20" t="s">
        <v>1828</v>
      </c>
    </row>
    <row r="412" spans="1:22" ht="21.75" customHeight="1" x14ac:dyDescent="0.15">
      <c r="A412" s="20" t="str">
        <f>B412&amp;".jpg"</f>
        <v>1713.jpg</v>
      </c>
      <c r="B412" s="46">
        <v>1713</v>
      </c>
      <c r="C412" s="24" t="s">
        <v>321</v>
      </c>
      <c r="D412" s="24" t="s">
        <v>150</v>
      </c>
      <c r="E412" s="24">
        <v>14</v>
      </c>
      <c r="F412" s="24" t="s">
        <v>16</v>
      </c>
      <c r="G412" s="22">
        <v>16171</v>
      </c>
      <c r="H412" s="22">
        <v>7428</v>
      </c>
      <c r="I412" s="22">
        <v>7105</v>
      </c>
      <c r="J412" s="24" t="s">
        <v>151</v>
      </c>
      <c r="K412" s="22">
        <f>SUM(G412,H412,I412)</f>
        <v>30704</v>
      </c>
      <c r="L412" s="23" t="s">
        <v>811</v>
      </c>
      <c r="M412" s="23" t="str">
        <f>VLOOKUP(L412,スキル!B:C,2,FALSE)</f>
        <v>横一列に攻撃[特大]</v>
      </c>
      <c r="N412" s="23" t="s">
        <v>18</v>
      </c>
      <c r="O412" s="23" t="str">
        <f>VLOOKUP(N412,スキル!B:C,2,FALSE)</f>
        <v>　</v>
      </c>
      <c r="P412" s="23" t="s">
        <v>228</v>
      </c>
      <c r="Q412" s="23" t="str">
        <f>VLOOKUP(P412,タクティクス!B:C,2,FALSE)</f>
        <v>強襲が発生無効、バトル時に攻・防中UP(3分間)</v>
      </c>
      <c r="R412" s="23" t="s">
        <v>18</v>
      </c>
      <c r="S412" s="23" t="str">
        <f>VLOOKUP(R412,タクティクス!B:C,2,FALSE)</f>
        <v>　</v>
      </c>
      <c r="T412" s="23" t="s">
        <v>18</v>
      </c>
      <c r="U412" s="23" t="s">
        <v>18</v>
      </c>
      <c r="V412" s="20" t="s">
        <v>1830</v>
      </c>
    </row>
    <row r="413" spans="1:22" ht="21.75" customHeight="1" x14ac:dyDescent="0.15">
      <c r="A413" s="20" t="str">
        <f>B413&amp;".jpg"</f>
        <v>1715.jpg</v>
      </c>
      <c r="B413" s="46">
        <v>1715</v>
      </c>
      <c r="C413" s="24" t="s">
        <v>322</v>
      </c>
      <c r="D413" s="24" t="s">
        <v>15</v>
      </c>
      <c r="E413" s="24">
        <v>13</v>
      </c>
      <c r="F413" s="24" t="s">
        <v>25</v>
      </c>
      <c r="G413" s="22">
        <v>16437</v>
      </c>
      <c r="H413" s="22">
        <v>5176</v>
      </c>
      <c r="I413" s="22">
        <v>5841</v>
      </c>
      <c r="J413" s="24" t="s">
        <v>31</v>
      </c>
      <c r="K413" s="22">
        <f>SUM(G413,H413,I413)</f>
        <v>27454</v>
      </c>
      <c r="L413" s="23" t="s">
        <v>594</v>
      </c>
      <c r="M413" s="23" t="str">
        <f>VLOOKUP(L413,スキル!B:C,2,FALSE)</f>
        <v>ランダムで5連続攻撃[小]</v>
      </c>
      <c r="N413" s="23" t="s">
        <v>18</v>
      </c>
      <c r="O413" s="23" t="str">
        <f>VLOOKUP(N413,スキル!B:C,2,FALSE)</f>
        <v>　</v>
      </c>
      <c r="P413" s="23" t="s">
        <v>81</v>
      </c>
      <c r="Q413" s="23" t="str">
        <f>VLOOKUP(P413,タクティクス!B:C,2,FALSE)</f>
        <v>騎士団全体の攻撃力が小UP(3分間)</v>
      </c>
      <c r="R413" s="23" t="s">
        <v>18</v>
      </c>
      <c r="S413" s="23" t="str">
        <f>VLOOKUP(R413,タクティクス!B:C,2,FALSE)</f>
        <v>　</v>
      </c>
      <c r="T413" s="23" t="s">
        <v>18</v>
      </c>
      <c r="U413" s="23" t="s">
        <v>18</v>
      </c>
      <c r="V413" s="20" t="s">
        <v>1828</v>
      </c>
    </row>
    <row r="414" spans="1:22" ht="21.75" customHeight="1" x14ac:dyDescent="0.15">
      <c r="A414" s="20" t="str">
        <f>B414&amp;".jpg"</f>
        <v>1716.jpg</v>
      </c>
      <c r="B414" s="46">
        <v>1716</v>
      </c>
      <c r="C414" s="24" t="s">
        <v>322</v>
      </c>
      <c r="D414" s="24" t="s">
        <v>150</v>
      </c>
      <c r="E414" s="24">
        <v>14</v>
      </c>
      <c r="F414" s="24" t="s">
        <v>25</v>
      </c>
      <c r="G414" s="22">
        <v>19376</v>
      </c>
      <c r="H414" s="22">
        <v>6105</v>
      </c>
      <c r="I414" s="22">
        <v>6436</v>
      </c>
      <c r="J414" s="24" t="s">
        <v>282</v>
      </c>
      <c r="K414" s="22">
        <f>SUM(G414,H414,I414)</f>
        <v>31917</v>
      </c>
      <c r="L414" s="23" t="s">
        <v>812</v>
      </c>
      <c r="M414" s="23" t="str">
        <f>VLOOKUP(L414,スキル!B:C,2,FALSE)</f>
        <v>敵全体の攻撃力をDOWN[特大]</v>
      </c>
      <c r="N414" s="23" t="s">
        <v>18</v>
      </c>
      <c r="O414" s="23" t="str">
        <f>VLOOKUP(N414,スキル!B:C,2,FALSE)</f>
        <v>　</v>
      </c>
      <c r="P414" s="23" t="s">
        <v>181</v>
      </c>
      <c r="Q414" s="23" t="str">
        <f>VLOOKUP(P414,タクティクス!B:C,2,FALSE)</f>
        <v>騎士団全体の強襲CB率が小UP(3分間)</v>
      </c>
      <c r="R414" s="23" t="s">
        <v>18</v>
      </c>
      <c r="S414" s="23" t="str">
        <f>VLOOKUP(R414,タクティクス!B:C,2,FALSE)</f>
        <v>　</v>
      </c>
      <c r="T414" s="23" t="s">
        <v>18</v>
      </c>
      <c r="U414" s="23" t="s">
        <v>18</v>
      </c>
      <c r="V414" s="20" t="s">
        <v>1831</v>
      </c>
    </row>
    <row r="415" spans="1:22" ht="21.75" customHeight="1" x14ac:dyDescent="0.15">
      <c r="A415" s="20" t="str">
        <f>B415&amp;".jpg"</f>
        <v>1718.jpg</v>
      </c>
      <c r="B415" s="46">
        <v>1718</v>
      </c>
      <c r="C415" s="24" t="s">
        <v>323</v>
      </c>
      <c r="D415" s="24" t="s">
        <v>15</v>
      </c>
      <c r="E415" s="24">
        <v>13</v>
      </c>
      <c r="F415" s="24" t="s">
        <v>34</v>
      </c>
      <c r="G415" s="22">
        <v>21779</v>
      </c>
      <c r="H415" s="22">
        <v>5780</v>
      </c>
      <c r="I415" s="22">
        <v>6682</v>
      </c>
      <c r="J415" s="24" t="s">
        <v>35</v>
      </c>
      <c r="K415" s="22">
        <f>SUM(G415,H415,I415)</f>
        <v>34241</v>
      </c>
      <c r="L415" s="23" t="s">
        <v>713</v>
      </c>
      <c r="M415" s="23" t="str">
        <f>VLOOKUP(L415,スキル!B:C,2,FALSE)</f>
        <v>ランダムで1～4連撃。攻撃毎に与ダメ2倍[低確率]</v>
      </c>
      <c r="N415" s="23" t="s">
        <v>18</v>
      </c>
      <c r="O415" s="23" t="str">
        <f>VLOOKUP(N415,スキル!B:C,2,FALSE)</f>
        <v>　</v>
      </c>
      <c r="P415" s="23" t="s">
        <v>23</v>
      </c>
      <c r="Q415" s="23" t="str">
        <f>VLOOKUP(P415,タクティクス!B:C,2,FALSE)</f>
        <v>パーティ全体の攻撃力が中UP(3分間)</v>
      </c>
      <c r="R415" s="23" t="s">
        <v>18</v>
      </c>
      <c r="S415" s="23" t="str">
        <f>VLOOKUP(R415,タクティクス!B:C,2,FALSE)</f>
        <v>　</v>
      </c>
      <c r="T415" s="23" t="s">
        <v>18</v>
      </c>
      <c r="U415" s="23" t="s">
        <v>18</v>
      </c>
      <c r="V415" s="20" t="s">
        <v>1828</v>
      </c>
    </row>
    <row r="416" spans="1:22" ht="21.75" customHeight="1" x14ac:dyDescent="0.15">
      <c r="A416" s="20" t="str">
        <f>B416&amp;".jpg"</f>
        <v>1719.jpg</v>
      </c>
      <c r="B416" s="46">
        <v>1719</v>
      </c>
      <c r="C416" s="24" t="s">
        <v>323</v>
      </c>
      <c r="D416" s="24" t="s">
        <v>150</v>
      </c>
      <c r="E416" s="24">
        <v>14</v>
      </c>
      <c r="F416" s="24" t="s">
        <v>34</v>
      </c>
      <c r="G416" s="22">
        <v>24663</v>
      </c>
      <c r="H416" s="22">
        <v>7048</v>
      </c>
      <c r="I416" s="22">
        <v>7630</v>
      </c>
      <c r="J416" s="24" t="s">
        <v>17</v>
      </c>
      <c r="K416" s="22">
        <f>SUM(G416,H416,I416)</f>
        <v>39341</v>
      </c>
      <c r="L416" s="23" t="s">
        <v>813</v>
      </c>
      <c r="M416" s="23" t="str">
        <f>VLOOKUP(L416,スキル!B:C,2,FALSE)</f>
        <v>X字型攻撃[特大]自分の攻撃力UP[特大]</v>
      </c>
      <c r="N416" s="23" t="s">
        <v>18</v>
      </c>
      <c r="O416" s="23" t="str">
        <f>VLOOKUP(N416,スキル!B:C,2,FALSE)</f>
        <v>　</v>
      </c>
      <c r="P416" s="23" t="s">
        <v>274</v>
      </c>
      <c r="Q416" s="23" t="str">
        <f>VLOOKUP(P416,タクティクス!B:C,2,FALSE)</f>
        <v>パーティ全体の攻撃力・速度が中UP(3分間)</v>
      </c>
      <c r="R416" s="23" t="s">
        <v>18</v>
      </c>
      <c r="S416" s="23" t="str">
        <f>VLOOKUP(R416,タクティクス!B:C,2,FALSE)</f>
        <v>　</v>
      </c>
      <c r="T416" s="23" t="s">
        <v>18</v>
      </c>
      <c r="U416" s="23" t="s">
        <v>18</v>
      </c>
      <c r="V416" s="20" t="s">
        <v>1828</v>
      </c>
    </row>
    <row r="417" spans="1:22" ht="21.75" customHeight="1" x14ac:dyDescent="0.15">
      <c r="A417" s="20" t="str">
        <f>B417&amp;".jpg"</f>
        <v>1721.jpg</v>
      </c>
      <c r="B417" s="46">
        <v>1721</v>
      </c>
      <c r="C417" s="24" t="s">
        <v>324</v>
      </c>
      <c r="D417" s="24" t="s">
        <v>15</v>
      </c>
      <c r="E417" s="24">
        <v>13</v>
      </c>
      <c r="F417" s="24" t="s">
        <v>41</v>
      </c>
      <c r="G417" s="22">
        <v>16199</v>
      </c>
      <c r="H417" s="22">
        <v>6676</v>
      </c>
      <c r="I417" s="22">
        <v>4707</v>
      </c>
      <c r="J417" s="24" t="s">
        <v>42</v>
      </c>
      <c r="K417" s="22">
        <f>SUM(G417,H417,I417)</f>
        <v>27582</v>
      </c>
      <c r="L417" s="23" t="s">
        <v>652</v>
      </c>
      <c r="M417" s="23" t="str">
        <f>VLOOKUP(L417,スキル!B:C,2,FALSE)</f>
        <v>ランダム4連続攻撃[中]自分の攻撃力UP[中]</v>
      </c>
      <c r="N417" s="23" t="s">
        <v>18</v>
      </c>
      <c r="O417" s="23" t="str">
        <f>VLOOKUP(N417,スキル!B:C,2,FALSE)</f>
        <v>　</v>
      </c>
      <c r="P417" s="23" t="s">
        <v>255</v>
      </c>
      <c r="Q417" s="23" t="str">
        <f>VLOOKUP(P417,タクティクス!B:C,2,FALSE)</f>
        <v>強襲が発生無効、バトル時に攻・防小UP(3分間)</v>
      </c>
      <c r="R417" s="23" t="s">
        <v>18</v>
      </c>
      <c r="S417" s="23" t="str">
        <f>VLOOKUP(R417,タクティクス!B:C,2,FALSE)</f>
        <v>　</v>
      </c>
      <c r="T417" s="23" t="s">
        <v>18</v>
      </c>
      <c r="U417" s="23" t="s">
        <v>18</v>
      </c>
      <c r="V417" s="20" t="s">
        <v>1828</v>
      </c>
    </row>
    <row r="418" spans="1:22" ht="21.75" customHeight="1" x14ac:dyDescent="0.15">
      <c r="A418" s="20" t="str">
        <f>B418&amp;".jpg"</f>
        <v>1722.jpg</v>
      </c>
      <c r="B418" s="46">
        <v>1722</v>
      </c>
      <c r="C418" s="24" t="s">
        <v>324</v>
      </c>
      <c r="D418" s="24" t="s">
        <v>150</v>
      </c>
      <c r="E418" s="24">
        <v>14</v>
      </c>
      <c r="F418" s="24" t="s">
        <v>41</v>
      </c>
      <c r="G418" s="22">
        <v>17640</v>
      </c>
      <c r="H418" s="22">
        <v>7248</v>
      </c>
      <c r="I418" s="22">
        <v>5597</v>
      </c>
      <c r="J418" s="24" t="s">
        <v>55</v>
      </c>
      <c r="K418" s="22">
        <f>SUM(G418,H418,I418)</f>
        <v>30485</v>
      </c>
      <c r="L418" s="23" t="s">
        <v>814</v>
      </c>
      <c r="M418" s="23" t="str">
        <f>VLOOKUP(L418,スキル!B:C,2,FALSE)</f>
        <v>敵全体に攻撃[特大]</v>
      </c>
      <c r="N418" s="23" t="s">
        <v>18</v>
      </c>
      <c r="O418" s="23" t="str">
        <f>VLOOKUP(N418,スキル!B:C,2,FALSE)</f>
        <v>　</v>
      </c>
      <c r="P418" s="23" t="s">
        <v>293</v>
      </c>
      <c r="Q418" s="23" t="str">
        <f>VLOOKUP(P418,タクティクス!B:C,2,FALSE)</f>
        <v>騎士団全体の防御力が中UP(3分間)</v>
      </c>
      <c r="R418" s="23" t="s">
        <v>18</v>
      </c>
      <c r="S418" s="23" t="str">
        <f>VLOOKUP(R418,タクティクス!B:C,2,FALSE)</f>
        <v>　</v>
      </c>
      <c r="T418" s="23" t="s">
        <v>18</v>
      </c>
      <c r="U418" s="23" t="s">
        <v>18</v>
      </c>
      <c r="V418" s="20" t="s">
        <v>1828</v>
      </c>
    </row>
    <row r="419" spans="1:22" ht="21.75" customHeight="1" x14ac:dyDescent="0.15">
      <c r="A419" s="20" t="str">
        <f>B419&amp;".jpg"</f>
        <v>1724.jpg</v>
      </c>
      <c r="B419" s="46">
        <v>1724</v>
      </c>
      <c r="C419" s="24" t="s">
        <v>292</v>
      </c>
      <c r="D419" s="24" t="s">
        <v>15</v>
      </c>
      <c r="E419" s="24">
        <v>13</v>
      </c>
      <c r="F419" s="24" t="s">
        <v>41</v>
      </c>
      <c r="G419" s="22">
        <v>15702</v>
      </c>
      <c r="H419" s="22">
        <v>5796</v>
      </c>
      <c r="I419" s="22">
        <v>4863</v>
      </c>
      <c r="J419" s="24" t="s">
        <v>26</v>
      </c>
      <c r="K419" s="22">
        <f>SUM(G419,H419,I419)</f>
        <v>26361</v>
      </c>
      <c r="L419" s="23" t="s">
        <v>597</v>
      </c>
      <c r="M419" s="23" t="str">
        <f>VLOOKUP(L419,スキル!B:C,2,FALSE)</f>
        <v>一定確率で敵を暗闇状態にする[高確率]</v>
      </c>
      <c r="N419" s="23" t="s">
        <v>18</v>
      </c>
      <c r="O419" s="23" t="str">
        <f>VLOOKUP(N419,スキル!B:C,2,FALSE)</f>
        <v>　</v>
      </c>
      <c r="P419" s="23" t="s">
        <v>207</v>
      </c>
      <c r="Q419" s="23" t="str">
        <f>VLOOKUP(P419,タクティクス!B:C,2,FALSE)</f>
        <v>迎撃時にパーティ全体の攻・防が中UP(3分間)</v>
      </c>
      <c r="R419" s="23" t="s">
        <v>18</v>
      </c>
      <c r="S419" s="23" t="str">
        <f>VLOOKUP(R419,タクティクス!B:C,2,FALSE)</f>
        <v>　</v>
      </c>
      <c r="T419" s="23" t="s">
        <v>18</v>
      </c>
      <c r="U419" s="23" t="s">
        <v>18</v>
      </c>
      <c r="V419" s="20" t="s">
        <v>1902</v>
      </c>
    </row>
    <row r="420" spans="1:22" ht="21.75" customHeight="1" x14ac:dyDescent="0.15">
      <c r="A420" s="20" t="str">
        <f>B420&amp;".jpg"</f>
        <v>1726.jpg</v>
      </c>
      <c r="B420" s="46">
        <v>1726</v>
      </c>
      <c r="C420" s="24" t="s">
        <v>57</v>
      </c>
      <c r="D420" s="24" t="s">
        <v>150</v>
      </c>
      <c r="E420" s="24">
        <v>14</v>
      </c>
      <c r="F420" s="24" t="s">
        <v>16</v>
      </c>
      <c r="G420" s="22">
        <v>19157</v>
      </c>
      <c r="H420" s="22">
        <v>7666</v>
      </c>
      <c r="I420" s="22">
        <v>6249</v>
      </c>
      <c r="J420" s="24" t="s">
        <v>151</v>
      </c>
      <c r="K420" s="22">
        <f>SUM(G420,H420,I420)</f>
        <v>33072</v>
      </c>
      <c r="L420" s="23" t="s">
        <v>778</v>
      </c>
      <c r="M420" s="23" t="str">
        <f>VLOOKUP(L420,スキル!B:C,2,FALSE)</f>
        <v>横一列攻撃[特大]自分の防御力UP[特大]</v>
      </c>
      <c r="N420" s="23" t="s">
        <v>18</v>
      </c>
      <c r="O420" s="23" t="str">
        <f>VLOOKUP(N420,スキル!B:C,2,FALSE)</f>
        <v>　</v>
      </c>
      <c r="P420" s="23" t="s">
        <v>325</v>
      </c>
      <c r="Q420" s="23" t="str">
        <f>VLOOKUP(P420,タクティクス!B:C,2,FALSE)</f>
        <v>強襲CBの発生確率・強襲時獲得ポイントUP(3分間)</v>
      </c>
      <c r="R420" s="23" t="s">
        <v>18</v>
      </c>
      <c r="S420" s="23" t="str">
        <f>VLOOKUP(R420,タクティクス!B:C,2,FALSE)</f>
        <v>　</v>
      </c>
      <c r="T420" s="23" t="s">
        <v>18</v>
      </c>
      <c r="U420" s="23" t="s">
        <v>18</v>
      </c>
      <c r="V420" s="20" t="s">
        <v>1899</v>
      </c>
    </row>
    <row r="421" spans="1:22" ht="21.75" customHeight="1" x14ac:dyDescent="0.15">
      <c r="A421" s="20" t="str">
        <f>B421&amp;".jpg"</f>
        <v>1728.jpg</v>
      </c>
      <c r="B421" s="46">
        <v>1728</v>
      </c>
      <c r="C421" s="24" t="s">
        <v>249</v>
      </c>
      <c r="D421" s="24" t="s">
        <v>150</v>
      </c>
      <c r="E421" s="24">
        <v>14</v>
      </c>
      <c r="F421" s="24" t="s">
        <v>25</v>
      </c>
      <c r="G421" s="22">
        <v>19694</v>
      </c>
      <c r="H421" s="22">
        <v>5857</v>
      </c>
      <c r="I421" s="22">
        <v>7072</v>
      </c>
      <c r="J421" s="24" t="s">
        <v>177</v>
      </c>
      <c r="K421" s="22">
        <f>SUM(G421,H421,I421)</f>
        <v>32623</v>
      </c>
      <c r="L421" s="23" t="s">
        <v>793</v>
      </c>
      <c r="M421" s="23" t="str">
        <f>VLOOKUP(L421,スキル!B:C,2,FALSE)</f>
        <v>味方突属性の防御力をUP[特大]</v>
      </c>
      <c r="N421" s="23" t="s">
        <v>18</v>
      </c>
      <c r="O421" s="23" t="str">
        <f>VLOOKUP(N421,スキル!B:C,2,FALSE)</f>
        <v>　</v>
      </c>
      <c r="P421" s="23" t="s">
        <v>308</v>
      </c>
      <c r="Q421" s="23" t="str">
        <f>VLOOKUP(P421,タクティクス!B:C,2,FALSE)</f>
        <v>騎士団全体の攻撃力が中UP(3分間)</v>
      </c>
      <c r="R421" s="23" t="s">
        <v>18</v>
      </c>
      <c r="S421" s="23" t="str">
        <f>VLOOKUP(R421,タクティクス!B:C,2,FALSE)</f>
        <v>　</v>
      </c>
      <c r="T421" s="23" t="s">
        <v>18</v>
      </c>
      <c r="U421" s="23" t="s">
        <v>18</v>
      </c>
      <c r="V421" s="20" t="s">
        <v>1899</v>
      </c>
    </row>
    <row r="422" spans="1:22" ht="21.75" customHeight="1" x14ac:dyDescent="0.15">
      <c r="A422" s="20" t="str">
        <f>B422&amp;".jpg"</f>
        <v>1728_a.jpg</v>
      </c>
      <c r="B422" s="21" t="s">
        <v>1257</v>
      </c>
      <c r="C422" s="20" t="s">
        <v>1191</v>
      </c>
      <c r="D422" s="20" t="s">
        <v>1190</v>
      </c>
      <c r="E422" s="20">
        <v>14</v>
      </c>
      <c r="F422" s="24" t="s">
        <v>25</v>
      </c>
      <c r="G422" s="27">
        <v>27569</v>
      </c>
      <c r="H422" s="27">
        <v>7789</v>
      </c>
      <c r="I422" s="27">
        <v>10600</v>
      </c>
      <c r="J422" s="20" t="s">
        <v>1201</v>
      </c>
      <c r="K422" s="22">
        <f>SUM(G422,H422,I422)</f>
        <v>45958</v>
      </c>
      <c r="L422" s="23" t="s">
        <v>1219</v>
      </c>
      <c r="M422" s="23" t="str">
        <f>VLOOKUP(L422,スキル!B:C,2,FALSE)</f>
        <v>味方突属性の防御力をUP[超極大]</v>
      </c>
      <c r="N422" s="20" t="s">
        <v>1221</v>
      </c>
      <c r="O422" s="23" t="str">
        <f>VLOOKUP(N422,スキル!B:C,2,FALSE)</f>
        <v>　</v>
      </c>
      <c r="P422" s="20" t="s">
        <v>1238</v>
      </c>
      <c r="Q422" s="23" t="str">
        <f>VLOOKUP(P422,タクティクス!B:C,2,FALSE)</f>
        <v>騎士団全体の攻撃力が中UP(3分間)</v>
      </c>
      <c r="R422" s="20" t="s">
        <v>1220</v>
      </c>
      <c r="S422" s="23" t="str">
        <f>VLOOKUP(R422,タクティクス!B:C,2,FALSE)</f>
        <v>　</v>
      </c>
      <c r="T422" s="20" t="s">
        <v>1221</v>
      </c>
      <c r="U422" s="20" t="s">
        <v>1225</v>
      </c>
      <c r="V422" s="20" t="s">
        <v>1822</v>
      </c>
    </row>
    <row r="423" spans="1:22" ht="21.75" customHeight="1" x14ac:dyDescent="0.15">
      <c r="A423" s="20" t="str">
        <f>B423&amp;".jpg"</f>
        <v>1728_b.jpg</v>
      </c>
      <c r="B423" s="21" t="s">
        <v>1258</v>
      </c>
      <c r="C423" s="20" t="s">
        <v>1192</v>
      </c>
      <c r="D423" s="20" t="s">
        <v>1190</v>
      </c>
      <c r="E423" s="20">
        <v>14</v>
      </c>
      <c r="F423" s="24" t="s">
        <v>25</v>
      </c>
      <c r="G423" s="27">
        <v>25595</v>
      </c>
      <c r="H423" s="27">
        <v>7495</v>
      </c>
      <c r="I423" s="27">
        <v>9907</v>
      </c>
      <c r="J423" s="20" t="s">
        <v>1201</v>
      </c>
      <c r="K423" s="22">
        <f>SUM(G423,H423,I423)</f>
        <v>42997</v>
      </c>
      <c r="L423" s="23" t="s">
        <v>793</v>
      </c>
      <c r="M423" s="23" t="str">
        <f>VLOOKUP(L423,スキル!B:C,2,FALSE)</f>
        <v>味方突属性の防御力をUP[特大]</v>
      </c>
      <c r="N423" s="20" t="s">
        <v>1220</v>
      </c>
      <c r="O423" s="23" t="str">
        <f>VLOOKUP(N423,スキル!B:C,2,FALSE)</f>
        <v>　</v>
      </c>
      <c r="P423" s="20" t="s">
        <v>1228</v>
      </c>
      <c r="Q423" s="23" t="str">
        <f>VLOOKUP(P423,タクティクス!B:C,2,FALSE)</f>
        <v>騎士団全体の攻撃力が特大UP(3分間)</v>
      </c>
      <c r="R423" s="20" t="s">
        <v>1221</v>
      </c>
      <c r="S423" s="23" t="str">
        <f>VLOOKUP(R423,タクティクス!B:C,2,FALSE)</f>
        <v>　</v>
      </c>
      <c r="T423" s="20" t="s">
        <v>1225</v>
      </c>
      <c r="U423" s="20" t="s">
        <v>1225</v>
      </c>
      <c r="V423" s="20" t="s">
        <v>1822</v>
      </c>
    </row>
    <row r="424" spans="1:22" ht="21.75" customHeight="1" x14ac:dyDescent="0.15">
      <c r="A424" s="20" t="str">
        <f>B424&amp;".jpg"</f>
        <v>1730.jpg</v>
      </c>
      <c r="B424" s="46">
        <v>1730</v>
      </c>
      <c r="C424" s="24" t="s">
        <v>145</v>
      </c>
      <c r="D424" s="24" t="s">
        <v>150</v>
      </c>
      <c r="E424" s="24">
        <v>14</v>
      </c>
      <c r="F424" s="24" t="s">
        <v>34</v>
      </c>
      <c r="G424" s="22">
        <v>24793</v>
      </c>
      <c r="H424" s="22">
        <v>6169</v>
      </c>
      <c r="I424" s="22">
        <v>8715</v>
      </c>
      <c r="J424" s="24" t="s">
        <v>17</v>
      </c>
      <c r="K424" s="22">
        <f>SUM(G424,H424,I424)</f>
        <v>39677</v>
      </c>
      <c r="L424" s="23" t="s">
        <v>755</v>
      </c>
      <c r="M424" s="23" t="str">
        <f>VLOOKUP(L424,スキル!B:C,2,FALSE)</f>
        <v>遠に強く打に弱いX字型攻撃[特大]</v>
      </c>
      <c r="N424" s="23" t="s">
        <v>18</v>
      </c>
      <c r="O424" s="23" t="str">
        <f>VLOOKUP(N424,スキル!B:C,2,FALSE)</f>
        <v>　</v>
      </c>
      <c r="P424" s="23" t="s">
        <v>178</v>
      </c>
      <c r="Q424" s="23" t="str">
        <f>VLOOKUP(P424,タクティクス!B:C,2,FALSE)</f>
        <v>パーティ全体の攻撃力が大UP(3分間)</v>
      </c>
      <c r="R424" s="23" t="s">
        <v>18</v>
      </c>
      <c r="S424" s="23" t="str">
        <f>VLOOKUP(R424,タクティクス!B:C,2,FALSE)</f>
        <v>　</v>
      </c>
      <c r="T424" s="23" t="s">
        <v>18</v>
      </c>
      <c r="U424" s="23" t="s">
        <v>18</v>
      </c>
      <c r="V424" s="20" t="s">
        <v>1899</v>
      </c>
    </row>
    <row r="425" spans="1:22" ht="21.75" customHeight="1" x14ac:dyDescent="0.15">
      <c r="A425" s="20" t="str">
        <f>B425&amp;".jpg"</f>
        <v>1730_a.jpg</v>
      </c>
      <c r="B425" s="21" t="s">
        <v>1439</v>
      </c>
      <c r="C425" s="20" t="s">
        <v>1381</v>
      </c>
      <c r="D425" s="20" t="s">
        <v>1173</v>
      </c>
      <c r="E425" s="20">
        <v>14</v>
      </c>
      <c r="F425" s="24" t="s">
        <v>34</v>
      </c>
      <c r="G425" s="27">
        <v>32227</v>
      </c>
      <c r="H425" s="27">
        <v>8521</v>
      </c>
      <c r="I425" s="27">
        <v>12201</v>
      </c>
      <c r="J425" s="20" t="s">
        <v>1392</v>
      </c>
      <c r="K425" s="22">
        <f>SUM(G425,H425,I425)</f>
        <v>52949</v>
      </c>
      <c r="L425" s="20" t="s">
        <v>1404</v>
      </c>
      <c r="M425" s="23" t="str">
        <f>VLOOKUP(L425,スキル!B:C,2,FALSE)</f>
        <v>遠に強く打に弱いX字型攻撃[極大]</v>
      </c>
      <c r="N425" s="20" t="s">
        <v>1396</v>
      </c>
      <c r="O425" s="23" t="str">
        <f>VLOOKUP(N425,スキル!B:C,2,FALSE)</f>
        <v>　</v>
      </c>
      <c r="P425" s="20" t="s">
        <v>1406</v>
      </c>
      <c r="Q425" s="23" t="str">
        <f>VLOOKUP(P425,タクティクス!B:C,2,FALSE)</f>
        <v>パーティ全体の攻撃力が大UP(3分間)</v>
      </c>
      <c r="R425" s="20" t="s">
        <v>1397</v>
      </c>
      <c r="S425" s="23" t="str">
        <f>VLOOKUP(R425,タクティクス!B:C,2,FALSE)</f>
        <v>　</v>
      </c>
      <c r="T425" s="20" t="s">
        <v>1431</v>
      </c>
      <c r="U425" s="20" t="s">
        <v>1432</v>
      </c>
      <c r="V425" s="20" t="s">
        <v>1822</v>
      </c>
    </row>
    <row r="426" spans="1:22" ht="21.75" customHeight="1" x14ac:dyDescent="0.15">
      <c r="A426" s="20" t="str">
        <f>B426&amp;".jpg"</f>
        <v>1730_b.jpg</v>
      </c>
      <c r="B426" s="21" t="s">
        <v>1440</v>
      </c>
      <c r="C426" s="20" t="s">
        <v>1381</v>
      </c>
      <c r="D426" s="20" t="s">
        <v>1173</v>
      </c>
      <c r="E426" s="20">
        <v>14</v>
      </c>
      <c r="F426" s="24" t="s">
        <v>34</v>
      </c>
      <c r="G426" s="27">
        <v>30988</v>
      </c>
      <c r="H426" s="27">
        <v>8206</v>
      </c>
      <c r="I426" s="27">
        <v>11760</v>
      </c>
      <c r="J426" s="20" t="s">
        <v>1392</v>
      </c>
      <c r="K426" s="22">
        <f>SUM(G426,H426,I426)</f>
        <v>50954</v>
      </c>
      <c r="L426" s="20" t="s">
        <v>1405</v>
      </c>
      <c r="M426" s="23" t="str">
        <f>VLOOKUP(L426,スキル!B:C,2,FALSE)</f>
        <v>遠に強く打に弱いX字型攻撃[特大]</v>
      </c>
      <c r="N426" s="20" t="s">
        <v>1396</v>
      </c>
      <c r="O426" s="23" t="str">
        <f>VLOOKUP(N426,スキル!B:C,2,FALSE)</f>
        <v>　</v>
      </c>
      <c r="P426" s="20" t="s">
        <v>1407</v>
      </c>
      <c r="Q426" s="23" t="str">
        <f>VLOOKUP(P426,タクティクス!B:C,2,FALSE)</f>
        <v>パーティ全体の攻撃力が極大UP(5分間)</v>
      </c>
      <c r="R426" s="20" t="s">
        <v>1397</v>
      </c>
      <c r="S426" s="23" t="str">
        <f>VLOOKUP(R426,タクティクス!B:C,2,FALSE)</f>
        <v>　</v>
      </c>
      <c r="T426" s="20" t="s">
        <v>1431</v>
      </c>
      <c r="U426" s="20" t="s">
        <v>1397</v>
      </c>
      <c r="V426" s="20" t="s">
        <v>1822</v>
      </c>
    </row>
    <row r="427" spans="1:22" ht="21.75" customHeight="1" x14ac:dyDescent="0.15">
      <c r="A427" s="20" t="str">
        <f>B427&amp;".jpg"</f>
        <v>1732.jpg</v>
      </c>
      <c r="B427" s="46">
        <v>1732</v>
      </c>
      <c r="C427" s="24" t="s">
        <v>256</v>
      </c>
      <c r="D427" s="24" t="s">
        <v>150</v>
      </c>
      <c r="E427" s="24">
        <v>14</v>
      </c>
      <c r="F427" s="24" t="s">
        <v>41</v>
      </c>
      <c r="G427" s="22">
        <v>17720</v>
      </c>
      <c r="H427" s="22">
        <v>6544</v>
      </c>
      <c r="I427" s="22">
        <v>5582</v>
      </c>
      <c r="J427" s="24" t="s">
        <v>177</v>
      </c>
      <c r="K427" s="22">
        <f>SUM(G427,H427,I427)</f>
        <v>29846</v>
      </c>
      <c r="L427" s="23" t="s">
        <v>816</v>
      </c>
      <c r="M427" s="23" t="str">
        <f>VLOOKUP(L427,スキル!B:C,2,FALSE)</f>
        <v>斬に強く突に弱い横一列攻撃[特大]</v>
      </c>
      <c r="N427" s="23" t="s">
        <v>18</v>
      </c>
      <c r="O427" s="23" t="str">
        <f>VLOOKUP(N427,スキル!B:C,2,FALSE)</f>
        <v>　</v>
      </c>
      <c r="P427" s="23" t="s">
        <v>226</v>
      </c>
      <c r="Q427" s="23" t="str">
        <f>VLOOKUP(P427,タクティクス!B:C,2,FALSE)</f>
        <v>バトルで獲得する騎士団戦スコアが大アップ(3分間)</v>
      </c>
      <c r="R427" s="23" t="s">
        <v>18</v>
      </c>
      <c r="S427" s="23" t="str">
        <f>VLOOKUP(R427,タクティクス!B:C,2,FALSE)</f>
        <v>　</v>
      </c>
      <c r="T427" s="23" t="s">
        <v>18</v>
      </c>
      <c r="U427" s="23" t="s">
        <v>18</v>
      </c>
      <c r="V427" s="20" t="s">
        <v>1899</v>
      </c>
    </row>
    <row r="428" spans="1:22" ht="21.75" customHeight="1" x14ac:dyDescent="0.15">
      <c r="A428" s="20" t="str">
        <f>B428&amp;".jpg"</f>
        <v>1732_a.jpg</v>
      </c>
      <c r="B428" s="21" t="s">
        <v>1441</v>
      </c>
      <c r="C428" s="20" t="s">
        <v>1382</v>
      </c>
      <c r="D428" s="20" t="s">
        <v>1385</v>
      </c>
      <c r="E428" s="20">
        <v>14</v>
      </c>
      <c r="F428" s="24" t="s">
        <v>41</v>
      </c>
      <c r="G428" s="27">
        <v>26582</v>
      </c>
      <c r="H428" s="27">
        <v>8833</v>
      </c>
      <c r="I428" s="27">
        <v>8102</v>
      </c>
      <c r="J428" s="20" t="s">
        <v>1393</v>
      </c>
      <c r="K428" s="22">
        <f>SUM(G428,H428,I428)</f>
        <v>43517</v>
      </c>
      <c r="L428" s="20" t="s">
        <v>1409</v>
      </c>
      <c r="M428" s="23" t="str">
        <f>VLOOKUP(L428,スキル!B:C,2,FALSE)</f>
        <v>斬に強く突に弱い横一列攻撃[極大]</v>
      </c>
      <c r="N428" s="20" t="s">
        <v>1397</v>
      </c>
      <c r="O428" s="23" t="str">
        <f>VLOOKUP(N428,スキル!B:C,2,FALSE)</f>
        <v>　</v>
      </c>
      <c r="P428" s="20" t="s">
        <v>1410</v>
      </c>
      <c r="Q428" s="23" t="str">
        <f>VLOOKUP(P428,タクティクス!B:C,2,FALSE)</f>
        <v>バトルで獲得する騎士団戦スコアが大アップ(3分間)</v>
      </c>
      <c r="R428" s="20" t="s">
        <v>1396</v>
      </c>
      <c r="S428" s="23" t="str">
        <f>VLOOKUP(R428,タクティクス!B:C,2,FALSE)</f>
        <v>　</v>
      </c>
      <c r="T428" s="20" t="s">
        <v>1431</v>
      </c>
      <c r="U428" s="20" t="s">
        <v>1397</v>
      </c>
      <c r="V428" s="20" t="s">
        <v>1822</v>
      </c>
    </row>
    <row r="429" spans="1:22" ht="21.75" customHeight="1" x14ac:dyDescent="0.15">
      <c r="A429" s="20" t="str">
        <f>B429&amp;".jpg"</f>
        <v>1732_b.jpg</v>
      </c>
      <c r="B429" s="21" t="s">
        <v>1442</v>
      </c>
      <c r="C429" s="20" t="s">
        <v>1382</v>
      </c>
      <c r="D429" s="20" t="s">
        <v>1385</v>
      </c>
      <c r="E429" s="20">
        <v>14</v>
      </c>
      <c r="F429" s="24" t="s">
        <v>41</v>
      </c>
      <c r="G429" s="27">
        <v>24818</v>
      </c>
      <c r="H429" s="27">
        <v>8497</v>
      </c>
      <c r="I429" s="27">
        <v>7535</v>
      </c>
      <c r="J429" s="20" t="s">
        <v>1201</v>
      </c>
      <c r="K429" s="22">
        <f>SUM(G429,H429,I429)</f>
        <v>40850</v>
      </c>
      <c r="L429" s="20" t="s">
        <v>1408</v>
      </c>
      <c r="M429" s="23" t="str">
        <f>VLOOKUP(L429,スキル!B:C,2,FALSE)</f>
        <v>斬に強く突に弱い横一列攻撃[特大]</v>
      </c>
      <c r="N429" s="20" t="s">
        <v>1397</v>
      </c>
      <c r="O429" s="23" t="str">
        <f>VLOOKUP(N429,スキル!B:C,2,FALSE)</f>
        <v>　</v>
      </c>
      <c r="P429" s="20" t="s">
        <v>1411</v>
      </c>
      <c r="Q429" s="23" t="str">
        <f>VLOOKUP(P429,タクティクス!B:C,2,FALSE)</f>
        <v>バトルで獲得する騎士団戦スコアが極大アップ(5分間)</v>
      </c>
      <c r="R429" s="20" t="s">
        <v>1396</v>
      </c>
      <c r="S429" s="23" t="str">
        <f>VLOOKUP(R429,タクティクス!B:C,2,FALSE)</f>
        <v>　</v>
      </c>
      <c r="T429" s="20" t="s">
        <v>1431</v>
      </c>
      <c r="U429" s="20" t="s">
        <v>1397</v>
      </c>
      <c r="V429" s="20" t="s">
        <v>1822</v>
      </c>
    </row>
    <row r="430" spans="1:22" ht="21.75" customHeight="1" x14ac:dyDescent="0.15">
      <c r="A430" s="20" t="str">
        <f>B430&amp;".jpg"</f>
        <v>1734.jpg</v>
      </c>
      <c r="B430" s="46">
        <v>1734</v>
      </c>
      <c r="C430" s="24" t="s">
        <v>326</v>
      </c>
      <c r="D430" s="24" t="s">
        <v>150</v>
      </c>
      <c r="E430" s="24">
        <v>14</v>
      </c>
      <c r="F430" s="24" t="s">
        <v>16</v>
      </c>
      <c r="G430" s="22">
        <v>20476</v>
      </c>
      <c r="H430" s="22">
        <v>7973</v>
      </c>
      <c r="I430" s="22">
        <v>5632</v>
      </c>
      <c r="J430" s="24" t="s">
        <v>151</v>
      </c>
      <c r="K430" s="22">
        <f>SUM(G430,H430,I430)</f>
        <v>34081</v>
      </c>
      <c r="L430" s="23" t="s">
        <v>715</v>
      </c>
      <c r="M430" s="23" t="str">
        <f>VLOOKUP(L430,スキル!B:C,2,FALSE)</f>
        <v>打に強く遠に弱い縦一列攻撃[特大]</v>
      </c>
      <c r="N430" s="23" t="s">
        <v>18</v>
      </c>
      <c r="O430" s="23" t="str">
        <f>VLOOKUP(N430,スキル!B:C,2,FALSE)</f>
        <v>　</v>
      </c>
      <c r="P430" s="23" t="s">
        <v>319</v>
      </c>
      <c r="Q430" s="23" t="str">
        <f>VLOOKUP(P430,タクティクス!B:C,2,FALSE)</f>
        <v>対戦騎士団の城強度Lvが中DOWN(3分間)</v>
      </c>
      <c r="R430" s="23" t="s">
        <v>18</v>
      </c>
      <c r="S430" s="23" t="str">
        <f>VLOOKUP(R430,タクティクス!B:C,2,FALSE)</f>
        <v>　</v>
      </c>
      <c r="T430" s="23" t="s">
        <v>18</v>
      </c>
      <c r="U430" s="23" t="s">
        <v>18</v>
      </c>
      <c r="V430" s="20" t="s">
        <v>1823</v>
      </c>
    </row>
    <row r="431" spans="1:22" ht="21.75" customHeight="1" x14ac:dyDescent="0.15">
      <c r="A431" s="20" t="str">
        <f>B431&amp;".jpg"</f>
        <v>1734_a.jpg</v>
      </c>
      <c r="B431" s="21" t="s">
        <v>1607</v>
      </c>
      <c r="C431" s="20" t="s">
        <v>1593</v>
      </c>
      <c r="D431" s="20" t="s">
        <v>1585</v>
      </c>
      <c r="E431" s="20">
        <v>14</v>
      </c>
      <c r="F431" s="20" t="s">
        <v>1599</v>
      </c>
      <c r="G431" s="27">
        <v>25180</v>
      </c>
      <c r="H431" s="27">
        <v>11165</v>
      </c>
      <c r="I431" s="27">
        <v>7837</v>
      </c>
      <c r="J431" s="20" t="s">
        <v>1617</v>
      </c>
      <c r="K431" s="22">
        <f>SUM(G431,H431,I431)</f>
        <v>44182</v>
      </c>
      <c r="L431" s="23" t="s">
        <v>1634</v>
      </c>
      <c r="M431" s="23" t="str">
        <f>VLOOKUP(L431,スキル!B:C,2,FALSE)</f>
        <v>打に強く遠に弱い縦一列攻撃[超極大]</v>
      </c>
      <c r="N431" s="23" t="s">
        <v>18</v>
      </c>
      <c r="O431" s="23" t="str">
        <f>VLOOKUP(N431,スキル!B:C,2,FALSE)</f>
        <v>　</v>
      </c>
      <c r="P431" s="23" t="s">
        <v>319</v>
      </c>
      <c r="Q431" s="23" t="str">
        <f>VLOOKUP(P431,タクティクス!B:C,2,FALSE)</f>
        <v>対戦騎士団の城強度Lvが中DOWN(3分間)</v>
      </c>
      <c r="R431" s="20" t="s">
        <v>1011</v>
      </c>
      <c r="S431" s="23" t="str">
        <f>VLOOKUP(R431,タクティクス!B:C,2,FALSE)</f>
        <v>　</v>
      </c>
      <c r="T431" s="20" t="s">
        <v>1011</v>
      </c>
      <c r="U431" s="20" t="s">
        <v>1626</v>
      </c>
      <c r="V431" s="20" t="s">
        <v>1822</v>
      </c>
    </row>
    <row r="432" spans="1:22" ht="21.75" customHeight="1" x14ac:dyDescent="0.15">
      <c r="A432" s="20" t="str">
        <f>B432&amp;".jpg"</f>
        <v>1734_b.jpg</v>
      </c>
      <c r="B432" s="21" t="s">
        <v>1608</v>
      </c>
      <c r="C432" s="20" t="s">
        <v>1594</v>
      </c>
      <c r="D432" s="20" t="s">
        <v>1585</v>
      </c>
      <c r="E432" s="20">
        <v>14</v>
      </c>
      <c r="F432" s="20" t="s">
        <v>1554</v>
      </c>
      <c r="G432" s="27">
        <v>24172</v>
      </c>
      <c r="H432" s="27">
        <v>10766</v>
      </c>
      <c r="I432" s="27">
        <v>7543</v>
      </c>
      <c r="J432" s="20" t="s">
        <v>1618</v>
      </c>
      <c r="K432" s="22">
        <f>SUM(G432,H432,I432)</f>
        <v>42481</v>
      </c>
      <c r="L432" s="23" t="s">
        <v>715</v>
      </c>
      <c r="M432" s="23" t="str">
        <f>VLOOKUP(L432,スキル!B:C,2,FALSE)</f>
        <v>打に強く遠に弱い縦一列攻撃[特大]</v>
      </c>
      <c r="N432" s="23" t="s">
        <v>18</v>
      </c>
      <c r="O432" s="23" t="str">
        <f>VLOOKUP(N432,スキル!B:C,2,FALSE)</f>
        <v>　</v>
      </c>
      <c r="P432" s="20" t="s">
        <v>1639</v>
      </c>
      <c r="Q432" s="23" t="str">
        <f>VLOOKUP(P432,タクティクス!B:C,2,FALSE)</f>
        <v>対戦騎士団の城強度Lvが特大DOWN(3分間)</v>
      </c>
      <c r="R432" s="20" t="s">
        <v>1631</v>
      </c>
      <c r="S432" s="23" t="str">
        <f>VLOOKUP(R432,タクティクス!B:C,2,FALSE)</f>
        <v>　</v>
      </c>
      <c r="T432" s="20" t="s">
        <v>1626</v>
      </c>
      <c r="U432" s="20" t="s">
        <v>1626</v>
      </c>
      <c r="V432" s="20" t="s">
        <v>1822</v>
      </c>
    </row>
    <row r="433" spans="1:22" ht="21.75" customHeight="1" x14ac:dyDescent="0.15">
      <c r="A433" s="20" t="str">
        <f>B433&amp;".jpg"</f>
        <v>1736.jpg</v>
      </c>
      <c r="B433" s="46">
        <v>1736</v>
      </c>
      <c r="C433" s="24" t="s">
        <v>327</v>
      </c>
      <c r="D433" s="24" t="s">
        <v>15</v>
      </c>
      <c r="E433" s="24">
        <v>13</v>
      </c>
      <c r="F433" s="24" t="s">
        <v>25</v>
      </c>
      <c r="G433" s="22">
        <v>19037</v>
      </c>
      <c r="H433" s="22">
        <v>5667</v>
      </c>
      <c r="I433" s="22">
        <v>5386</v>
      </c>
      <c r="J433" s="24" t="s">
        <v>26</v>
      </c>
      <c r="K433" s="22">
        <f>SUM(G433,H433,I433)</f>
        <v>30090</v>
      </c>
      <c r="L433" s="23" t="s">
        <v>818</v>
      </c>
      <c r="M433" s="23" t="str">
        <f>VLOOKUP(L433,スキル!B:C,2,FALSE)</f>
        <v>敵斬属性の攻撃力と防御力をDOWN[大]</v>
      </c>
      <c r="N433" s="23" t="s">
        <v>18</v>
      </c>
      <c r="O433" s="23" t="str">
        <f>VLOOKUP(N433,スキル!B:C,2,FALSE)</f>
        <v>　</v>
      </c>
      <c r="P433" s="23" t="s">
        <v>161</v>
      </c>
      <c r="Q433" s="23" t="str">
        <f>VLOOKUP(P433,タクティクス!B:C,2,FALSE)</f>
        <v>バトルで獲得する騎士団戦スコアが中アップ(3分間)</v>
      </c>
      <c r="R433" s="23" t="s">
        <v>18</v>
      </c>
      <c r="S433" s="23" t="str">
        <f>VLOOKUP(R433,タクティクス!B:C,2,FALSE)</f>
        <v>　</v>
      </c>
      <c r="T433" s="23" t="s">
        <v>18</v>
      </c>
      <c r="U433" s="23" t="s">
        <v>18</v>
      </c>
      <c r="V433" s="20" t="s">
        <v>1823</v>
      </c>
    </row>
    <row r="434" spans="1:22" ht="21.75" customHeight="1" x14ac:dyDescent="0.15">
      <c r="A434" s="20" t="str">
        <f>B434&amp;".jpg"</f>
        <v>1738.jpg</v>
      </c>
      <c r="B434" s="46">
        <v>1738</v>
      </c>
      <c r="C434" s="24" t="s">
        <v>328</v>
      </c>
      <c r="D434" s="24" t="s">
        <v>150</v>
      </c>
      <c r="E434" s="24">
        <v>14</v>
      </c>
      <c r="F434" s="24" t="s">
        <v>34</v>
      </c>
      <c r="G434" s="22">
        <v>23820</v>
      </c>
      <c r="H434" s="22">
        <v>6806</v>
      </c>
      <c r="I434" s="22">
        <v>8287</v>
      </c>
      <c r="J434" s="24" t="s">
        <v>17</v>
      </c>
      <c r="K434" s="22">
        <f>SUM(G434,H434,I434)</f>
        <v>38913</v>
      </c>
      <c r="L434" s="24" t="s">
        <v>691</v>
      </c>
      <c r="M434" s="23" t="str">
        <f>VLOOKUP(L434,スキル!B:C,2,FALSE)</f>
        <v>横一列に攻撃[特大]</v>
      </c>
      <c r="N434" s="23" t="s">
        <v>18</v>
      </c>
      <c r="O434" s="23" t="str">
        <f>VLOOKUP(N434,スキル!B:C,2,FALSE)</f>
        <v>　</v>
      </c>
      <c r="P434" s="23" t="s">
        <v>281</v>
      </c>
      <c r="Q434" s="23" t="str">
        <f>VLOOKUP(P434,タクティクス!B:C,2,FALSE)</f>
        <v>CB時に獲得ポイント大UP＆BPが大回復(3回)</v>
      </c>
      <c r="R434" s="23" t="s">
        <v>18</v>
      </c>
      <c r="S434" s="23" t="str">
        <f>VLOOKUP(R434,タクティクス!B:C,2,FALSE)</f>
        <v>　</v>
      </c>
      <c r="T434" s="23" t="s">
        <v>18</v>
      </c>
      <c r="U434" s="23" t="s">
        <v>18</v>
      </c>
      <c r="V434" s="20" t="s">
        <v>1823</v>
      </c>
    </row>
    <row r="435" spans="1:22" ht="21.75" customHeight="1" x14ac:dyDescent="0.15">
      <c r="A435" s="20" t="str">
        <f>B435&amp;".jpg"</f>
        <v>1738_a.jpg</v>
      </c>
      <c r="B435" s="21" t="s">
        <v>1613</v>
      </c>
      <c r="C435" s="20" t="s">
        <v>1598</v>
      </c>
      <c r="D435" s="20" t="s">
        <v>1585</v>
      </c>
      <c r="E435" s="20">
        <v>14</v>
      </c>
      <c r="F435" s="20" t="s">
        <v>1605</v>
      </c>
      <c r="G435" s="27">
        <v>31674</v>
      </c>
      <c r="H435" s="27">
        <v>9179</v>
      </c>
      <c r="I435" s="27">
        <v>12025</v>
      </c>
      <c r="J435" s="20" t="s">
        <v>1620</v>
      </c>
      <c r="K435" s="22">
        <f>SUM(G435,H435,I435)</f>
        <v>52878</v>
      </c>
      <c r="L435" s="24" t="s">
        <v>1636</v>
      </c>
      <c r="M435" s="23" t="str">
        <f>VLOOKUP(L435,スキル!B:C,2,FALSE)</f>
        <v>横一列に攻撃[超極大]</v>
      </c>
      <c r="N435" s="23" t="s">
        <v>18</v>
      </c>
      <c r="O435" s="23" t="str">
        <f>VLOOKUP(N435,スキル!B:C,2,FALSE)</f>
        <v>　</v>
      </c>
      <c r="P435" s="23" t="s">
        <v>281</v>
      </c>
      <c r="Q435" s="23" t="str">
        <f>VLOOKUP(P435,タクティクス!B:C,2,FALSE)</f>
        <v>CB時に獲得ポイント大UP＆BPが大回復(3回)</v>
      </c>
      <c r="R435" s="20" t="s">
        <v>1627</v>
      </c>
      <c r="S435" s="23" t="str">
        <f>VLOOKUP(R435,タクティクス!B:C,2,FALSE)</f>
        <v>　</v>
      </c>
      <c r="T435" s="20" t="s">
        <v>1626</v>
      </c>
      <c r="U435" s="20" t="s">
        <v>1626</v>
      </c>
      <c r="V435" s="20" t="s">
        <v>1822</v>
      </c>
    </row>
    <row r="436" spans="1:22" ht="21.75" customHeight="1" x14ac:dyDescent="0.15">
      <c r="A436" s="20" t="str">
        <f>B436&amp;".jpg"</f>
        <v>1738_b.jpg</v>
      </c>
      <c r="B436" s="21" t="s">
        <v>1614</v>
      </c>
      <c r="C436" s="20" t="s">
        <v>1598</v>
      </c>
      <c r="D436" s="20" t="s">
        <v>1585</v>
      </c>
      <c r="E436" s="20">
        <v>14</v>
      </c>
      <c r="F436" s="20" t="s">
        <v>1606</v>
      </c>
      <c r="G436" s="27">
        <v>30498</v>
      </c>
      <c r="H436" s="27">
        <v>8843</v>
      </c>
      <c r="I436" s="27">
        <v>11605</v>
      </c>
      <c r="J436" s="20" t="s">
        <v>1620</v>
      </c>
      <c r="K436" s="22">
        <f>SUM(G436,H436,I436)</f>
        <v>50946</v>
      </c>
      <c r="L436" s="24" t="s">
        <v>691</v>
      </c>
      <c r="M436" s="23" t="str">
        <f>VLOOKUP(L436,スキル!B:C,2,FALSE)</f>
        <v>横一列に攻撃[特大]</v>
      </c>
      <c r="N436" s="23" t="s">
        <v>18</v>
      </c>
      <c r="O436" s="23" t="str">
        <f>VLOOKUP(N436,スキル!B:C,2,FALSE)</f>
        <v>　</v>
      </c>
      <c r="P436" s="20" t="s">
        <v>1641</v>
      </c>
      <c r="Q436" s="23" t="str">
        <f>VLOOKUP(P436,タクティクス!B:C,2,FALSE)</f>
        <v>CB時に獲得ポイント極大UP＆BPが極大回復(8回)</v>
      </c>
      <c r="R436" s="20" t="s">
        <v>1011</v>
      </c>
      <c r="S436" s="23" t="str">
        <f>VLOOKUP(R436,タクティクス!B:C,2,FALSE)</f>
        <v>　</v>
      </c>
      <c r="T436" s="20" t="s">
        <v>1629</v>
      </c>
      <c r="U436" s="20" t="s">
        <v>1630</v>
      </c>
      <c r="V436" s="20" t="s">
        <v>1822</v>
      </c>
    </row>
    <row r="437" spans="1:22" ht="21.75" customHeight="1" x14ac:dyDescent="0.15">
      <c r="A437" s="20" t="str">
        <f>B437&amp;".jpg"</f>
        <v>1740.jpg</v>
      </c>
      <c r="B437" s="46">
        <v>1740</v>
      </c>
      <c r="C437" s="24" t="s">
        <v>329</v>
      </c>
      <c r="D437" s="24" t="s">
        <v>15</v>
      </c>
      <c r="E437" s="24">
        <v>13</v>
      </c>
      <c r="F437" s="24" t="s">
        <v>41</v>
      </c>
      <c r="G437" s="22">
        <v>16385</v>
      </c>
      <c r="H437" s="22">
        <v>6749</v>
      </c>
      <c r="I437" s="22">
        <v>4660</v>
      </c>
      <c r="J437" s="24" t="s">
        <v>42</v>
      </c>
      <c r="K437" s="22">
        <f>SUM(G437,H437,I437)</f>
        <v>27794</v>
      </c>
      <c r="L437" s="23" t="s">
        <v>820</v>
      </c>
      <c r="M437" s="23" t="str">
        <f>VLOOKUP(L437,スキル!B:C,2,FALSE)</f>
        <v>ランダムで5連続攻撃[小]自分の防御力UP[小]</v>
      </c>
      <c r="N437" s="23" t="s">
        <v>18</v>
      </c>
      <c r="O437" s="23" t="str">
        <f>VLOOKUP(N437,スキル!B:C,2,FALSE)</f>
        <v>　</v>
      </c>
      <c r="P437" s="23" t="s">
        <v>1008</v>
      </c>
      <c r="Q437" s="23" t="str">
        <f>VLOOKUP(P437,タクティクス!B:C,2,FALSE)</f>
        <v>対戦騎士団全体の防御力が小DOWN(3分間)</v>
      </c>
      <c r="R437" s="23" t="s">
        <v>18</v>
      </c>
      <c r="S437" s="23" t="str">
        <f>VLOOKUP(R437,タクティクス!B:C,2,FALSE)</f>
        <v>　</v>
      </c>
      <c r="T437" s="23" t="s">
        <v>18</v>
      </c>
      <c r="U437" s="23" t="s">
        <v>18</v>
      </c>
      <c r="V437" s="20" t="s">
        <v>1823</v>
      </c>
    </row>
    <row r="438" spans="1:22" ht="21.75" customHeight="1" x14ac:dyDescent="0.15">
      <c r="A438" s="20" t="str">
        <f>B438&amp;".jpg"</f>
        <v>1741.jpg</v>
      </c>
      <c r="B438" s="46">
        <v>1741</v>
      </c>
      <c r="C438" s="24" t="s">
        <v>88</v>
      </c>
      <c r="D438" s="24" t="s">
        <v>150</v>
      </c>
      <c r="E438" s="24">
        <v>14</v>
      </c>
      <c r="F438" s="24" t="s">
        <v>25</v>
      </c>
      <c r="G438" s="22">
        <v>18819</v>
      </c>
      <c r="H438" s="22">
        <v>5921</v>
      </c>
      <c r="I438" s="22">
        <v>6629</v>
      </c>
      <c r="J438" s="24" t="s">
        <v>282</v>
      </c>
      <c r="K438" s="22">
        <f>SUM(G438,H438,I438)</f>
        <v>31369</v>
      </c>
      <c r="L438" s="23" t="s">
        <v>786</v>
      </c>
      <c r="M438" s="23" t="str">
        <f>VLOOKUP(L438,スキル!B:C,2,FALSE)</f>
        <v>ランダムで6連続攻撃[中]</v>
      </c>
      <c r="N438" s="23" t="s">
        <v>18</v>
      </c>
      <c r="O438" s="23" t="str">
        <f>VLOOKUP(N438,スキル!B:C,2,FALSE)</f>
        <v>　</v>
      </c>
      <c r="P438" s="23" t="s">
        <v>325</v>
      </c>
      <c r="Q438" s="23" t="str">
        <f>VLOOKUP(P438,タクティクス!B:C,2,FALSE)</f>
        <v>強襲CBの発生確率・強襲時獲得ポイントUP(3分間)</v>
      </c>
      <c r="R438" s="23" t="s">
        <v>18</v>
      </c>
      <c r="S438" s="23" t="str">
        <f>VLOOKUP(R438,タクティクス!B:C,2,FALSE)</f>
        <v>　</v>
      </c>
      <c r="T438" s="23" t="s">
        <v>18</v>
      </c>
      <c r="U438" s="23" t="s">
        <v>18</v>
      </c>
      <c r="V438" s="20" t="s">
        <v>1899</v>
      </c>
    </row>
    <row r="439" spans="1:22" ht="21.75" customHeight="1" x14ac:dyDescent="0.15">
      <c r="A439" s="20" t="str">
        <f>B439&amp;".jpg"</f>
        <v>1742.jpg</v>
      </c>
      <c r="B439" s="46">
        <v>1742</v>
      </c>
      <c r="C439" s="24" t="s">
        <v>250</v>
      </c>
      <c r="D439" s="24" t="s">
        <v>150</v>
      </c>
      <c r="E439" s="24">
        <v>14</v>
      </c>
      <c r="F439" s="24" t="s">
        <v>41</v>
      </c>
      <c r="G439" s="22">
        <v>20016</v>
      </c>
      <c r="H439" s="22">
        <v>6984</v>
      </c>
      <c r="I439" s="22">
        <v>5545</v>
      </c>
      <c r="J439" s="24" t="s">
        <v>55</v>
      </c>
      <c r="K439" s="22">
        <f>SUM(G439,H439,I439)</f>
        <v>32545</v>
      </c>
      <c r="L439" s="23" t="s">
        <v>763</v>
      </c>
      <c r="M439" s="23" t="str">
        <f>VLOOKUP(L439,スキル!B:C,2,FALSE)</f>
        <v>味方遠属性の防御力をUP[特大]</v>
      </c>
      <c r="N439" s="23" t="s">
        <v>18</v>
      </c>
      <c r="O439" s="23" t="str">
        <f>VLOOKUP(N439,スキル!B:C,2,FALSE)</f>
        <v>　</v>
      </c>
      <c r="P439" s="23" t="s">
        <v>330</v>
      </c>
      <c r="Q439" s="23" t="str">
        <f>VLOOKUP(P439,タクティクス!B:C,2,FALSE)</f>
        <v>騎士団全体のスキル発動率が中UP(3分間)</v>
      </c>
      <c r="R439" s="23" t="s">
        <v>18</v>
      </c>
      <c r="S439" s="23" t="str">
        <f>VLOOKUP(R439,タクティクス!B:C,2,FALSE)</f>
        <v>　</v>
      </c>
      <c r="T439" s="23" t="s">
        <v>18</v>
      </c>
      <c r="U439" s="23" t="s">
        <v>18</v>
      </c>
      <c r="V439" s="20" t="s">
        <v>1899</v>
      </c>
    </row>
    <row r="440" spans="1:22" ht="21.75" customHeight="1" x14ac:dyDescent="0.15">
      <c r="A440" s="20" t="str">
        <f>B440&amp;".jpg"</f>
        <v>1744.jpg</v>
      </c>
      <c r="B440" s="46">
        <v>1744</v>
      </c>
      <c r="C440" s="24" t="s">
        <v>165</v>
      </c>
      <c r="D440" s="24" t="s">
        <v>150</v>
      </c>
      <c r="E440" s="24">
        <v>14</v>
      </c>
      <c r="F440" s="24" t="s">
        <v>34</v>
      </c>
      <c r="G440" s="22">
        <v>21174</v>
      </c>
      <c r="H440" s="22">
        <v>7134</v>
      </c>
      <c r="I440" s="22">
        <v>8294</v>
      </c>
      <c r="J440" s="24" t="s">
        <v>17</v>
      </c>
      <c r="K440" s="22">
        <f>SUM(G440,H440,I440)</f>
        <v>36602</v>
      </c>
      <c r="L440" s="23" t="s">
        <v>797</v>
      </c>
      <c r="M440" s="23" t="str">
        <f>VLOOKUP(L440,スキル!B:C,2,FALSE)</f>
        <v>横一列攻撃[特大]自分の攻撃力UP[特大]</v>
      </c>
      <c r="N440" s="23" t="s">
        <v>18</v>
      </c>
      <c r="O440" s="23" t="str">
        <f>VLOOKUP(N440,スキル!B:C,2,FALSE)</f>
        <v>　</v>
      </c>
      <c r="P440" s="23" t="s">
        <v>287</v>
      </c>
      <c r="Q440" s="23" t="str">
        <f>VLOOKUP(P440,タクティクス!B:C,2,FALSE)</f>
        <v>騎士団全体の攻・防が中UP(3分間)</v>
      </c>
      <c r="R440" s="23" t="s">
        <v>18</v>
      </c>
      <c r="S440" s="23" t="str">
        <f>VLOOKUP(R440,タクティクス!B:C,2,FALSE)</f>
        <v>　</v>
      </c>
      <c r="T440" s="23" t="s">
        <v>18</v>
      </c>
      <c r="U440" s="23" t="s">
        <v>18</v>
      </c>
      <c r="V440" s="20" t="s">
        <v>1878</v>
      </c>
    </row>
    <row r="441" spans="1:22" ht="21.75" customHeight="1" x14ac:dyDescent="0.15">
      <c r="A441" s="20" t="str">
        <f>B441&amp;".jpg"</f>
        <v>1746.jpg</v>
      </c>
      <c r="B441" s="46">
        <v>1746</v>
      </c>
      <c r="C441" s="24" t="s">
        <v>331</v>
      </c>
      <c r="D441" s="24" t="s">
        <v>15</v>
      </c>
      <c r="E441" s="24">
        <v>13</v>
      </c>
      <c r="F441" s="24" t="s">
        <v>16</v>
      </c>
      <c r="G441" s="22">
        <v>14754</v>
      </c>
      <c r="H441" s="22">
        <v>7789</v>
      </c>
      <c r="I441" s="22">
        <v>5439</v>
      </c>
      <c r="J441" s="24" t="s">
        <v>17</v>
      </c>
      <c r="K441" s="22">
        <f>SUM(G441,H441,I441)</f>
        <v>27982</v>
      </c>
      <c r="L441" s="23" t="s">
        <v>623</v>
      </c>
      <c r="M441" s="23" t="str">
        <f>VLOOKUP(L441,スキル!B:C,2,FALSE)</f>
        <v>味方斬属性の攻撃力と防御力をUP[大]</v>
      </c>
      <c r="N441" s="23" t="s">
        <v>18</v>
      </c>
      <c r="O441" s="23" t="str">
        <f>VLOOKUP(N441,スキル!B:C,2,FALSE)</f>
        <v>　</v>
      </c>
      <c r="P441" s="23" t="s">
        <v>51</v>
      </c>
      <c r="Q441" s="23" t="str">
        <f>VLOOKUP(P441,タクティクス!B:C,2,FALSE)</f>
        <v>獲得する騎士団戦スコアが中アップ(バトル3回)</v>
      </c>
      <c r="R441" s="23" t="s">
        <v>18</v>
      </c>
      <c r="S441" s="23" t="str">
        <f>VLOOKUP(R441,タクティクス!B:C,2,FALSE)</f>
        <v>　</v>
      </c>
      <c r="T441" s="23" t="s">
        <v>18</v>
      </c>
      <c r="U441" s="23" t="s">
        <v>18</v>
      </c>
      <c r="V441" s="20" t="s">
        <v>1823</v>
      </c>
    </row>
    <row r="442" spans="1:22" ht="21.75" customHeight="1" x14ac:dyDescent="0.15">
      <c r="A442" s="20" t="str">
        <f>B442&amp;".jpg"</f>
        <v>1748.jpg</v>
      </c>
      <c r="B442" s="46">
        <v>1748</v>
      </c>
      <c r="C442" s="24" t="s">
        <v>332</v>
      </c>
      <c r="D442" s="24" t="s">
        <v>150</v>
      </c>
      <c r="E442" s="24">
        <v>14</v>
      </c>
      <c r="F442" s="24" t="s">
        <v>25</v>
      </c>
      <c r="G442" s="22">
        <v>18764</v>
      </c>
      <c r="H442" s="22">
        <v>6414</v>
      </c>
      <c r="I442" s="22">
        <v>7083</v>
      </c>
      <c r="J442" s="24" t="s">
        <v>177</v>
      </c>
      <c r="K442" s="22">
        <f>SUM(G442,H442,I442)</f>
        <v>32261</v>
      </c>
      <c r="L442" s="23" t="s">
        <v>821</v>
      </c>
      <c r="M442" s="23" t="str">
        <f>VLOOKUP(L442,スキル!B:C,2,FALSE)</f>
        <v>ランダム6連続攻撃[小]自分の防御力UP[小]</v>
      </c>
      <c r="N442" s="23" t="s">
        <v>18</v>
      </c>
      <c r="O442" s="23" t="str">
        <f>VLOOKUP(N442,スキル!B:C,2,FALSE)</f>
        <v>　</v>
      </c>
      <c r="P442" s="23" t="s">
        <v>152</v>
      </c>
      <c r="Q442" s="23" t="str">
        <f>VLOOKUP(P442,タクティクス!B:C,2,FALSE)</f>
        <v>パーティ全体の攻・防が大UP(3分間)</v>
      </c>
      <c r="R442" s="23" t="s">
        <v>18</v>
      </c>
      <c r="S442" s="23" t="str">
        <f>VLOOKUP(R442,タクティクス!B:C,2,FALSE)</f>
        <v>　</v>
      </c>
      <c r="T442" s="23" t="s">
        <v>18</v>
      </c>
      <c r="U442" s="23" t="s">
        <v>18</v>
      </c>
      <c r="V442" s="20" t="s">
        <v>1823</v>
      </c>
    </row>
    <row r="443" spans="1:22" ht="21.75" customHeight="1" x14ac:dyDescent="0.15">
      <c r="A443" s="20" t="str">
        <f>B443&amp;".jpg"</f>
        <v>1750.jpg</v>
      </c>
      <c r="B443" s="46">
        <v>1750</v>
      </c>
      <c r="C443" s="24" t="s">
        <v>333</v>
      </c>
      <c r="D443" s="24" t="s">
        <v>15</v>
      </c>
      <c r="E443" s="24">
        <v>13</v>
      </c>
      <c r="F443" s="24" t="s">
        <v>34</v>
      </c>
      <c r="G443" s="22">
        <v>18820</v>
      </c>
      <c r="H443" s="22">
        <v>5336</v>
      </c>
      <c r="I443" s="22">
        <v>7920</v>
      </c>
      <c r="J443" s="24" t="s">
        <v>35</v>
      </c>
      <c r="K443" s="22">
        <f>SUM(G443,H443,I443)</f>
        <v>32076</v>
      </c>
      <c r="L443" s="23" t="s">
        <v>669</v>
      </c>
      <c r="M443" s="23" t="str">
        <f>VLOOKUP(L443,スキル!B:C,2,FALSE)</f>
        <v>X字型攻撃[大]自分の攻撃力UP[大]</v>
      </c>
      <c r="N443" s="23" t="s">
        <v>18</v>
      </c>
      <c r="O443" s="23" t="str">
        <f>VLOOKUP(N443,スキル!B:C,2,FALSE)</f>
        <v>　</v>
      </c>
      <c r="P443" s="23" t="s">
        <v>113</v>
      </c>
      <c r="Q443" s="23" t="str">
        <f>VLOOKUP(P443,タクティクス!B:C,2,FALSE)</f>
        <v>城の強度Lvが小UP(3分間)</v>
      </c>
      <c r="R443" s="23" t="s">
        <v>18</v>
      </c>
      <c r="S443" s="23" t="str">
        <f>VLOOKUP(R443,タクティクス!B:C,2,FALSE)</f>
        <v>　</v>
      </c>
      <c r="T443" s="23" t="s">
        <v>18</v>
      </c>
      <c r="U443" s="23" t="s">
        <v>18</v>
      </c>
      <c r="V443" s="20" t="s">
        <v>1823</v>
      </c>
    </row>
    <row r="444" spans="1:22" ht="21.75" customHeight="1" x14ac:dyDescent="0.15">
      <c r="A444" s="20" t="str">
        <f>B444&amp;".jpg"</f>
        <v>1752.jpg</v>
      </c>
      <c r="B444" s="46">
        <v>1752</v>
      </c>
      <c r="C444" s="24" t="s">
        <v>334</v>
      </c>
      <c r="D444" s="24" t="s">
        <v>150</v>
      </c>
      <c r="E444" s="24">
        <v>14</v>
      </c>
      <c r="F444" s="24" t="s">
        <v>41</v>
      </c>
      <c r="G444" s="22">
        <v>19351</v>
      </c>
      <c r="H444" s="22">
        <v>6714</v>
      </c>
      <c r="I444" s="22">
        <v>5765</v>
      </c>
      <c r="J444" s="24" t="s">
        <v>55</v>
      </c>
      <c r="K444" s="22">
        <f>SUM(G444,H444,I444)</f>
        <v>31830</v>
      </c>
      <c r="L444" s="23" t="s">
        <v>763</v>
      </c>
      <c r="M444" s="23" t="str">
        <f>VLOOKUP(L444,スキル!B:C,2,FALSE)</f>
        <v>味方遠属性の防御力をUP[特大]</v>
      </c>
      <c r="N444" s="23" t="s">
        <v>18</v>
      </c>
      <c r="O444" s="23" t="str">
        <f>VLOOKUP(N444,スキル!B:C,2,FALSE)</f>
        <v>　</v>
      </c>
      <c r="P444" s="23" t="s">
        <v>330</v>
      </c>
      <c r="Q444" s="23" t="str">
        <f>VLOOKUP(P444,タクティクス!B:C,2,FALSE)</f>
        <v>騎士団全体のスキル発動率が中UP(3分間)</v>
      </c>
      <c r="R444" s="23" t="s">
        <v>18</v>
      </c>
      <c r="S444" s="23" t="str">
        <f>VLOOKUP(R444,タクティクス!B:C,2,FALSE)</f>
        <v>　</v>
      </c>
      <c r="T444" s="23" t="s">
        <v>18</v>
      </c>
      <c r="U444" s="23" t="s">
        <v>18</v>
      </c>
      <c r="V444" s="20" t="s">
        <v>1823</v>
      </c>
    </row>
    <row r="445" spans="1:22" ht="21.75" customHeight="1" x14ac:dyDescent="0.15">
      <c r="A445" s="20" t="str">
        <f>B445&amp;".jpg"</f>
        <v>1754.jpg</v>
      </c>
      <c r="B445" s="46">
        <v>1754</v>
      </c>
      <c r="C445" s="24" t="s">
        <v>335</v>
      </c>
      <c r="D445" s="24" t="s">
        <v>15</v>
      </c>
      <c r="E445" s="24">
        <v>13</v>
      </c>
      <c r="F445" s="24" t="s">
        <v>34</v>
      </c>
      <c r="G445" s="22">
        <v>18668</v>
      </c>
      <c r="H445" s="22">
        <v>5711</v>
      </c>
      <c r="I445" s="22">
        <v>7679</v>
      </c>
      <c r="J445" s="24" t="s">
        <v>35</v>
      </c>
      <c r="K445" s="22">
        <f>SUM(G445,H445,I445)</f>
        <v>32058</v>
      </c>
      <c r="L445" s="23" t="s">
        <v>599</v>
      </c>
      <c r="M445" s="23" t="str">
        <f>VLOOKUP(L445,スキル!B:C,2,FALSE)</f>
        <v>敵単体の防御力をDOWN[大]</v>
      </c>
      <c r="N445" s="23" t="s">
        <v>18</v>
      </c>
      <c r="O445" s="23" t="str">
        <f>VLOOKUP(N445,スキル!B:C,2,FALSE)</f>
        <v>　</v>
      </c>
      <c r="P445" s="23" t="s">
        <v>207</v>
      </c>
      <c r="Q445" s="23" t="str">
        <f>VLOOKUP(P445,タクティクス!B:C,2,FALSE)</f>
        <v>迎撃時にパーティ全体の攻・防が中UP(3分間)</v>
      </c>
      <c r="R445" s="23" t="s">
        <v>18</v>
      </c>
      <c r="S445" s="23" t="str">
        <f>VLOOKUP(R445,タクティクス!B:C,2,FALSE)</f>
        <v>　</v>
      </c>
      <c r="T445" s="23" t="s">
        <v>18</v>
      </c>
      <c r="U445" s="23" t="s">
        <v>18</v>
      </c>
      <c r="V445" s="20" t="s">
        <v>1902</v>
      </c>
    </row>
    <row r="446" spans="1:22" ht="21.75" customHeight="1" x14ac:dyDescent="0.15">
      <c r="A446" s="20" t="str">
        <f>B446&amp;".jpg"</f>
        <v>1755.jpg</v>
      </c>
      <c r="B446" s="46">
        <v>1755</v>
      </c>
      <c r="C446" s="24" t="s">
        <v>336</v>
      </c>
      <c r="D446" s="24" t="s">
        <v>15</v>
      </c>
      <c r="E446" s="24">
        <v>13</v>
      </c>
      <c r="F446" s="24" t="s">
        <v>34</v>
      </c>
      <c r="G446" s="22">
        <v>17827</v>
      </c>
      <c r="H446" s="22">
        <v>6621</v>
      </c>
      <c r="I446" s="22">
        <v>6366</v>
      </c>
      <c r="J446" s="24" t="s">
        <v>35</v>
      </c>
      <c r="K446" s="22">
        <f>SUM(G446,H446,I446)</f>
        <v>30814</v>
      </c>
      <c r="L446" s="23" t="s">
        <v>717</v>
      </c>
      <c r="M446" s="23" t="str">
        <f>VLOOKUP(L446,スキル!B:C,2,FALSE)</f>
        <v>自分の攻撃力をUP[特大]</v>
      </c>
      <c r="N446" s="23" t="s">
        <v>18</v>
      </c>
      <c r="O446" s="23" t="str">
        <f>VLOOKUP(N446,スキル!B:C,2,FALSE)</f>
        <v>　</v>
      </c>
      <c r="P446" s="23" t="s">
        <v>337</v>
      </c>
      <c r="Q446" s="23" t="str">
        <f>VLOOKUP(P446,タクティクス!B:C,2,FALSE)</f>
        <v>パーティ全体の攻撃力・速度が小UP(3分間)</v>
      </c>
      <c r="R446" s="23" t="s">
        <v>18</v>
      </c>
      <c r="S446" s="23" t="str">
        <f>VLOOKUP(R446,タクティクス!B:C,2,FALSE)</f>
        <v>　</v>
      </c>
      <c r="T446" s="23" t="s">
        <v>18</v>
      </c>
      <c r="U446" s="23" t="s">
        <v>18</v>
      </c>
      <c r="V446" s="20" t="s">
        <v>1872</v>
      </c>
    </row>
    <row r="447" spans="1:22" ht="21.75" customHeight="1" x14ac:dyDescent="0.15">
      <c r="A447" s="20" t="str">
        <f>B447&amp;".jpg"</f>
        <v>1757.jpg</v>
      </c>
      <c r="B447" s="46">
        <v>1757</v>
      </c>
      <c r="C447" s="24" t="s">
        <v>71</v>
      </c>
      <c r="D447" s="24" t="s">
        <v>150</v>
      </c>
      <c r="E447" s="24">
        <v>14</v>
      </c>
      <c r="F447" s="24" t="s">
        <v>16</v>
      </c>
      <c r="G447" s="22">
        <v>16766</v>
      </c>
      <c r="H447" s="22">
        <v>8853</v>
      </c>
      <c r="I447" s="22">
        <v>6214</v>
      </c>
      <c r="J447" s="24" t="s">
        <v>151</v>
      </c>
      <c r="K447" s="22">
        <f>SUM(G447,H447,I447)</f>
        <v>31833</v>
      </c>
      <c r="L447" s="23" t="s">
        <v>805</v>
      </c>
      <c r="M447" s="23" t="str">
        <f>VLOOKUP(L447,スキル!B:C,2,FALSE)</f>
        <v>十字型攻撃[特大]自分の防御力UP[特大]</v>
      </c>
      <c r="N447" s="23" t="s">
        <v>18</v>
      </c>
      <c r="O447" s="23" t="str">
        <f>VLOOKUP(N447,スキル!B:C,2,FALSE)</f>
        <v>　</v>
      </c>
      <c r="P447" s="23" t="s">
        <v>181</v>
      </c>
      <c r="Q447" s="23" t="str">
        <f>VLOOKUP(P447,タクティクス!B:C,2,FALSE)</f>
        <v>騎士団全体の強襲CB率が小UP(3分間)</v>
      </c>
      <c r="R447" s="23" t="s">
        <v>18</v>
      </c>
      <c r="S447" s="23" t="str">
        <f>VLOOKUP(R447,タクティクス!B:C,2,FALSE)</f>
        <v>　</v>
      </c>
      <c r="T447" s="23" t="s">
        <v>18</v>
      </c>
      <c r="U447" s="23" t="s">
        <v>18</v>
      </c>
      <c r="V447" s="20" t="s">
        <v>1899</v>
      </c>
    </row>
    <row r="448" spans="1:22" ht="21.75" customHeight="1" x14ac:dyDescent="0.15">
      <c r="A448" s="20" t="str">
        <f>B448&amp;".jpg"</f>
        <v>1759.jpg</v>
      </c>
      <c r="B448" s="46">
        <v>1759</v>
      </c>
      <c r="C448" s="24" t="s">
        <v>338</v>
      </c>
      <c r="D448" s="24" t="s">
        <v>150</v>
      </c>
      <c r="E448" s="24">
        <v>14</v>
      </c>
      <c r="F448" s="24" t="s">
        <v>25</v>
      </c>
      <c r="G448" s="22">
        <v>23078</v>
      </c>
      <c r="H448" s="22">
        <v>5828</v>
      </c>
      <c r="I448" s="22">
        <v>6366</v>
      </c>
      <c r="J448" s="24" t="s">
        <v>177</v>
      </c>
      <c r="K448" s="22">
        <f>SUM(G448,H448,I448)</f>
        <v>35272</v>
      </c>
      <c r="L448" s="23" t="s">
        <v>707</v>
      </c>
      <c r="M448" s="23" t="str">
        <f>VLOOKUP(L448,スキル!B:C,2,FALSE)</f>
        <v>一定確率で敵を範囲不可にする[超高確率]</v>
      </c>
      <c r="N448" s="23" t="s">
        <v>18</v>
      </c>
      <c r="O448" s="23" t="str">
        <f>VLOOKUP(N448,スキル!B:C,2,FALSE)</f>
        <v>　</v>
      </c>
      <c r="P448" s="23" t="s">
        <v>192</v>
      </c>
      <c r="Q448" s="23" t="str">
        <f>VLOOKUP(P448,タクティクス!B:C,2,FALSE)</f>
        <v>パーティ全体の防御力が大UP(3分間)</v>
      </c>
      <c r="R448" s="23" t="s">
        <v>18</v>
      </c>
      <c r="S448" s="23" t="str">
        <f>VLOOKUP(R448,タクティクス!B:C,2,FALSE)</f>
        <v>　</v>
      </c>
      <c r="T448" s="23" t="s">
        <v>18</v>
      </c>
      <c r="U448" s="23" t="s">
        <v>18</v>
      </c>
      <c r="V448" s="20" t="s">
        <v>1877</v>
      </c>
    </row>
    <row r="449" spans="1:22" ht="21.75" customHeight="1" x14ac:dyDescent="0.15">
      <c r="A449" s="20" t="str">
        <f>B449&amp;".jpg"</f>
        <v>1761.jpg</v>
      </c>
      <c r="B449" s="46">
        <v>1761</v>
      </c>
      <c r="C449" s="24" t="s">
        <v>241</v>
      </c>
      <c r="D449" s="24" t="s">
        <v>150</v>
      </c>
      <c r="E449" s="24">
        <v>14</v>
      </c>
      <c r="F449" s="24" t="s">
        <v>34</v>
      </c>
      <c r="G449" s="22">
        <v>23945</v>
      </c>
      <c r="H449" s="22">
        <v>6842</v>
      </c>
      <c r="I449" s="22">
        <v>8245</v>
      </c>
      <c r="J449" s="24" t="s">
        <v>17</v>
      </c>
      <c r="K449" s="22">
        <f>SUM(G449,H449,I449)</f>
        <v>39032</v>
      </c>
      <c r="L449" s="23" t="s">
        <v>727</v>
      </c>
      <c r="M449" s="23" t="str">
        <f>VLOOKUP(L449,スキル!B:C,2,FALSE)</f>
        <v>味方打属性の防御力をUP[特大]</v>
      </c>
      <c r="N449" s="23" t="s">
        <v>18</v>
      </c>
      <c r="O449" s="23" t="str">
        <f>VLOOKUP(N449,スキル!B:C,2,FALSE)</f>
        <v>　</v>
      </c>
      <c r="P449" s="23" t="s">
        <v>293</v>
      </c>
      <c r="Q449" s="23" t="str">
        <f>VLOOKUP(P449,タクティクス!B:C,2,FALSE)</f>
        <v>騎士団全体の防御力が中UP(3分間)</v>
      </c>
      <c r="R449" s="23" t="s">
        <v>18</v>
      </c>
      <c r="S449" s="23" t="str">
        <f>VLOOKUP(R449,タクティクス!B:C,2,FALSE)</f>
        <v>　</v>
      </c>
      <c r="T449" s="23" t="s">
        <v>18</v>
      </c>
      <c r="U449" s="23" t="s">
        <v>18</v>
      </c>
      <c r="V449" s="20" t="s">
        <v>1899</v>
      </c>
    </row>
    <row r="450" spans="1:22" ht="21.75" customHeight="1" x14ac:dyDescent="0.15">
      <c r="A450" s="20" t="str">
        <f>B450&amp;".jpg"</f>
        <v>1763.jpg</v>
      </c>
      <c r="B450" s="46">
        <v>1763</v>
      </c>
      <c r="C450" s="24" t="s">
        <v>84</v>
      </c>
      <c r="D450" s="24" t="s">
        <v>150</v>
      </c>
      <c r="E450" s="24">
        <v>14</v>
      </c>
      <c r="F450" s="24" t="s">
        <v>41</v>
      </c>
      <c r="G450" s="22">
        <v>20119</v>
      </c>
      <c r="H450" s="22">
        <v>7020</v>
      </c>
      <c r="I450" s="22">
        <v>5515</v>
      </c>
      <c r="J450" s="24" t="s">
        <v>55</v>
      </c>
      <c r="K450" s="22">
        <f>SUM(G450,H450,I450)</f>
        <v>32654</v>
      </c>
      <c r="L450" s="23" t="s">
        <v>758</v>
      </c>
      <c r="M450" s="23" t="str">
        <f>VLOOKUP(L450,スキル!B:C,2,FALSE)</f>
        <v>単体固定ダメージ[中]+味方ステータスDOWN解除</v>
      </c>
      <c r="N450" s="23" t="s">
        <v>18</v>
      </c>
      <c r="O450" s="23" t="str">
        <f>VLOOKUP(N450,スキル!B:C,2,FALSE)</f>
        <v>　</v>
      </c>
      <c r="P450" s="23" t="s">
        <v>325</v>
      </c>
      <c r="Q450" s="23" t="str">
        <f>VLOOKUP(P450,タクティクス!B:C,2,FALSE)</f>
        <v>強襲CBの発生確率・強襲時獲得ポイントUP(3分間)</v>
      </c>
      <c r="R450" s="23" t="s">
        <v>18</v>
      </c>
      <c r="S450" s="23" t="str">
        <f>VLOOKUP(R450,タクティクス!B:C,2,FALSE)</f>
        <v>　</v>
      </c>
      <c r="T450" s="23" t="s">
        <v>18</v>
      </c>
      <c r="U450" s="23" t="s">
        <v>18</v>
      </c>
      <c r="V450" s="20" t="s">
        <v>1899</v>
      </c>
    </row>
    <row r="451" spans="1:22" ht="21.75" customHeight="1" x14ac:dyDescent="0.15">
      <c r="A451" s="20" t="str">
        <f>B451&amp;".jpg"</f>
        <v>1765.jpg</v>
      </c>
      <c r="B451" s="46">
        <v>1765</v>
      </c>
      <c r="C451" s="24" t="s">
        <v>339</v>
      </c>
      <c r="D451" s="24" t="s">
        <v>15</v>
      </c>
      <c r="E451" s="24">
        <v>12</v>
      </c>
      <c r="F451" s="24" t="s">
        <v>41</v>
      </c>
      <c r="G451" s="22">
        <v>17273</v>
      </c>
      <c r="H451" s="22">
        <v>6028</v>
      </c>
      <c r="I451" s="22">
        <v>4079</v>
      </c>
      <c r="J451" s="24" t="s">
        <v>42</v>
      </c>
      <c r="K451" s="22">
        <f>SUM(G451,H451,I451)</f>
        <v>27380</v>
      </c>
      <c r="L451" s="23" t="s">
        <v>637</v>
      </c>
      <c r="M451" s="23" t="str">
        <f>VLOOKUP(L451,スキル!B:C,2,FALSE)</f>
        <v>打に強く遠に弱い縦一列攻撃[大]</v>
      </c>
      <c r="N451" s="23" t="s">
        <v>18</v>
      </c>
      <c r="O451" s="23" t="str">
        <f>VLOOKUP(N451,スキル!B:C,2,FALSE)</f>
        <v>　</v>
      </c>
      <c r="P451" s="23" t="s">
        <v>340</v>
      </c>
      <c r="Q451" s="23" t="str">
        <f>VLOOKUP(P451,タクティクス!B:C,2,FALSE)</f>
        <v>キリ番CB時の獲得ポイント中UP(3分間)</v>
      </c>
      <c r="R451" s="23" t="s">
        <v>18</v>
      </c>
      <c r="S451" s="23" t="str">
        <f>VLOOKUP(R451,タクティクス!B:C,2,FALSE)</f>
        <v>　</v>
      </c>
      <c r="T451" s="23" t="s">
        <v>18</v>
      </c>
      <c r="U451" s="23" t="s">
        <v>18</v>
      </c>
      <c r="V451" s="20" t="s">
        <v>1847</v>
      </c>
    </row>
    <row r="452" spans="1:22" ht="21.75" customHeight="1" x14ac:dyDescent="0.15">
      <c r="A452" s="20" t="str">
        <f>B452&amp;".jpg"</f>
        <v>1766.jpg</v>
      </c>
      <c r="B452" s="46">
        <v>1766</v>
      </c>
      <c r="C452" s="24" t="s">
        <v>339</v>
      </c>
      <c r="D452" s="24" t="s">
        <v>15</v>
      </c>
      <c r="E452" s="24">
        <v>13</v>
      </c>
      <c r="F452" s="24" t="s">
        <v>41</v>
      </c>
      <c r="G452" s="22">
        <v>18641</v>
      </c>
      <c r="H452" s="22">
        <v>6535</v>
      </c>
      <c r="I452" s="22">
        <v>4316</v>
      </c>
      <c r="J452" s="24" t="s">
        <v>42</v>
      </c>
      <c r="K452" s="22">
        <f>SUM(G452,H452,I452)</f>
        <v>29492</v>
      </c>
      <c r="L452" s="23" t="s">
        <v>637</v>
      </c>
      <c r="M452" s="23" t="str">
        <f>VLOOKUP(L452,スキル!B:C,2,FALSE)</f>
        <v>打に強く遠に弱い縦一列攻撃[大]</v>
      </c>
      <c r="N452" s="23" t="s">
        <v>18</v>
      </c>
      <c r="O452" s="23" t="str">
        <f>VLOOKUP(N452,スキル!B:C,2,FALSE)</f>
        <v>　</v>
      </c>
      <c r="P452" s="23" t="s">
        <v>340</v>
      </c>
      <c r="Q452" s="23" t="str">
        <f>VLOOKUP(P452,タクティクス!B:C,2,FALSE)</f>
        <v>キリ番CB時の獲得ポイント中UP(3分間)</v>
      </c>
      <c r="R452" s="23" t="s">
        <v>18</v>
      </c>
      <c r="S452" s="23" t="str">
        <f>VLOOKUP(R452,タクティクス!B:C,2,FALSE)</f>
        <v>　</v>
      </c>
      <c r="T452" s="23" t="s">
        <v>18</v>
      </c>
      <c r="U452" s="23" t="s">
        <v>18</v>
      </c>
      <c r="V452" s="20" t="s">
        <v>1847</v>
      </c>
    </row>
    <row r="453" spans="1:22" ht="21.75" customHeight="1" x14ac:dyDescent="0.15">
      <c r="A453" s="20" t="str">
        <f>B453&amp;".jpg"</f>
        <v>1767.jpg</v>
      </c>
      <c r="B453" s="46">
        <v>1767</v>
      </c>
      <c r="C453" s="24" t="s">
        <v>339</v>
      </c>
      <c r="D453" s="24" t="s">
        <v>150</v>
      </c>
      <c r="E453" s="24">
        <v>14</v>
      </c>
      <c r="F453" s="24" t="s">
        <v>41</v>
      </c>
      <c r="G453" s="22">
        <v>20467</v>
      </c>
      <c r="H453" s="22">
        <v>7138</v>
      </c>
      <c r="I453" s="22">
        <v>5174</v>
      </c>
      <c r="J453" s="24" t="s">
        <v>55</v>
      </c>
      <c r="K453" s="22">
        <f>SUM(G453,H453,I453)</f>
        <v>32779</v>
      </c>
      <c r="L453" s="23" t="s">
        <v>715</v>
      </c>
      <c r="M453" s="23" t="str">
        <f>VLOOKUP(L453,スキル!B:C,2,FALSE)</f>
        <v>打に強く遠に弱い縦一列攻撃[特大]</v>
      </c>
      <c r="N453" s="23" t="s">
        <v>18</v>
      </c>
      <c r="O453" s="23" t="str">
        <f>VLOOKUP(N453,スキル!B:C,2,FALSE)</f>
        <v>　</v>
      </c>
      <c r="P453" s="23" t="s">
        <v>341</v>
      </c>
      <c r="Q453" s="23" t="str">
        <f>VLOOKUP(P453,タクティクス!B:C,2,FALSE)</f>
        <v>キリ番CB時の獲得ポイント大UP(3分間)</v>
      </c>
      <c r="R453" s="23" t="s">
        <v>18</v>
      </c>
      <c r="S453" s="23" t="str">
        <f>VLOOKUP(R453,タクティクス!B:C,2,FALSE)</f>
        <v>　</v>
      </c>
      <c r="T453" s="23" t="s">
        <v>18</v>
      </c>
      <c r="U453" s="23" t="s">
        <v>18</v>
      </c>
      <c r="V453" s="20" t="s">
        <v>1847</v>
      </c>
    </row>
    <row r="454" spans="1:22" ht="21.75" customHeight="1" x14ac:dyDescent="0.15">
      <c r="A454" s="20" t="str">
        <f>B454&amp;".jpg"</f>
        <v>1768.jpg</v>
      </c>
      <c r="B454" s="46">
        <v>1768</v>
      </c>
      <c r="C454" s="24" t="s">
        <v>102</v>
      </c>
      <c r="D454" s="24" t="s">
        <v>150</v>
      </c>
      <c r="E454" s="24">
        <v>14</v>
      </c>
      <c r="F454" s="24" t="s">
        <v>16</v>
      </c>
      <c r="G454" s="22">
        <v>19116</v>
      </c>
      <c r="H454" s="22">
        <v>8777</v>
      </c>
      <c r="I454" s="22">
        <v>5449</v>
      </c>
      <c r="J454" s="24" t="s">
        <v>151</v>
      </c>
      <c r="K454" s="22">
        <f>SUM(G454,H454,I454)</f>
        <v>33342</v>
      </c>
      <c r="L454" s="23" t="s">
        <v>781</v>
      </c>
      <c r="M454" s="23" t="str">
        <f>VLOOKUP(L454,スキル!B:C,2,FALSE)</f>
        <v>縦一列攻撃[特大]自分の防御力UP[特大]</v>
      </c>
      <c r="N454" s="23" t="s">
        <v>18</v>
      </c>
      <c r="O454" s="23" t="str">
        <f>VLOOKUP(N454,スキル!B:C,2,FALSE)</f>
        <v>　</v>
      </c>
      <c r="P454" s="23" t="s">
        <v>274</v>
      </c>
      <c r="Q454" s="23" t="str">
        <f>VLOOKUP(P454,タクティクス!B:C,2,FALSE)</f>
        <v>パーティ全体の攻撃力・速度が中UP(3分間)</v>
      </c>
      <c r="R454" s="23" t="s">
        <v>18</v>
      </c>
      <c r="S454" s="23" t="str">
        <f>VLOOKUP(R454,タクティクス!B:C,2,FALSE)</f>
        <v>　</v>
      </c>
      <c r="T454" s="23" t="s">
        <v>18</v>
      </c>
      <c r="U454" s="23" t="s">
        <v>18</v>
      </c>
      <c r="V454" s="20" t="s">
        <v>1899</v>
      </c>
    </row>
    <row r="455" spans="1:22" ht="21.75" customHeight="1" x14ac:dyDescent="0.15">
      <c r="A455" s="20" t="str">
        <f>B455&amp;".jpg"</f>
        <v>1774.jpg</v>
      </c>
      <c r="B455" s="46">
        <v>1774</v>
      </c>
      <c r="C455" s="24" t="s">
        <v>342</v>
      </c>
      <c r="D455" s="24" t="s">
        <v>150</v>
      </c>
      <c r="E455" s="24">
        <v>14</v>
      </c>
      <c r="F455" s="24" t="s">
        <v>16</v>
      </c>
      <c r="G455" s="22">
        <v>20619</v>
      </c>
      <c r="H455" s="22">
        <v>8041</v>
      </c>
      <c r="I455" s="22">
        <v>5585</v>
      </c>
      <c r="J455" s="24" t="s">
        <v>151</v>
      </c>
      <c r="K455" s="22">
        <f>SUM(G455,H455,I455)</f>
        <v>34245</v>
      </c>
      <c r="L455" s="23" t="s">
        <v>774</v>
      </c>
      <c r="M455" s="23" t="str">
        <f>VLOOKUP(L455,スキル!B:C,2,FALSE)</f>
        <v>味方斬属性の防御力をUP[特大]</v>
      </c>
      <c r="N455" s="23" t="s">
        <v>18</v>
      </c>
      <c r="O455" s="23" t="str">
        <f>VLOOKUP(N455,スキル!B:C,2,FALSE)</f>
        <v>　</v>
      </c>
      <c r="P455" s="23" t="s">
        <v>188</v>
      </c>
      <c r="Q455" s="23" t="str">
        <f>VLOOKUP(P455,タクティクス!B:C,2,FALSE)</f>
        <v>バトルで敵を全滅するとBPが大回復(バトル3回)</v>
      </c>
      <c r="R455" s="23" t="s">
        <v>18</v>
      </c>
      <c r="S455" s="23" t="str">
        <f>VLOOKUP(R455,タクティクス!B:C,2,FALSE)</f>
        <v>　</v>
      </c>
      <c r="T455" s="23" t="s">
        <v>18</v>
      </c>
      <c r="U455" s="23" t="s">
        <v>18</v>
      </c>
      <c r="V455" s="20" t="s">
        <v>1823</v>
      </c>
    </row>
    <row r="456" spans="1:22" ht="21.75" customHeight="1" x14ac:dyDescent="0.15">
      <c r="A456" s="20" t="str">
        <f>B456&amp;".jpg"</f>
        <v>1776.jpg</v>
      </c>
      <c r="B456" s="46">
        <v>1776</v>
      </c>
      <c r="C456" s="24" t="s">
        <v>343</v>
      </c>
      <c r="D456" s="24" t="s">
        <v>15</v>
      </c>
      <c r="E456" s="24">
        <v>13</v>
      </c>
      <c r="F456" s="24" t="s">
        <v>25</v>
      </c>
      <c r="G456" s="22">
        <v>17526</v>
      </c>
      <c r="H456" s="22">
        <v>5519</v>
      </c>
      <c r="I456" s="22">
        <v>5473</v>
      </c>
      <c r="J456" s="24" t="s">
        <v>31</v>
      </c>
      <c r="K456" s="22">
        <f>SUM(G456,H456,I456)</f>
        <v>28518</v>
      </c>
      <c r="L456" s="23" t="s">
        <v>685</v>
      </c>
      <c r="M456" s="23" t="str">
        <f>VLOOKUP(L456,スキル!B:C,2,FALSE)</f>
        <v>ランダム5連続攻撃[小][低確率]でダメージ2倍</v>
      </c>
      <c r="N456" s="23" t="s">
        <v>18</v>
      </c>
      <c r="O456" s="23" t="str">
        <f>VLOOKUP(N456,スキル!B:C,2,FALSE)</f>
        <v>　</v>
      </c>
      <c r="P456" s="23" t="s">
        <v>337</v>
      </c>
      <c r="Q456" s="23" t="str">
        <f>VLOOKUP(P456,タクティクス!B:C,2,FALSE)</f>
        <v>パーティ全体の攻撃力・速度が小UP(3分間)</v>
      </c>
      <c r="R456" s="23" t="s">
        <v>18</v>
      </c>
      <c r="S456" s="23" t="str">
        <f>VLOOKUP(R456,タクティクス!B:C,2,FALSE)</f>
        <v>　</v>
      </c>
      <c r="T456" s="23" t="s">
        <v>18</v>
      </c>
      <c r="U456" s="23" t="s">
        <v>18</v>
      </c>
      <c r="V456" s="20" t="s">
        <v>1823</v>
      </c>
    </row>
    <row r="457" spans="1:22" ht="21.75" customHeight="1" x14ac:dyDescent="0.15">
      <c r="A457" s="20" t="str">
        <f>B457&amp;".jpg"</f>
        <v>1778.jpg</v>
      </c>
      <c r="B457" s="46">
        <v>1778</v>
      </c>
      <c r="C457" s="24" t="s">
        <v>344</v>
      </c>
      <c r="D457" s="24" t="s">
        <v>150</v>
      </c>
      <c r="E457" s="24">
        <v>14</v>
      </c>
      <c r="F457" s="24" t="s">
        <v>34</v>
      </c>
      <c r="G457" s="22">
        <v>26829</v>
      </c>
      <c r="H457" s="22">
        <v>6503</v>
      </c>
      <c r="I457" s="22">
        <v>7752</v>
      </c>
      <c r="J457" s="24" t="s">
        <v>17</v>
      </c>
      <c r="K457" s="22">
        <f>SUM(G457,H457,I457)</f>
        <v>41084</v>
      </c>
      <c r="L457" s="23" t="s">
        <v>664</v>
      </c>
      <c r="M457" s="23" t="str">
        <f>VLOOKUP(L457,スキル!B:C,2,FALSE)</f>
        <v>縦一列に攻撃[特大]</v>
      </c>
      <c r="N457" s="23" t="s">
        <v>18</v>
      </c>
      <c r="O457" s="23" t="str">
        <f>VLOOKUP(N457,スキル!B:C,2,FALSE)</f>
        <v>　</v>
      </c>
      <c r="P457" s="23" t="s">
        <v>345</v>
      </c>
      <c r="Q457" s="23" t="str">
        <f>VLOOKUP(P457,タクティクス!B:C,2,FALSE)</f>
        <v>強襲CBの発生確率・強襲時獲得ポイント大UP(3回)</v>
      </c>
      <c r="R457" s="23" t="s">
        <v>18</v>
      </c>
      <c r="S457" s="23" t="str">
        <f>VLOOKUP(R457,タクティクス!B:C,2,FALSE)</f>
        <v>　</v>
      </c>
      <c r="T457" s="23" t="s">
        <v>18</v>
      </c>
      <c r="U457" s="23" t="s">
        <v>18</v>
      </c>
      <c r="V457" s="20" t="s">
        <v>1823</v>
      </c>
    </row>
    <row r="458" spans="1:22" ht="21.75" customHeight="1" x14ac:dyDescent="0.15">
      <c r="A458" s="20" t="str">
        <f>B458&amp;".jpg"</f>
        <v>1780.jpg</v>
      </c>
      <c r="B458" s="46">
        <v>1780</v>
      </c>
      <c r="C458" s="24" t="s">
        <v>346</v>
      </c>
      <c r="D458" s="24" t="s">
        <v>15</v>
      </c>
      <c r="E458" s="24">
        <v>13</v>
      </c>
      <c r="F458" s="24" t="s">
        <v>41</v>
      </c>
      <c r="G458" s="22">
        <v>18806</v>
      </c>
      <c r="H458" s="22">
        <v>5713</v>
      </c>
      <c r="I458" s="22">
        <v>4957</v>
      </c>
      <c r="J458" s="24" t="s">
        <v>42</v>
      </c>
      <c r="K458" s="22">
        <f>SUM(G458,H458,I458)</f>
        <v>29476</v>
      </c>
      <c r="L458" s="23" t="s">
        <v>588</v>
      </c>
      <c r="M458" s="23" t="str">
        <f>VLOOKUP(L458,スキル!B:C,2,FALSE)</f>
        <v>味方1体を蘇生[HP中]</v>
      </c>
      <c r="N458" s="23" t="s">
        <v>18</v>
      </c>
      <c r="O458" s="23" t="str">
        <f>VLOOKUP(N458,スキル!B:C,2,FALSE)</f>
        <v>　</v>
      </c>
      <c r="P458" s="23" t="s">
        <v>79</v>
      </c>
      <c r="Q458" s="23" t="str">
        <f>VLOOKUP(P458,タクティクス!B:C,2,FALSE)</f>
        <v>騎士団全体の防御力が小UP(3分間)</v>
      </c>
      <c r="R458" s="23" t="s">
        <v>18</v>
      </c>
      <c r="S458" s="23" t="str">
        <f>VLOOKUP(R458,タクティクス!B:C,2,FALSE)</f>
        <v>　</v>
      </c>
      <c r="T458" s="23" t="s">
        <v>18</v>
      </c>
      <c r="U458" s="23" t="s">
        <v>18</v>
      </c>
      <c r="V458" s="20" t="s">
        <v>1823</v>
      </c>
    </row>
    <row r="459" spans="1:22" ht="21.75" customHeight="1" x14ac:dyDescent="0.15">
      <c r="A459" s="20" t="str">
        <f>B459&amp;".jpg"</f>
        <v>1782.jpg</v>
      </c>
      <c r="B459" s="46">
        <v>1782</v>
      </c>
      <c r="C459" s="24" t="s">
        <v>347</v>
      </c>
      <c r="D459" s="24" t="s">
        <v>150</v>
      </c>
      <c r="E459" s="24">
        <v>14</v>
      </c>
      <c r="F459" s="24" t="s">
        <v>16</v>
      </c>
      <c r="G459" s="22">
        <v>19503</v>
      </c>
      <c r="H459" s="22">
        <v>7606</v>
      </c>
      <c r="I459" s="22">
        <v>5915</v>
      </c>
      <c r="J459" s="24" t="s">
        <v>151</v>
      </c>
      <c r="K459" s="22">
        <f>SUM(G459,H459,I459)</f>
        <v>33024</v>
      </c>
      <c r="L459" s="23" t="s">
        <v>823</v>
      </c>
      <c r="M459" s="23" t="str">
        <f>VLOOKUP(L459,スキル!B:C,2,FALSE)</f>
        <v>横一列攻撃[特大]自分の攻撃力UP[特大]</v>
      </c>
      <c r="N459" s="23" t="s">
        <v>18</v>
      </c>
      <c r="O459" s="23" t="str">
        <f>VLOOKUP(N459,スキル!B:C,2,FALSE)</f>
        <v>　</v>
      </c>
      <c r="P459" s="23" t="s">
        <v>226</v>
      </c>
      <c r="Q459" s="23" t="str">
        <f>VLOOKUP(P459,タクティクス!B:C,2,FALSE)</f>
        <v>バトルで獲得する騎士団戦スコアが大アップ(3分間)</v>
      </c>
      <c r="R459" s="23" t="s">
        <v>18</v>
      </c>
      <c r="S459" s="23" t="str">
        <f>VLOOKUP(R459,タクティクス!B:C,2,FALSE)</f>
        <v>　</v>
      </c>
      <c r="T459" s="23" t="s">
        <v>18</v>
      </c>
      <c r="U459" s="23" t="s">
        <v>18</v>
      </c>
      <c r="V459" s="20" t="s">
        <v>1832</v>
      </c>
    </row>
    <row r="460" spans="1:22" ht="21.75" customHeight="1" x14ac:dyDescent="0.15">
      <c r="A460" s="20" t="str">
        <f>B460&amp;".jpg"</f>
        <v>1784.jpg</v>
      </c>
      <c r="B460" s="46">
        <v>1784</v>
      </c>
      <c r="C460" s="24" t="s">
        <v>37</v>
      </c>
      <c r="D460" s="24" t="s">
        <v>15</v>
      </c>
      <c r="E460" s="24">
        <v>13</v>
      </c>
      <c r="F460" s="24" t="s">
        <v>25</v>
      </c>
      <c r="G460" s="22">
        <v>16437</v>
      </c>
      <c r="H460" s="22">
        <v>5176</v>
      </c>
      <c r="I460" s="22">
        <v>5841</v>
      </c>
      <c r="J460" s="24" t="s">
        <v>26</v>
      </c>
      <c r="K460" s="22">
        <f>SUM(G460,H460,I460)</f>
        <v>27454</v>
      </c>
      <c r="L460" s="23" t="s">
        <v>615</v>
      </c>
      <c r="M460" s="23" t="str">
        <f>VLOOKUP(L460,スキル!B:C,2,FALSE)</f>
        <v>味方突属性の攻撃力と防御力をUP[大]</v>
      </c>
      <c r="N460" s="23" t="s">
        <v>18</v>
      </c>
      <c r="O460" s="23" t="str">
        <f>VLOOKUP(N460,スキル!B:C,2,FALSE)</f>
        <v>　</v>
      </c>
      <c r="P460" s="23" t="s">
        <v>23</v>
      </c>
      <c r="Q460" s="23" t="str">
        <f>VLOOKUP(P460,タクティクス!B:C,2,FALSE)</f>
        <v>パーティ全体の攻撃力が中UP(3分間)</v>
      </c>
      <c r="R460" s="23" t="s">
        <v>18</v>
      </c>
      <c r="S460" s="23" t="str">
        <f>VLOOKUP(R460,タクティクス!B:C,2,FALSE)</f>
        <v>　</v>
      </c>
      <c r="T460" s="23" t="s">
        <v>18</v>
      </c>
      <c r="U460" s="23" t="s">
        <v>18</v>
      </c>
      <c r="V460" s="20" t="s">
        <v>1832</v>
      </c>
    </row>
    <row r="461" spans="1:22" ht="21.75" customHeight="1" x14ac:dyDescent="0.15">
      <c r="A461" s="20" t="str">
        <f>B461&amp;".jpg"</f>
        <v>1785.jpg</v>
      </c>
      <c r="B461" s="46">
        <v>1785</v>
      </c>
      <c r="C461" s="24" t="s">
        <v>37</v>
      </c>
      <c r="D461" s="24" t="s">
        <v>150</v>
      </c>
      <c r="E461" s="24">
        <v>14</v>
      </c>
      <c r="F461" s="24" t="s">
        <v>25</v>
      </c>
      <c r="G461" s="22">
        <v>21776</v>
      </c>
      <c r="H461" s="22">
        <v>6483</v>
      </c>
      <c r="I461" s="22">
        <v>6100</v>
      </c>
      <c r="J461" s="24" t="s">
        <v>177</v>
      </c>
      <c r="K461" s="22">
        <f>SUM(G461,H461,I461)</f>
        <v>34359</v>
      </c>
      <c r="L461" s="23" t="s">
        <v>824</v>
      </c>
      <c r="M461" s="23" t="str">
        <f>VLOOKUP(L461,スキル!B:C,2,FALSE)</f>
        <v>ランダム6連続攻撃[小]自分の攻撃力UP[小]</v>
      </c>
      <c r="N461" s="23" t="s">
        <v>18</v>
      </c>
      <c r="O461" s="23" t="str">
        <f>VLOOKUP(N461,スキル!B:C,2,FALSE)</f>
        <v>　</v>
      </c>
      <c r="P461" s="23" t="s">
        <v>311</v>
      </c>
      <c r="Q461" s="23" t="str">
        <f>VLOOKUP(P461,タクティクス!B:C,2,FALSE)</f>
        <v>対戦騎士団全体の防御力が中DOWN(3分間)</v>
      </c>
      <c r="R461" s="23" t="s">
        <v>18</v>
      </c>
      <c r="S461" s="23" t="str">
        <f>VLOOKUP(R461,タクティクス!B:C,2,FALSE)</f>
        <v>　</v>
      </c>
      <c r="T461" s="23" t="s">
        <v>18</v>
      </c>
      <c r="U461" s="23" t="s">
        <v>18</v>
      </c>
      <c r="V461" s="20" t="s">
        <v>1832</v>
      </c>
    </row>
    <row r="462" spans="1:22" ht="21.75" customHeight="1" x14ac:dyDescent="0.15">
      <c r="A462" s="20" t="str">
        <f>B462&amp;".jpg"</f>
        <v>1787.jpg</v>
      </c>
      <c r="B462" s="46">
        <v>1787</v>
      </c>
      <c r="C462" s="24" t="s">
        <v>348</v>
      </c>
      <c r="D462" s="24" t="s">
        <v>15</v>
      </c>
      <c r="E462" s="24">
        <v>13</v>
      </c>
      <c r="F462" s="24" t="s">
        <v>34</v>
      </c>
      <c r="G462" s="22">
        <v>17225</v>
      </c>
      <c r="H462" s="22">
        <v>6197</v>
      </c>
      <c r="I462" s="22">
        <v>7065</v>
      </c>
      <c r="J462" s="24" t="s">
        <v>35</v>
      </c>
      <c r="K462" s="22">
        <f>SUM(G462,H462,I462)</f>
        <v>30487</v>
      </c>
      <c r="L462" s="23" t="s">
        <v>595</v>
      </c>
      <c r="M462" s="23" t="str">
        <f>VLOOKUP(L462,スキル!B:C,2,FALSE)</f>
        <v>最もダメージが多い味方1人のHP回復[大]</v>
      </c>
      <c r="N462" s="23" t="s">
        <v>18</v>
      </c>
      <c r="O462" s="23" t="str">
        <f>VLOOKUP(N462,スキル!B:C,2,FALSE)</f>
        <v>　</v>
      </c>
      <c r="P462" s="23" t="s">
        <v>51</v>
      </c>
      <c r="Q462" s="23" t="str">
        <f>VLOOKUP(P462,タクティクス!B:C,2,FALSE)</f>
        <v>獲得する騎士団戦スコアが中アップ(バトル3回)</v>
      </c>
      <c r="R462" s="23" t="s">
        <v>18</v>
      </c>
      <c r="S462" s="23" t="str">
        <f>VLOOKUP(R462,タクティクス!B:C,2,FALSE)</f>
        <v>　</v>
      </c>
      <c r="T462" s="23" t="s">
        <v>18</v>
      </c>
      <c r="U462" s="23" t="s">
        <v>18</v>
      </c>
      <c r="V462" s="20" t="s">
        <v>1833</v>
      </c>
    </row>
    <row r="463" spans="1:22" ht="21.75" customHeight="1" x14ac:dyDescent="0.15">
      <c r="A463" s="20" t="str">
        <f>B463&amp;".jpg"</f>
        <v>1788.jpg</v>
      </c>
      <c r="B463" s="46">
        <v>1788</v>
      </c>
      <c r="C463" s="24" t="s">
        <v>348</v>
      </c>
      <c r="D463" s="24" t="s">
        <v>150</v>
      </c>
      <c r="E463" s="24">
        <v>14</v>
      </c>
      <c r="F463" s="24" t="s">
        <v>34</v>
      </c>
      <c r="G463" s="22">
        <v>22036</v>
      </c>
      <c r="H463" s="22">
        <v>7234</v>
      </c>
      <c r="I463" s="22">
        <v>8533</v>
      </c>
      <c r="J463" s="24" t="s">
        <v>17</v>
      </c>
      <c r="K463" s="22">
        <f>SUM(G463,H463,I463)</f>
        <v>37803</v>
      </c>
      <c r="L463" s="23" t="s">
        <v>826</v>
      </c>
      <c r="M463" s="23" t="str">
        <f>VLOOKUP(L463,スキル!B:C,2,FALSE)</f>
        <v>ランダムで2～5連撃。攻撃毎に与ダメ2倍[低確率]</v>
      </c>
      <c r="N463" s="23" t="s">
        <v>18</v>
      </c>
      <c r="O463" s="23" t="str">
        <f>VLOOKUP(N463,スキル!B:C,2,FALSE)</f>
        <v>　</v>
      </c>
      <c r="P463" s="23" t="s">
        <v>319</v>
      </c>
      <c r="Q463" s="23" t="str">
        <f>VLOOKUP(P463,タクティクス!B:C,2,FALSE)</f>
        <v>対戦騎士団の城強度Lvが中DOWN(3分間)</v>
      </c>
      <c r="R463" s="23" t="s">
        <v>18</v>
      </c>
      <c r="S463" s="23" t="str">
        <f>VLOOKUP(R463,タクティクス!B:C,2,FALSE)</f>
        <v>　</v>
      </c>
      <c r="T463" s="23" t="s">
        <v>18</v>
      </c>
      <c r="U463" s="23" t="s">
        <v>18</v>
      </c>
      <c r="V463" s="20" t="s">
        <v>1833</v>
      </c>
    </row>
    <row r="464" spans="1:22" ht="21.75" customHeight="1" x14ac:dyDescent="0.15">
      <c r="A464" s="20" t="str">
        <f>B464&amp;".jpg"</f>
        <v>1790.jpg</v>
      </c>
      <c r="B464" s="46">
        <v>1790</v>
      </c>
      <c r="C464" s="24" t="s">
        <v>349</v>
      </c>
      <c r="D464" s="24" t="s">
        <v>150</v>
      </c>
      <c r="E464" s="24">
        <v>14</v>
      </c>
      <c r="F464" s="24" t="s">
        <v>34</v>
      </c>
      <c r="G464" s="22">
        <v>22532</v>
      </c>
      <c r="H464" s="22">
        <v>6285</v>
      </c>
      <c r="I464" s="22">
        <v>8686</v>
      </c>
      <c r="J464" s="24" t="s">
        <v>55</v>
      </c>
      <c r="K464" s="22">
        <f>SUM(G464,H464,I464)</f>
        <v>37503</v>
      </c>
      <c r="L464" s="23" t="s">
        <v>827</v>
      </c>
      <c r="M464" s="23" t="str">
        <f>VLOOKUP(L464,スキル!B:C,2,FALSE)</f>
        <v>単体攻撃(宝箱優先／追加ダメージ)[特大]</v>
      </c>
      <c r="N464" s="23" t="s">
        <v>18</v>
      </c>
      <c r="O464" s="23" t="str">
        <f>VLOOKUP(N464,スキル!B:C,2,FALSE)</f>
        <v>　</v>
      </c>
      <c r="P464" s="23" t="s">
        <v>286</v>
      </c>
      <c r="Q464" s="23" t="str">
        <f>VLOOKUP(P464,タクティクス!B:C,2,FALSE)</f>
        <v>対戦騎士団全体のスキル発動率が中DOWN(3分間)</v>
      </c>
      <c r="R464" s="23" t="s">
        <v>18</v>
      </c>
      <c r="S464" s="23" t="str">
        <f>VLOOKUP(R464,タクティクス!B:C,2,FALSE)</f>
        <v>　</v>
      </c>
      <c r="T464" s="23" t="s">
        <v>18</v>
      </c>
      <c r="U464" s="23" t="s">
        <v>18</v>
      </c>
      <c r="V464" s="20" t="s">
        <v>1833</v>
      </c>
    </row>
    <row r="465" spans="1:22" ht="21.75" customHeight="1" x14ac:dyDescent="0.15">
      <c r="A465" s="20" t="str">
        <f>B465&amp;".jpg"</f>
        <v>1792.jpg</v>
      </c>
      <c r="B465" s="46">
        <v>1792</v>
      </c>
      <c r="C465" s="24" t="s">
        <v>121</v>
      </c>
      <c r="D465" s="24" t="s">
        <v>15</v>
      </c>
      <c r="E465" s="24">
        <v>13</v>
      </c>
      <c r="F465" s="24" t="s">
        <v>41</v>
      </c>
      <c r="G465" s="22">
        <v>18087</v>
      </c>
      <c r="H465" s="22">
        <v>6309</v>
      </c>
      <c r="I465" s="22">
        <v>4728</v>
      </c>
      <c r="J465" s="24" t="s">
        <v>42</v>
      </c>
      <c r="K465" s="22">
        <f>SUM(G465,H465,I465)</f>
        <v>29124</v>
      </c>
      <c r="L465" s="23" t="s">
        <v>559</v>
      </c>
      <c r="M465" s="23" t="str">
        <f>VLOOKUP(L465,スキル!B:C,2,FALSE)</f>
        <v>敵全体に固定ダメージ[大]</v>
      </c>
      <c r="N465" s="23" t="s">
        <v>18</v>
      </c>
      <c r="O465" s="23" t="str">
        <f>VLOOKUP(N465,スキル!B:C,2,FALSE)</f>
        <v>　</v>
      </c>
      <c r="P465" s="23" t="s">
        <v>232</v>
      </c>
      <c r="Q465" s="23" t="str">
        <f>VLOOKUP(P465,タクティクス!B:C,2,FALSE)</f>
        <v>騎士団全員のBPを中回復</v>
      </c>
      <c r="R465" s="23" t="s">
        <v>18</v>
      </c>
      <c r="S465" s="23" t="str">
        <f>VLOOKUP(R465,タクティクス!B:C,2,FALSE)</f>
        <v>　</v>
      </c>
      <c r="T465" s="23" t="s">
        <v>18</v>
      </c>
      <c r="U465" s="23" t="s">
        <v>18</v>
      </c>
      <c r="V465" s="20" t="s">
        <v>1833</v>
      </c>
    </row>
    <row r="466" spans="1:22" ht="21.75" customHeight="1" x14ac:dyDescent="0.15">
      <c r="A466" s="20" t="str">
        <f>B466&amp;".jpg"</f>
        <v>1793.jpg</v>
      </c>
      <c r="B466" s="46">
        <v>1793</v>
      </c>
      <c r="C466" s="24" t="s">
        <v>121</v>
      </c>
      <c r="D466" s="24" t="s">
        <v>150</v>
      </c>
      <c r="E466" s="24">
        <v>14</v>
      </c>
      <c r="F466" s="24" t="s">
        <v>41</v>
      </c>
      <c r="G466" s="22">
        <v>18940</v>
      </c>
      <c r="H466" s="22">
        <v>6611</v>
      </c>
      <c r="I466" s="22">
        <v>5857</v>
      </c>
      <c r="J466" s="24" t="s">
        <v>55</v>
      </c>
      <c r="K466" s="22">
        <f>SUM(G466,H466,I466)</f>
        <v>31408</v>
      </c>
      <c r="L466" s="23" t="s">
        <v>829</v>
      </c>
      <c r="M466" s="23" t="str">
        <f>VLOOKUP(L466,スキル!B:C,2,FALSE)</f>
        <v>味方全体の攻撃力と防御力をUP[大]</v>
      </c>
      <c r="N466" s="23" t="s">
        <v>18</v>
      </c>
      <c r="O466" s="23" t="str">
        <f>VLOOKUP(N466,スキル!B:C,2,FALSE)</f>
        <v>　</v>
      </c>
      <c r="P466" s="23" t="s">
        <v>298</v>
      </c>
      <c r="Q466" s="23" t="str">
        <f>VLOOKUP(P466,タクティクス!B:C,2,FALSE)</f>
        <v>城の強度Lvが中UP(3分間)</v>
      </c>
      <c r="R466" s="23" t="s">
        <v>18</v>
      </c>
      <c r="S466" s="23" t="str">
        <f>VLOOKUP(R466,タクティクス!B:C,2,FALSE)</f>
        <v>　</v>
      </c>
      <c r="T466" s="23" t="s">
        <v>18</v>
      </c>
      <c r="U466" s="23" t="s">
        <v>18</v>
      </c>
      <c r="V466" s="20" t="s">
        <v>1833</v>
      </c>
    </row>
    <row r="467" spans="1:22" ht="21.75" customHeight="1" x14ac:dyDescent="0.15">
      <c r="A467" s="20" t="str">
        <f>B467&amp;".jpg"</f>
        <v>1794.jpg</v>
      </c>
      <c r="B467" s="46">
        <v>1794</v>
      </c>
      <c r="C467" s="24" t="s">
        <v>350</v>
      </c>
      <c r="D467" s="24" t="s">
        <v>15</v>
      </c>
      <c r="E467" s="24">
        <v>13</v>
      </c>
      <c r="F467" s="24" t="s">
        <v>25</v>
      </c>
      <c r="G467" s="22">
        <v>17534</v>
      </c>
      <c r="H467" s="22">
        <v>5219</v>
      </c>
      <c r="I467" s="22">
        <v>6127</v>
      </c>
      <c r="J467" s="24" t="s">
        <v>26</v>
      </c>
      <c r="K467" s="22">
        <f>SUM(G467,H467,I467)</f>
        <v>28880</v>
      </c>
      <c r="L467" s="23" t="s">
        <v>561</v>
      </c>
      <c r="M467" s="23" t="str">
        <f>VLOOKUP(L467,スキル!B:C,2,FALSE)</f>
        <v>敵全体の防御力をDOWN[中]</v>
      </c>
      <c r="N467" s="23" t="s">
        <v>18</v>
      </c>
      <c r="O467" s="23" t="str">
        <f>VLOOKUP(N467,スキル!B:C,2,FALSE)</f>
        <v>　</v>
      </c>
      <c r="P467" s="23" t="s">
        <v>27</v>
      </c>
      <c r="Q467" s="23" t="str">
        <f>VLOOKUP(P467,タクティクス!B:C,2,FALSE)</f>
        <v>パーティ全体の防御力が中UP(3分間)</v>
      </c>
      <c r="R467" s="23" t="s">
        <v>18</v>
      </c>
      <c r="S467" s="23" t="str">
        <f>VLOOKUP(R467,タクティクス!B:C,2,FALSE)</f>
        <v>　</v>
      </c>
      <c r="T467" s="23" t="s">
        <v>18</v>
      </c>
      <c r="U467" s="23" t="s">
        <v>18</v>
      </c>
      <c r="V467" s="20" t="s">
        <v>1825</v>
      </c>
    </row>
    <row r="468" spans="1:22" ht="21.75" customHeight="1" x14ac:dyDescent="0.15">
      <c r="A468" s="20" t="str">
        <f>B468&amp;".jpg"</f>
        <v>1795.jpg</v>
      </c>
      <c r="B468" s="46">
        <v>1795</v>
      </c>
      <c r="C468" s="24" t="s">
        <v>351</v>
      </c>
      <c r="D468" s="24" t="s">
        <v>15</v>
      </c>
      <c r="E468" s="24">
        <v>13</v>
      </c>
      <c r="F468" s="24" t="s">
        <v>34</v>
      </c>
      <c r="G468" s="22">
        <v>21851</v>
      </c>
      <c r="H468" s="22">
        <v>5048</v>
      </c>
      <c r="I468" s="22">
        <v>7537</v>
      </c>
      <c r="J468" s="24" t="s">
        <v>35</v>
      </c>
      <c r="K468" s="22">
        <f>SUM(G468,H468,I468)</f>
        <v>34436</v>
      </c>
      <c r="L468" s="23" t="s">
        <v>673</v>
      </c>
      <c r="M468" s="23" t="str">
        <f>VLOOKUP(L468,スキル!B:C,2,FALSE)</f>
        <v>一定確率で敵を睡眠状態にする[高確率]</v>
      </c>
      <c r="N468" s="23" t="s">
        <v>18</v>
      </c>
      <c r="O468" s="23" t="str">
        <f>VLOOKUP(N468,スキル!B:C,2,FALSE)</f>
        <v>　</v>
      </c>
      <c r="P468" s="23" t="s">
        <v>23</v>
      </c>
      <c r="Q468" s="23" t="str">
        <f>VLOOKUP(P468,タクティクス!B:C,2,FALSE)</f>
        <v>パーティ全体の攻撃力が中UP(3分間)</v>
      </c>
      <c r="R468" s="23" t="s">
        <v>18</v>
      </c>
      <c r="S468" s="23" t="str">
        <f>VLOOKUP(R468,タクティクス!B:C,2,FALSE)</f>
        <v>　</v>
      </c>
      <c r="T468" s="23" t="s">
        <v>18</v>
      </c>
      <c r="U468" s="23" t="s">
        <v>18</v>
      </c>
      <c r="V468" s="20" t="s">
        <v>1825</v>
      </c>
    </row>
    <row r="469" spans="1:22" ht="21.75" customHeight="1" x14ac:dyDescent="0.15">
      <c r="A469" s="20" t="str">
        <f>B469&amp;".jpg"</f>
        <v>1797.jpg</v>
      </c>
      <c r="B469" s="46">
        <v>1797</v>
      </c>
      <c r="C469" s="24" t="s">
        <v>175</v>
      </c>
      <c r="D469" s="24" t="s">
        <v>150</v>
      </c>
      <c r="E469" s="24">
        <v>14</v>
      </c>
      <c r="F469" s="24" t="s">
        <v>16</v>
      </c>
      <c r="G469" s="22">
        <v>17632</v>
      </c>
      <c r="H469" s="22">
        <v>8106</v>
      </c>
      <c r="I469" s="22">
        <v>6206</v>
      </c>
      <c r="J469" s="24" t="s">
        <v>151</v>
      </c>
      <c r="K469" s="22">
        <f>SUM(G469,H469,I469)</f>
        <v>31944</v>
      </c>
      <c r="L469" s="23" t="s">
        <v>805</v>
      </c>
      <c r="M469" s="23" t="str">
        <f>VLOOKUP(L469,スキル!B:C,2,FALSE)</f>
        <v>十字型攻撃[特大]自分の防御力UP[特大]</v>
      </c>
      <c r="N469" s="23" t="s">
        <v>18</v>
      </c>
      <c r="O469" s="23" t="str">
        <f>VLOOKUP(N469,スキル!B:C,2,FALSE)</f>
        <v>　</v>
      </c>
      <c r="P469" s="23" t="s">
        <v>281</v>
      </c>
      <c r="Q469" s="23" t="str">
        <f>VLOOKUP(P469,タクティクス!B:C,2,FALSE)</f>
        <v>CB時に獲得ポイント大UP＆BPが大回復(3回)</v>
      </c>
      <c r="R469" s="23" t="s">
        <v>18</v>
      </c>
      <c r="S469" s="23" t="str">
        <f>VLOOKUP(R469,タクティクス!B:C,2,FALSE)</f>
        <v>　</v>
      </c>
      <c r="T469" s="23" t="s">
        <v>18</v>
      </c>
      <c r="U469" s="23" t="s">
        <v>18</v>
      </c>
      <c r="V469" s="20" t="s">
        <v>1899</v>
      </c>
    </row>
    <row r="470" spans="1:22" ht="21.75" customHeight="1" x14ac:dyDescent="0.15">
      <c r="A470" s="20" t="str">
        <f>B470&amp;".jpg"</f>
        <v>1799.jpg</v>
      </c>
      <c r="B470" s="46">
        <v>1799</v>
      </c>
      <c r="C470" s="24" t="s">
        <v>279</v>
      </c>
      <c r="D470" s="24" t="s">
        <v>150</v>
      </c>
      <c r="E470" s="24">
        <v>14</v>
      </c>
      <c r="F470" s="24" t="s">
        <v>16</v>
      </c>
      <c r="G470" s="22">
        <v>17581</v>
      </c>
      <c r="H470" s="22">
        <v>8082</v>
      </c>
      <c r="I470" s="22">
        <v>6551</v>
      </c>
      <c r="J470" s="24" t="s">
        <v>151</v>
      </c>
      <c r="K470" s="22">
        <f>SUM(G470,H470,I470)</f>
        <v>32214</v>
      </c>
      <c r="L470" s="23" t="s">
        <v>776</v>
      </c>
      <c r="M470" s="23" t="str">
        <f>VLOOKUP(L470,スキル!B:C,2,FALSE)</f>
        <v>味方斬属性の攻撃力をUP[特大]</v>
      </c>
      <c r="N470" s="23" t="s">
        <v>18</v>
      </c>
      <c r="O470" s="23" t="str">
        <f>VLOOKUP(N470,スキル!B:C,2,FALSE)</f>
        <v>　</v>
      </c>
      <c r="P470" s="23" t="s">
        <v>330</v>
      </c>
      <c r="Q470" s="23" t="str">
        <f>VLOOKUP(P470,タクティクス!B:C,2,FALSE)</f>
        <v>騎士団全体のスキル発動率が中UP(3分間)</v>
      </c>
      <c r="R470" s="23" t="s">
        <v>18</v>
      </c>
      <c r="S470" s="23" t="str">
        <f>VLOOKUP(R470,タクティクス!B:C,2,FALSE)</f>
        <v>　</v>
      </c>
      <c r="T470" s="23" t="s">
        <v>18</v>
      </c>
      <c r="U470" s="23" t="s">
        <v>18</v>
      </c>
      <c r="V470" s="20" t="s">
        <v>1899</v>
      </c>
    </row>
    <row r="471" spans="1:22" ht="21.75" customHeight="1" x14ac:dyDescent="0.15">
      <c r="A471" s="20" t="str">
        <f>B471&amp;".jpg"</f>
        <v>1799_a.jpg</v>
      </c>
      <c r="B471" s="21" t="s">
        <v>1253</v>
      </c>
      <c r="C471" s="20" t="s">
        <v>1188</v>
      </c>
      <c r="D471" s="20" t="s">
        <v>1173</v>
      </c>
      <c r="E471" s="20">
        <v>14</v>
      </c>
      <c r="F471" s="24" t="s">
        <v>16</v>
      </c>
      <c r="G471" s="27">
        <v>22852</v>
      </c>
      <c r="H471" s="27">
        <v>10497</v>
      </c>
      <c r="I471" s="27">
        <v>8840</v>
      </c>
      <c r="J471" s="20" t="s">
        <v>1199</v>
      </c>
      <c r="K471" s="22">
        <f>SUM(G471,H471,I471)</f>
        <v>42189</v>
      </c>
      <c r="L471" s="23" t="s">
        <v>1216</v>
      </c>
      <c r="M471" s="23" t="str">
        <f>VLOOKUP(L471,スキル!B:C,2,FALSE)</f>
        <v>味方斬属性の攻撃力をUP[超特大]</v>
      </c>
      <c r="N471" s="20" t="s">
        <v>1220</v>
      </c>
      <c r="O471" s="23" t="str">
        <f>VLOOKUP(N471,スキル!B:C,2,FALSE)</f>
        <v>　</v>
      </c>
      <c r="P471" s="20" t="s">
        <v>1222</v>
      </c>
      <c r="Q471" s="23" t="str">
        <f>VLOOKUP(P471,タクティクス!B:C,2,FALSE)</f>
        <v>騎士団全体のスキル発動率が中UP(3分間)</v>
      </c>
      <c r="R471" s="20" t="s">
        <v>1223</v>
      </c>
      <c r="S471" s="23" t="str">
        <f>VLOOKUP(R471,タクティクス!B:C,2,FALSE)</f>
        <v>　</v>
      </c>
      <c r="T471" s="20" t="s">
        <v>1221</v>
      </c>
      <c r="U471" s="20" t="s">
        <v>1225</v>
      </c>
      <c r="V471" s="20" t="s">
        <v>1822</v>
      </c>
    </row>
    <row r="472" spans="1:22" ht="21.75" customHeight="1" x14ac:dyDescent="0.15">
      <c r="A472" s="20" t="str">
        <f>B472&amp;".jpg"</f>
        <v>1799_b.jpg</v>
      </c>
      <c r="B472" s="21" t="s">
        <v>1254</v>
      </c>
      <c r="C472" s="20" t="s">
        <v>1189</v>
      </c>
      <c r="D472" s="20" t="s">
        <v>1190</v>
      </c>
      <c r="E472" s="20">
        <v>14</v>
      </c>
      <c r="F472" s="24" t="s">
        <v>16</v>
      </c>
      <c r="G472" s="27">
        <v>21970</v>
      </c>
      <c r="H472" s="27">
        <v>10098</v>
      </c>
      <c r="I472" s="27">
        <v>8189</v>
      </c>
      <c r="J472" s="20" t="s">
        <v>1200</v>
      </c>
      <c r="K472" s="22">
        <f>SUM(G472,H472,I472)</f>
        <v>40257</v>
      </c>
      <c r="L472" s="23" t="s">
        <v>776</v>
      </c>
      <c r="M472" s="23" t="str">
        <f>VLOOKUP(L472,スキル!B:C,2,FALSE)</f>
        <v>味方斬属性の攻撃力をUP[特大]</v>
      </c>
      <c r="N472" s="20" t="s">
        <v>1220</v>
      </c>
      <c r="O472" s="23" t="str">
        <f>VLOOKUP(N472,スキル!B:C,2,FALSE)</f>
        <v>　</v>
      </c>
      <c r="P472" s="20" t="s">
        <v>1226</v>
      </c>
      <c r="Q472" s="23" t="str">
        <f>VLOOKUP(P472,タクティクス!B:C,2,FALSE)</f>
        <v>騎士団全体のスキル発動率が特大UP(3分間)</v>
      </c>
      <c r="R472" s="20" t="s">
        <v>1220</v>
      </c>
      <c r="S472" s="23" t="str">
        <f>VLOOKUP(R472,タクティクス!B:C,2,FALSE)</f>
        <v>　</v>
      </c>
      <c r="T472" s="20" t="s">
        <v>1225</v>
      </c>
      <c r="U472" s="20" t="s">
        <v>1221</v>
      </c>
      <c r="V472" s="20" t="s">
        <v>1822</v>
      </c>
    </row>
    <row r="473" spans="1:22" ht="21.75" customHeight="1" x14ac:dyDescent="0.15">
      <c r="A473" s="20" t="str">
        <f>B473&amp;".jpg"</f>
        <v>1801.jpg</v>
      </c>
      <c r="B473" s="46">
        <v>1801</v>
      </c>
      <c r="C473" s="24" t="s">
        <v>273</v>
      </c>
      <c r="D473" s="24" t="s">
        <v>150</v>
      </c>
      <c r="E473" s="24">
        <v>14</v>
      </c>
      <c r="F473" s="24" t="s">
        <v>25</v>
      </c>
      <c r="G473" s="22">
        <v>19055</v>
      </c>
      <c r="H473" s="22">
        <v>6514</v>
      </c>
      <c r="I473" s="22">
        <v>6969</v>
      </c>
      <c r="J473" s="24" t="s">
        <v>177</v>
      </c>
      <c r="K473" s="22">
        <f>SUM(G473,H473,I473)</f>
        <v>32538</v>
      </c>
      <c r="L473" s="23" t="s">
        <v>779</v>
      </c>
      <c r="M473" s="23" t="str">
        <f>VLOOKUP(L473,スキル!B:C,2,FALSE)</f>
        <v>敵全体の攻撃力をDOWN[特大]</v>
      </c>
      <c r="N473" s="23" t="s">
        <v>18</v>
      </c>
      <c r="O473" s="23" t="str">
        <f>VLOOKUP(N473,スキル!B:C,2,FALSE)</f>
        <v>　</v>
      </c>
      <c r="P473" s="23" t="s">
        <v>308</v>
      </c>
      <c r="Q473" s="23" t="str">
        <f>VLOOKUP(P473,タクティクス!B:C,2,FALSE)</f>
        <v>騎士団全体の攻撃力が中UP(3分間)</v>
      </c>
      <c r="R473" s="23" t="s">
        <v>18</v>
      </c>
      <c r="S473" s="23" t="str">
        <f>VLOOKUP(R473,タクティクス!B:C,2,FALSE)</f>
        <v>　</v>
      </c>
      <c r="T473" s="23" t="s">
        <v>18</v>
      </c>
      <c r="U473" s="23" t="s">
        <v>18</v>
      </c>
      <c r="V473" s="20" t="s">
        <v>1899</v>
      </c>
    </row>
    <row r="474" spans="1:22" ht="21.75" customHeight="1" x14ac:dyDescent="0.15">
      <c r="A474" s="20" t="str">
        <f>B474&amp;".jpg"</f>
        <v>1801_a.jpg</v>
      </c>
      <c r="B474" s="21" t="s">
        <v>1488</v>
      </c>
      <c r="C474" s="20" t="s">
        <v>1495</v>
      </c>
      <c r="D474" s="20" t="s">
        <v>1173</v>
      </c>
      <c r="E474" s="20">
        <v>14</v>
      </c>
      <c r="F474" s="20" t="s">
        <v>1266</v>
      </c>
      <c r="G474" s="27">
        <v>27245</v>
      </c>
      <c r="H474" s="27">
        <v>7816</v>
      </c>
      <c r="I474" s="27">
        <v>11085</v>
      </c>
      <c r="J474" s="20" t="s">
        <v>1507</v>
      </c>
      <c r="K474" s="22">
        <f>SUM(G474,H474,I474)</f>
        <v>46146</v>
      </c>
      <c r="L474" s="20" t="s">
        <v>1532</v>
      </c>
      <c r="M474" s="23" t="str">
        <f>VLOOKUP(L474,スキル!B:C,2,FALSE)</f>
        <v>敵全体の攻撃力をDOWN[極大]</v>
      </c>
      <c r="N474" s="20" t="s">
        <v>1011</v>
      </c>
      <c r="O474" s="23" t="str">
        <f>VLOOKUP(N474,スキル!B:C,2,FALSE)</f>
        <v>　</v>
      </c>
      <c r="P474" s="20" t="s">
        <v>308</v>
      </c>
      <c r="Q474" s="23" t="str">
        <f>VLOOKUP(P474,タクティクス!B:C,2,FALSE)</f>
        <v>騎士団全体の攻撃力が中UP(3分間)</v>
      </c>
      <c r="R474" s="20" t="s">
        <v>1515</v>
      </c>
      <c r="S474" s="23" t="str">
        <f>VLOOKUP(R474,タクティクス!B:C,2,FALSE)</f>
        <v>　</v>
      </c>
      <c r="T474" s="20" t="s">
        <v>1519</v>
      </c>
      <c r="U474" s="20" t="s">
        <v>1516</v>
      </c>
      <c r="V474" s="20" t="s">
        <v>1822</v>
      </c>
    </row>
    <row r="475" spans="1:22" ht="21.75" customHeight="1" x14ac:dyDescent="0.15">
      <c r="A475" s="20" t="str">
        <f>B475&amp;".jpg"</f>
        <v>1801_b.jpg</v>
      </c>
      <c r="B475" s="21" t="s">
        <v>1489</v>
      </c>
      <c r="C475" s="20" t="s">
        <v>1495</v>
      </c>
      <c r="D475" s="20" t="s">
        <v>1501</v>
      </c>
      <c r="E475" s="20">
        <v>14</v>
      </c>
      <c r="F475" s="20" t="s">
        <v>1266</v>
      </c>
      <c r="G475" s="27">
        <v>26300</v>
      </c>
      <c r="H475" s="27">
        <v>7501</v>
      </c>
      <c r="I475" s="27">
        <v>10728</v>
      </c>
      <c r="J475" s="20" t="s">
        <v>1201</v>
      </c>
      <c r="K475" s="22">
        <f>SUM(G475,H475,I475)</f>
        <v>44529</v>
      </c>
      <c r="L475" s="20" t="s">
        <v>779</v>
      </c>
      <c r="M475" s="23" t="str">
        <f>VLOOKUP(L475,スキル!B:C,2,FALSE)</f>
        <v>敵全体の攻撃力をDOWN[特大]</v>
      </c>
      <c r="N475" s="20" t="s">
        <v>1011</v>
      </c>
      <c r="O475" s="23" t="str">
        <f>VLOOKUP(N475,スキル!B:C,2,FALSE)</f>
        <v>　</v>
      </c>
      <c r="P475" s="20" t="s">
        <v>1538</v>
      </c>
      <c r="Q475" s="23" t="str">
        <f>VLOOKUP(P475,タクティクス!B:C,2,FALSE)</f>
        <v>騎士団全体の攻撃力が特大UP(3分間)</v>
      </c>
      <c r="R475" s="20" t="s">
        <v>1011</v>
      </c>
      <c r="S475" s="23" t="str">
        <f>VLOOKUP(R475,タクティクス!B:C,2,FALSE)</f>
        <v>　</v>
      </c>
      <c r="T475" s="20" t="s">
        <v>1519</v>
      </c>
      <c r="U475" s="20" t="s">
        <v>1519</v>
      </c>
      <c r="V475" s="20" t="s">
        <v>1822</v>
      </c>
    </row>
    <row r="476" spans="1:22" ht="21.75" customHeight="1" x14ac:dyDescent="0.15">
      <c r="A476" s="20" t="str">
        <f>B476&amp;".jpg"</f>
        <v>1803.jpg</v>
      </c>
      <c r="B476" s="46">
        <v>1803</v>
      </c>
      <c r="C476" s="24" t="s">
        <v>305</v>
      </c>
      <c r="D476" s="24" t="s">
        <v>150</v>
      </c>
      <c r="E476" s="24">
        <v>14</v>
      </c>
      <c r="F476" s="24" t="s">
        <v>34</v>
      </c>
      <c r="G476" s="22">
        <v>22994</v>
      </c>
      <c r="H476" s="22">
        <v>6952</v>
      </c>
      <c r="I476" s="22">
        <v>7669</v>
      </c>
      <c r="J476" s="24" t="s">
        <v>17</v>
      </c>
      <c r="K476" s="22">
        <f>SUM(G476,H476,I476)</f>
        <v>37615</v>
      </c>
      <c r="L476" s="23" t="s">
        <v>781</v>
      </c>
      <c r="M476" s="23" t="str">
        <f>VLOOKUP(L476,スキル!B:C,2,FALSE)</f>
        <v>縦一列攻撃[特大]自分の防御力UP[特大]</v>
      </c>
      <c r="N476" s="23" t="s">
        <v>18</v>
      </c>
      <c r="O476" s="23" t="str">
        <f>VLOOKUP(N476,スキル!B:C,2,FALSE)</f>
        <v>　</v>
      </c>
      <c r="P476" s="23" t="s">
        <v>352</v>
      </c>
      <c r="Q476" s="23" t="str">
        <f>VLOOKUP(P476,タクティクス!B:C,2,FALSE)</f>
        <v>ヘイトUP＆迎撃時にパーティ全体の攻・防が中UP(3分間)</v>
      </c>
      <c r="R476" s="23" t="s">
        <v>18</v>
      </c>
      <c r="S476" s="23" t="str">
        <f>VLOOKUP(R476,タクティクス!B:C,2,FALSE)</f>
        <v>　</v>
      </c>
      <c r="T476" s="23" t="s">
        <v>18</v>
      </c>
      <c r="U476" s="23" t="s">
        <v>18</v>
      </c>
      <c r="V476" s="20" t="s">
        <v>1899</v>
      </c>
    </row>
    <row r="477" spans="1:22" ht="21.75" customHeight="1" x14ac:dyDescent="0.15">
      <c r="A477" s="20" t="str">
        <f>B477&amp;".jpg"</f>
        <v>1804.jpg</v>
      </c>
      <c r="B477" s="46">
        <v>1804</v>
      </c>
      <c r="C477" s="24" t="s">
        <v>353</v>
      </c>
      <c r="D477" s="24" t="s">
        <v>150</v>
      </c>
      <c r="E477" s="24">
        <v>15</v>
      </c>
      <c r="F477" s="24" t="s">
        <v>16</v>
      </c>
      <c r="G477" s="22">
        <v>20184</v>
      </c>
      <c r="H477" s="22">
        <v>9315</v>
      </c>
      <c r="I477" s="22">
        <v>6987</v>
      </c>
      <c r="J477" s="24" t="s">
        <v>26</v>
      </c>
      <c r="K477" s="22">
        <f>SUM(G477,H477,I477)</f>
        <v>36486</v>
      </c>
      <c r="L477" s="23" t="s">
        <v>776</v>
      </c>
      <c r="M477" s="23" t="str">
        <f>VLOOKUP(L477,スキル!B:C,2,FALSE)</f>
        <v>味方斬属性の攻撃力をUP[特大]</v>
      </c>
      <c r="N477" s="23" t="s">
        <v>18</v>
      </c>
      <c r="O477" s="23" t="str">
        <f>VLOOKUP(N477,スキル!B:C,2,FALSE)</f>
        <v>　</v>
      </c>
      <c r="P477" s="23" t="s">
        <v>354</v>
      </c>
      <c r="Q477" s="23" t="str">
        <f>VLOOKUP(P477,タクティクス!B:C,2,FALSE)</f>
        <v>バトル時の強襲CB率が大UP(3分間)</v>
      </c>
      <c r="R477" s="23" t="s">
        <v>152</v>
      </c>
      <c r="S477" s="23" t="str">
        <f>VLOOKUP(R477,タクティクス!B:C,2,FALSE)</f>
        <v>パーティ全体の攻・防が大UP(3分間)</v>
      </c>
      <c r="T477" s="23" t="s">
        <v>18</v>
      </c>
      <c r="U477" s="23" t="s">
        <v>18</v>
      </c>
      <c r="V477" s="20" t="s">
        <v>1869</v>
      </c>
    </row>
    <row r="478" spans="1:22" ht="21.75" customHeight="1" x14ac:dyDescent="0.15">
      <c r="A478" s="20" t="str">
        <f>B478&amp;".jpg"</f>
        <v>1805.jpg</v>
      </c>
      <c r="B478" s="46">
        <v>1805</v>
      </c>
      <c r="C478" s="24" t="s">
        <v>355</v>
      </c>
      <c r="D478" s="24" t="s">
        <v>150</v>
      </c>
      <c r="E478" s="24">
        <v>15</v>
      </c>
      <c r="F478" s="24" t="s">
        <v>25</v>
      </c>
      <c r="G478" s="22">
        <v>24187</v>
      </c>
      <c r="H478" s="22">
        <v>6457</v>
      </c>
      <c r="I478" s="22">
        <v>8843</v>
      </c>
      <c r="J478" s="24" t="s">
        <v>356</v>
      </c>
      <c r="K478" s="22">
        <f>SUM(G478,H478,I478)</f>
        <v>39487</v>
      </c>
      <c r="L478" s="23" t="s">
        <v>830</v>
      </c>
      <c r="M478" s="23" t="str">
        <f>VLOOKUP(L478,スキル!B:C,2,FALSE)</f>
        <v>味方突属性の防御力をUP[極大]</v>
      </c>
      <c r="N478" s="23" t="s">
        <v>18</v>
      </c>
      <c r="O478" s="23" t="str">
        <f>VLOOKUP(N478,スキル!B:C,2,FALSE)</f>
        <v>　</v>
      </c>
      <c r="P478" s="23" t="s">
        <v>357</v>
      </c>
      <c r="Q478" s="23" t="str">
        <f>VLOOKUP(P478,タクティクス!B:C,2,FALSE)</f>
        <v>パーティ全体の防御力が特大UP(3分間)</v>
      </c>
      <c r="R478" s="23" t="s">
        <v>226</v>
      </c>
      <c r="S478" s="23" t="str">
        <f>VLOOKUP(R478,タクティクス!B:C,2,FALSE)</f>
        <v>バトルで獲得する騎士団戦スコアが大アップ(3分間)</v>
      </c>
      <c r="T478" s="23" t="s">
        <v>18</v>
      </c>
      <c r="U478" s="23" t="s">
        <v>18</v>
      </c>
      <c r="V478" s="20" t="s">
        <v>1870</v>
      </c>
    </row>
    <row r="479" spans="1:22" ht="21.75" customHeight="1" x14ac:dyDescent="0.15">
      <c r="A479" s="20" t="str">
        <f>B479&amp;".jpg"</f>
        <v>1807.jpg</v>
      </c>
      <c r="B479" s="46">
        <v>1807</v>
      </c>
      <c r="C479" s="24" t="s">
        <v>160</v>
      </c>
      <c r="D479" s="24" t="s">
        <v>15</v>
      </c>
      <c r="E479" s="24">
        <v>13</v>
      </c>
      <c r="F479" s="24" t="s">
        <v>25</v>
      </c>
      <c r="G479" s="22">
        <v>17399</v>
      </c>
      <c r="H479" s="22">
        <v>5179</v>
      </c>
      <c r="I479" s="22">
        <v>6167</v>
      </c>
      <c r="J479" s="24" t="s">
        <v>26</v>
      </c>
      <c r="K479" s="22">
        <f>SUM(G479,H479,I479)</f>
        <v>28745</v>
      </c>
      <c r="L479" s="23" t="s">
        <v>595</v>
      </c>
      <c r="M479" s="23" t="str">
        <f>VLOOKUP(L479,スキル!B:C,2,FALSE)</f>
        <v>最もダメージが多い味方1人のHP回復[大]</v>
      </c>
      <c r="N479" s="23" t="s">
        <v>18</v>
      </c>
      <c r="O479" s="23" t="str">
        <f>VLOOKUP(N479,スキル!B:C,2,FALSE)</f>
        <v>　</v>
      </c>
      <c r="P479" s="23" t="s">
        <v>56</v>
      </c>
      <c r="Q479" s="23" t="str">
        <f>VLOOKUP(P479,タクティクス!B:C,2,FALSE)</f>
        <v>バトルで敵を全滅するとBPが中回復(バトル3回)</v>
      </c>
      <c r="R479" s="23" t="s">
        <v>18</v>
      </c>
      <c r="S479" s="23" t="str">
        <f>VLOOKUP(R479,タクティクス!B:C,2,FALSE)</f>
        <v>　</v>
      </c>
      <c r="T479" s="23" t="s">
        <v>18</v>
      </c>
      <c r="U479" s="23" t="s">
        <v>18</v>
      </c>
      <c r="V479" s="20" t="s">
        <v>1902</v>
      </c>
    </row>
    <row r="480" spans="1:22" ht="21.75" customHeight="1" x14ac:dyDescent="0.15">
      <c r="A480" s="20" t="str">
        <f>B480&amp;".jpg"</f>
        <v>1808.jpg</v>
      </c>
      <c r="B480" s="46">
        <v>1808</v>
      </c>
      <c r="C480" s="24" t="s">
        <v>115</v>
      </c>
      <c r="D480" s="24" t="s">
        <v>150</v>
      </c>
      <c r="E480" s="24">
        <v>14</v>
      </c>
      <c r="F480" s="24" t="s">
        <v>41</v>
      </c>
      <c r="G480" s="22">
        <v>19791</v>
      </c>
      <c r="H480" s="22">
        <v>6903</v>
      </c>
      <c r="I480" s="22">
        <v>5342</v>
      </c>
      <c r="J480" s="24" t="s">
        <v>55</v>
      </c>
      <c r="K480" s="22">
        <f>SUM(G480,H480,I480)</f>
        <v>32036</v>
      </c>
      <c r="L480" s="23" t="s">
        <v>807</v>
      </c>
      <c r="M480" s="23" t="str">
        <f>VLOOKUP(L480,スキル!B:C,2,FALSE)</f>
        <v>敵単体に攻撃しつつHP回復[特大]</v>
      </c>
      <c r="N480" s="23" t="s">
        <v>18</v>
      </c>
      <c r="O480" s="23" t="str">
        <f>VLOOKUP(N480,スキル!B:C,2,FALSE)</f>
        <v>　</v>
      </c>
      <c r="P480" s="23" t="s">
        <v>298</v>
      </c>
      <c r="Q480" s="23" t="str">
        <f>VLOOKUP(P480,タクティクス!B:C,2,FALSE)</f>
        <v>城の強度Lvが中UP(3分間)</v>
      </c>
      <c r="R480" s="23" t="s">
        <v>18</v>
      </c>
      <c r="S480" s="23" t="str">
        <f>VLOOKUP(R480,タクティクス!B:C,2,FALSE)</f>
        <v>　</v>
      </c>
      <c r="T480" s="23" t="s">
        <v>18</v>
      </c>
      <c r="U480" s="23" t="s">
        <v>18</v>
      </c>
      <c r="V480" s="20" t="s">
        <v>1882</v>
      </c>
    </row>
    <row r="481" spans="1:22" ht="21.75" customHeight="1" x14ac:dyDescent="0.15">
      <c r="A481" s="20" t="str">
        <f>B481&amp;".jpg"</f>
        <v>1809.jpg</v>
      </c>
      <c r="B481" s="46">
        <v>1809</v>
      </c>
      <c r="C481" s="24" t="s">
        <v>221</v>
      </c>
      <c r="D481" s="24" t="s">
        <v>150</v>
      </c>
      <c r="E481" s="24">
        <v>14</v>
      </c>
      <c r="F481" s="24" t="s">
        <v>41</v>
      </c>
      <c r="G481" s="22">
        <v>19035</v>
      </c>
      <c r="H481" s="22">
        <v>6648</v>
      </c>
      <c r="I481" s="22">
        <v>5824</v>
      </c>
      <c r="J481" s="24" t="s">
        <v>55</v>
      </c>
      <c r="K481" s="22">
        <f>SUM(G481,H481,I481)</f>
        <v>31507</v>
      </c>
      <c r="L481" s="23" t="s">
        <v>832</v>
      </c>
      <c r="M481" s="23" t="str">
        <f>VLOOKUP(L481,スキル!B:C,2,FALSE)</f>
        <v>ランダムで6連続攻撃[中]</v>
      </c>
      <c r="N481" s="23" t="s">
        <v>18</v>
      </c>
      <c r="O481" s="23" t="str">
        <f>VLOOKUP(N481,スキル!B:C,2,FALSE)</f>
        <v>　</v>
      </c>
      <c r="P481" s="23" t="s">
        <v>311</v>
      </c>
      <c r="Q481" s="23" t="str">
        <f>VLOOKUP(P481,タクティクス!B:C,2,FALSE)</f>
        <v>対戦騎士団全体の防御力が中DOWN(3分間)</v>
      </c>
      <c r="R481" s="23" t="s">
        <v>18</v>
      </c>
      <c r="S481" s="23" t="str">
        <f>VLOOKUP(R481,タクティクス!B:C,2,FALSE)</f>
        <v>　</v>
      </c>
      <c r="T481" s="23" t="s">
        <v>18</v>
      </c>
      <c r="U481" s="23" t="s">
        <v>18</v>
      </c>
      <c r="V481" s="20" t="s">
        <v>1899</v>
      </c>
    </row>
    <row r="482" spans="1:22" ht="21.75" customHeight="1" x14ac:dyDescent="0.15">
      <c r="A482" s="20" t="str">
        <f>B482&amp;".jpg"</f>
        <v>1810.jpg</v>
      </c>
      <c r="B482" s="46">
        <v>1810</v>
      </c>
      <c r="C482" s="24" t="s">
        <v>358</v>
      </c>
      <c r="D482" s="24" t="s">
        <v>150</v>
      </c>
      <c r="E482" s="24">
        <v>14</v>
      </c>
      <c r="F482" s="24" t="s">
        <v>16</v>
      </c>
      <c r="G482" s="22">
        <v>16211</v>
      </c>
      <c r="H482" s="22">
        <v>7456</v>
      </c>
      <c r="I482" s="22">
        <v>7087</v>
      </c>
      <c r="J482" s="24" t="s">
        <v>151</v>
      </c>
      <c r="K482" s="22">
        <f>SUM(G482,H482,I482)</f>
        <v>30754</v>
      </c>
      <c r="L482" s="23" t="s">
        <v>833</v>
      </c>
      <c r="M482" s="23" t="str">
        <f>VLOOKUP(L482,スキル!B:C,2,FALSE)</f>
        <v>次の攻撃でダメージが上昇する[大]</v>
      </c>
      <c r="N482" s="23" t="s">
        <v>18</v>
      </c>
      <c r="O482" s="23" t="str">
        <f>VLOOKUP(N482,スキル!B:C,2,FALSE)</f>
        <v>　</v>
      </c>
      <c r="P482" s="23" t="s">
        <v>192</v>
      </c>
      <c r="Q482" s="23" t="str">
        <f>VLOOKUP(P482,タクティクス!B:C,2,FALSE)</f>
        <v>パーティ全体の防御力が大UP(3分間)</v>
      </c>
      <c r="R482" s="23" t="s">
        <v>18</v>
      </c>
      <c r="S482" s="23" t="str">
        <f>VLOOKUP(R482,タクティクス!B:C,2,FALSE)</f>
        <v>　</v>
      </c>
      <c r="T482" s="23" t="s">
        <v>18</v>
      </c>
      <c r="U482" s="23" t="s">
        <v>18</v>
      </c>
      <c r="V482" s="20" t="s">
        <v>1915</v>
      </c>
    </row>
    <row r="483" spans="1:22" ht="21.75" customHeight="1" x14ac:dyDescent="0.15">
      <c r="A483" s="20" t="str">
        <f>B483&amp;".jpg"</f>
        <v>1811.jpg</v>
      </c>
      <c r="B483" s="46">
        <v>1811</v>
      </c>
      <c r="C483" s="24" t="s">
        <v>191</v>
      </c>
      <c r="D483" s="24" t="s">
        <v>150</v>
      </c>
      <c r="E483" s="24">
        <v>14</v>
      </c>
      <c r="F483" s="24" t="s">
        <v>16</v>
      </c>
      <c r="G483" s="22">
        <v>17024</v>
      </c>
      <c r="H483" s="22">
        <v>8988</v>
      </c>
      <c r="I483" s="22">
        <v>6114</v>
      </c>
      <c r="J483" s="24" t="s">
        <v>151</v>
      </c>
      <c r="K483" s="22">
        <f>SUM(G483,H483,I483)</f>
        <v>32126</v>
      </c>
      <c r="L483" s="23" t="s">
        <v>778</v>
      </c>
      <c r="M483" s="23" t="str">
        <f>VLOOKUP(L483,スキル!B:C,2,FALSE)</f>
        <v>横一列攻撃[特大]自分の防御力UP[特大]</v>
      </c>
      <c r="N483" s="23" t="s">
        <v>18</v>
      </c>
      <c r="O483" s="23" t="str">
        <f>VLOOKUP(N483,スキル!B:C,2,FALSE)</f>
        <v>　</v>
      </c>
      <c r="P483" s="23" t="s">
        <v>226</v>
      </c>
      <c r="Q483" s="23" t="str">
        <f>VLOOKUP(P483,タクティクス!B:C,2,FALSE)</f>
        <v>バトルで獲得する騎士団戦スコアが大アップ(3分間)</v>
      </c>
      <c r="R483" s="23" t="s">
        <v>18</v>
      </c>
      <c r="S483" s="23" t="str">
        <f>VLOOKUP(R483,タクティクス!B:C,2,FALSE)</f>
        <v>　</v>
      </c>
      <c r="T483" s="23" t="s">
        <v>18</v>
      </c>
      <c r="U483" s="23" t="s">
        <v>18</v>
      </c>
      <c r="V483" s="20" t="s">
        <v>1899</v>
      </c>
    </row>
    <row r="484" spans="1:22" ht="21.75" customHeight="1" x14ac:dyDescent="0.15">
      <c r="A484" s="20" t="str">
        <f>B484&amp;".jpg"</f>
        <v>1812.jpg</v>
      </c>
      <c r="B484" s="46">
        <v>1812</v>
      </c>
      <c r="C484" s="24" t="s">
        <v>114</v>
      </c>
      <c r="D484" s="24" t="s">
        <v>150</v>
      </c>
      <c r="E484" s="24">
        <v>14</v>
      </c>
      <c r="F484" s="24" t="s">
        <v>25</v>
      </c>
      <c r="G484" s="22">
        <v>22000</v>
      </c>
      <c r="H484" s="22">
        <v>6549</v>
      </c>
      <c r="I484" s="22">
        <v>6034</v>
      </c>
      <c r="J484" s="24" t="s">
        <v>177</v>
      </c>
      <c r="K484" s="22">
        <f>SUM(G484,H484,I484)</f>
        <v>34583</v>
      </c>
      <c r="L484" s="23" t="s">
        <v>781</v>
      </c>
      <c r="M484" s="23" t="str">
        <f>VLOOKUP(L484,スキル!B:C,2,FALSE)</f>
        <v>縦一列攻撃[特大]自分の防御力UP[特大]</v>
      </c>
      <c r="N484" s="23" t="s">
        <v>18</v>
      </c>
      <c r="O484" s="23" t="str">
        <f>VLOOKUP(N484,スキル!B:C,2,FALSE)</f>
        <v>　</v>
      </c>
      <c r="P484" s="23" t="s">
        <v>341</v>
      </c>
      <c r="Q484" s="23" t="str">
        <f>VLOOKUP(P484,タクティクス!B:C,2,FALSE)</f>
        <v>キリ番CB時の獲得ポイント大UP(3分間)</v>
      </c>
      <c r="R484" s="23" t="s">
        <v>18</v>
      </c>
      <c r="S484" s="23" t="str">
        <f>VLOOKUP(R484,タクティクス!B:C,2,FALSE)</f>
        <v>　</v>
      </c>
      <c r="T484" s="23" t="s">
        <v>18</v>
      </c>
      <c r="U484" s="23" t="s">
        <v>18</v>
      </c>
      <c r="V484" s="20" t="s">
        <v>1899</v>
      </c>
    </row>
    <row r="485" spans="1:22" ht="21.75" customHeight="1" x14ac:dyDescent="0.15">
      <c r="A485" s="20" t="str">
        <f>B485&amp;".jpg"</f>
        <v>1813.jpg</v>
      </c>
      <c r="B485" s="46">
        <v>1813</v>
      </c>
      <c r="C485" s="24" t="s">
        <v>110</v>
      </c>
      <c r="D485" s="24" t="s">
        <v>150</v>
      </c>
      <c r="E485" s="24">
        <v>14</v>
      </c>
      <c r="F485" s="24" t="s">
        <v>16</v>
      </c>
      <c r="G485" s="22">
        <v>18785</v>
      </c>
      <c r="H485" s="22">
        <v>8633</v>
      </c>
      <c r="I485" s="22">
        <v>5811</v>
      </c>
      <c r="J485" s="24" t="s">
        <v>151</v>
      </c>
      <c r="K485" s="22">
        <f>SUM(G485,H485,I485)</f>
        <v>33229</v>
      </c>
      <c r="L485" s="23" t="s">
        <v>805</v>
      </c>
      <c r="M485" s="23" t="str">
        <f>VLOOKUP(L485,スキル!B:C,2,FALSE)</f>
        <v>十字型攻撃[特大]自分の防御力UP[特大]</v>
      </c>
      <c r="N485" s="23" t="s">
        <v>18</v>
      </c>
      <c r="O485" s="23" t="str">
        <f>VLOOKUP(N485,スキル!B:C,2,FALSE)</f>
        <v>　</v>
      </c>
      <c r="P485" s="23" t="s">
        <v>287</v>
      </c>
      <c r="Q485" s="23" t="str">
        <f>VLOOKUP(P485,タクティクス!B:C,2,FALSE)</f>
        <v>騎士団全体の攻・防が中UP(3分間)</v>
      </c>
      <c r="R485" s="23" t="s">
        <v>18</v>
      </c>
      <c r="S485" s="23" t="str">
        <f>VLOOKUP(R485,タクティクス!B:C,2,FALSE)</f>
        <v>　</v>
      </c>
      <c r="T485" s="23" t="s">
        <v>18</v>
      </c>
      <c r="U485" s="23" t="s">
        <v>18</v>
      </c>
      <c r="V485" s="20" t="s">
        <v>1899</v>
      </c>
    </row>
    <row r="486" spans="1:22" ht="21.75" customHeight="1" x14ac:dyDescent="0.15">
      <c r="A486" s="20" t="str">
        <f>B486&amp;".jpg"</f>
        <v>1814.jpg</v>
      </c>
      <c r="B486" s="46">
        <v>1814</v>
      </c>
      <c r="C486" s="24" t="s">
        <v>84</v>
      </c>
      <c r="D486" s="24" t="s">
        <v>150</v>
      </c>
      <c r="E486" s="24">
        <v>14</v>
      </c>
      <c r="F486" s="24" t="s">
        <v>41</v>
      </c>
      <c r="G486" s="22">
        <v>18419</v>
      </c>
      <c r="H486" s="22">
        <v>7382</v>
      </c>
      <c r="I486" s="22">
        <v>5739</v>
      </c>
      <c r="J486" s="24" t="s">
        <v>55</v>
      </c>
      <c r="K486" s="22">
        <f>SUM(G486,H486,I486)</f>
        <v>31540</v>
      </c>
      <c r="L486" s="23" t="s">
        <v>767</v>
      </c>
      <c r="M486" s="23" t="str">
        <f>VLOOKUP(L486,スキル!B:C,2,FALSE)</f>
        <v>味方全員のHPを回復[大]</v>
      </c>
      <c r="N486" s="23" t="s">
        <v>18</v>
      </c>
      <c r="O486" s="23" t="str">
        <f>VLOOKUP(N486,スキル!B:C,2,FALSE)</f>
        <v>　</v>
      </c>
      <c r="P486" s="23" t="s">
        <v>293</v>
      </c>
      <c r="Q486" s="23" t="str">
        <f>VLOOKUP(P486,タクティクス!B:C,2,FALSE)</f>
        <v>騎士団全体の防御力が中UP(3分間)</v>
      </c>
      <c r="R486" s="23" t="s">
        <v>18</v>
      </c>
      <c r="S486" s="23" t="str">
        <f>VLOOKUP(R486,タクティクス!B:C,2,FALSE)</f>
        <v>　</v>
      </c>
      <c r="T486" s="23" t="s">
        <v>18</v>
      </c>
      <c r="U486" s="23" t="s">
        <v>18</v>
      </c>
      <c r="V486" s="20" t="s">
        <v>1899</v>
      </c>
    </row>
    <row r="487" spans="1:22" ht="21.75" customHeight="1" x14ac:dyDescent="0.15">
      <c r="A487" s="20" t="str">
        <f>B487&amp;".jpg"</f>
        <v>1814_a.jpg</v>
      </c>
      <c r="B487" s="46" t="s">
        <v>1121</v>
      </c>
      <c r="C487" s="24" t="s">
        <v>84</v>
      </c>
      <c r="D487" s="24" t="s">
        <v>150</v>
      </c>
      <c r="E487" s="24">
        <v>14</v>
      </c>
      <c r="F487" s="24" t="s">
        <v>41</v>
      </c>
      <c r="G487" s="22">
        <v>23942</v>
      </c>
      <c r="H487" s="22">
        <v>9230</v>
      </c>
      <c r="I487" s="22">
        <v>7755</v>
      </c>
      <c r="J487" s="24" t="s">
        <v>31</v>
      </c>
      <c r="K487" s="22">
        <f>SUM(G487,H487,I487)</f>
        <v>40927</v>
      </c>
      <c r="L487" s="23" t="s">
        <v>954</v>
      </c>
      <c r="M487" s="23" t="str">
        <f>VLOOKUP(L487,スキル!B:C,2,FALSE)</f>
        <v>味方全員のHPを回復[特大]</v>
      </c>
      <c r="N487" s="23" t="s">
        <v>18</v>
      </c>
      <c r="O487" s="23" t="str">
        <f>VLOOKUP(N487,スキル!B:C,2,FALSE)</f>
        <v>　</v>
      </c>
      <c r="P487" s="23" t="s">
        <v>293</v>
      </c>
      <c r="Q487" s="23" t="str">
        <f>VLOOKUP(P487,タクティクス!B:C,2,FALSE)</f>
        <v>騎士団全体の防御力が中UP(3分間)</v>
      </c>
      <c r="R487" s="23" t="s">
        <v>18</v>
      </c>
      <c r="S487" s="23" t="str">
        <f>VLOOKUP(R487,タクティクス!B:C,2,FALSE)</f>
        <v>　</v>
      </c>
      <c r="T487" s="23" t="s">
        <v>18</v>
      </c>
      <c r="U487" s="23" t="s">
        <v>18</v>
      </c>
      <c r="V487" s="20" t="s">
        <v>1822</v>
      </c>
    </row>
    <row r="488" spans="1:22" ht="21.75" customHeight="1" x14ac:dyDescent="0.15">
      <c r="A488" s="20" t="str">
        <f>B488&amp;".jpg"</f>
        <v>1814_b.jpg</v>
      </c>
      <c r="B488" s="46" t="s">
        <v>1122</v>
      </c>
      <c r="C488" s="24" t="s">
        <v>84</v>
      </c>
      <c r="D488" s="24" t="s">
        <v>150</v>
      </c>
      <c r="E488" s="24">
        <v>14</v>
      </c>
      <c r="F488" s="24" t="s">
        <v>41</v>
      </c>
      <c r="G488" s="22">
        <v>22094</v>
      </c>
      <c r="H488" s="22">
        <v>8852</v>
      </c>
      <c r="I488" s="22">
        <v>6894</v>
      </c>
      <c r="J488" s="24" t="s">
        <v>31</v>
      </c>
      <c r="K488" s="22">
        <f>SUM(G488,H488,I488)</f>
        <v>37840</v>
      </c>
      <c r="L488" s="23" t="s">
        <v>767</v>
      </c>
      <c r="M488" s="23" t="str">
        <f>VLOOKUP(L488,スキル!B:C,2,FALSE)</f>
        <v>味方全員のHPを回復[大]</v>
      </c>
      <c r="N488" s="23" t="s">
        <v>18</v>
      </c>
      <c r="O488" s="23" t="str">
        <f>VLOOKUP(N488,スキル!B:C,2,FALSE)</f>
        <v>　</v>
      </c>
      <c r="P488" s="23" t="s">
        <v>1115</v>
      </c>
      <c r="Q488" s="23" t="str">
        <f>VLOOKUP(P488,タクティクス!B:C,2,FALSE)</f>
        <v>騎士団全体の防御力が特大UP(3分間)</v>
      </c>
      <c r="R488" s="23" t="s">
        <v>18</v>
      </c>
      <c r="S488" s="23" t="str">
        <f>VLOOKUP(R488,タクティクス!B:C,2,FALSE)</f>
        <v>　</v>
      </c>
      <c r="T488" s="23" t="s">
        <v>18</v>
      </c>
      <c r="U488" s="23" t="s">
        <v>18</v>
      </c>
      <c r="V488" s="20" t="s">
        <v>1822</v>
      </c>
    </row>
    <row r="489" spans="1:22" ht="21.75" customHeight="1" x14ac:dyDescent="0.15">
      <c r="A489" s="20" t="str">
        <f>B489&amp;".jpg"</f>
        <v>1815.jpg</v>
      </c>
      <c r="B489" s="46">
        <v>1815</v>
      </c>
      <c r="C489" s="24" t="s">
        <v>136</v>
      </c>
      <c r="D489" s="24" t="s">
        <v>150</v>
      </c>
      <c r="E489" s="24">
        <v>14</v>
      </c>
      <c r="F489" s="24" t="s">
        <v>41</v>
      </c>
      <c r="G489" s="22">
        <v>17699</v>
      </c>
      <c r="H489" s="22">
        <v>6177</v>
      </c>
      <c r="I489" s="22">
        <v>6584</v>
      </c>
      <c r="J489" s="24" t="s">
        <v>55</v>
      </c>
      <c r="K489" s="22">
        <f>SUM(G489,H489,I489)</f>
        <v>30460</v>
      </c>
      <c r="L489" s="23" t="s">
        <v>745</v>
      </c>
      <c r="M489" s="23" t="str">
        <f>VLOOKUP(L489,スキル!B:C,2,FALSE)</f>
        <v>一定確率で敵を暗闇状態にする[超高確率]</v>
      </c>
      <c r="N489" s="23" t="s">
        <v>18</v>
      </c>
      <c r="O489" s="23" t="str">
        <f>VLOOKUP(N489,スキル!B:C,2,FALSE)</f>
        <v>　</v>
      </c>
      <c r="P489" s="23" t="s">
        <v>263</v>
      </c>
      <c r="Q489" s="23" t="str">
        <f>VLOOKUP(P489,タクティクス!B:C,2,FALSE)</f>
        <v>攻撃される確率が大DOWN(3分間)</v>
      </c>
      <c r="R489" s="23" t="s">
        <v>18</v>
      </c>
      <c r="S489" s="23" t="str">
        <f>VLOOKUP(R489,タクティクス!B:C,2,FALSE)</f>
        <v>　</v>
      </c>
      <c r="T489" s="23" t="s">
        <v>18</v>
      </c>
      <c r="U489" s="23" t="s">
        <v>18</v>
      </c>
      <c r="V489" s="20" t="s">
        <v>1825</v>
      </c>
    </row>
    <row r="490" spans="1:22" ht="21.75" customHeight="1" x14ac:dyDescent="0.15">
      <c r="A490" s="20" t="str">
        <f>B490&amp;".jpg"</f>
        <v>1817.jpg</v>
      </c>
      <c r="B490" s="46">
        <v>1817</v>
      </c>
      <c r="C490" s="24" t="s">
        <v>359</v>
      </c>
      <c r="D490" s="24" t="s">
        <v>150</v>
      </c>
      <c r="E490" s="24">
        <v>14</v>
      </c>
      <c r="F490" s="24" t="s">
        <v>16</v>
      </c>
      <c r="G490" s="22">
        <v>16910</v>
      </c>
      <c r="H490" s="22">
        <v>8224</v>
      </c>
      <c r="I490" s="22">
        <v>5785</v>
      </c>
      <c r="J490" s="24" t="s">
        <v>261</v>
      </c>
      <c r="K490" s="22">
        <f>SUM(G490,H490,I490)</f>
        <v>30919</v>
      </c>
      <c r="L490" s="23" t="s">
        <v>781</v>
      </c>
      <c r="M490" s="23" t="str">
        <f>VLOOKUP(L490,スキル!B:C,2,FALSE)</f>
        <v>縦一列攻撃[特大]自分の防御力UP[特大]</v>
      </c>
      <c r="N490" s="23" t="s">
        <v>18</v>
      </c>
      <c r="O490" s="23" t="str">
        <f>VLOOKUP(N490,スキル!B:C,2,FALSE)</f>
        <v>　</v>
      </c>
      <c r="P490" s="23" t="s">
        <v>181</v>
      </c>
      <c r="Q490" s="23" t="str">
        <f>VLOOKUP(P490,タクティクス!B:C,2,FALSE)</f>
        <v>騎士団全体の強襲CB率が小UP(3分間)</v>
      </c>
      <c r="R490" s="23" t="s">
        <v>18</v>
      </c>
      <c r="S490" s="23" t="str">
        <f>VLOOKUP(R490,タクティクス!B:C,2,FALSE)</f>
        <v>　</v>
      </c>
      <c r="T490" s="23" t="s">
        <v>18</v>
      </c>
      <c r="U490" s="23" t="s">
        <v>18</v>
      </c>
      <c r="V490" s="20" t="s">
        <v>1899</v>
      </c>
    </row>
    <row r="491" spans="1:22" ht="21.75" customHeight="1" x14ac:dyDescent="0.15">
      <c r="A491" s="20" t="str">
        <f>B491&amp;".jpg"</f>
        <v>1819.jpg</v>
      </c>
      <c r="B491" s="46">
        <v>1819</v>
      </c>
      <c r="C491" s="24" t="s">
        <v>360</v>
      </c>
      <c r="D491" s="24" t="s">
        <v>150</v>
      </c>
      <c r="E491" s="24">
        <v>14</v>
      </c>
      <c r="F491" s="24" t="s">
        <v>41</v>
      </c>
      <c r="G491" s="22">
        <v>19282</v>
      </c>
      <c r="H491" s="22">
        <v>6704</v>
      </c>
      <c r="I491" s="22">
        <v>5818</v>
      </c>
      <c r="J491" s="24" t="s">
        <v>55</v>
      </c>
      <c r="K491" s="22">
        <f>SUM(G491,H491,I491)</f>
        <v>31804</v>
      </c>
      <c r="L491" s="23" t="s">
        <v>711</v>
      </c>
      <c r="M491" s="23" t="str">
        <f>VLOOKUP(L491,スキル!B:C,2,FALSE)</f>
        <v>味方全体の防御力をUP[大]</v>
      </c>
      <c r="N491" s="23" t="s">
        <v>18</v>
      </c>
      <c r="O491" s="23" t="str">
        <f>VLOOKUP(N491,スキル!B:C,2,FALSE)</f>
        <v>　</v>
      </c>
      <c r="P491" s="23" t="s">
        <v>226</v>
      </c>
      <c r="Q491" s="23" t="str">
        <f>VLOOKUP(P491,タクティクス!B:C,2,FALSE)</f>
        <v>バトルで獲得する騎士団戦スコアが大アップ(3分間)</v>
      </c>
      <c r="R491" s="23" t="s">
        <v>18</v>
      </c>
      <c r="S491" s="23" t="str">
        <f>VLOOKUP(R491,タクティクス!B:C,2,FALSE)</f>
        <v>　</v>
      </c>
      <c r="T491" s="23" t="s">
        <v>18</v>
      </c>
      <c r="U491" s="23" t="s">
        <v>18</v>
      </c>
      <c r="V491" s="20" t="s">
        <v>1899</v>
      </c>
    </row>
    <row r="492" spans="1:22" ht="21.75" customHeight="1" x14ac:dyDescent="0.15">
      <c r="A492" s="20" t="str">
        <f>B492&amp;".jpg"</f>
        <v>1820.jpg</v>
      </c>
      <c r="B492" s="46">
        <v>1820</v>
      </c>
      <c r="C492" s="24" t="s">
        <v>105</v>
      </c>
      <c r="D492" s="24" t="s">
        <v>15</v>
      </c>
      <c r="E492" s="24">
        <v>12</v>
      </c>
      <c r="F492" s="24" t="s">
        <v>25</v>
      </c>
      <c r="G492" s="22">
        <v>16506</v>
      </c>
      <c r="H492" s="22">
        <v>4916</v>
      </c>
      <c r="I492" s="22">
        <v>5627</v>
      </c>
      <c r="J492" s="24" t="s">
        <v>26</v>
      </c>
      <c r="K492" s="22">
        <f>SUM(G492,H492,I492)</f>
        <v>27049</v>
      </c>
      <c r="L492" s="23" t="s">
        <v>531</v>
      </c>
      <c r="M492" s="23" t="str">
        <f>VLOOKUP(L492,スキル!B:C,2,FALSE)</f>
        <v>味方突属性の攻撃力をUP[大]</v>
      </c>
      <c r="N492" s="23" t="s">
        <v>18</v>
      </c>
      <c r="O492" s="23" t="str">
        <f>VLOOKUP(N492,スキル!B:C,2,FALSE)</f>
        <v>　</v>
      </c>
      <c r="P492" s="23" t="s">
        <v>23</v>
      </c>
      <c r="Q492" s="23" t="str">
        <f>VLOOKUP(P492,タクティクス!B:C,2,FALSE)</f>
        <v>パーティ全体の攻撃力が中UP(3分間)</v>
      </c>
      <c r="R492" s="23" t="s">
        <v>18</v>
      </c>
      <c r="S492" s="23" t="str">
        <f>VLOOKUP(R492,タクティクス!B:C,2,FALSE)</f>
        <v>　</v>
      </c>
      <c r="T492" s="23" t="s">
        <v>18</v>
      </c>
      <c r="U492" s="23" t="s">
        <v>18</v>
      </c>
      <c r="V492" s="20" t="s">
        <v>1848</v>
      </c>
    </row>
    <row r="493" spans="1:22" ht="21.75" customHeight="1" x14ac:dyDescent="0.15">
      <c r="A493" s="20" t="str">
        <f>B493&amp;".jpg"</f>
        <v>1821.jpg</v>
      </c>
      <c r="B493" s="46">
        <v>1821</v>
      </c>
      <c r="C493" s="24" t="s">
        <v>105</v>
      </c>
      <c r="D493" s="24" t="s">
        <v>15</v>
      </c>
      <c r="E493" s="24">
        <v>13</v>
      </c>
      <c r="F493" s="24" t="s">
        <v>25</v>
      </c>
      <c r="G493" s="22">
        <v>18034</v>
      </c>
      <c r="H493" s="22">
        <v>5363</v>
      </c>
      <c r="I493" s="22">
        <v>5953</v>
      </c>
      <c r="J493" s="24" t="s">
        <v>26</v>
      </c>
      <c r="K493" s="22">
        <f>SUM(G493,H493,I493)</f>
        <v>29350</v>
      </c>
      <c r="L493" s="23" t="s">
        <v>531</v>
      </c>
      <c r="M493" s="23" t="str">
        <f>VLOOKUP(L493,スキル!B:C,2,FALSE)</f>
        <v>味方突属性の攻撃力をUP[大]</v>
      </c>
      <c r="N493" s="23" t="s">
        <v>18</v>
      </c>
      <c r="O493" s="23" t="str">
        <f>VLOOKUP(N493,スキル!B:C,2,FALSE)</f>
        <v>　</v>
      </c>
      <c r="P493" s="23" t="s">
        <v>23</v>
      </c>
      <c r="Q493" s="23" t="str">
        <f>VLOOKUP(P493,タクティクス!B:C,2,FALSE)</f>
        <v>パーティ全体の攻撃力が中UP(3分間)</v>
      </c>
      <c r="R493" s="23" t="s">
        <v>18</v>
      </c>
      <c r="S493" s="23" t="str">
        <f>VLOOKUP(R493,タクティクス!B:C,2,FALSE)</f>
        <v>　</v>
      </c>
      <c r="T493" s="23" t="s">
        <v>18</v>
      </c>
      <c r="U493" s="23" t="s">
        <v>18</v>
      </c>
      <c r="V493" s="20" t="s">
        <v>1848</v>
      </c>
    </row>
    <row r="494" spans="1:22" ht="21.75" customHeight="1" x14ac:dyDescent="0.15">
      <c r="A494" s="20" t="str">
        <f>B494&amp;".jpg"</f>
        <v>1822.jpg</v>
      </c>
      <c r="B494" s="46">
        <v>1822</v>
      </c>
      <c r="C494" s="24" t="s">
        <v>105</v>
      </c>
      <c r="D494" s="24" t="s">
        <v>150</v>
      </c>
      <c r="E494" s="24">
        <v>14</v>
      </c>
      <c r="F494" s="24" t="s">
        <v>25</v>
      </c>
      <c r="G494" s="22">
        <v>19809</v>
      </c>
      <c r="H494" s="22">
        <v>5890</v>
      </c>
      <c r="I494" s="22">
        <v>7036</v>
      </c>
      <c r="J494" s="24" t="s">
        <v>177</v>
      </c>
      <c r="K494" s="22">
        <f>SUM(G494,H494,I494)</f>
        <v>32735</v>
      </c>
      <c r="L494" s="23" t="s">
        <v>743</v>
      </c>
      <c r="M494" s="23" t="str">
        <f>VLOOKUP(L494,スキル!B:C,2,FALSE)</f>
        <v>味方突属性の攻撃力をUP[特大]</v>
      </c>
      <c r="N494" s="23" t="s">
        <v>18</v>
      </c>
      <c r="O494" s="23" t="str">
        <f>VLOOKUP(N494,スキル!B:C,2,FALSE)</f>
        <v>　</v>
      </c>
      <c r="P494" s="23" t="s">
        <v>178</v>
      </c>
      <c r="Q494" s="23" t="str">
        <f>VLOOKUP(P494,タクティクス!B:C,2,FALSE)</f>
        <v>パーティ全体の攻撃力が大UP(3分間)</v>
      </c>
      <c r="R494" s="23" t="s">
        <v>18</v>
      </c>
      <c r="S494" s="23" t="str">
        <f>VLOOKUP(R494,タクティクス!B:C,2,FALSE)</f>
        <v>　</v>
      </c>
      <c r="T494" s="23" t="s">
        <v>18</v>
      </c>
      <c r="U494" s="23" t="s">
        <v>18</v>
      </c>
      <c r="V494" s="20" t="s">
        <v>1848</v>
      </c>
    </row>
    <row r="495" spans="1:22" ht="21.75" customHeight="1" x14ac:dyDescent="0.15">
      <c r="A495" s="20" t="str">
        <f>B495&amp;".jpg"</f>
        <v>1823.jpg</v>
      </c>
      <c r="B495" s="46">
        <v>1823</v>
      </c>
      <c r="C495" s="24" t="s">
        <v>105</v>
      </c>
      <c r="D495" s="24" t="s">
        <v>150</v>
      </c>
      <c r="E495" s="24">
        <v>15</v>
      </c>
      <c r="F495" s="24" t="s">
        <v>25</v>
      </c>
      <c r="G495" s="22">
        <v>23247</v>
      </c>
      <c r="H495" s="22">
        <v>6420</v>
      </c>
      <c r="I495" s="22">
        <v>8758</v>
      </c>
      <c r="J495" s="24" t="s">
        <v>356</v>
      </c>
      <c r="K495" s="22">
        <f>SUM(G495,H495,I495)</f>
        <v>38425</v>
      </c>
      <c r="L495" s="23" t="s">
        <v>743</v>
      </c>
      <c r="M495" s="23" t="str">
        <f>VLOOKUP(L495,スキル!B:C,2,FALSE)</f>
        <v>味方突属性の攻撃力をUP[特大]</v>
      </c>
      <c r="N495" s="23" t="s">
        <v>18</v>
      </c>
      <c r="O495" s="23" t="str">
        <f>VLOOKUP(N495,スキル!B:C,2,FALSE)</f>
        <v>　</v>
      </c>
      <c r="P495" s="23" t="s">
        <v>361</v>
      </c>
      <c r="Q495" s="23" t="str">
        <f>VLOOKUP(P495,タクティクス!B:C,2,FALSE)</f>
        <v>パーティ全体の攻撃力が特大UP(3分間)</v>
      </c>
      <c r="R495" s="23" t="s">
        <v>180</v>
      </c>
      <c r="S495" s="23" t="str">
        <f>VLOOKUP(R495,タクティクス!B:C,2,FALSE)</f>
        <v>獲得する騎士団戦スコアが大アップ(バトル3回)</v>
      </c>
      <c r="T495" s="23" t="s">
        <v>18</v>
      </c>
      <c r="U495" s="23" t="s">
        <v>18</v>
      </c>
      <c r="V495" s="20" t="s">
        <v>1848</v>
      </c>
    </row>
    <row r="496" spans="1:22" ht="21.75" customHeight="1" x14ac:dyDescent="0.15">
      <c r="A496" s="20" t="str">
        <f>B496&amp;".jpg"</f>
        <v>1825.jpg</v>
      </c>
      <c r="B496" s="46">
        <v>1825</v>
      </c>
      <c r="C496" s="24" t="s">
        <v>225</v>
      </c>
      <c r="D496" s="24" t="s">
        <v>150</v>
      </c>
      <c r="E496" s="24">
        <v>14</v>
      </c>
      <c r="F496" s="24" t="s">
        <v>16</v>
      </c>
      <c r="G496" s="22">
        <v>17906</v>
      </c>
      <c r="H496" s="22">
        <v>8235</v>
      </c>
      <c r="I496" s="22">
        <v>6108</v>
      </c>
      <c r="J496" s="24" t="s">
        <v>151</v>
      </c>
      <c r="K496" s="22">
        <f>SUM(G496,H496,I496)</f>
        <v>32249</v>
      </c>
      <c r="L496" s="23" t="s">
        <v>781</v>
      </c>
      <c r="M496" s="23" t="str">
        <f>VLOOKUP(L496,スキル!B:C,2,FALSE)</f>
        <v>縦一列攻撃[特大]自分の防御力UP[特大]</v>
      </c>
      <c r="N496" s="23" t="s">
        <v>18</v>
      </c>
      <c r="O496" s="23" t="str">
        <f>VLOOKUP(N496,スキル!B:C,2,FALSE)</f>
        <v>　</v>
      </c>
      <c r="P496" s="23" t="s">
        <v>341</v>
      </c>
      <c r="Q496" s="23" t="str">
        <f>VLOOKUP(P496,タクティクス!B:C,2,FALSE)</f>
        <v>キリ番CB時の獲得ポイント大UP(3分間)</v>
      </c>
      <c r="R496" s="23" t="s">
        <v>18</v>
      </c>
      <c r="S496" s="23" t="str">
        <f>VLOOKUP(R496,タクティクス!B:C,2,FALSE)</f>
        <v>　</v>
      </c>
      <c r="T496" s="23" t="s">
        <v>18</v>
      </c>
      <c r="U496" s="23" t="s">
        <v>18</v>
      </c>
      <c r="V496" s="20" t="s">
        <v>1878</v>
      </c>
    </row>
    <row r="497" spans="1:22" ht="21.75" customHeight="1" x14ac:dyDescent="0.15">
      <c r="A497" s="20" t="str">
        <f>B497&amp;".jpg"</f>
        <v>1827.jpg</v>
      </c>
      <c r="B497" s="46">
        <v>1827</v>
      </c>
      <c r="C497" s="24" t="s">
        <v>362</v>
      </c>
      <c r="D497" s="24" t="s">
        <v>150</v>
      </c>
      <c r="E497" s="24">
        <v>14</v>
      </c>
      <c r="F497" s="24" t="s">
        <v>34</v>
      </c>
      <c r="G497" s="22">
        <v>22261</v>
      </c>
      <c r="H497" s="22">
        <v>7306</v>
      </c>
      <c r="I497" s="22">
        <v>8440</v>
      </c>
      <c r="J497" s="24" t="s">
        <v>17</v>
      </c>
      <c r="K497" s="22">
        <f>SUM(G497,H497,I497)</f>
        <v>38007</v>
      </c>
      <c r="L497" s="23" t="s">
        <v>747</v>
      </c>
      <c r="M497" s="23" t="str">
        <f>VLOOKUP(L497,スキル!B:C,2,FALSE)</f>
        <v>打に強く遠に弱い横一列攻撃[特大]</v>
      </c>
      <c r="N497" s="23" t="s">
        <v>18</v>
      </c>
      <c r="O497" s="23" t="str">
        <f>VLOOKUP(N497,スキル!B:C,2,FALSE)</f>
        <v>　</v>
      </c>
      <c r="P497" s="23" t="s">
        <v>293</v>
      </c>
      <c r="Q497" s="23" t="str">
        <f>VLOOKUP(P497,タクティクス!B:C,2,FALSE)</f>
        <v>騎士団全体の防御力が中UP(3分間)</v>
      </c>
      <c r="R497" s="23" t="s">
        <v>18</v>
      </c>
      <c r="S497" s="23" t="str">
        <f>VLOOKUP(R497,タクティクス!B:C,2,FALSE)</f>
        <v>　</v>
      </c>
      <c r="T497" s="23" t="s">
        <v>18</v>
      </c>
      <c r="U497" s="23" t="s">
        <v>18</v>
      </c>
      <c r="V497" s="20" t="s">
        <v>1899</v>
      </c>
    </row>
    <row r="498" spans="1:22" ht="21.75" customHeight="1" x14ac:dyDescent="0.15">
      <c r="A498" s="20" t="str">
        <f>B498&amp;".jpg"</f>
        <v>1829.jpg</v>
      </c>
      <c r="B498" s="46">
        <v>1829</v>
      </c>
      <c r="C498" s="24" t="s">
        <v>363</v>
      </c>
      <c r="D498" s="24" t="s">
        <v>15</v>
      </c>
      <c r="E498" s="24">
        <v>13</v>
      </c>
      <c r="F498" s="24" t="s">
        <v>25</v>
      </c>
      <c r="G498" s="22">
        <v>17646</v>
      </c>
      <c r="H498" s="22">
        <v>5258</v>
      </c>
      <c r="I498" s="22">
        <v>6085</v>
      </c>
      <c r="J498" s="24" t="s">
        <v>26</v>
      </c>
      <c r="K498" s="22">
        <f>SUM(G498,H498,I498)</f>
        <v>28989</v>
      </c>
      <c r="L498" s="23" t="s">
        <v>576</v>
      </c>
      <c r="M498" s="23" t="str">
        <f>VLOOKUP(L498,スキル!B:C,2,FALSE)</f>
        <v>一定確率で敵を範囲不可にする[高確率]</v>
      </c>
      <c r="N498" s="23" t="s">
        <v>18</v>
      </c>
      <c r="O498" s="23" t="str">
        <f>VLOOKUP(N498,スキル!B:C,2,FALSE)</f>
        <v>　</v>
      </c>
      <c r="P498" s="23" t="s">
        <v>60</v>
      </c>
      <c r="Q498" s="23" t="str">
        <f>VLOOKUP(P498,タクティクス!B:C,2,FALSE)</f>
        <v>パーティ全体の攻・防が中UP(3分間)</v>
      </c>
      <c r="R498" s="23" t="s">
        <v>18</v>
      </c>
      <c r="S498" s="23" t="str">
        <f>VLOOKUP(R498,タクティクス!B:C,2,FALSE)</f>
        <v>　</v>
      </c>
      <c r="T498" s="23" t="s">
        <v>18</v>
      </c>
      <c r="U498" s="23" t="s">
        <v>18</v>
      </c>
      <c r="V498" s="20" t="s">
        <v>1902</v>
      </c>
    </row>
    <row r="499" spans="1:22" ht="21.75" customHeight="1" x14ac:dyDescent="0.15">
      <c r="A499" s="20" t="str">
        <f>B499&amp;".jpg"</f>
        <v>1830.jpg</v>
      </c>
      <c r="B499" s="46">
        <v>1830</v>
      </c>
      <c r="C499" s="24" t="s">
        <v>364</v>
      </c>
      <c r="D499" s="24" t="s">
        <v>150</v>
      </c>
      <c r="E499" s="24">
        <v>14</v>
      </c>
      <c r="F499" s="24" t="s">
        <v>25</v>
      </c>
      <c r="G499" s="22">
        <v>17969</v>
      </c>
      <c r="H499" s="22">
        <v>6139</v>
      </c>
      <c r="I499" s="22">
        <v>7389</v>
      </c>
      <c r="J499" s="24" t="s">
        <v>177</v>
      </c>
      <c r="K499" s="22">
        <f>SUM(G499,H499,I499)</f>
        <v>31497</v>
      </c>
      <c r="L499" s="23" t="s">
        <v>743</v>
      </c>
      <c r="M499" s="23" t="str">
        <f>VLOOKUP(L499,スキル!B:C,2,FALSE)</f>
        <v>味方突属性の攻撃力をUP[特大]</v>
      </c>
      <c r="N499" s="23" t="s">
        <v>18</v>
      </c>
      <c r="O499" s="23" t="str">
        <f>VLOOKUP(N499,スキル!B:C,2,FALSE)</f>
        <v>　</v>
      </c>
      <c r="P499" s="23" t="s">
        <v>319</v>
      </c>
      <c r="Q499" s="23" t="str">
        <f>VLOOKUP(P499,タクティクス!B:C,2,FALSE)</f>
        <v>対戦騎士団の城強度Lvが中DOWN(3分間)</v>
      </c>
      <c r="R499" s="23" t="s">
        <v>18</v>
      </c>
      <c r="S499" s="23" t="str">
        <f>VLOOKUP(R499,タクティクス!B:C,2,FALSE)</f>
        <v>　</v>
      </c>
      <c r="T499" s="23" t="s">
        <v>18</v>
      </c>
      <c r="U499" s="23" t="s">
        <v>18</v>
      </c>
      <c r="V499" s="20" t="s">
        <v>1872</v>
      </c>
    </row>
    <row r="500" spans="1:22" ht="21.75" customHeight="1" x14ac:dyDescent="0.15">
      <c r="A500" s="20" t="str">
        <f>B500&amp;".jpg"</f>
        <v>1832.jpg</v>
      </c>
      <c r="B500" s="47">
        <v>1832</v>
      </c>
      <c r="C500" s="24" t="s">
        <v>365</v>
      </c>
      <c r="D500" s="24" t="s">
        <v>150</v>
      </c>
      <c r="E500" s="24">
        <v>14</v>
      </c>
      <c r="F500" s="24" t="s">
        <v>16</v>
      </c>
      <c r="G500" s="22">
        <v>19836</v>
      </c>
      <c r="H500" s="22">
        <v>7562</v>
      </c>
      <c r="I500" s="22">
        <v>5943</v>
      </c>
      <c r="J500" s="24" t="s">
        <v>151</v>
      </c>
      <c r="K500" s="22">
        <f>SUM(G500,H500,I500)</f>
        <v>33341</v>
      </c>
      <c r="L500" s="23" t="s">
        <v>721</v>
      </c>
      <c r="M500" s="23" t="str">
        <f>VLOOKUP(L500,スキル!B:C,2,FALSE)</f>
        <v>突に強く斬に弱い横一列攻撃[特大]</v>
      </c>
      <c r="N500" s="23" t="s">
        <v>18</v>
      </c>
      <c r="O500" s="23" t="str">
        <f>VLOOKUP(N500,スキル!B:C,2,FALSE)</f>
        <v>　</v>
      </c>
      <c r="P500" s="23" t="s">
        <v>311</v>
      </c>
      <c r="Q500" s="23" t="str">
        <f>VLOOKUP(P500,タクティクス!B:C,2,FALSE)</f>
        <v>対戦騎士団全体の防御力が中DOWN(3分間)</v>
      </c>
      <c r="R500" s="23" t="s">
        <v>18</v>
      </c>
      <c r="S500" s="23" t="str">
        <f>VLOOKUP(R500,タクティクス!B:C,2,FALSE)</f>
        <v>　</v>
      </c>
      <c r="T500" s="23" t="s">
        <v>18</v>
      </c>
      <c r="U500" s="23" t="s">
        <v>18</v>
      </c>
      <c r="V500" s="20" t="s">
        <v>1823</v>
      </c>
    </row>
    <row r="501" spans="1:22" ht="21.75" customHeight="1" x14ac:dyDescent="0.15">
      <c r="A501" s="20" t="str">
        <f>B501&amp;".jpg"</f>
        <v>1832_a.jpg</v>
      </c>
      <c r="B501" s="21" t="s">
        <v>1490</v>
      </c>
      <c r="C501" s="20" t="s">
        <v>1496</v>
      </c>
      <c r="D501" s="20" t="s">
        <v>1499</v>
      </c>
      <c r="E501" s="20">
        <v>14</v>
      </c>
      <c r="F501" s="20" t="s">
        <v>1338</v>
      </c>
      <c r="G501" s="27">
        <v>24048</v>
      </c>
      <c r="H501" s="27">
        <v>10586</v>
      </c>
      <c r="I501" s="27">
        <v>8316</v>
      </c>
      <c r="J501" s="20" t="s">
        <v>1510</v>
      </c>
      <c r="K501" s="22">
        <f>SUM(G501,H501,I501)</f>
        <v>42950</v>
      </c>
      <c r="L501" s="20" t="s">
        <v>1534</v>
      </c>
      <c r="M501" s="23" t="str">
        <f>VLOOKUP(L501,スキル!B:C,2,FALSE)</f>
        <v>突に強く斬に弱い横一列攻撃[超極大]</v>
      </c>
      <c r="N501" s="20" t="s">
        <v>1516</v>
      </c>
      <c r="O501" s="23" t="str">
        <f>VLOOKUP(N501,スキル!B:C,2,FALSE)</f>
        <v>　</v>
      </c>
      <c r="P501" s="20" t="s">
        <v>311</v>
      </c>
      <c r="Q501" s="23" t="str">
        <f>VLOOKUP(P501,タクティクス!B:C,2,FALSE)</f>
        <v>対戦騎士団全体の防御力が中DOWN(3分間)</v>
      </c>
      <c r="R501" s="20" t="s">
        <v>1515</v>
      </c>
      <c r="S501" s="23" t="str">
        <f>VLOOKUP(R501,タクティクス!B:C,2,FALSE)</f>
        <v>　</v>
      </c>
      <c r="T501" s="20" t="s">
        <v>1519</v>
      </c>
      <c r="U501" s="20" t="s">
        <v>1519</v>
      </c>
      <c r="V501" s="20" t="s">
        <v>1822</v>
      </c>
    </row>
    <row r="502" spans="1:22" ht="21.75" customHeight="1" x14ac:dyDescent="0.15">
      <c r="A502" s="20" t="str">
        <f>B502&amp;".jpg"</f>
        <v>1832_b.jpg</v>
      </c>
      <c r="B502" s="21" t="s">
        <v>1483</v>
      </c>
      <c r="C502" s="20" t="s">
        <v>1496</v>
      </c>
      <c r="D502" s="20" t="s">
        <v>1173</v>
      </c>
      <c r="E502" s="20">
        <v>14</v>
      </c>
      <c r="F502" s="20" t="s">
        <v>1338</v>
      </c>
      <c r="G502" s="27">
        <v>23061</v>
      </c>
      <c r="H502" s="27">
        <v>10208</v>
      </c>
      <c r="I502" s="27">
        <v>8022</v>
      </c>
      <c r="J502" s="20" t="s">
        <v>1177</v>
      </c>
      <c r="K502" s="22">
        <f>SUM(G502,H502,I502)</f>
        <v>41291</v>
      </c>
      <c r="L502" s="20" t="s">
        <v>721</v>
      </c>
      <c r="M502" s="23" t="str">
        <f>VLOOKUP(L502,スキル!B:C,2,FALSE)</f>
        <v>突に強く斬に弱い横一列攻撃[特大]</v>
      </c>
      <c r="N502" s="20" t="s">
        <v>1516</v>
      </c>
      <c r="O502" s="23" t="str">
        <f>VLOOKUP(N502,スキル!B:C,2,FALSE)</f>
        <v>　</v>
      </c>
      <c r="P502" s="20" t="s">
        <v>1539</v>
      </c>
      <c r="Q502" s="23" t="str">
        <f>VLOOKUP(P502,タクティクス!B:C,2,FALSE)</f>
        <v>対戦騎士団全体の防御力が特大DOWN(5分間)</v>
      </c>
      <c r="R502" s="20" t="s">
        <v>1515</v>
      </c>
      <c r="S502" s="23" t="str">
        <f>VLOOKUP(R502,タクティクス!B:C,2,FALSE)</f>
        <v>　</v>
      </c>
      <c r="T502" s="20" t="s">
        <v>1519</v>
      </c>
      <c r="U502" s="20" t="s">
        <v>1519</v>
      </c>
      <c r="V502" s="20" t="s">
        <v>1822</v>
      </c>
    </row>
    <row r="503" spans="1:22" ht="21.75" customHeight="1" x14ac:dyDescent="0.15">
      <c r="A503" s="20" t="str">
        <f>B503&amp;".jpg"</f>
        <v>1834.jpg</v>
      </c>
      <c r="B503" s="46">
        <v>1834</v>
      </c>
      <c r="C503" s="24" t="s">
        <v>184</v>
      </c>
      <c r="D503" s="24" t="s">
        <v>150</v>
      </c>
      <c r="E503" s="24">
        <v>14</v>
      </c>
      <c r="F503" s="24" t="s">
        <v>25</v>
      </c>
      <c r="G503" s="22">
        <v>19250</v>
      </c>
      <c r="H503" s="22">
        <v>6583</v>
      </c>
      <c r="I503" s="22">
        <v>6893</v>
      </c>
      <c r="J503" s="24" t="s">
        <v>177</v>
      </c>
      <c r="K503" s="22">
        <f>SUM(G503,H503,I503)</f>
        <v>32726</v>
      </c>
      <c r="L503" s="23" t="s">
        <v>835</v>
      </c>
      <c r="M503" s="23" t="str">
        <f>VLOOKUP(L503,スキル!B:C,2,FALSE)</f>
        <v>単体攻撃（宝箱優先／追加ダメージ）[特大]</v>
      </c>
      <c r="N503" s="23" t="s">
        <v>18</v>
      </c>
      <c r="O503" s="23" t="str">
        <f>VLOOKUP(N503,スキル!B:C,2,FALSE)</f>
        <v>　</v>
      </c>
      <c r="P503" s="23" t="s">
        <v>228</v>
      </c>
      <c r="Q503" s="23" t="str">
        <f>VLOOKUP(P503,タクティクス!B:C,2,FALSE)</f>
        <v>強襲が発生無効、バトル時に攻・防中UP(3分間)</v>
      </c>
      <c r="R503" s="23" t="s">
        <v>18</v>
      </c>
      <c r="S503" s="23" t="str">
        <f>VLOOKUP(R503,タクティクス!B:C,2,FALSE)</f>
        <v>　</v>
      </c>
      <c r="T503" s="23" t="s">
        <v>18</v>
      </c>
      <c r="U503" s="23" t="s">
        <v>18</v>
      </c>
      <c r="V503" s="20" t="s">
        <v>1823</v>
      </c>
    </row>
    <row r="504" spans="1:22" ht="21.75" customHeight="1" x14ac:dyDescent="0.15">
      <c r="A504" s="20" t="str">
        <f>B504&amp;".jpg"</f>
        <v>1834_a.jpg</v>
      </c>
      <c r="B504" s="21" t="s">
        <v>1249</v>
      </c>
      <c r="C504" s="20" t="s">
        <v>1193</v>
      </c>
      <c r="D504" s="20" t="s">
        <v>1190</v>
      </c>
      <c r="E504" s="20">
        <v>14</v>
      </c>
      <c r="F504" s="24" t="s">
        <v>25</v>
      </c>
      <c r="G504" s="27">
        <v>26957</v>
      </c>
      <c r="H504" s="27">
        <v>8095</v>
      </c>
      <c r="I504" s="27">
        <v>10064</v>
      </c>
      <c r="J504" s="20" t="s">
        <v>1201</v>
      </c>
      <c r="K504" s="22">
        <f>SUM(G504,H504,I504)</f>
        <v>45116</v>
      </c>
      <c r="L504" s="23" t="s">
        <v>1207</v>
      </c>
      <c r="M504" s="23" t="str">
        <f>VLOOKUP(L504,スキル!B:C,2,FALSE)</f>
        <v>単体攻撃(宝箱優先／追加ダメージ)[極大]</v>
      </c>
      <c r="N504" s="20" t="s">
        <v>1220</v>
      </c>
      <c r="O504" s="23" t="str">
        <f>VLOOKUP(N504,スキル!B:C,2,FALSE)</f>
        <v>　</v>
      </c>
      <c r="P504" s="20" t="s">
        <v>1242</v>
      </c>
      <c r="Q504" s="23" t="str">
        <f>VLOOKUP(P504,タクティクス!B:C,2,FALSE)</f>
        <v>強襲が発生無効、バトル時に攻・防中UP(3分間)</v>
      </c>
      <c r="R504" s="20" t="s">
        <v>1220</v>
      </c>
      <c r="S504" s="23" t="str">
        <f>VLOOKUP(R504,タクティクス!B:C,2,FALSE)</f>
        <v>　</v>
      </c>
      <c r="T504" s="20" t="s">
        <v>1225</v>
      </c>
      <c r="U504" s="20" t="s">
        <v>1225</v>
      </c>
      <c r="V504" s="20" t="s">
        <v>1822</v>
      </c>
    </row>
    <row r="505" spans="1:22" ht="21.75" customHeight="1" x14ac:dyDescent="0.15">
      <c r="A505" s="20" t="str">
        <f>B505&amp;".jpg"</f>
        <v>1834_b.jpg</v>
      </c>
      <c r="B505" s="21" t="s">
        <v>1250</v>
      </c>
      <c r="C505" s="20" t="s">
        <v>1194</v>
      </c>
      <c r="D505" s="20" t="s">
        <v>1190</v>
      </c>
      <c r="E505" s="20">
        <v>14</v>
      </c>
      <c r="F505" s="24" t="s">
        <v>25</v>
      </c>
      <c r="G505" s="27">
        <v>25025</v>
      </c>
      <c r="H505" s="27">
        <v>7759</v>
      </c>
      <c r="I505" s="27">
        <v>9308</v>
      </c>
      <c r="J505" s="20" t="s">
        <v>1202</v>
      </c>
      <c r="K505" s="22">
        <f>SUM(G505,H505,I505)</f>
        <v>42092</v>
      </c>
      <c r="L505" s="23" t="s">
        <v>835</v>
      </c>
      <c r="M505" s="23" t="str">
        <f>VLOOKUP(L505,スキル!B:C,2,FALSE)</f>
        <v>単体攻撃（宝箱優先／追加ダメージ）[特大]</v>
      </c>
      <c r="N505" s="20" t="s">
        <v>1221</v>
      </c>
      <c r="O505" s="23" t="str">
        <f>VLOOKUP(N505,スキル!B:C,2,FALSE)</f>
        <v>　</v>
      </c>
      <c r="P505" s="20" t="s">
        <v>1230</v>
      </c>
      <c r="Q505" s="23" t="str">
        <f>VLOOKUP(P505,タクティクス!B:C,2,FALSE)</f>
        <v>強襲が発生無効、バトル時に攻・防特大UP(5分間)</v>
      </c>
      <c r="R505" s="20" t="s">
        <v>1224</v>
      </c>
      <c r="S505" s="23" t="str">
        <f>VLOOKUP(R505,タクティクス!B:C,2,FALSE)</f>
        <v>　</v>
      </c>
      <c r="T505" s="20" t="s">
        <v>1221</v>
      </c>
      <c r="U505" s="20" t="s">
        <v>1225</v>
      </c>
      <c r="V505" s="20" t="s">
        <v>1822</v>
      </c>
    </row>
    <row r="506" spans="1:22" ht="21.75" customHeight="1" x14ac:dyDescent="0.15">
      <c r="A506" s="20" t="str">
        <f>B506&amp;".jpg"</f>
        <v>1836.jpg</v>
      </c>
      <c r="B506" s="46">
        <v>1836</v>
      </c>
      <c r="C506" s="24" t="s">
        <v>203</v>
      </c>
      <c r="D506" s="24" t="s">
        <v>150</v>
      </c>
      <c r="E506" s="24">
        <v>14</v>
      </c>
      <c r="F506" s="24" t="s">
        <v>16</v>
      </c>
      <c r="G506" s="22">
        <v>17507</v>
      </c>
      <c r="H506" s="22">
        <v>8044</v>
      </c>
      <c r="I506" s="22">
        <v>6256</v>
      </c>
      <c r="J506" s="24" t="s">
        <v>151</v>
      </c>
      <c r="K506" s="22">
        <f>SUM(G506,H506,I506)</f>
        <v>31807</v>
      </c>
      <c r="L506" s="23" t="s">
        <v>805</v>
      </c>
      <c r="M506" s="23" t="str">
        <f>VLOOKUP(L506,スキル!B:C,2,FALSE)</f>
        <v>十字型攻撃[特大]自分の防御力UP[特大]</v>
      </c>
      <c r="N506" s="23" t="s">
        <v>18</v>
      </c>
      <c r="O506" s="23" t="str">
        <f>VLOOKUP(N506,スキル!B:C,2,FALSE)</f>
        <v>　</v>
      </c>
      <c r="P506" s="23" t="s">
        <v>287</v>
      </c>
      <c r="Q506" s="23" t="str">
        <f>VLOOKUP(P506,タクティクス!B:C,2,FALSE)</f>
        <v>騎士団全体の攻・防が中UP(3分間)</v>
      </c>
      <c r="R506" s="23" t="s">
        <v>18</v>
      </c>
      <c r="S506" s="23" t="str">
        <f>VLOOKUP(R506,タクティクス!B:C,2,FALSE)</f>
        <v>　</v>
      </c>
      <c r="T506" s="23" t="s">
        <v>18</v>
      </c>
      <c r="U506" s="23" t="s">
        <v>18</v>
      </c>
      <c r="V506" s="20" t="s">
        <v>1899</v>
      </c>
    </row>
    <row r="507" spans="1:22" ht="21.75" customHeight="1" x14ac:dyDescent="0.15">
      <c r="A507" s="20" t="str">
        <f>B507&amp;".jpg"</f>
        <v>1836_a.jpg</v>
      </c>
      <c r="B507" s="21" t="s">
        <v>1777</v>
      </c>
      <c r="C507" s="20" t="s">
        <v>1758</v>
      </c>
      <c r="D507" s="20" t="s">
        <v>1763</v>
      </c>
      <c r="E507" s="20">
        <v>14</v>
      </c>
      <c r="F507" s="20" t="s">
        <v>1338</v>
      </c>
      <c r="G507" s="27">
        <v>21875</v>
      </c>
      <c r="H507" s="27">
        <v>11257</v>
      </c>
      <c r="I507" s="27">
        <v>8440</v>
      </c>
      <c r="J507" s="20" t="s">
        <v>1199</v>
      </c>
      <c r="K507" s="22">
        <f>SUM(G507,H507,I507)</f>
        <v>41572</v>
      </c>
      <c r="L507" s="23" t="s">
        <v>1809</v>
      </c>
      <c r="M507" s="23" t="str">
        <f>VLOOKUP(L507,スキル!B:C,2,FALSE)</f>
        <v>十字型攻撃[極大]自分の防御力UP[極大]</v>
      </c>
      <c r="N507" s="20" t="s">
        <v>1788</v>
      </c>
      <c r="O507" s="23" t="str">
        <f>VLOOKUP(N507,スキル!B:C,2,FALSE)</f>
        <v>　</v>
      </c>
      <c r="P507" s="23" t="s">
        <v>287</v>
      </c>
      <c r="Q507" s="23" t="str">
        <f>VLOOKUP(P507,タクティクス!B:C,2,FALSE)</f>
        <v>騎士団全体の攻・防が中UP(3分間)</v>
      </c>
      <c r="R507" s="20" t="s">
        <v>1812</v>
      </c>
      <c r="S507" s="23" t="str">
        <f>VLOOKUP(R507,タクティクス!B:C,2,FALSE)</f>
        <v>　</v>
      </c>
      <c r="T507" s="20" t="s">
        <v>1783</v>
      </c>
      <c r="U507" s="20" t="s">
        <v>1788</v>
      </c>
      <c r="V507" s="20" t="s">
        <v>1822</v>
      </c>
    </row>
    <row r="508" spans="1:22" ht="21.75" customHeight="1" x14ac:dyDescent="0.15">
      <c r="A508" s="20" t="str">
        <f>B508&amp;".jpg"</f>
        <v>1836_b.jpg</v>
      </c>
      <c r="B508" s="21" t="s">
        <v>1778</v>
      </c>
      <c r="C508" s="20" t="s">
        <v>1758</v>
      </c>
      <c r="D508" s="20" t="s">
        <v>1763</v>
      </c>
      <c r="E508" s="20">
        <v>14</v>
      </c>
      <c r="F508" s="20" t="s">
        <v>1338</v>
      </c>
      <c r="G508" s="27">
        <v>21014</v>
      </c>
      <c r="H508" s="27">
        <v>10858</v>
      </c>
      <c r="I508" s="27">
        <v>8125</v>
      </c>
      <c r="J508" s="20" t="s">
        <v>1764</v>
      </c>
      <c r="K508" s="22">
        <f>SUM(G508,H508,I508)</f>
        <v>39997</v>
      </c>
      <c r="L508" s="23" t="s">
        <v>805</v>
      </c>
      <c r="M508" s="23" t="str">
        <f>VLOOKUP(L508,スキル!B:C,2,FALSE)</f>
        <v>十字型攻撃[特大]自分の防御力UP[特大]</v>
      </c>
      <c r="N508" s="20" t="s">
        <v>1788</v>
      </c>
      <c r="O508" s="23" t="str">
        <f>VLOOKUP(N508,スキル!B:C,2,FALSE)</f>
        <v>　</v>
      </c>
      <c r="P508" s="23" t="s">
        <v>1810</v>
      </c>
      <c r="Q508" s="23" t="str">
        <f>VLOOKUP(P508,タクティクス!B:C,2,FALSE)</f>
        <v>騎士団全体の攻・防が特大UP(3分間)</v>
      </c>
      <c r="R508" s="20" t="s">
        <v>1812</v>
      </c>
      <c r="S508" s="23" t="str">
        <f>VLOOKUP(R508,タクティクス!B:C,2,FALSE)</f>
        <v>　</v>
      </c>
      <c r="T508" s="20" t="s">
        <v>1789</v>
      </c>
      <c r="U508" s="20" t="s">
        <v>1788</v>
      </c>
      <c r="V508" s="20" t="s">
        <v>1822</v>
      </c>
    </row>
    <row r="509" spans="1:22" ht="21.75" customHeight="1" x14ac:dyDescent="0.15">
      <c r="A509" s="20" t="str">
        <f>B509&amp;".jpg"</f>
        <v>1838.jpg</v>
      </c>
      <c r="B509" s="46">
        <v>1838</v>
      </c>
      <c r="C509" s="24" t="s">
        <v>144</v>
      </c>
      <c r="D509" s="24" t="s">
        <v>150</v>
      </c>
      <c r="E509" s="24">
        <v>14</v>
      </c>
      <c r="F509" s="24" t="s">
        <v>25</v>
      </c>
      <c r="G509" s="22">
        <v>20649</v>
      </c>
      <c r="H509" s="22">
        <v>6145</v>
      </c>
      <c r="I509" s="22">
        <v>6430</v>
      </c>
      <c r="J509" s="24" t="s">
        <v>177</v>
      </c>
      <c r="K509" s="22">
        <f>SUM(G509,H509,I509)</f>
        <v>33224</v>
      </c>
      <c r="L509" s="23" t="s">
        <v>797</v>
      </c>
      <c r="M509" s="23" t="str">
        <f>VLOOKUP(L509,スキル!B:C,2,FALSE)</f>
        <v>横一列攻撃[特大]自分の攻撃力UP[特大]</v>
      </c>
      <c r="N509" s="23" t="s">
        <v>18</v>
      </c>
      <c r="O509" s="23" t="str">
        <f>VLOOKUP(N509,スキル!B:C,2,FALSE)</f>
        <v>　</v>
      </c>
      <c r="P509" s="23" t="s">
        <v>308</v>
      </c>
      <c r="Q509" s="23" t="str">
        <f>VLOOKUP(P509,タクティクス!B:C,2,FALSE)</f>
        <v>騎士団全体の攻撃力が中UP(3分間)</v>
      </c>
      <c r="R509" s="23" t="s">
        <v>18</v>
      </c>
      <c r="S509" s="23" t="str">
        <f>VLOOKUP(R509,タクティクス!B:C,2,FALSE)</f>
        <v>　</v>
      </c>
      <c r="T509" s="23" t="s">
        <v>18</v>
      </c>
      <c r="U509" s="23" t="s">
        <v>18</v>
      </c>
      <c r="V509" s="20" t="s">
        <v>1899</v>
      </c>
    </row>
    <row r="510" spans="1:22" ht="21.75" customHeight="1" x14ac:dyDescent="0.15">
      <c r="A510" s="20" t="str">
        <f>B510&amp;".jpg"</f>
        <v>1840.jpg</v>
      </c>
      <c r="B510" s="46">
        <v>1840</v>
      </c>
      <c r="C510" s="24" t="s">
        <v>37</v>
      </c>
      <c r="D510" s="24" t="s">
        <v>150</v>
      </c>
      <c r="E510" s="24">
        <v>14</v>
      </c>
      <c r="F510" s="24" t="s">
        <v>34</v>
      </c>
      <c r="G510" s="22">
        <v>21267</v>
      </c>
      <c r="H510" s="22">
        <v>6074</v>
      </c>
      <c r="I510" s="22">
        <v>9759</v>
      </c>
      <c r="J510" s="24" t="s">
        <v>17</v>
      </c>
      <c r="K510" s="22">
        <f>SUM(G510,H510,I510)</f>
        <v>37100</v>
      </c>
      <c r="L510" s="23" t="s">
        <v>739</v>
      </c>
      <c r="M510" s="23" t="str">
        <f>VLOOKUP(L510,スキル!B:C,2,FALSE)</f>
        <v>最もダメージが多い味方1人のHP回復[特大]</v>
      </c>
      <c r="N510" s="23" t="s">
        <v>18</v>
      </c>
      <c r="O510" s="23" t="str">
        <f>VLOOKUP(N510,スキル!B:C,2,FALSE)</f>
        <v>　</v>
      </c>
      <c r="P510" s="23" t="s">
        <v>270</v>
      </c>
      <c r="Q510" s="23" t="str">
        <f>VLOOKUP(P510,タクティクス!B:C,2,FALSE)</f>
        <v>迎撃時にパーティ全体の攻・防が大UP(3分間)</v>
      </c>
      <c r="R510" s="23" t="s">
        <v>18</v>
      </c>
      <c r="S510" s="23" t="str">
        <f>VLOOKUP(R510,タクティクス!B:C,2,FALSE)</f>
        <v>　</v>
      </c>
      <c r="T510" s="23" t="s">
        <v>18</v>
      </c>
      <c r="U510" s="23" t="s">
        <v>18</v>
      </c>
      <c r="V510" s="20" t="s">
        <v>1877</v>
      </c>
    </row>
    <row r="511" spans="1:22" ht="21.75" customHeight="1" x14ac:dyDescent="0.15">
      <c r="A511" s="20" t="str">
        <f>B511&amp;".jpg"</f>
        <v>1842.jpg</v>
      </c>
      <c r="B511" s="46">
        <v>1842</v>
      </c>
      <c r="C511" s="24" t="s">
        <v>339</v>
      </c>
      <c r="D511" s="24" t="s">
        <v>150</v>
      </c>
      <c r="E511" s="24">
        <v>14</v>
      </c>
      <c r="F511" s="24" t="s">
        <v>41</v>
      </c>
      <c r="G511" s="22">
        <v>20432</v>
      </c>
      <c r="H511" s="22">
        <v>7127</v>
      </c>
      <c r="I511" s="22">
        <v>5180</v>
      </c>
      <c r="J511" s="24" t="s">
        <v>55</v>
      </c>
      <c r="K511" s="22">
        <f>SUM(G511,H511,I511)</f>
        <v>32739</v>
      </c>
      <c r="L511" s="23" t="s">
        <v>758</v>
      </c>
      <c r="M511" s="23" t="str">
        <f>VLOOKUP(L511,スキル!B:C,2,FALSE)</f>
        <v>単体固定ダメージ[中]+味方ステータスDOWN解除</v>
      </c>
      <c r="N511" s="23" t="s">
        <v>18</v>
      </c>
      <c r="O511" s="23" t="str">
        <f>VLOOKUP(N511,スキル!B:C,2,FALSE)</f>
        <v>　</v>
      </c>
      <c r="P511" s="23" t="s">
        <v>281</v>
      </c>
      <c r="Q511" s="23" t="str">
        <f>VLOOKUP(P511,タクティクス!B:C,2,FALSE)</f>
        <v>CB時に獲得ポイント大UP＆BPが大回復(3回)</v>
      </c>
      <c r="R511" s="23" t="s">
        <v>18</v>
      </c>
      <c r="S511" s="23" t="str">
        <f>VLOOKUP(R511,タクティクス!B:C,2,FALSE)</f>
        <v>　</v>
      </c>
      <c r="T511" s="23" t="s">
        <v>18</v>
      </c>
      <c r="U511" s="23" t="s">
        <v>18</v>
      </c>
      <c r="V511" s="20" t="s">
        <v>1899</v>
      </c>
    </row>
    <row r="512" spans="1:22" ht="21.75" customHeight="1" x14ac:dyDescent="0.15">
      <c r="A512" s="20" t="str">
        <f>B512&amp;".jpg"</f>
        <v>1846.jpg</v>
      </c>
      <c r="B512" s="46">
        <v>1846</v>
      </c>
      <c r="C512" s="24" t="s">
        <v>190</v>
      </c>
      <c r="D512" s="24" t="s">
        <v>15</v>
      </c>
      <c r="E512" s="24">
        <v>13</v>
      </c>
      <c r="F512" s="24" t="s">
        <v>34</v>
      </c>
      <c r="G512" s="22">
        <v>19128</v>
      </c>
      <c r="H512" s="22">
        <v>5252</v>
      </c>
      <c r="I512" s="22">
        <v>7990</v>
      </c>
      <c r="J512" s="24" t="s">
        <v>35</v>
      </c>
      <c r="K512" s="22">
        <f>SUM(G512,H512,I512)</f>
        <v>32370</v>
      </c>
      <c r="L512" s="23" t="s">
        <v>679</v>
      </c>
      <c r="M512" s="23" t="str">
        <f>VLOOKUP(L512,スキル!B:C,2,FALSE)</f>
        <v>敵遠属性の攻撃力と防御力をDOWN[大]</v>
      </c>
      <c r="N512" s="23" t="s">
        <v>18</v>
      </c>
      <c r="O512" s="23" t="str">
        <f>VLOOKUP(N512,スキル!B:C,2,FALSE)</f>
        <v>　</v>
      </c>
      <c r="P512" s="23" t="s">
        <v>135</v>
      </c>
      <c r="Q512" s="23" t="str">
        <f>VLOOKUP(P512,タクティクス!B:C,2,FALSE)</f>
        <v>高確率で戦闘不能ユニットを復帰</v>
      </c>
      <c r="R512" s="23" t="s">
        <v>18</v>
      </c>
      <c r="S512" s="23" t="str">
        <f>VLOOKUP(R512,タクティクス!B:C,2,FALSE)</f>
        <v>　</v>
      </c>
      <c r="T512" s="23" t="s">
        <v>18</v>
      </c>
      <c r="U512" s="23" t="s">
        <v>18</v>
      </c>
      <c r="V512" s="20" t="s">
        <v>1877</v>
      </c>
    </row>
    <row r="513" spans="1:22" ht="21.75" customHeight="1" x14ac:dyDescent="0.15">
      <c r="A513" s="20" t="str">
        <f>B513&amp;".jpg"</f>
        <v>1848.jpg</v>
      </c>
      <c r="B513" s="46">
        <v>1848</v>
      </c>
      <c r="C513" s="24" t="s">
        <v>366</v>
      </c>
      <c r="D513" s="24" t="s">
        <v>15</v>
      </c>
      <c r="E513" s="24">
        <v>13</v>
      </c>
      <c r="F513" s="24" t="s">
        <v>25</v>
      </c>
      <c r="G513" s="22">
        <v>18265</v>
      </c>
      <c r="H513" s="22">
        <v>4736</v>
      </c>
      <c r="I513" s="22">
        <v>6431</v>
      </c>
      <c r="J513" s="24" t="s">
        <v>26</v>
      </c>
      <c r="K513" s="22">
        <f>SUM(G513,H513,I513)</f>
        <v>29432</v>
      </c>
      <c r="L513" s="23" t="s">
        <v>837</v>
      </c>
      <c r="M513" s="23" t="str">
        <f>VLOOKUP(L513,スキル!B:C,2,FALSE)</f>
        <v>遠に強く打に弱い縦一列攻撃[中]</v>
      </c>
      <c r="N513" s="23" t="s">
        <v>18</v>
      </c>
      <c r="O513" s="23" t="str">
        <f>VLOOKUP(N513,スキル!B:C,2,FALSE)</f>
        <v>　</v>
      </c>
      <c r="P513" s="23" t="s">
        <v>135</v>
      </c>
      <c r="Q513" s="23" t="str">
        <f>VLOOKUP(P513,タクティクス!B:C,2,FALSE)</f>
        <v>高確率で戦闘不能ユニットを復帰</v>
      </c>
      <c r="R513" s="23" t="s">
        <v>18</v>
      </c>
      <c r="S513" s="23" t="str">
        <f>VLOOKUP(R513,タクティクス!B:C,2,FALSE)</f>
        <v>　</v>
      </c>
      <c r="T513" s="23" t="s">
        <v>18</v>
      </c>
      <c r="U513" s="23" t="s">
        <v>18</v>
      </c>
      <c r="V513" s="20" t="s">
        <v>1879</v>
      </c>
    </row>
    <row r="514" spans="1:22" ht="21.75" customHeight="1" x14ac:dyDescent="0.15">
      <c r="A514" s="20" t="str">
        <f>B514&amp;".jpg"</f>
        <v>1849.jpg</v>
      </c>
      <c r="B514" s="46">
        <v>1849</v>
      </c>
      <c r="C514" s="24" t="s">
        <v>367</v>
      </c>
      <c r="D514" s="24" t="s">
        <v>150</v>
      </c>
      <c r="E514" s="24">
        <v>14</v>
      </c>
      <c r="F514" s="24" t="s">
        <v>41</v>
      </c>
      <c r="G514" s="22">
        <v>20839</v>
      </c>
      <c r="H514" s="22">
        <v>6161</v>
      </c>
      <c r="I514" s="22">
        <v>5597</v>
      </c>
      <c r="J514" s="24" t="s">
        <v>55</v>
      </c>
      <c r="K514" s="22">
        <f>SUM(G514,H514,I514)</f>
        <v>32597</v>
      </c>
      <c r="L514" s="23" t="s">
        <v>745</v>
      </c>
      <c r="M514" s="23" t="str">
        <f>VLOOKUP(L514,スキル!B:C,2,FALSE)</f>
        <v>一定確率で敵を暗闇状態にする[超高確率]</v>
      </c>
      <c r="N514" s="23" t="s">
        <v>18</v>
      </c>
      <c r="O514" s="23" t="str">
        <f>VLOOKUP(N514,スキル!B:C,2,FALSE)</f>
        <v>　</v>
      </c>
      <c r="P514" s="23" t="s">
        <v>185</v>
      </c>
      <c r="Q514" s="23" t="str">
        <f>VLOOKUP(P514,タクティクス!B:C,2,FALSE)</f>
        <v>バトル時の強襲CB率が中UP(3分間)</v>
      </c>
      <c r="R514" s="23" t="s">
        <v>18</v>
      </c>
      <c r="S514" s="23" t="str">
        <f>VLOOKUP(R514,タクティクス!B:C,2,FALSE)</f>
        <v>　</v>
      </c>
      <c r="T514" s="23" t="s">
        <v>18</v>
      </c>
      <c r="U514" s="23" t="s">
        <v>18</v>
      </c>
      <c r="V514" s="20" t="s">
        <v>1879</v>
      </c>
    </row>
    <row r="515" spans="1:22" ht="21.75" customHeight="1" x14ac:dyDescent="0.15">
      <c r="A515" s="20" t="str">
        <f>B515&amp;".jpg"</f>
        <v>1850.jpg</v>
      </c>
      <c r="B515" s="46">
        <v>1850</v>
      </c>
      <c r="C515" s="24" t="s">
        <v>259</v>
      </c>
      <c r="D515" s="24" t="s">
        <v>150</v>
      </c>
      <c r="E515" s="24">
        <v>14</v>
      </c>
      <c r="F515" s="24" t="s">
        <v>34</v>
      </c>
      <c r="G515" s="22">
        <v>21105</v>
      </c>
      <c r="H515" s="22">
        <v>5965</v>
      </c>
      <c r="I515" s="22">
        <v>9678</v>
      </c>
      <c r="J515" s="24" t="s">
        <v>17</v>
      </c>
      <c r="K515" s="22">
        <f>SUM(G515,H515,I515)</f>
        <v>36748</v>
      </c>
      <c r="L515" s="23" t="s">
        <v>703</v>
      </c>
      <c r="M515" s="23" t="str">
        <f>VLOOKUP(L515,スキル!B:C,2,FALSE)</f>
        <v>一定確率で敵を沈黙状態にする[超高確率]</v>
      </c>
      <c r="N515" s="23" t="s">
        <v>18</v>
      </c>
      <c r="O515" s="23" t="str">
        <f>VLOOKUP(N515,スキル!B:C,2,FALSE)</f>
        <v>　</v>
      </c>
      <c r="P515" s="23" t="s">
        <v>188</v>
      </c>
      <c r="Q515" s="23" t="str">
        <f>VLOOKUP(P515,タクティクス!B:C,2,FALSE)</f>
        <v>バトルで敵を全滅するとBPが大回復(バトル3回)</v>
      </c>
      <c r="R515" s="23" t="s">
        <v>18</v>
      </c>
      <c r="S515" s="23" t="str">
        <f>VLOOKUP(R515,タクティクス!B:C,2,FALSE)</f>
        <v>　</v>
      </c>
      <c r="T515" s="23" t="s">
        <v>18</v>
      </c>
      <c r="U515" s="23" t="s">
        <v>18</v>
      </c>
      <c r="V515" s="20" t="s">
        <v>1883</v>
      </c>
    </row>
    <row r="516" spans="1:22" ht="21.75" customHeight="1" x14ac:dyDescent="0.15">
      <c r="A516" s="20" t="str">
        <f>B516&amp;".jpg"</f>
        <v>1851.jpg</v>
      </c>
      <c r="B516" s="46">
        <v>1851</v>
      </c>
      <c r="C516" s="24" t="s">
        <v>260</v>
      </c>
      <c r="D516" s="24" t="s">
        <v>150</v>
      </c>
      <c r="E516" s="24">
        <v>15</v>
      </c>
      <c r="F516" s="24" t="s">
        <v>16</v>
      </c>
      <c r="G516" s="22">
        <v>18917</v>
      </c>
      <c r="H516" s="22">
        <v>9260</v>
      </c>
      <c r="I516" s="22">
        <v>7885</v>
      </c>
      <c r="J516" s="24" t="s">
        <v>26</v>
      </c>
      <c r="K516" s="22">
        <f>SUM(G516,H516,I516)</f>
        <v>36062</v>
      </c>
      <c r="L516" s="23" t="s">
        <v>839</v>
      </c>
      <c r="M516" s="23" t="str">
        <f>VLOOKUP(L516,スキル!B:C,2,FALSE)</f>
        <v>X字型攻撃[特大]自分の防御力UP[特大]</v>
      </c>
      <c r="N516" s="23" t="s">
        <v>18</v>
      </c>
      <c r="O516" s="23" t="str">
        <f>VLOOKUP(N516,スキル!B:C,2,FALSE)</f>
        <v>　</v>
      </c>
      <c r="P516" s="23" t="s">
        <v>361</v>
      </c>
      <c r="Q516" s="23" t="str">
        <f>VLOOKUP(P516,タクティクス!B:C,2,FALSE)</f>
        <v>パーティ全体の攻撃力が特大UP(3分間)</v>
      </c>
      <c r="R516" s="23" t="s">
        <v>185</v>
      </c>
      <c r="S516" s="23" t="str">
        <f>VLOOKUP(R516,タクティクス!B:C,2,FALSE)</f>
        <v>バトル時の強襲CB率が中UP(3分間)</v>
      </c>
      <c r="T516" s="23" t="s">
        <v>18</v>
      </c>
      <c r="U516" s="23" t="s">
        <v>18</v>
      </c>
      <c r="V516" s="20" t="s">
        <v>1883</v>
      </c>
    </row>
    <row r="517" spans="1:22" ht="21.75" customHeight="1" x14ac:dyDescent="0.15">
      <c r="A517" s="20" t="str">
        <f>B517&amp;".jpg"</f>
        <v>1853.jpg</v>
      </c>
      <c r="B517" s="46">
        <v>1853</v>
      </c>
      <c r="C517" s="24" t="s">
        <v>368</v>
      </c>
      <c r="D517" s="24" t="s">
        <v>150</v>
      </c>
      <c r="E517" s="24">
        <v>14</v>
      </c>
      <c r="F517" s="24" t="s">
        <v>34</v>
      </c>
      <c r="G517" s="22">
        <v>24564</v>
      </c>
      <c r="H517" s="22">
        <v>7020</v>
      </c>
      <c r="I517" s="22">
        <v>8021</v>
      </c>
      <c r="J517" s="24" t="s">
        <v>17</v>
      </c>
      <c r="K517" s="22">
        <f>SUM(G517,H517,I517)</f>
        <v>39605</v>
      </c>
      <c r="L517" s="23" t="s">
        <v>645</v>
      </c>
      <c r="M517" s="23" t="str">
        <f>VLOOKUP(L517,スキル!B:C,2,FALSE)</f>
        <v>縦一列攻撃[大]自分の攻撃力UP[大]</v>
      </c>
      <c r="N517" s="23" t="s">
        <v>18</v>
      </c>
      <c r="O517" s="23" t="str">
        <f>VLOOKUP(N517,スキル!B:C,2,FALSE)</f>
        <v>　</v>
      </c>
      <c r="P517" s="23" t="s">
        <v>311</v>
      </c>
      <c r="Q517" s="23" t="str">
        <f>VLOOKUP(P517,タクティクス!B:C,2,FALSE)</f>
        <v>対戦騎士団全体の防御力が中DOWN(3分間)</v>
      </c>
      <c r="R517" s="23" t="s">
        <v>18</v>
      </c>
      <c r="S517" s="23" t="str">
        <f>VLOOKUP(R517,タクティクス!B:C,2,FALSE)</f>
        <v>　</v>
      </c>
      <c r="T517" s="23" t="s">
        <v>18</v>
      </c>
      <c r="U517" s="23" t="s">
        <v>18</v>
      </c>
      <c r="V517" s="20" t="s">
        <v>1883</v>
      </c>
    </row>
    <row r="518" spans="1:22" ht="21.75" customHeight="1" x14ac:dyDescent="0.15">
      <c r="A518" s="20" t="str">
        <f>B518&amp;".jpg"</f>
        <v>1854.jpg</v>
      </c>
      <c r="B518" s="46">
        <v>1854</v>
      </c>
      <c r="C518" s="24" t="s">
        <v>266</v>
      </c>
      <c r="D518" s="24" t="s">
        <v>150</v>
      </c>
      <c r="E518" s="24">
        <v>14</v>
      </c>
      <c r="F518" s="24" t="s">
        <v>41</v>
      </c>
      <c r="G518" s="22">
        <v>17734</v>
      </c>
      <c r="H518" s="22">
        <v>7296</v>
      </c>
      <c r="I518" s="22">
        <v>5569</v>
      </c>
      <c r="J518" s="24" t="s">
        <v>55</v>
      </c>
      <c r="K518" s="22">
        <f>SUM(G518,H518,I518)</f>
        <v>30599</v>
      </c>
      <c r="L518" s="23" t="s">
        <v>840</v>
      </c>
      <c r="M518" s="23" t="str">
        <f>VLOOKUP(L518,スキル!B:C,2,FALSE)</f>
        <v>味方全体の攻撃力をUP[特大]</v>
      </c>
      <c r="N518" s="23" t="s">
        <v>18</v>
      </c>
      <c r="O518" s="23" t="str">
        <f>VLOOKUP(N518,スキル!B:C,2,FALSE)</f>
        <v>　</v>
      </c>
      <c r="P518" s="23" t="s">
        <v>319</v>
      </c>
      <c r="Q518" s="23" t="str">
        <f>VLOOKUP(P518,タクティクス!B:C,2,FALSE)</f>
        <v>対戦騎士団の城強度Lvが中DOWN(3分間)</v>
      </c>
      <c r="R518" s="23" t="s">
        <v>18</v>
      </c>
      <c r="S518" s="23" t="str">
        <f>VLOOKUP(R518,タクティクス!B:C,2,FALSE)</f>
        <v>　</v>
      </c>
      <c r="T518" s="23" t="s">
        <v>18</v>
      </c>
      <c r="U518" s="23" t="s">
        <v>18</v>
      </c>
      <c r="V518" s="20" t="s">
        <v>1883</v>
      </c>
    </row>
    <row r="519" spans="1:22" ht="21.75" customHeight="1" x14ac:dyDescent="0.15">
      <c r="A519" s="20" t="str">
        <f>B519&amp;".jpg"</f>
        <v>1856.jpg</v>
      </c>
      <c r="B519" s="46">
        <v>1856</v>
      </c>
      <c r="C519" s="24" t="s">
        <v>369</v>
      </c>
      <c r="D519" s="24" t="s">
        <v>150</v>
      </c>
      <c r="E519" s="24">
        <v>14</v>
      </c>
      <c r="F519" s="24" t="s">
        <v>16</v>
      </c>
      <c r="G519" s="22">
        <v>18485</v>
      </c>
      <c r="H519" s="22">
        <v>8498</v>
      </c>
      <c r="I519" s="22">
        <v>5900</v>
      </c>
      <c r="J519" s="24" t="s">
        <v>151</v>
      </c>
      <c r="K519" s="22">
        <f>SUM(G519,H519,I519)</f>
        <v>32883</v>
      </c>
      <c r="L519" s="23" t="s">
        <v>747</v>
      </c>
      <c r="M519" s="23" t="str">
        <f>VLOOKUP(L519,スキル!B:C,2,FALSE)</f>
        <v>打に強く遠に弱い横一列攻撃[特大]</v>
      </c>
      <c r="N519" s="23" t="s">
        <v>18</v>
      </c>
      <c r="O519" s="23" t="str">
        <f>VLOOKUP(N519,スキル!B:C,2,FALSE)</f>
        <v>　</v>
      </c>
      <c r="P519" s="23" t="s">
        <v>325</v>
      </c>
      <c r="Q519" s="23" t="str">
        <f>VLOOKUP(P519,タクティクス!B:C,2,FALSE)</f>
        <v>強襲CBの発生確率・強襲時獲得ポイントUP(3分間)</v>
      </c>
      <c r="R519" s="23" t="s">
        <v>18</v>
      </c>
      <c r="S519" s="23" t="str">
        <f>VLOOKUP(R519,タクティクス!B:C,2,FALSE)</f>
        <v>　</v>
      </c>
      <c r="T519" s="23" t="s">
        <v>18</v>
      </c>
      <c r="U519" s="23" t="s">
        <v>18</v>
      </c>
      <c r="V519" s="20" t="s">
        <v>1883</v>
      </c>
    </row>
    <row r="520" spans="1:22" ht="21.75" customHeight="1" x14ac:dyDescent="0.15">
      <c r="A520" s="20" t="str">
        <f>B520&amp;".jpg"</f>
        <v>1857.jpg</v>
      </c>
      <c r="B520" s="46">
        <v>1857</v>
      </c>
      <c r="C520" s="24" t="s">
        <v>258</v>
      </c>
      <c r="D520" s="24" t="s">
        <v>150</v>
      </c>
      <c r="E520" s="24">
        <v>15</v>
      </c>
      <c r="F520" s="24" t="s">
        <v>25</v>
      </c>
      <c r="G520" s="22">
        <v>26018</v>
      </c>
      <c r="H520" s="22">
        <v>6080</v>
      </c>
      <c r="I520" s="22">
        <v>8275</v>
      </c>
      <c r="J520" s="24" t="s">
        <v>356</v>
      </c>
      <c r="K520" s="22">
        <f>SUM(G520,H520,I520)</f>
        <v>40373</v>
      </c>
      <c r="L520" s="23" t="s">
        <v>842</v>
      </c>
      <c r="M520" s="23" t="str">
        <f>VLOOKUP(L520,スキル!B:C,2,FALSE)</f>
        <v>横一列攻撃[特大]自分の防御力UP[特大]</v>
      </c>
      <c r="N520" s="23" t="s">
        <v>18</v>
      </c>
      <c r="O520" s="23" t="str">
        <f>VLOOKUP(N520,スキル!B:C,2,FALSE)</f>
        <v>　</v>
      </c>
      <c r="P520" s="23" t="s">
        <v>226</v>
      </c>
      <c r="Q520" s="23" t="str">
        <f>VLOOKUP(P520,タクティクス!B:C,2,FALSE)</f>
        <v>バトルで獲得する騎士団戦スコアが大アップ(3分間)</v>
      </c>
      <c r="R520" s="23" t="s">
        <v>228</v>
      </c>
      <c r="S520" s="23" t="str">
        <f>VLOOKUP(R520,タクティクス!B:C,2,FALSE)</f>
        <v>強襲が発生無効、バトル時に攻・防中UP(3分間)</v>
      </c>
      <c r="T520" s="23" t="s">
        <v>18</v>
      </c>
      <c r="U520" s="23" t="s">
        <v>18</v>
      </c>
      <c r="V520" s="20" t="s">
        <v>1883</v>
      </c>
    </row>
    <row r="521" spans="1:22" ht="21.75" customHeight="1" x14ac:dyDescent="0.15">
      <c r="A521" s="20" t="str">
        <f>B521&amp;".jpg"</f>
        <v>1859.jpg</v>
      </c>
      <c r="B521" s="46">
        <v>1859</v>
      </c>
      <c r="C521" s="24" t="s">
        <v>370</v>
      </c>
      <c r="D521" s="24" t="s">
        <v>150</v>
      </c>
      <c r="E521" s="24">
        <v>14</v>
      </c>
      <c r="F521" s="24" t="s">
        <v>41</v>
      </c>
      <c r="G521" s="22">
        <v>20326</v>
      </c>
      <c r="H521" s="22">
        <v>7092</v>
      </c>
      <c r="I521" s="22">
        <v>5456</v>
      </c>
      <c r="J521" s="24" t="s">
        <v>55</v>
      </c>
      <c r="K521" s="22">
        <f>SUM(G521,H521,I521)</f>
        <v>32874</v>
      </c>
      <c r="L521" s="23" t="s">
        <v>844</v>
      </c>
      <c r="M521" s="23" t="str">
        <f>VLOOKUP(L521,スキル!B:C,2,FALSE)</f>
        <v>単体固定ﾀﾞﾒｰｼﾞ[大]+味方状態異常解除</v>
      </c>
      <c r="N521" s="23" t="s">
        <v>18</v>
      </c>
      <c r="O521" s="23" t="str">
        <f>VLOOKUP(N521,スキル!B:C,2,FALSE)</f>
        <v>　</v>
      </c>
      <c r="P521" s="23" t="s">
        <v>287</v>
      </c>
      <c r="Q521" s="23" t="str">
        <f>VLOOKUP(P521,タクティクス!B:C,2,FALSE)</f>
        <v>騎士団全体の攻・防が中UP(3分間)</v>
      </c>
      <c r="R521" s="23" t="s">
        <v>18</v>
      </c>
      <c r="S521" s="23" t="str">
        <f>VLOOKUP(R521,タクティクス!B:C,2,FALSE)</f>
        <v>　</v>
      </c>
      <c r="T521" s="23" t="s">
        <v>18</v>
      </c>
      <c r="U521" s="23" t="s">
        <v>18</v>
      </c>
      <c r="V521" s="20" t="s">
        <v>1883</v>
      </c>
    </row>
    <row r="522" spans="1:22" ht="21.75" customHeight="1" x14ac:dyDescent="0.15">
      <c r="A522" s="20" t="str">
        <f>B522&amp;".jpg"</f>
        <v>1860.jpg</v>
      </c>
      <c r="B522" s="46">
        <v>1860</v>
      </c>
      <c r="C522" s="24" t="s">
        <v>264</v>
      </c>
      <c r="D522" s="24" t="s">
        <v>150</v>
      </c>
      <c r="E522" s="24">
        <v>14</v>
      </c>
      <c r="F522" s="24" t="s">
        <v>34</v>
      </c>
      <c r="G522" s="22">
        <v>22328</v>
      </c>
      <c r="H522" s="22">
        <v>6328</v>
      </c>
      <c r="I522" s="22">
        <v>8709</v>
      </c>
      <c r="J522" s="24" t="s">
        <v>17</v>
      </c>
      <c r="K522" s="22">
        <f>SUM(G522,H522,I522)</f>
        <v>37365</v>
      </c>
      <c r="L522" s="23" t="s">
        <v>749</v>
      </c>
      <c r="M522" s="23" t="str">
        <f>VLOOKUP(L522,スキル!B:C,2,FALSE)</f>
        <v>味方打属性の攻撃力をUP[特大]</v>
      </c>
      <c r="N522" s="23" t="s">
        <v>18</v>
      </c>
      <c r="O522" s="23" t="str">
        <f>VLOOKUP(N522,スキル!B:C,2,FALSE)</f>
        <v>　</v>
      </c>
      <c r="P522" s="23" t="s">
        <v>195</v>
      </c>
      <c r="Q522" s="23" t="str">
        <f>VLOOKUP(P522,タクティクス!B:C,2,FALSE)</f>
        <v>パーティ全体のスキル発動率が大UP(3分間)</v>
      </c>
      <c r="R522" s="23" t="s">
        <v>18</v>
      </c>
      <c r="S522" s="23" t="str">
        <f>VLOOKUP(R522,タクティクス!B:C,2,FALSE)</f>
        <v>　</v>
      </c>
      <c r="T522" s="23" t="s">
        <v>18</v>
      </c>
      <c r="U522" s="23" t="s">
        <v>18</v>
      </c>
      <c r="V522" s="20" t="s">
        <v>1883</v>
      </c>
    </row>
    <row r="523" spans="1:22" ht="21.75" customHeight="1" x14ac:dyDescent="0.15">
      <c r="A523" s="20" t="str">
        <f>B523&amp;".jpg"</f>
        <v>1862.jpg</v>
      </c>
      <c r="B523" s="46">
        <v>1862</v>
      </c>
      <c r="C523" s="24" t="s">
        <v>371</v>
      </c>
      <c r="D523" s="24" t="s">
        <v>15</v>
      </c>
      <c r="E523" s="24">
        <v>13</v>
      </c>
      <c r="F523" s="24" t="s">
        <v>41</v>
      </c>
      <c r="G523" s="22">
        <v>15813</v>
      </c>
      <c r="H523" s="22">
        <v>5516</v>
      </c>
      <c r="I523" s="22">
        <v>5692</v>
      </c>
      <c r="J523" s="24" t="s">
        <v>42</v>
      </c>
      <c r="K523" s="22">
        <f>SUM(G523,H523,I523)</f>
        <v>27021</v>
      </c>
      <c r="L523" s="23" t="s">
        <v>588</v>
      </c>
      <c r="M523" s="23" t="str">
        <f>VLOOKUP(L523,スキル!B:C,2,FALSE)</f>
        <v>味方1体を蘇生[HP中]</v>
      </c>
      <c r="N523" s="23" t="s">
        <v>18</v>
      </c>
      <c r="O523" s="23" t="str">
        <f>VLOOKUP(N523,スキル!B:C,2,FALSE)</f>
        <v>　</v>
      </c>
      <c r="P523" s="23" t="s">
        <v>135</v>
      </c>
      <c r="Q523" s="23" t="str">
        <f>VLOOKUP(P523,タクティクス!B:C,2,FALSE)</f>
        <v>高確率で戦闘不能ユニットを復帰</v>
      </c>
      <c r="R523" s="23" t="s">
        <v>18</v>
      </c>
      <c r="S523" s="23" t="str">
        <f>VLOOKUP(R523,タクティクス!B:C,2,FALSE)</f>
        <v>　</v>
      </c>
      <c r="T523" s="23" t="s">
        <v>18</v>
      </c>
      <c r="U523" s="23" t="s">
        <v>18</v>
      </c>
      <c r="V523" s="20" t="s">
        <v>1902</v>
      </c>
    </row>
    <row r="524" spans="1:22" ht="21.75" customHeight="1" x14ac:dyDescent="0.15">
      <c r="A524" s="20" t="str">
        <f>B524&amp;".jpg"</f>
        <v>1864.jpg</v>
      </c>
      <c r="B524" s="46">
        <v>1864</v>
      </c>
      <c r="C524" s="24" t="s">
        <v>372</v>
      </c>
      <c r="D524" s="24" t="s">
        <v>150</v>
      </c>
      <c r="E524" s="24">
        <v>14</v>
      </c>
      <c r="F524" s="24" t="s">
        <v>41</v>
      </c>
      <c r="G524" s="22">
        <v>18778</v>
      </c>
      <c r="H524" s="22">
        <v>6936</v>
      </c>
      <c r="I524" s="22">
        <v>5283</v>
      </c>
      <c r="J524" s="24" t="s">
        <v>177</v>
      </c>
      <c r="K524" s="22">
        <f>SUM(G524,H524,I524)</f>
        <v>30997</v>
      </c>
      <c r="L524" s="23" t="s">
        <v>846</v>
      </c>
      <c r="M524" s="23" t="str">
        <f>VLOOKUP(L524,スキル!B:C,2,FALSE)</f>
        <v>縦一列攻撃[特大]自分の攻撃力UP[特大]</v>
      </c>
      <c r="N524" s="23" t="s">
        <v>18</v>
      </c>
      <c r="O524" s="23" t="str">
        <f>VLOOKUP(N524,スキル!B:C,2,FALSE)</f>
        <v>　</v>
      </c>
      <c r="P524" s="23" t="s">
        <v>325</v>
      </c>
      <c r="Q524" s="23" t="str">
        <f>VLOOKUP(P524,タクティクス!B:C,2,FALSE)</f>
        <v>強襲CBの発生確率・強襲時獲得ポイントUP(3分間)</v>
      </c>
      <c r="R524" s="23" t="s">
        <v>18</v>
      </c>
      <c r="S524" s="23" t="str">
        <f>VLOOKUP(R524,タクティクス!B:C,2,FALSE)</f>
        <v>　</v>
      </c>
      <c r="T524" s="23" t="s">
        <v>18</v>
      </c>
      <c r="U524" s="23" t="s">
        <v>18</v>
      </c>
      <c r="V524" s="20" t="s">
        <v>1823</v>
      </c>
    </row>
    <row r="525" spans="1:22" ht="21.75" customHeight="1" x14ac:dyDescent="0.15">
      <c r="A525" s="20" t="str">
        <f>B525&amp;".jpg"</f>
        <v>1864_a.jpg</v>
      </c>
      <c r="B525" s="21" t="s">
        <v>1779</v>
      </c>
      <c r="C525" s="20" t="s">
        <v>1761</v>
      </c>
      <c r="D525" s="20" t="s">
        <v>1763</v>
      </c>
      <c r="E525" s="20">
        <v>14</v>
      </c>
      <c r="F525" s="20" t="s">
        <v>1176</v>
      </c>
      <c r="G525" s="27">
        <v>24784</v>
      </c>
      <c r="H525" s="27">
        <v>9078</v>
      </c>
      <c r="I525" s="27">
        <v>7824</v>
      </c>
      <c r="J525" s="20" t="s">
        <v>1765</v>
      </c>
      <c r="K525" s="22">
        <f>SUM(G525,H525,I525)</f>
        <v>41686</v>
      </c>
      <c r="L525" s="20" t="s">
        <v>1798</v>
      </c>
      <c r="M525" s="23" t="str">
        <f>VLOOKUP(L525,スキル!B:C,2,FALSE)</f>
        <v>縦一列攻撃[極大]自分の攻撃力UP[極大]</v>
      </c>
      <c r="N525" s="20" t="s">
        <v>1141</v>
      </c>
      <c r="O525" s="23" t="str">
        <f>VLOOKUP(N525,スキル!B:C,2,FALSE)</f>
        <v>　</v>
      </c>
      <c r="P525" s="23" t="s">
        <v>325</v>
      </c>
      <c r="Q525" s="23" t="str">
        <f>VLOOKUP(P525,タクティクス!B:C,2,FALSE)</f>
        <v>強襲CBの発生確率・強襲時獲得ポイントUP(3分間)</v>
      </c>
      <c r="R525" s="20" t="s">
        <v>1788</v>
      </c>
      <c r="S525" s="23" t="str">
        <f>VLOOKUP(R525,タクティクス!B:C,2,FALSE)</f>
        <v>　</v>
      </c>
      <c r="T525" s="20" t="s">
        <v>1141</v>
      </c>
      <c r="U525" s="20" t="s">
        <v>1788</v>
      </c>
      <c r="V525" s="20" t="s">
        <v>1822</v>
      </c>
    </row>
    <row r="526" spans="1:22" ht="21.75" customHeight="1" x14ac:dyDescent="0.15">
      <c r="A526" s="20" t="str">
        <f>B526&amp;".jpg"</f>
        <v>1864_b.jpg</v>
      </c>
      <c r="B526" s="21" t="s">
        <v>1780</v>
      </c>
      <c r="C526" s="20" t="s">
        <v>1761</v>
      </c>
      <c r="D526" s="20" t="s">
        <v>1763</v>
      </c>
      <c r="E526" s="20">
        <v>14</v>
      </c>
      <c r="F526" s="20" t="s">
        <v>1176</v>
      </c>
      <c r="G526" s="27">
        <v>23839</v>
      </c>
      <c r="H526" s="27">
        <v>8742</v>
      </c>
      <c r="I526" s="27">
        <v>7551</v>
      </c>
      <c r="J526" s="20" t="s">
        <v>1765</v>
      </c>
      <c r="K526" s="22">
        <f>SUM(G526,H526,I526)</f>
        <v>40132</v>
      </c>
      <c r="L526" s="20" t="s">
        <v>846</v>
      </c>
      <c r="M526" s="23" t="str">
        <f>VLOOKUP(L526,スキル!B:C,2,FALSE)</f>
        <v>縦一列攻撃[特大]自分の攻撃力UP[特大]</v>
      </c>
      <c r="N526" s="20" t="s">
        <v>1789</v>
      </c>
      <c r="O526" s="23" t="str">
        <f>VLOOKUP(N526,スキル!B:C,2,FALSE)</f>
        <v>　</v>
      </c>
      <c r="P526" s="23" t="s">
        <v>1803</v>
      </c>
      <c r="Q526" s="23" t="str">
        <f>VLOOKUP(P526,タクティクス!B:C,2,FALSE)</f>
        <v>強襲CBの発生確率・強襲時獲得Pt特大UP(3分間)</v>
      </c>
      <c r="R526" s="20" t="s">
        <v>1807</v>
      </c>
      <c r="S526" s="23" t="str">
        <f>VLOOKUP(R526,タクティクス!B:C,2,FALSE)</f>
        <v>　</v>
      </c>
      <c r="T526" s="20" t="s">
        <v>1141</v>
      </c>
      <c r="U526" s="20" t="s">
        <v>1783</v>
      </c>
      <c r="V526" s="20" t="s">
        <v>1822</v>
      </c>
    </row>
    <row r="527" spans="1:22" ht="21.75" customHeight="1" x14ac:dyDescent="0.15">
      <c r="A527" s="20" t="str">
        <f>B527&amp;".jpg"</f>
        <v>1866.jpg</v>
      </c>
      <c r="B527" s="46">
        <v>1866</v>
      </c>
      <c r="C527" s="24" t="s">
        <v>373</v>
      </c>
      <c r="D527" s="24" t="s">
        <v>150</v>
      </c>
      <c r="E527" s="24">
        <v>15</v>
      </c>
      <c r="F527" s="24" t="s">
        <v>41</v>
      </c>
      <c r="G527" s="22">
        <v>23003</v>
      </c>
      <c r="H527" s="22">
        <v>7178</v>
      </c>
      <c r="I527" s="22">
        <v>7211</v>
      </c>
      <c r="J527" s="24" t="s">
        <v>261</v>
      </c>
      <c r="K527" s="22">
        <f>SUM(G527,H527,I527)</f>
        <v>37392</v>
      </c>
      <c r="L527" s="23" t="s">
        <v>847</v>
      </c>
      <c r="M527" s="23" t="str">
        <f>VLOOKUP(L527,スキル!B:C,2,FALSE)</f>
        <v>味方全体の防御力をUP[特大]</v>
      </c>
      <c r="N527" s="23" t="s">
        <v>18</v>
      </c>
      <c r="O527" s="23" t="str">
        <f>VLOOKUP(N527,スキル!B:C,2,FALSE)</f>
        <v>　</v>
      </c>
      <c r="P527" s="23" t="s">
        <v>374</v>
      </c>
      <c r="Q527" s="23" t="str">
        <f>VLOOKUP(P527,タクティクス!B:C,2,FALSE)</f>
        <v>パーティ全体の攻・防が特大UP(3分間)</v>
      </c>
      <c r="R527" s="23" t="s">
        <v>188</v>
      </c>
      <c r="S527" s="23" t="str">
        <f>VLOOKUP(R527,タクティクス!B:C,2,FALSE)</f>
        <v>バトルで敵を全滅するとBPが大回復(バトル3回)</v>
      </c>
      <c r="T527" s="23" t="s">
        <v>18</v>
      </c>
      <c r="U527" s="23" t="s">
        <v>18</v>
      </c>
      <c r="V527" s="20" t="s">
        <v>1823</v>
      </c>
    </row>
    <row r="528" spans="1:22" ht="21.75" customHeight="1" x14ac:dyDescent="0.15">
      <c r="A528" s="20" t="str">
        <f>B528&amp;".jpg"</f>
        <v>1867.jpg</v>
      </c>
      <c r="B528" s="46">
        <v>1867</v>
      </c>
      <c r="C528" s="24" t="s">
        <v>375</v>
      </c>
      <c r="D528" s="24" t="s">
        <v>150</v>
      </c>
      <c r="E528" s="24">
        <v>14</v>
      </c>
      <c r="F528" s="24" t="s">
        <v>41</v>
      </c>
      <c r="G528" s="22">
        <v>19832</v>
      </c>
      <c r="H528" s="22">
        <v>6921</v>
      </c>
      <c r="I528" s="22">
        <v>5594</v>
      </c>
      <c r="J528" s="24" t="s">
        <v>55</v>
      </c>
      <c r="K528" s="22">
        <f>SUM(G528,H528,I528)</f>
        <v>32347</v>
      </c>
      <c r="L528" s="23" t="s">
        <v>849</v>
      </c>
      <c r="M528" s="23" t="str">
        <f>VLOOKUP(L528,スキル!B:C,2,FALSE)</f>
        <v>ランダム5連続攻撃[中]自分の攻撃力UP[中]</v>
      </c>
      <c r="N528" s="23" t="s">
        <v>18</v>
      </c>
      <c r="O528" s="23" t="str">
        <f>VLOOKUP(N528,スキル!B:C,2,FALSE)</f>
        <v>　</v>
      </c>
      <c r="P528" s="23" t="s">
        <v>352</v>
      </c>
      <c r="Q528" s="23" t="str">
        <f>VLOOKUP(P528,タクティクス!B:C,2,FALSE)</f>
        <v>ヘイトUP＆迎撃時にパーティ全体の攻・防が中UP(3分間)</v>
      </c>
      <c r="R528" s="23" t="s">
        <v>18</v>
      </c>
      <c r="S528" s="23" t="str">
        <f>VLOOKUP(R528,タクティクス!B:C,2,FALSE)</f>
        <v>　</v>
      </c>
      <c r="T528" s="23" t="s">
        <v>18</v>
      </c>
      <c r="U528" s="23" t="s">
        <v>18</v>
      </c>
      <c r="V528" s="20" t="s">
        <v>1882</v>
      </c>
    </row>
    <row r="529" spans="1:22" ht="21.75" customHeight="1" x14ac:dyDescent="0.15">
      <c r="A529" s="20" t="str">
        <f>B529&amp;".jpg"</f>
        <v>1869.jpg</v>
      </c>
      <c r="B529" s="46">
        <v>1869</v>
      </c>
      <c r="C529" s="24" t="s">
        <v>312</v>
      </c>
      <c r="D529" s="24" t="s">
        <v>150</v>
      </c>
      <c r="E529" s="24">
        <v>14</v>
      </c>
      <c r="F529" s="24" t="s">
        <v>16</v>
      </c>
      <c r="G529" s="22">
        <v>18387</v>
      </c>
      <c r="H529" s="22">
        <v>8449</v>
      </c>
      <c r="I529" s="22">
        <v>5950</v>
      </c>
      <c r="J529" s="24" t="s">
        <v>151</v>
      </c>
      <c r="K529" s="22">
        <f>SUM(G529,H529,I529)</f>
        <v>32786</v>
      </c>
      <c r="L529" s="23" t="s">
        <v>846</v>
      </c>
      <c r="M529" s="23" t="str">
        <f>VLOOKUP(L529,スキル!B:C,2,FALSE)</f>
        <v>縦一列攻撃[特大]自分の攻撃力UP[特大]</v>
      </c>
      <c r="N529" s="23" t="s">
        <v>18</v>
      </c>
      <c r="O529" s="23" t="str">
        <f>VLOOKUP(N529,スキル!B:C,2,FALSE)</f>
        <v>　</v>
      </c>
      <c r="P529" s="23" t="s">
        <v>308</v>
      </c>
      <c r="Q529" s="23" t="str">
        <f>VLOOKUP(P529,タクティクス!B:C,2,FALSE)</f>
        <v>騎士団全体の攻撃力が中UP(3分間)</v>
      </c>
      <c r="R529" s="23" t="s">
        <v>18</v>
      </c>
      <c r="S529" s="23" t="str">
        <f>VLOOKUP(R529,タクティクス!B:C,2,FALSE)</f>
        <v>　</v>
      </c>
      <c r="T529" s="23" t="s">
        <v>18</v>
      </c>
      <c r="U529" s="23" t="s">
        <v>18</v>
      </c>
      <c r="V529" s="20" t="s">
        <v>1899</v>
      </c>
    </row>
    <row r="530" spans="1:22" ht="21.75" customHeight="1" x14ac:dyDescent="0.15">
      <c r="A530" s="20" t="str">
        <f>B530&amp;".jpg"</f>
        <v>1871.jpg</v>
      </c>
      <c r="B530" s="46">
        <v>1871</v>
      </c>
      <c r="C530" s="24" t="s">
        <v>249</v>
      </c>
      <c r="D530" s="24" t="s">
        <v>150</v>
      </c>
      <c r="E530" s="24">
        <v>15</v>
      </c>
      <c r="F530" s="24" t="s">
        <v>25</v>
      </c>
      <c r="G530" s="22">
        <v>23474</v>
      </c>
      <c r="H530" s="22">
        <v>6450</v>
      </c>
      <c r="I530" s="22">
        <v>8735</v>
      </c>
      <c r="J530" s="24" t="s">
        <v>356</v>
      </c>
      <c r="K530" s="22">
        <f>SUM(G530,H530,I530)</f>
        <v>38659</v>
      </c>
      <c r="L530" s="23" t="s">
        <v>851</v>
      </c>
      <c r="M530" s="23" t="str">
        <f>VLOOKUP(L530,スキル!B:C,2,FALSE)</f>
        <v>遠に強く打に弱い縦一列攻撃[特大]</v>
      </c>
      <c r="N530" s="23" t="s">
        <v>18</v>
      </c>
      <c r="O530" s="23" t="str">
        <f>VLOOKUP(N530,スキル!B:C,2,FALSE)</f>
        <v>　</v>
      </c>
      <c r="P530" s="23" t="s">
        <v>361</v>
      </c>
      <c r="Q530" s="23" t="str">
        <f>VLOOKUP(P530,タクティクス!B:C,2,FALSE)</f>
        <v>パーティ全体の攻撃力が特大UP(3分間)</v>
      </c>
      <c r="R530" s="23" t="s">
        <v>195</v>
      </c>
      <c r="S530" s="23" t="str">
        <f>VLOOKUP(R530,タクティクス!B:C,2,FALSE)</f>
        <v>パーティ全体のスキル発動率が大UP(3分間)</v>
      </c>
      <c r="T530" s="23" t="s">
        <v>18</v>
      </c>
      <c r="U530" s="23" t="s">
        <v>18</v>
      </c>
      <c r="V530" s="20" t="s">
        <v>1899</v>
      </c>
    </row>
    <row r="531" spans="1:22" ht="21.75" customHeight="1" x14ac:dyDescent="0.15">
      <c r="A531" s="20" t="str">
        <f>B531&amp;".jpg"</f>
        <v>1873.jpg</v>
      </c>
      <c r="B531" s="46">
        <v>1873</v>
      </c>
      <c r="C531" s="24" t="s">
        <v>328</v>
      </c>
      <c r="D531" s="24" t="s">
        <v>150</v>
      </c>
      <c r="E531" s="24">
        <v>15</v>
      </c>
      <c r="F531" s="24" t="s">
        <v>34</v>
      </c>
      <c r="G531" s="22">
        <v>28285</v>
      </c>
      <c r="H531" s="22">
        <v>7178</v>
      </c>
      <c r="I531" s="22">
        <v>10899</v>
      </c>
      <c r="J531" s="24" t="s">
        <v>151</v>
      </c>
      <c r="K531" s="22">
        <f>SUM(G531,H531,I531)</f>
        <v>46362</v>
      </c>
      <c r="L531" s="23" t="s">
        <v>778</v>
      </c>
      <c r="M531" s="23" t="str">
        <f>VLOOKUP(L531,スキル!B:C,2,FALSE)</f>
        <v>横一列攻撃[特大]自分の防御力UP[特大]</v>
      </c>
      <c r="N531" s="23" t="s">
        <v>18</v>
      </c>
      <c r="O531" s="23" t="str">
        <f>VLOOKUP(N531,スキル!B:C,2,FALSE)</f>
        <v>　</v>
      </c>
      <c r="P531" s="23" t="s">
        <v>374</v>
      </c>
      <c r="Q531" s="23" t="str">
        <f>VLOOKUP(P531,タクティクス!B:C,2,FALSE)</f>
        <v>パーティ全体の攻・防が特大UP(3分間)</v>
      </c>
      <c r="R531" s="23" t="s">
        <v>180</v>
      </c>
      <c r="S531" s="23" t="str">
        <f>VLOOKUP(R531,タクティクス!B:C,2,FALSE)</f>
        <v>獲得する騎士団戦スコアが大アップ(バトル3回)</v>
      </c>
      <c r="T531" s="23" t="s">
        <v>18</v>
      </c>
      <c r="U531" s="23" t="s">
        <v>18</v>
      </c>
      <c r="V531" s="20" t="s">
        <v>1899</v>
      </c>
    </row>
    <row r="532" spans="1:22" ht="21.75" customHeight="1" x14ac:dyDescent="0.15">
      <c r="A532" s="20" t="str">
        <f>B532&amp;".jpg"</f>
        <v>1875.jpg</v>
      </c>
      <c r="B532" s="46">
        <v>1875</v>
      </c>
      <c r="C532" s="24" t="s">
        <v>291</v>
      </c>
      <c r="D532" s="24" t="s">
        <v>150</v>
      </c>
      <c r="E532" s="24">
        <v>14</v>
      </c>
      <c r="F532" s="24" t="s">
        <v>41</v>
      </c>
      <c r="G532" s="22">
        <v>19175</v>
      </c>
      <c r="H532" s="22">
        <v>6684</v>
      </c>
      <c r="I532" s="22">
        <v>6096</v>
      </c>
      <c r="J532" s="24" t="s">
        <v>55</v>
      </c>
      <c r="K532" s="22">
        <f>SUM(G532,H532,I532)</f>
        <v>31955</v>
      </c>
      <c r="L532" s="23" t="s">
        <v>772</v>
      </c>
      <c r="M532" s="23" t="str">
        <f>VLOOKUP(L532,スキル!B:C,2,FALSE)</f>
        <v>味方全体の攻撃力と防御力をUP[大]</v>
      </c>
      <c r="N532" s="23" t="s">
        <v>18</v>
      </c>
      <c r="O532" s="23" t="str">
        <f>VLOOKUP(N532,スキル!B:C,2,FALSE)</f>
        <v>　</v>
      </c>
      <c r="P532" s="23" t="s">
        <v>376</v>
      </c>
      <c r="Q532" s="23" t="str">
        <f>VLOOKUP(P532,タクティクス!B:C,2,FALSE)</f>
        <v>キリ番キャッスルブレイク時の獲得ポイントUP(3回)</v>
      </c>
      <c r="R532" s="23" t="s">
        <v>18</v>
      </c>
      <c r="S532" s="23" t="str">
        <f>VLOOKUP(R532,タクティクス!B:C,2,FALSE)</f>
        <v>　</v>
      </c>
      <c r="T532" s="23" t="s">
        <v>18</v>
      </c>
      <c r="U532" s="23" t="s">
        <v>18</v>
      </c>
      <c r="V532" s="20" t="s">
        <v>1899</v>
      </c>
    </row>
    <row r="533" spans="1:22" ht="21.75" customHeight="1" x14ac:dyDescent="0.15">
      <c r="A533" s="20" t="str">
        <f>B533&amp;".jpg"</f>
        <v>1875_a.jpg</v>
      </c>
      <c r="B533" s="21" t="s">
        <v>1773</v>
      </c>
      <c r="C533" s="20" t="s">
        <v>1762</v>
      </c>
      <c r="D533" s="20" t="s">
        <v>1763</v>
      </c>
      <c r="E533" s="20">
        <v>14</v>
      </c>
      <c r="F533" s="20" t="s">
        <v>1176</v>
      </c>
      <c r="G533" s="27">
        <v>26840</v>
      </c>
      <c r="H533" s="27">
        <v>8889</v>
      </c>
      <c r="I533" s="27">
        <v>8910</v>
      </c>
      <c r="J533" s="20" t="s">
        <v>1768</v>
      </c>
      <c r="K533" s="22">
        <f>SUM(G533,H533,I533)</f>
        <v>44639</v>
      </c>
      <c r="L533" s="23" t="s">
        <v>1800</v>
      </c>
      <c r="M533" s="23" t="str">
        <f>VLOOKUP(L533,スキル!B:C,2,FALSE)</f>
        <v>味方全体の攻撃力と防御力をUP[特大]</v>
      </c>
      <c r="N533" s="20" t="s">
        <v>1141</v>
      </c>
      <c r="O533" s="23" t="str">
        <f>VLOOKUP(N533,スキル!B:C,2,FALSE)</f>
        <v>　</v>
      </c>
      <c r="P533" s="23" t="s">
        <v>376</v>
      </c>
      <c r="Q533" s="23" t="str">
        <f>VLOOKUP(P533,タクティクス!B:C,2,FALSE)</f>
        <v>キリ番キャッスルブレイク時の獲得ポイントUP(3回)</v>
      </c>
      <c r="R533" s="20" t="s">
        <v>1141</v>
      </c>
      <c r="S533" s="23" t="str">
        <f>VLOOKUP(R533,タクティクス!B:C,2,FALSE)</f>
        <v>　</v>
      </c>
      <c r="T533" s="20" t="s">
        <v>1788</v>
      </c>
      <c r="U533" s="20" t="s">
        <v>1788</v>
      </c>
      <c r="V533" s="20" t="s">
        <v>1822</v>
      </c>
    </row>
    <row r="534" spans="1:22" ht="21.75" customHeight="1" x14ac:dyDescent="0.15">
      <c r="A534" s="20" t="str">
        <f>B534&amp;".jpg"</f>
        <v>1875_b.jpg</v>
      </c>
      <c r="B534" s="21" t="s">
        <v>1774</v>
      </c>
      <c r="C534" s="20" t="s">
        <v>1762</v>
      </c>
      <c r="D534" s="20" t="s">
        <v>1763</v>
      </c>
      <c r="E534" s="20">
        <v>14</v>
      </c>
      <c r="F534" s="20" t="s">
        <v>1176</v>
      </c>
      <c r="G534" s="27">
        <v>25895</v>
      </c>
      <c r="H534" s="27">
        <v>8553</v>
      </c>
      <c r="I534" s="27">
        <v>8595</v>
      </c>
      <c r="J534" s="20" t="s">
        <v>1768</v>
      </c>
      <c r="K534" s="22">
        <f>SUM(G534,H534,I534)</f>
        <v>43043</v>
      </c>
      <c r="L534" s="23" t="s">
        <v>772</v>
      </c>
      <c r="M534" s="23" t="str">
        <f>VLOOKUP(L534,スキル!B:C,2,FALSE)</f>
        <v>味方全体の攻撃力と防御力をUP[大]</v>
      </c>
      <c r="N534" s="20" t="s">
        <v>1789</v>
      </c>
      <c r="O534" s="23" t="str">
        <f>VLOOKUP(N534,スキル!B:C,2,FALSE)</f>
        <v>　</v>
      </c>
      <c r="P534" s="23" t="s">
        <v>1804</v>
      </c>
      <c r="Q534" s="23" t="str">
        <f>VLOOKUP(P534,タクティクス!B:C,2,FALSE)</f>
        <v>キリ番CB時の獲得ポイント特大UP(8回)</v>
      </c>
      <c r="R534" s="20" t="s">
        <v>1788</v>
      </c>
      <c r="S534" s="23" t="str">
        <f>VLOOKUP(R534,タクティクス!B:C,2,FALSE)</f>
        <v>　</v>
      </c>
      <c r="T534" s="20" t="s">
        <v>1789</v>
      </c>
      <c r="U534" s="20" t="s">
        <v>1788</v>
      </c>
      <c r="V534" s="20" t="s">
        <v>1822</v>
      </c>
    </row>
    <row r="535" spans="1:22" ht="21.75" customHeight="1" x14ac:dyDescent="0.15">
      <c r="A535" s="20" t="str">
        <f>B535&amp;".jpg"</f>
        <v>1876.jpg</v>
      </c>
      <c r="B535" s="46">
        <v>1876</v>
      </c>
      <c r="C535" s="24" t="s">
        <v>219</v>
      </c>
      <c r="D535" s="24" t="s">
        <v>15</v>
      </c>
      <c r="E535" s="24">
        <v>12</v>
      </c>
      <c r="F535" s="24" t="s">
        <v>16</v>
      </c>
      <c r="G535" s="22">
        <v>15258</v>
      </c>
      <c r="H535" s="22">
        <v>7016</v>
      </c>
      <c r="I535" s="22">
        <v>4771</v>
      </c>
      <c r="J535" s="24" t="s">
        <v>17</v>
      </c>
      <c r="K535" s="22">
        <f>SUM(G535,H535,I535)</f>
        <v>27045</v>
      </c>
      <c r="L535" s="23" t="s">
        <v>853</v>
      </c>
      <c r="M535" s="23" t="str">
        <f>VLOOKUP(L535,スキル!B:C,2,FALSE)</f>
        <v>X字型攻撃[中]自分の攻撃力UP[中]</v>
      </c>
      <c r="N535" s="23" t="s">
        <v>18</v>
      </c>
      <c r="O535" s="23" t="str">
        <f>VLOOKUP(N535,スキル!B:C,2,FALSE)</f>
        <v>　</v>
      </c>
      <c r="P535" s="23" t="s">
        <v>23</v>
      </c>
      <c r="Q535" s="23" t="str">
        <f>VLOOKUP(P535,タクティクス!B:C,2,FALSE)</f>
        <v>パーティ全体の攻撃力が中UP(3分間)</v>
      </c>
      <c r="R535" s="23" t="s">
        <v>18</v>
      </c>
      <c r="S535" s="23" t="str">
        <f>VLOOKUP(R535,タクティクス!B:C,2,FALSE)</f>
        <v>　</v>
      </c>
      <c r="T535" s="23" t="s">
        <v>18</v>
      </c>
      <c r="U535" s="23" t="s">
        <v>18</v>
      </c>
      <c r="V535" s="20" t="s">
        <v>1849</v>
      </c>
    </row>
    <row r="536" spans="1:22" ht="21.75" customHeight="1" x14ac:dyDescent="0.15">
      <c r="A536" s="20" t="str">
        <f>B536&amp;".jpg"</f>
        <v>1877.jpg</v>
      </c>
      <c r="B536" s="46">
        <v>1877</v>
      </c>
      <c r="C536" s="24" t="s">
        <v>219</v>
      </c>
      <c r="D536" s="24" t="s">
        <v>15</v>
      </c>
      <c r="E536" s="24">
        <v>13</v>
      </c>
      <c r="F536" s="24" t="s">
        <v>16</v>
      </c>
      <c r="G536" s="22">
        <v>16381</v>
      </c>
      <c r="H536" s="22">
        <v>7412</v>
      </c>
      <c r="I536" s="22">
        <v>5433</v>
      </c>
      <c r="J536" s="24" t="s">
        <v>17</v>
      </c>
      <c r="K536" s="22">
        <f>SUM(G536,H536,I536)</f>
        <v>29226</v>
      </c>
      <c r="L536" s="23" t="s">
        <v>853</v>
      </c>
      <c r="M536" s="23" t="str">
        <f>VLOOKUP(L536,スキル!B:C,2,FALSE)</f>
        <v>X字型攻撃[中]自分の攻撃力UP[中]</v>
      </c>
      <c r="N536" s="23" t="s">
        <v>18</v>
      </c>
      <c r="O536" s="23" t="str">
        <f>VLOOKUP(N536,スキル!B:C,2,FALSE)</f>
        <v>　</v>
      </c>
      <c r="P536" s="23" t="s">
        <v>23</v>
      </c>
      <c r="Q536" s="23" t="str">
        <f>VLOOKUP(P536,タクティクス!B:C,2,FALSE)</f>
        <v>パーティ全体の攻撃力が中UP(3分間)</v>
      </c>
      <c r="R536" s="23" t="s">
        <v>18</v>
      </c>
      <c r="S536" s="23" t="str">
        <f>VLOOKUP(R536,タクティクス!B:C,2,FALSE)</f>
        <v>　</v>
      </c>
      <c r="T536" s="23" t="s">
        <v>18</v>
      </c>
      <c r="U536" s="23" t="s">
        <v>18</v>
      </c>
      <c r="V536" s="20" t="s">
        <v>1849</v>
      </c>
    </row>
    <row r="537" spans="1:22" ht="21.75" customHeight="1" x14ac:dyDescent="0.15">
      <c r="A537" s="20" t="str">
        <f>B537&amp;".jpg"</f>
        <v>1878.jpg</v>
      </c>
      <c r="B537" s="46">
        <v>1878</v>
      </c>
      <c r="C537" s="24" t="s">
        <v>219</v>
      </c>
      <c r="D537" s="24" t="s">
        <v>150</v>
      </c>
      <c r="E537" s="24">
        <v>14</v>
      </c>
      <c r="F537" s="24" t="s">
        <v>16</v>
      </c>
      <c r="G537" s="22">
        <v>18143</v>
      </c>
      <c r="H537" s="22">
        <v>8278</v>
      </c>
      <c r="I537" s="22">
        <v>6078</v>
      </c>
      <c r="J537" s="24" t="s">
        <v>151</v>
      </c>
      <c r="K537" s="22">
        <f>SUM(G537,H537,I537)</f>
        <v>32499</v>
      </c>
      <c r="L537" s="23" t="s">
        <v>735</v>
      </c>
      <c r="M537" s="23" t="str">
        <f>VLOOKUP(L537,スキル!B:C,2,FALSE)</f>
        <v>X字型攻撃[特大]自分の攻撃力UP[特大]</v>
      </c>
      <c r="N537" s="23" t="s">
        <v>18</v>
      </c>
      <c r="O537" s="23" t="str">
        <f>VLOOKUP(N537,スキル!B:C,2,FALSE)</f>
        <v>　</v>
      </c>
      <c r="P537" s="23" t="s">
        <v>178</v>
      </c>
      <c r="Q537" s="23" t="str">
        <f>VLOOKUP(P537,タクティクス!B:C,2,FALSE)</f>
        <v>パーティ全体の攻撃力が大UP(3分間)</v>
      </c>
      <c r="R537" s="23" t="s">
        <v>18</v>
      </c>
      <c r="S537" s="23" t="str">
        <f>VLOOKUP(R537,タクティクス!B:C,2,FALSE)</f>
        <v>　</v>
      </c>
      <c r="T537" s="23" t="s">
        <v>18</v>
      </c>
      <c r="U537" s="23" t="s">
        <v>18</v>
      </c>
      <c r="V537" s="20" t="s">
        <v>1849</v>
      </c>
    </row>
    <row r="538" spans="1:22" ht="21.75" customHeight="1" x14ac:dyDescent="0.15">
      <c r="A538" s="20" t="str">
        <f>B538&amp;".jpg"</f>
        <v>1879.jpg</v>
      </c>
      <c r="B538" s="46">
        <v>1879</v>
      </c>
      <c r="C538" s="24" t="s">
        <v>219</v>
      </c>
      <c r="D538" s="24" t="s">
        <v>150</v>
      </c>
      <c r="E538" s="24">
        <v>15</v>
      </c>
      <c r="F538" s="24" t="s">
        <v>16</v>
      </c>
      <c r="G538" s="22">
        <v>20715</v>
      </c>
      <c r="H538" s="22">
        <v>9371</v>
      </c>
      <c r="I538" s="22">
        <v>6812</v>
      </c>
      <c r="J538" s="24" t="s">
        <v>26</v>
      </c>
      <c r="K538" s="22">
        <f>SUM(G538,H538,I538)</f>
        <v>36898</v>
      </c>
      <c r="L538" s="23" t="s">
        <v>735</v>
      </c>
      <c r="M538" s="23" t="str">
        <f>VLOOKUP(L538,スキル!B:C,2,FALSE)</f>
        <v>X字型攻撃[特大]自分の攻撃力UP[特大]</v>
      </c>
      <c r="N538" s="23" t="s">
        <v>18</v>
      </c>
      <c r="O538" s="23" t="str">
        <f>VLOOKUP(N538,スキル!B:C,2,FALSE)</f>
        <v>　</v>
      </c>
      <c r="P538" s="23" t="s">
        <v>361</v>
      </c>
      <c r="Q538" s="23" t="str">
        <f>VLOOKUP(P538,タクティクス!B:C,2,FALSE)</f>
        <v>パーティ全体の攻撃力が特大UP(3分間)</v>
      </c>
      <c r="R538" s="23" t="s">
        <v>152</v>
      </c>
      <c r="S538" s="23" t="str">
        <f>VLOOKUP(R538,タクティクス!B:C,2,FALSE)</f>
        <v>パーティ全体の攻・防が大UP(3分間)</v>
      </c>
      <c r="T538" s="23" t="s">
        <v>18</v>
      </c>
      <c r="U538" s="23" t="s">
        <v>18</v>
      </c>
      <c r="V538" s="20" t="s">
        <v>1849</v>
      </c>
    </row>
    <row r="539" spans="1:22" ht="21.75" customHeight="1" x14ac:dyDescent="0.15">
      <c r="A539" s="20" t="str">
        <f>B539&amp;".jpg"</f>
        <v>1881.jpg</v>
      </c>
      <c r="B539" s="46">
        <v>1881</v>
      </c>
      <c r="C539" s="24" t="s">
        <v>187</v>
      </c>
      <c r="D539" s="24" t="s">
        <v>150</v>
      </c>
      <c r="E539" s="24">
        <v>14</v>
      </c>
      <c r="F539" s="24" t="s">
        <v>25</v>
      </c>
      <c r="G539" s="22">
        <v>19469</v>
      </c>
      <c r="H539" s="22">
        <v>5898</v>
      </c>
      <c r="I539" s="22">
        <v>6672</v>
      </c>
      <c r="J539" s="24" t="s">
        <v>282</v>
      </c>
      <c r="K539" s="22">
        <f>SUM(G539,H539,I539)</f>
        <v>32039</v>
      </c>
      <c r="L539" s="23" t="s">
        <v>786</v>
      </c>
      <c r="M539" s="23" t="str">
        <f>VLOOKUP(L539,スキル!B:C,2,FALSE)</f>
        <v>ランダムで6連続攻撃[中]</v>
      </c>
      <c r="N539" s="23" t="s">
        <v>18</v>
      </c>
      <c r="O539" s="23" t="str">
        <f>VLOOKUP(N539,スキル!B:C,2,FALSE)</f>
        <v>　</v>
      </c>
      <c r="P539" s="23" t="s">
        <v>311</v>
      </c>
      <c r="Q539" s="23" t="str">
        <f>VLOOKUP(P539,タクティクス!B:C,2,FALSE)</f>
        <v>対戦騎士団全体の防御力が中DOWN(3分間)</v>
      </c>
      <c r="R539" s="23" t="s">
        <v>18</v>
      </c>
      <c r="S539" s="23" t="str">
        <f>VLOOKUP(R539,タクティクス!B:C,2,FALSE)</f>
        <v>　</v>
      </c>
      <c r="T539" s="23" t="s">
        <v>18</v>
      </c>
      <c r="U539" s="23" t="s">
        <v>18</v>
      </c>
      <c r="V539" s="20" t="s">
        <v>1878</v>
      </c>
    </row>
    <row r="540" spans="1:22" ht="21.75" customHeight="1" x14ac:dyDescent="0.15">
      <c r="A540" s="20" t="str">
        <f>B540&amp;".jpg"</f>
        <v>1882.jpg</v>
      </c>
      <c r="B540" s="46">
        <v>1882</v>
      </c>
      <c r="C540" s="24" t="s">
        <v>71</v>
      </c>
      <c r="D540" s="24" t="s">
        <v>150</v>
      </c>
      <c r="E540" s="24">
        <v>15</v>
      </c>
      <c r="F540" s="24" t="s">
        <v>16</v>
      </c>
      <c r="G540" s="22">
        <v>20675</v>
      </c>
      <c r="H540" s="22">
        <v>9157</v>
      </c>
      <c r="I540" s="22">
        <v>7329</v>
      </c>
      <c r="J540" s="24" t="s">
        <v>26</v>
      </c>
      <c r="K540" s="22">
        <f>SUM(G540,H540,I540)</f>
        <v>37161</v>
      </c>
      <c r="L540" s="23" t="s">
        <v>855</v>
      </c>
      <c r="M540" s="23" t="str">
        <f>VLOOKUP(L540,スキル!B:C,2,FALSE)</f>
        <v>十字型攻撃[特大]自分の攻撃力UP[特大]</v>
      </c>
      <c r="N540" s="23" t="s">
        <v>18</v>
      </c>
      <c r="O540" s="23" t="str">
        <f>VLOOKUP(N540,スキル!B:C,2,FALSE)</f>
        <v>　</v>
      </c>
      <c r="P540" s="23" t="s">
        <v>238</v>
      </c>
      <c r="Q540" s="23" t="str">
        <f>VLOOKUP(P540,タクティクス!B:C,2,FALSE)</f>
        <v>騎士団全員のBPを大回復</v>
      </c>
      <c r="R540" s="23" t="s">
        <v>178</v>
      </c>
      <c r="S540" s="23" t="str">
        <f>VLOOKUP(R540,タクティクス!B:C,2,FALSE)</f>
        <v>パーティ全体の攻撃力が大UP(3分間)</v>
      </c>
      <c r="T540" s="23" t="s">
        <v>18</v>
      </c>
      <c r="U540" s="23" t="s">
        <v>18</v>
      </c>
      <c r="V540" s="20" t="s">
        <v>1899</v>
      </c>
    </row>
    <row r="541" spans="1:22" ht="21.75" customHeight="1" x14ac:dyDescent="0.15">
      <c r="A541" s="20" t="str">
        <f>B541&amp;".jpg"</f>
        <v>1883.jpg</v>
      </c>
      <c r="B541" s="46">
        <v>1883</v>
      </c>
      <c r="C541" s="24" t="s">
        <v>46</v>
      </c>
      <c r="D541" s="24" t="s">
        <v>150</v>
      </c>
      <c r="E541" s="24">
        <v>14</v>
      </c>
      <c r="F541" s="24" t="s">
        <v>16</v>
      </c>
      <c r="G541" s="22">
        <v>18506</v>
      </c>
      <c r="H541" s="22">
        <v>9005</v>
      </c>
      <c r="I541" s="22">
        <v>6328</v>
      </c>
      <c r="J541" s="24" t="s">
        <v>151</v>
      </c>
      <c r="K541" s="22">
        <f>SUM(G541,H541,I541)</f>
        <v>33839</v>
      </c>
      <c r="L541" s="23" t="s">
        <v>745</v>
      </c>
      <c r="M541" s="23" t="str">
        <f>VLOOKUP(L541,スキル!B:C,2,FALSE)</f>
        <v>一定確率で敵を暗闇状態にする[超高確率]</v>
      </c>
      <c r="N541" s="23" t="s">
        <v>18</v>
      </c>
      <c r="O541" s="23" t="str">
        <f>VLOOKUP(N541,スキル!B:C,2,FALSE)</f>
        <v>　</v>
      </c>
      <c r="P541" s="23" t="s">
        <v>251</v>
      </c>
      <c r="Q541" s="23" t="str">
        <f>VLOOKUP(P541,タクティクス!B:C,2,FALSE)</f>
        <v>パーティ全体の速度が大UP(3分間)</v>
      </c>
      <c r="R541" s="23" t="s">
        <v>18</v>
      </c>
      <c r="S541" s="23" t="str">
        <f>VLOOKUP(R541,タクティクス!B:C,2,FALSE)</f>
        <v>　</v>
      </c>
      <c r="T541" s="23" t="s">
        <v>18</v>
      </c>
      <c r="U541" s="23" t="s">
        <v>18</v>
      </c>
      <c r="V541" s="20" t="s">
        <v>1899</v>
      </c>
    </row>
    <row r="542" spans="1:22" ht="21.75" customHeight="1" x14ac:dyDescent="0.15">
      <c r="A542" s="20" t="str">
        <f>B542&amp;".jpg"</f>
        <v>1884.jpg</v>
      </c>
      <c r="B542" s="46">
        <v>1884</v>
      </c>
      <c r="C542" s="24" t="s">
        <v>377</v>
      </c>
      <c r="D542" s="24" t="s">
        <v>150</v>
      </c>
      <c r="E542" s="24">
        <v>15</v>
      </c>
      <c r="F542" s="24" t="s">
        <v>25</v>
      </c>
      <c r="G542" s="22">
        <v>23095</v>
      </c>
      <c r="H542" s="22">
        <v>6378</v>
      </c>
      <c r="I542" s="22">
        <v>8357</v>
      </c>
      <c r="J542" s="24" t="s">
        <v>356</v>
      </c>
      <c r="K542" s="22">
        <f>SUM(G542,H542,I542)</f>
        <v>37830</v>
      </c>
      <c r="L542" s="23" t="s">
        <v>851</v>
      </c>
      <c r="M542" s="23" t="str">
        <f>VLOOKUP(L542,スキル!B:C,2,FALSE)</f>
        <v>遠に強く打に弱い縦一列攻撃[特大]</v>
      </c>
      <c r="N542" s="23" t="s">
        <v>18</v>
      </c>
      <c r="O542" s="23" t="str">
        <f>VLOOKUP(N542,スキル!B:C,2,FALSE)</f>
        <v>　</v>
      </c>
      <c r="P542" s="23" t="s">
        <v>378</v>
      </c>
      <c r="Q542" s="23" t="str">
        <f>VLOOKUP(P542,タクティクス!B:C,2,FALSE)</f>
        <v>パーティ全体の攻撃力・速度が大UP(3分間)</v>
      </c>
      <c r="R542" s="23" t="s">
        <v>228</v>
      </c>
      <c r="S542" s="23" t="str">
        <f>VLOOKUP(R542,タクティクス!B:C,2,FALSE)</f>
        <v>強襲が発生無効、バトル時に攻・防中UP(3分間)</v>
      </c>
      <c r="T542" s="23" t="s">
        <v>18</v>
      </c>
      <c r="U542" s="23" t="s">
        <v>18</v>
      </c>
      <c r="V542" s="20" t="s">
        <v>1899</v>
      </c>
    </row>
    <row r="543" spans="1:22" ht="21.75" customHeight="1" x14ac:dyDescent="0.15">
      <c r="A543" s="20" t="str">
        <f>B543&amp;".jpg"</f>
        <v>1885.jpg</v>
      </c>
      <c r="B543" s="46">
        <v>1885</v>
      </c>
      <c r="C543" s="24" t="s">
        <v>98</v>
      </c>
      <c r="D543" s="24" t="s">
        <v>150</v>
      </c>
      <c r="E543" s="24">
        <v>15</v>
      </c>
      <c r="F543" s="24" t="s">
        <v>34</v>
      </c>
      <c r="G543" s="22">
        <v>29421</v>
      </c>
      <c r="H543" s="22">
        <v>7543</v>
      </c>
      <c r="I543" s="22">
        <v>11027</v>
      </c>
      <c r="J543" s="24" t="s">
        <v>151</v>
      </c>
      <c r="K543" s="22">
        <f>SUM(G543,H543,I543)</f>
        <v>47991</v>
      </c>
      <c r="L543" s="23" t="s">
        <v>835</v>
      </c>
      <c r="M543" s="23" t="str">
        <f>VLOOKUP(L543,スキル!B:C,2,FALSE)</f>
        <v>単体攻撃（宝箱優先／追加ダメージ）[特大]</v>
      </c>
      <c r="N543" s="23" t="s">
        <v>18</v>
      </c>
      <c r="O543" s="23" t="str">
        <f>VLOOKUP(N543,スキル!B:C,2,FALSE)</f>
        <v>　</v>
      </c>
      <c r="P543" s="23" t="s">
        <v>185</v>
      </c>
      <c r="Q543" s="23" t="str">
        <f>VLOOKUP(P543,タクティクス!B:C,2,FALSE)</f>
        <v>バトル時の強襲CB率が中UP(3分間)</v>
      </c>
      <c r="R543" s="23" t="s">
        <v>135</v>
      </c>
      <c r="S543" s="23" t="str">
        <f>VLOOKUP(R543,タクティクス!B:C,2,FALSE)</f>
        <v>高確率で戦闘不能ユニットを復帰</v>
      </c>
      <c r="T543" s="23" t="s">
        <v>18</v>
      </c>
      <c r="U543" s="23" t="s">
        <v>18</v>
      </c>
      <c r="V543" s="20" t="s">
        <v>1899</v>
      </c>
    </row>
    <row r="544" spans="1:22" ht="21.75" customHeight="1" x14ac:dyDescent="0.15">
      <c r="A544" s="20" t="str">
        <f>B544&amp;".jpg"</f>
        <v>1886.jpg</v>
      </c>
      <c r="B544" s="46">
        <v>1886</v>
      </c>
      <c r="C544" s="24" t="s">
        <v>307</v>
      </c>
      <c r="D544" s="24" t="s">
        <v>150</v>
      </c>
      <c r="E544" s="24">
        <v>14</v>
      </c>
      <c r="F544" s="24" t="s">
        <v>41</v>
      </c>
      <c r="G544" s="22">
        <v>20458</v>
      </c>
      <c r="H544" s="22">
        <v>7010</v>
      </c>
      <c r="I544" s="22">
        <v>5880</v>
      </c>
      <c r="J544" s="24" t="s">
        <v>55</v>
      </c>
      <c r="K544" s="22">
        <f>SUM(G544,H544,I544)</f>
        <v>33348</v>
      </c>
      <c r="L544" s="23" t="s">
        <v>715</v>
      </c>
      <c r="M544" s="23" t="str">
        <f>VLOOKUP(L544,スキル!B:C,2,FALSE)</f>
        <v>打に強く遠に弱い縦一列攻撃[特大]</v>
      </c>
      <c r="N544" s="23" t="s">
        <v>18</v>
      </c>
      <c r="O544" s="23" t="str">
        <f>VLOOKUP(N544,スキル!B:C,2,FALSE)</f>
        <v>　</v>
      </c>
      <c r="P544" s="23" t="s">
        <v>308</v>
      </c>
      <c r="Q544" s="23" t="str">
        <f>VLOOKUP(P544,タクティクス!B:C,2,FALSE)</f>
        <v>騎士団全体の攻撃力が中UP(3分間)</v>
      </c>
      <c r="R544" s="23" t="s">
        <v>18</v>
      </c>
      <c r="S544" s="23" t="str">
        <f>VLOOKUP(R544,タクティクス!B:C,2,FALSE)</f>
        <v>　</v>
      </c>
      <c r="T544" s="23" t="s">
        <v>18</v>
      </c>
      <c r="U544" s="23" t="s">
        <v>18</v>
      </c>
      <c r="V544" s="20" t="s">
        <v>1899</v>
      </c>
    </row>
    <row r="545" spans="1:22" ht="21.75" customHeight="1" x14ac:dyDescent="0.15">
      <c r="A545" s="20" t="str">
        <f>B545&amp;".jpg"</f>
        <v>1888.jpg</v>
      </c>
      <c r="B545" s="46">
        <v>1888</v>
      </c>
      <c r="C545" s="24" t="s">
        <v>379</v>
      </c>
      <c r="D545" s="24" t="s">
        <v>150</v>
      </c>
      <c r="E545" s="24">
        <v>14</v>
      </c>
      <c r="F545" s="24" t="s">
        <v>34</v>
      </c>
      <c r="G545" s="22">
        <v>22786</v>
      </c>
      <c r="H545" s="22">
        <v>6789</v>
      </c>
      <c r="I545" s="22">
        <v>9549</v>
      </c>
      <c r="J545" s="24" t="s">
        <v>17</v>
      </c>
      <c r="K545" s="22">
        <f>SUM(G545,H545,I545)</f>
        <v>39124</v>
      </c>
      <c r="L545" s="23" t="s">
        <v>697</v>
      </c>
      <c r="M545" s="23" t="str">
        <f>VLOOKUP(L545,スキル!B:C,2,FALSE)</f>
        <v>X字型攻撃[特大]自分の攻撃力UP[特大]</v>
      </c>
      <c r="N545" s="23" t="s">
        <v>18</v>
      </c>
      <c r="O545" s="23" t="str">
        <f>VLOOKUP(N545,スキル!B:C,2,FALSE)</f>
        <v>　</v>
      </c>
      <c r="P545" s="23" t="s">
        <v>298</v>
      </c>
      <c r="Q545" s="23" t="str">
        <f>VLOOKUP(P545,タクティクス!B:C,2,FALSE)</f>
        <v>城の強度Lvが中UP(3分間)</v>
      </c>
      <c r="R545" s="23" t="s">
        <v>18</v>
      </c>
      <c r="S545" s="23" t="str">
        <f>VLOOKUP(R545,タクティクス!B:C,2,FALSE)</f>
        <v>　</v>
      </c>
      <c r="T545" s="23" t="s">
        <v>18</v>
      </c>
      <c r="U545" s="23" t="s">
        <v>18</v>
      </c>
      <c r="V545" s="20" t="s">
        <v>1823</v>
      </c>
    </row>
    <row r="546" spans="1:22" ht="21.75" customHeight="1" x14ac:dyDescent="0.15">
      <c r="A546" s="20" t="str">
        <f>B546&amp;".jpg"</f>
        <v>1888_a.jpg</v>
      </c>
      <c r="B546" s="21" t="s">
        <v>1255</v>
      </c>
      <c r="C546" s="20" t="s">
        <v>1195</v>
      </c>
      <c r="D546" s="20" t="s">
        <v>1190</v>
      </c>
      <c r="E546" s="20">
        <v>14</v>
      </c>
      <c r="F546" s="24" t="s">
        <v>34</v>
      </c>
      <c r="G546" s="27">
        <v>30766</v>
      </c>
      <c r="H546" s="27">
        <v>8826</v>
      </c>
      <c r="I546" s="27">
        <v>12888</v>
      </c>
      <c r="J546" s="20" t="s">
        <v>1203</v>
      </c>
      <c r="K546" s="22">
        <f>SUM(G546,H546,I546)</f>
        <v>52480</v>
      </c>
      <c r="L546" s="23" t="s">
        <v>1218</v>
      </c>
      <c r="M546" s="23" t="str">
        <f>VLOOKUP(L546,スキル!B:C,2,FALSE)</f>
        <v>X字型攻撃[極大]自分の攻撃力UP[極大]</v>
      </c>
      <c r="N546" s="20" t="s">
        <v>1221</v>
      </c>
      <c r="O546" s="23" t="str">
        <f>VLOOKUP(N546,スキル!B:C,2,FALSE)</f>
        <v>　</v>
      </c>
      <c r="P546" s="20" t="s">
        <v>1244</v>
      </c>
      <c r="Q546" s="23" t="str">
        <f>VLOOKUP(P546,タクティクス!B:C,2,FALSE)</f>
        <v>城の強度Lvが中UP(3分間)</v>
      </c>
      <c r="R546" s="20" t="s">
        <v>1011</v>
      </c>
      <c r="S546" s="23" t="str">
        <f>VLOOKUP(R546,タクティクス!B:C,2,FALSE)</f>
        <v>　</v>
      </c>
      <c r="T546" s="20" t="s">
        <v>1221</v>
      </c>
      <c r="U546" s="20" t="s">
        <v>1225</v>
      </c>
      <c r="V546" s="20" t="s">
        <v>1822</v>
      </c>
    </row>
    <row r="547" spans="1:22" ht="21.75" customHeight="1" x14ac:dyDescent="0.15">
      <c r="A547" s="20" t="str">
        <f>B547&amp;".jpg"</f>
        <v>1888_b.jpg</v>
      </c>
      <c r="B547" s="21" t="s">
        <v>1256</v>
      </c>
      <c r="C547" s="20" t="s">
        <v>1196</v>
      </c>
      <c r="D547" s="20" t="s">
        <v>1190</v>
      </c>
      <c r="E547" s="20">
        <v>14</v>
      </c>
      <c r="F547" s="24" t="s">
        <v>34</v>
      </c>
      <c r="G547" s="27">
        <v>28477</v>
      </c>
      <c r="H547" s="27">
        <v>8490</v>
      </c>
      <c r="I547" s="27">
        <v>11943</v>
      </c>
      <c r="J547" s="20" t="s">
        <v>1204</v>
      </c>
      <c r="K547" s="22">
        <f>SUM(G547,H547,I547)</f>
        <v>48910</v>
      </c>
      <c r="L547" s="23" t="s">
        <v>697</v>
      </c>
      <c r="M547" s="23" t="str">
        <f>VLOOKUP(L547,スキル!B:C,2,FALSE)</f>
        <v>X字型攻撃[特大]自分の攻撃力UP[特大]</v>
      </c>
      <c r="N547" s="20" t="s">
        <v>1220</v>
      </c>
      <c r="O547" s="23" t="str">
        <f>VLOOKUP(N547,スキル!B:C,2,FALSE)</f>
        <v>　</v>
      </c>
      <c r="P547" s="20" t="s">
        <v>1246</v>
      </c>
      <c r="Q547" s="23" t="str">
        <f>VLOOKUP(P547,タクティクス!B:C,2,FALSE)</f>
        <v>城の強度Lvが特大UP(3分間)</v>
      </c>
      <c r="R547" s="20" t="s">
        <v>1011</v>
      </c>
      <c r="S547" s="23" t="str">
        <f>VLOOKUP(R547,タクティクス!B:C,2,FALSE)</f>
        <v>　</v>
      </c>
      <c r="T547" s="20" t="s">
        <v>1225</v>
      </c>
      <c r="U547" s="20" t="s">
        <v>1225</v>
      </c>
      <c r="V547" s="20" t="s">
        <v>1822</v>
      </c>
    </row>
    <row r="548" spans="1:22" ht="21.75" customHeight="1" x14ac:dyDescent="0.15">
      <c r="A548" s="20" t="str">
        <f>B548&amp;".jpg"</f>
        <v>1890.jpg</v>
      </c>
      <c r="B548" s="46">
        <v>1890</v>
      </c>
      <c r="C548" s="24" t="s">
        <v>380</v>
      </c>
      <c r="D548" s="24" t="s">
        <v>150</v>
      </c>
      <c r="E548" s="24">
        <v>15</v>
      </c>
      <c r="F548" s="24" t="s">
        <v>41</v>
      </c>
      <c r="G548" s="22">
        <v>21983</v>
      </c>
      <c r="H548" s="22">
        <v>7051</v>
      </c>
      <c r="I548" s="22">
        <v>7358</v>
      </c>
      <c r="J548" s="24" t="s">
        <v>261</v>
      </c>
      <c r="K548" s="22">
        <f>SUM(G548,H548,I548)</f>
        <v>36392</v>
      </c>
      <c r="L548" s="23" t="s">
        <v>709</v>
      </c>
      <c r="M548" s="23" t="str">
        <f>VLOOKUP(L548,スキル!B:C,2,FALSE)</f>
        <v>味方遠属性の攻撃力をUP[特大]</v>
      </c>
      <c r="N548" s="23" t="s">
        <v>18</v>
      </c>
      <c r="O548" s="23" t="str">
        <f>VLOOKUP(N548,スキル!B:C,2,FALSE)</f>
        <v>　</v>
      </c>
      <c r="P548" s="23" t="s">
        <v>188</v>
      </c>
      <c r="Q548" s="23" t="str">
        <f>VLOOKUP(P548,タクティクス!B:C,2,FALSE)</f>
        <v>バトルで敵を全滅するとBPが大回復(バトル3回)</v>
      </c>
      <c r="R548" s="23" t="s">
        <v>281</v>
      </c>
      <c r="S548" s="23" t="str">
        <f>VLOOKUP(R548,タクティクス!B:C,2,FALSE)</f>
        <v>CB時に獲得ポイント大UP＆BPが大回復(3回)</v>
      </c>
      <c r="T548" s="23" t="s">
        <v>18</v>
      </c>
      <c r="U548" s="23" t="s">
        <v>18</v>
      </c>
      <c r="V548" s="20" t="s">
        <v>1899</v>
      </c>
    </row>
    <row r="549" spans="1:22" ht="21.75" customHeight="1" x14ac:dyDescent="0.15">
      <c r="A549" s="20" t="str">
        <f>B549&amp;".jpg"</f>
        <v>1892.jpg</v>
      </c>
      <c r="B549" s="46">
        <v>1892</v>
      </c>
      <c r="C549" s="24" t="s">
        <v>22</v>
      </c>
      <c r="D549" s="24" t="s">
        <v>15</v>
      </c>
      <c r="E549" s="24">
        <v>13</v>
      </c>
      <c r="F549" s="24" t="s">
        <v>16</v>
      </c>
      <c r="G549" s="22">
        <v>15174</v>
      </c>
      <c r="H549" s="22">
        <v>8111</v>
      </c>
      <c r="I549" s="22">
        <v>4716</v>
      </c>
      <c r="J549" s="24" t="s">
        <v>17</v>
      </c>
      <c r="K549" s="22">
        <f>SUM(G549,H549,I549)</f>
        <v>28001</v>
      </c>
      <c r="L549" s="23" t="s">
        <v>592</v>
      </c>
      <c r="M549" s="23" t="str">
        <f>VLOOKUP(L549,スキル!B:C,2,FALSE)</f>
        <v>味方斬属性の攻撃力をUP[大]</v>
      </c>
      <c r="N549" s="23" t="s">
        <v>18</v>
      </c>
      <c r="O549" s="23" t="str">
        <f>VLOOKUP(N549,スキル!B:C,2,FALSE)</f>
        <v>　</v>
      </c>
      <c r="P549" s="23" t="s">
        <v>255</v>
      </c>
      <c r="Q549" s="23" t="str">
        <f>VLOOKUP(P549,タクティクス!B:C,2,FALSE)</f>
        <v>強襲が発生無効、バトル時に攻・防小UP(3分間)</v>
      </c>
      <c r="R549" s="23" t="s">
        <v>18</v>
      </c>
      <c r="S549" s="23" t="str">
        <f>VLOOKUP(R549,タクティクス!B:C,2,FALSE)</f>
        <v>　</v>
      </c>
      <c r="T549" s="23" t="s">
        <v>18</v>
      </c>
      <c r="U549" s="23" t="s">
        <v>18</v>
      </c>
      <c r="V549" s="20" t="s">
        <v>1902</v>
      </c>
    </row>
    <row r="550" spans="1:22" ht="21.75" customHeight="1" x14ac:dyDescent="0.15">
      <c r="A550" s="20" t="str">
        <f>B550&amp;".jpg"</f>
        <v>1893.jpg</v>
      </c>
      <c r="B550" s="46">
        <v>1893</v>
      </c>
      <c r="C550" s="24" t="s">
        <v>381</v>
      </c>
      <c r="D550" s="24" t="s">
        <v>150</v>
      </c>
      <c r="E550" s="24">
        <v>14</v>
      </c>
      <c r="F550" s="24" t="s">
        <v>41</v>
      </c>
      <c r="G550" s="22">
        <v>17175</v>
      </c>
      <c r="H550" s="22">
        <v>6684</v>
      </c>
      <c r="I550" s="22">
        <v>5798</v>
      </c>
      <c r="J550" s="24" t="s">
        <v>55</v>
      </c>
      <c r="K550" s="22">
        <f>SUM(G550,H550,I550)</f>
        <v>29657</v>
      </c>
      <c r="L550" s="23" t="s">
        <v>755</v>
      </c>
      <c r="M550" s="23" t="str">
        <f>VLOOKUP(L550,スキル!B:C,2,FALSE)</f>
        <v>遠に強く打に弱いX字型攻撃[特大]</v>
      </c>
      <c r="N550" s="23" t="s">
        <v>18</v>
      </c>
      <c r="O550" s="23" t="str">
        <f>VLOOKUP(N550,スキル!B:C,2,FALSE)</f>
        <v>　</v>
      </c>
      <c r="P550" s="23" t="s">
        <v>178</v>
      </c>
      <c r="Q550" s="23" t="str">
        <f>VLOOKUP(P550,タクティクス!B:C,2,FALSE)</f>
        <v>パーティ全体の攻撃力が大UP(3分間)</v>
      </c>
      <c r="R550" s="23" t="s">
        <v>18</v>
      </c>
      <c r="S550" s="23" t="str">
        <f>VLOOKUP(R550,タクティクス!B:C,2,FALSE)</f>
        <v>　</v>
      </c>
      <c r="T550" s="23" t="s">
        <v>18</v>
      </c>
      <c r="U550" s="23" t="s">
        <v>18</v>
      </c>
      <c r="V550" s="20" t="s">
        <v>1872</v>
      </c>
    </row>
    <row r="551" spans="1:22" ht="21.75" customHeight="1" x14ac:dyDescent="0.15">
      <c r="A551" s="20" t="str">
        <f>B551&amp;".jpg"</f>
        <v>1895.jpg</v>
      </c>
      <c r="B551" s="46">
        <v>1895</v>
      </c>
      <c r="C551" s="24" t="s">
        <v>382</v>
      </c>
      <c r="D551" s="24" t="s">
        <v>150</v>
      </c>
      <c r="E551" s="24">
        <v>14</v>
      </c>
      <c r="F551" s="24" t="s">
        <v>16</v>
      </c>
      <c r="G551" s="22">
        <v>18074</v>
      </c>
      <c r="H551" s="22">
        <v>8311</v>
      </c>
      <c r="I551" s="22">
        <v>5799</v>
      </c>
      <c r="J551" s="24" t="s">
        <v>151</v>
      </c>
      <c r="K551" s="22">
        <f>SUM(G551,H551,I551)</f>
        <v>32184</v>
      </c>
      <c r="L551" s="23" t="s">
        <v>776</v>
      </c>
      <c r="M551" s="23" t="str">
        <f>VLOOKUP(L551,スキル!B:C,2,FALSE)</f>
        <v>味方斬属性の攻撃力をUP[特大]</v>
      </c>
      <c r="N551" s="23" t="s">
        <v>18</v>
      </c>
      <c r="O551" s="23" t="str">
        <f>VLOOKUP(N551,スキル!B:C,2,FALSE)</f>
        <v>　</v>
      </c>
      <c r="P551" s="23" t="s">
        <v>274</v>
      </c>
      <c r="Q551" s="23" t="str">
        <f>VLOOKUP(P551,タクティクス!B:C,2,FALSE)</f>
        <v>パーティ全体の攻撃力・速度が中UP(3分間)</v>
      </c>
      <c r="R551" s="23" t="s">
        <v>18</v>
      </c>
      <c r="S551" s="23" t="str">
        <f>VLOOKUP(R551,タクティクス!B:C,2,FALSE)</f>
        <v>　</v>
      </c>
      <c r="T551" s="23" t="s">
        <v>18</v>
      </c>
      <c r="U551" s="23" t="s">
        <v>18</v>
      </c>
      <c r="V551" s="20" t="s">
        <v>1823</v>
      </c>
    </row>
    <row r="552" spans="1:22" ht="21.75" customHeight="1" x14ac:dyDescent="0.15">
      <c r="A552" s="20" t="str">
        <f>B552&amp;".jpg"</f>
        <v>1897.jpg</v>
      </c>
      <c r="B552" s="46">
        <v>1897</v>
      </c>
      <c r="C552" s="24" t="s">
        <v>383</v>
      </c>
      <c r="D552" s="24" t="s">
        <v>150</v>
      </c>
      <c r="E552" s="24">
        <v>15</v>
      </c>
      <c r="F552" s="24" t="s">
        <v>16</v>
      </c>
      <c r="G552" s="22">
        <v>18104</v>
      </c>
      <c r="H552" s="22">
        <v>9271</v>
      </c>
      <c r="I552" s="22">
        <v>6105</v>
      </c>
      <c r="J552" s="24" t="s">
        <v>26</v>
      </c>
      <c r="K552" s="22">
        <f>SUM(G552,H552,I552)</f>
        <v>33480</v>
      </c>
      <c r="L552" s="23" t="s">
        <v>797</v>
      </c>
      <c r="M552" s="23" t="str">
        <f>VLOOKUP(L552,スキル!B:C,2,FALSE)</f>
        <v>横一列攻撃[特大]自分の攻撃力UP[特大]</v>
      </c>
      <c r="N552" s="23" t="s">
        <v>18</v>
      </c>
      <c r="O552" s="23" t="str">
        <f>VLOOKUP(N552,スキル!B:C,2,FALSE)</f>
        <v>　</v>
      </c>
      <c r="P552" s="23" t="s">
        <v>361</v>
      </c>
      <c r="Q552" s="23" t="str">
        <f>VLOOKUP(P552,タクティクス!B:C,2,FALSE)</f>
        <v>パーティ全体の攻撃力が特大UP(3分間)</v>
      </c>
      <c r="R552" s="23" t="s">
        <v>180</v>
      </c>
      <c r="S552" s="23" t="str">
        <f>VLOOKUP(R552,タクティクス!B:C,2,FALSE)</f>
        <v>獲得する騎士団戦スコアが大アップ(バトル3回)</v>
      </c>
      <c r="T552" s="23" t="s">
        <v>18</v>
      </c>
      <c r="U552" s="23" t="s">
        <v>18</v>
      </c>
      <c r="V552" s="20" t="s">
        <v>1823</v>
      </c>
    </row>
    <row r="553" spans="1:22" ht="21.75" customHeight="1" x14ac:dyDescent="0.15">
      <c r="A553" s="20" t="str">
        <f>B553&amp;".jpg"</f>
        <v>1898.jpg</v>
      </c>
      <c r="B553" s="46">
        <v>1898</v>
      </c>
      <c r="C553" s="24" t="s">
        <v>384</v>
      </c>
      <c r="D553" s="24" t="s">
        <v>150</v>
      </c>
      <c r="E553" s="24">
        <v>14</v>
      </c>
      <c r="F553" s="24" t="s">
        <v>34</v>
      </c>
      <c r="G553" s="22">
        <v>23568</v>
      </c>
      <c r="H553" s="22">
        <v>6858</v>
      </c>
      <c r="I553" s="22">
        <v>8878</v>
      </c>
      <c r="J553" s="24" t="s">
        <v>17</v>
      </c>
      <c r="K553" s="22">
        <f>SUM(G553,H553,I553)</f>
        <v>39304</v>
      </c>
      <c r="L553" s="24" t="s">
        <v>729</v>
      </c>
      <c r="M553" s="23" t="str">
        <f>VLOOKUP(L553,スキル!B:C,2,FALSE)</f>
        <v>X字型に攻撃[特大]</v>
      </c>
      <c r="N553" s="23" t="s">
        <v>18</v>
      </c>
      <c r="O553" s="23" t="str">
        <f>VLOOKUP(N553,スキル!B:C,2,FALSE)</f>
        <v>　</v>
      </c>
      <c r="P553" s="23" t="s">
        <v>311</v>
      </c>
      <c r="Q553" s="23" t="str">
        <f>VLOOKUP(P553,タクティクス!B:C,2,FALSE)</f>
        <v>対戦騎士団全体の防御力が中DOWN(3分間)</v>
      </c>
      <c r="R553" s="23" t="s">
        <v>18</v>
      </c>
      <c r="S553" s="23" t="str">
        <f>VLOOKUP(R553,タクティクス!B:C,2,FALSE)</f>
        <v>　</v>
      </c>
      <c r="T553" s="23" t="s">
        <v>18</v>
      </c>
      <c r="U553" s="23" t="s">
        <v>18</v>
      </c>
      <c r="V553" s="20" t="s">
        <v>1882</v>
      </c>
    </row>
    <row r="554" spans="1:22" ht="21.75" customHeight="1" x14ac:dyDescent="0.15">
      <c r="A554" s="20" t="str">
        <f>B554&amp;".jpg"</f>
        <v>1909.jpg</v>
      </c>
      <c r="B554" s="46">
        <v>1909</v>
      </c>
      <c r="C554" s="24" t="s">
        <v>142</v>
      </c>
      <c r="D554" s="24" t="s">
        <v>150</v>
      </c>
      <c r="E554" s="24">
        <v>14</v>
      </c>
      <c r="F554" s="24" t="s">
        <v>16</v>
      </c>
      <c r="G554" s="22">
        <v>18524</v>
      </c>
      <c r="H554" s="22">
        <v>8512</v>
      </c>
      <c r="I554" s="22">
        <v>6428</v>
      </c>
      <c r="J554" s="24" t="s">
        <v>151</v>
      </c>
      <c r="K554" s="22">
        <f>SUM(G554,H554,I554)</f>
        <v>33464</v>
      </c>
      <c r="L554" s="23" t="s">
        <v>788</v>
      </c>
      <c r="M554" s="23" t="str">
        <f>VLOOKUP(L554,スキル!B:C,2,FALSE)</f>
        <v>一定確率で敵を毒状態にする[超高確率]</v>
      </c>
      <c r="N554" s="23" t="s">
        <v>18</v>
      </c>
      <c r="O554" s="23" t="str">
        <f>VLOOKUP(N554,スキル!B:C,2,FALSE)</f>
        <v>　</v>
      </c>
      <c r="P554" s="23" t="s">
        <v>287</v>
      </c>
      <c r="Q554" s="23" t="str">
        <f>VLOOKUP(P554,タクティクス!B:C,2,FALSE)</f>
        <v>騎士団全体の攻・防が中UP(3分間)</v>
      </c>
      <c r="R554" s="23" t="s">
        <v>18</v>
      </c>
      <c r="S554" s="23" t="str">
        <f>VLOOKUP(R554,タクティクス!B:C,2,FALSE)</f>
        <v>　</v>
      </c>
      <c r="T554" s="23" t="s">
        <v>18</v>
      </c>
      <c r="U554" s="23" t="s">
        <v>18</v>
      </c>
      <c r="V554" s="20" t="s">
        <v>1899</v>
      </c>
    </row>
    <row r="555" spans="1:22" ht="21.75" customHeight="1" x14ac:dyDescent="0.15">
      <c r="A555" s="20" t="str">
        <f>B555&amp;".jpg"</f>
        <v>1911.jpg</v>
      </c>
      <c r="B555" s="46">
        <v>1911</v>
      </c>
      <c r="C555" s="24" t="s">
        <v>88</v>
      </c>
      <c r="D555" s="24" t="s">
        <v>150</v>
      </c>
      <c r="E555" s="24">
        <v>15</v>
      </c>
      <c r="F555" s="24" t="s">
        <v>25</v>
      </c>
      <c r="G555" s="22">
        <v>24608</v>
      </c>
      <c r="H555" s="22">
        <v>6628</v>
      </c>
      <c r="I555" s="22">
        <v>8623</v>
      </c>
      <c r="J555" s="24" t="s">
        <v>356</v>
      </c>
      <c r="K555" s="22">
        <f>SUM(G555,H555,I555)</f>
        <v>39859</v>
      </c>
      <c r="L555" s="23" t="s">
        <v>857</v>
      </c>
      <c r="M555" s="23" t="str">
        <f>VLOOKUP(L555,スキル!B:C,2,FALSE)</f>
        <v>ランダム6連続攻撃[中]自分の攻撃力UP[中]</v>
      </c>
      <c r="N555" s="23" t="s">
        <v>18</v>
      </c>
      <c r="O555" s="23" t="str">
        <f>VLOOKUP(N555,スキル!B:C,2,FALSE)</f>
        <v>　</v>
      </c>
      <c r="P555" s="23" t="s">
        <v>374</v>
      </c>
      <c r="Q555" s="23" t="str">
        <f>VLOOKUP(P555,タクティクス!B:C,2,FALSE)</f>
        <v>パーティ全体の攻・防が特大UP(3分間)</v>
      </c>
      <c r="R555" s="23" t="s">
        <v>298</v>
      </c>
      <c r="S555" s="23" t="str">
        <f>VLOOKUP(R555,タクティクス!B:C,2,FALSE)</f>
        <v>城の強度Lvが中UP(3分間)</v>
      </c>
      <c r="T555" s="23" t="s">
        <v>18</v>
      </c>
      <c r="U555" s="23" t="s">
        <v>18</v>
      </c>
      <c r="V555" s="20" t="s">
        <v>1899</v>
      </c>
    </row>
    <row r="556" spans="1:22" ht="21.75" customHeight="1" x14ac:dyDescent="0.15">
      <c r="A556" s="20" t="str">
        <f>B556&amp;".jpg"</f>
        <v>1913.jpg</v>
      </c>
      <c r="B556" s="46">
        <v>1913</v>
      </c>
      <c r="C556" s="24" t="s">
        <v>59</v>
      </c>
      <c r="D556" s="24" t="s">
        <v>150</v>
      </c>
      <c r="E556" s="24">
        <v>14</v>
      </c>
      <c r="F556" s="24" t="s">
        <v>34</v>
      </c>
      <c r="G556" s="22">
        <v>23843</v>
      </c>
      <c r="H556" s="22">
        <v>6868</v>
      </c>
      <c r="I556" s="22">
        <v>8347</v>
      </c>
      <c r="J556" s="24" t="s">
        <v>17</v>
      </c>
      <c r="K556" s="22">
        <f>SUM(G556,H556,I556)</f>
        <v>39058</v>
      </c>
      <c r="L556" s="23" t="s">
        <v>781</v>
      </c>
      <c r="M556" s="23" t="str">
        <f>VLOOKUP(L556,スキル!B:C,2,FALSE)</f>
        <v>縦一列攻撃[特大]自分の防御力UP[特大]</v>
      </c>
      <c r="N556" s="23" t="s">
        <v>18</v>
      </c>
      <c r="O556" s="23" t="str">
        <f>VLOOKUP(N556,スキル!B:C,2,FALSE)</f>
        <v>　</v>
      </c>
      <c r="P556" s="23" t="s">
        <v>341</v>
      </c>
      <c r="Q556" s="23" t="str">
        <f>VLOOKUP(P556,タクティクス!B:C,2,FALSE)</f>
        <v>キリ番CB時の獲得ポイント大UP(3分間)</v>
      </c>
      <c r="R556" s="23" t="s">
        <v>18</v>
      </c>
      <c r="S556" s="23" t="str">
        <f>VLOOKUP(R556,タクティクス!B:C,2,FALSE)</f>
        <v>　</v>
      </c>
      <c r="T556" s="23" t="s">
        <v>18</v>
      </c>
      <c r="U556" s="23" t="s">
        <v>18</v>
      </c>
      <c r="V556" s="20" t="s">
        <v>1899</v>
      </c>
    </row>
    <row r="557" spans="1:22" ht="21.75" customHeight="1" x14ac:dyDescent="0.15">
      <c r="A557" s="20" t="str">
        <f>B557&amp;".jpg"</f>
        <v>1913_a.jpg</v>
      </c>
      <c r="B557" s="46" t="s">
        <v>1123</v>
      </c>
      <c r="C557" s="24" t="s">
        <v>59</v>
      </c>
      <c r="D557" s="24" t="s">
        <v>150</v>
      </c>
      <c r="E557" s="24">
        <v>14</v>
      </c>
      <c r="F557" s="24" t="s">
        <v>34</v>
      </c>
      <c r="G557" s="22">
        <v>31004</v>
      </c>
      <c r="H557" s="22">
        <v>8590</v>
      </c>
      <c r="I557" s="22">
        <v>11266</v>
      </c>
      <c r="J557" s="24" t="s">
        <v>26</v>
      </c>
      <c r="K557" s="22">
        <f>SUM(G557,H557,I557)</f>
        <v>50860</v>
      </c>
      <c r="L557" s="23" t="s">
        <v>952</v>
      </c>
      <c r="M557" s="23" t="str">
        <f>VLOOKUP(L557,スキル!B:C,2,FALSE)</f>
        <v>縦一列攻撃[極大]自分の防御力UP[特大]</v>
      </c>
      <c r="N557" s="23" t="s">
        <v>18</v>
      </c>
      <c r="O557" s="23" t="str">
        <f>VLOOKUP(N557,スキル!B:C,2,FALSE)</f>
        <v>　</v>
      </c>
      <c r="P557" s="23" t="s">
        <v>341</v>
      </c>
      <c r="Q557" s="23" t="str">
        <f>VLOOKUP(P557,タクティクス!B:C,2,FALSE)</f>
        <v>キリ番CB時の獲得ポイント大UP(3分間)</v>
      </c>
      <c r="R557" s="23" t="s">
        <v>18</v>
      </c>
      <c r="S557" s="23" t="str">
        <f>VLOOKUP(R557,タクティクス!B:C,2,FALSE)</f>
        <v>　</v>
      </c>
      <c r="T557" s="23" t="s">
        <v>18</v>
      </c>
      <c r="U557" s="23" t="s">
        <v>18</v>
      </c>
      <c r="V557" s="20" t="s">
        <v>1822</v>
      </c>
    </row>
    <row r="558" spans="1:22" ht="21.75" customHeight="1" x14ac:dyDescent="0.15">
      <c r="A558" s="20" t="str">
        <f>B558&amp;".jpg"</f>
        <v>1913_b.jpg</v>
      </c>
      <c r="B558" s="47" t="s">
        <v>1124</v>
      </c>
      <c r="C558" s="24" t="s">
        <v>59</v>
      </c>
      <c r="D558" s="24" t="s">
        <v>150</v>
      </c>
      <c r="E558" s="24">
        <v>14</v>
      </c>
      <c r="F558" s="24" t="s">
        <v>34</v>
      </c>
      <c r="G558" s="22">
        <v>28610</v>
      </c>
      <c r="H558" s="22">
        <v>8233</v>
      </c>
      <c r="I558" s="22">
        <v>10006</v>
      </c>
      <c r="J558" s="24" t="s">
        <v>26</v>
      </c>
      <c r="K558" s="22">
        <f>SUM(G558,H558,I558)</f>
        <v>46849</v>
      </c>
      <c r="L558" s="23" t="s">
        <v>781</v>
      </c>
      <c r="M558" s="23" t="str">
        <f>VLOOKUP(L558,スキル!B:C,2,FALSE)</f>
        <v>縦一列攻撃[特大]自分の防御力UP[特大]</v>
      </c>
      <c r="N558" s="23" t="s">
        <v>18</v>
      </c>
      <c r="O558" s="23" t="str">
        <f>VLOOKUP(N558,スキル!B:C,2,FALSE)</f>
        <v>　</v>
      </c>
      <c r="P558" s="23" t="s">
        <v>1022</v>
      </c>
      <c r="Q558" s="23" t="str">
        <f>VLOOKUP(P558,タクティクス!B:C,2,FALSE)</f>
        <v>キリ番CB時の獲得ポイント特大UP(3分間)</v>
      </c>
      <c r="R558" s="23" t="s">
        <v>18</v>
      </c>
      <c r="S558" s="23" t="str">
        <f>VLOOKUP(R558,タクティクス!B:C,2,FALSE)</f>
        <v>　</v>
      </c>
      <c r="T558" s="23" t="s">
        <v>18</v>
      </c>
      <c r="U558" s="23" t="s">
        <v>18</v>
      </c>
      <c r="V558" s="20" t="s">
        <v>1822</v>
      </c>
    </row>
    <row r="559" spans="1:22" ht="21.75" customHeight="1" x14ac:dyDescent="0.15">
      <c r="A559" s="20" t="str">
        <f>B559&amp;".jpg"</f>
        <v>1915.jpg</v>
      </c>
      <c r="B559" s="46">
        <v>1915</v>
      </c>
      <c r="C559" s="24" t="s">
        <v>141</v>
      </c>
      <c r="D559" s="24" t="s">
        <v>150</v>
      </c>
      <c r="E559" s="24">
        <v>15</v>
      </c>
      <c r="F559" s="24" t="s">
        <v>41</v>
      </c>
      <c r="G559" s="22">
        <v>22940</v>
      </c>
      <c r="H559" s="22">
        <v>7395</v>
      </c>
      <c r="I559" s="22">
        <v>7487</v>
      </c>
      <c r="J559" s="24" t="s">
        <v>261</v>
      </c>
      <c r="K559" s="22">
        <f>SUM(G559,H559,I559)</f>
        <v>37822</v>
      </c>
      <c r="L559" s="23" t="s">
        <v>832</v>
      </c>
      <c r="M559" s="23" t="str">
        <f>VLOOKUP(L559,スキル!B:C,2,FALSE)</f>
        <v>ランダムで6連続攻撃[中]</v>
      </c>
      <c r="N559" s="23" t="s">
        <v>18</v>
      </c>
      <c r="O559" s="23" t="str">
        <f>VLOOKUP(N559,スキル!B:C,2,FALSE)</f>
        <v>　</v>
      </c>
      <c r="P559" s="23" t="s">
        <v>357</v>
      </c>
      <c r="Q559" s="23" t="str">
        <f>VLOOKUP(P559,タクティクス!B:C,2,FALSE)</f>
        <v>パーティ全体の防御力が特大UP(3分間)</v>
      </c>
      <c r="R559" s="23" t="s">
        <v>152</v>
      </c>
      <c r="S559" s="23" t="str">
        <f>VLOOKUP(R559,タクティクス!B:C,2,FALSE)</f>
        <v>パーティ全体の攻・防が大UP(3分間)</v>
      </c>
      <c r="T559" s="23" t="s">
        <v>18</v>
      </c>
      <c r="U559" s="23" t="s">
        <v>18</v>
      </c>
      <c r="V559" s="20" t="s">
        <v>1899</v>
      </c>
    </row>
    <row r="560" spans="1:22" ht="21.75" customHeight="1" x14ac:dyDescent="0.15">
      <c r="A560" s="20" t="str">
        <f>B560&amp;".jpg"</f>
        <v>1919.jpg</v>
      </c>
      <c r="B560" s="46">
        <v>1919</v>
      </c>
      <c r="C560" s="24" t="s">
        <v>385</v>
      </c>
      <c r="D560" s="24" t="s">
        <v>15</v>
      </c>
      <c r="E560" s="24">
        <v>13</v>
      </c>
      <c r="F560" s="24" t="s">
        <v>25</v>
      </c>
      <c r="G560" s="22">
        <v>19775</v>
      </c>
      <c r="H560" s="22">
        <v>5286</v>
      </c>
      <c r="I560" s="22">
        <v>5375</v>
      </c>
      <c r="J560" s="24" t="s">
        <v>26</v>
      </c>
      <c r="K560" s="22">
        <f>SUM(G560,H560,I560)</f>
        <v>30436</v>
      </c>
      <c r="L560" s="23" t="s">
        <v>643</v>
      </c>
      <c r="M560" s="23" t="str">
        <f>VLOOKUP(L560,スキル!B:C,2,FALSE)</f>
        <v>ランダム4連続攻撃[中]自分の防御力UP[中]</v>
      </c>
      <c r="N560" s="23" t="s">
        <v>18</v>
      </c>
      <c r="O560" s="23" t="str">
        <f>VLOOKUP(N560,スキル!B:C,2,FALSE)</f>
        <v>　</v>
      </c>
      <c r="P560" s="23" t="s">
        <v>161</v>
      </c>
      <c r="Q560" s="23" t="str">
        <f>VLOOKUP(P560,タクティクス!B:C,2,FALSE)</f>
        <v>バトルで獲得する騎士団戦スコアが中アップ(3分間)</v>
      </c>
      <c r="R560" s="23" t="s">
        <v>18</v>
      </c>
      <c r="S560" s="23" t="str">
        <f>VLOOKUP(R560,タクティクス!B:C,2,FALSE)</f>
        <v>　</v>
      </c>
      <c r="T560" s="23" t="s">
        <v>18</v>
      </c>
      <c r="U560" s="23" t="s">
        <v>18</v>
      </c>
      <c r="V560" s="20" t="s">
        <v>1877</v>
      </c>
    </row>
    <row r="561" spans="1:22" ht="21.75" customHeight="1" x14ac:dyDescent="0.15">
      <c r="A561" s="20" t="str">
        <f>B561&amp;".jpg"</f>
        <v>1920.jpg</v>
      </c>
      <c r="B561" s="46">
        <v>1920</v>
      </c>
      <c r="C561" s="24" t="s">
        <v>86</v>
      </c>
      <c r="D561" s="24" t="s">
        <v>150</v>
      </c>
      <c r="E561" s="24">
        <v>14</v>
      </c>
      <c r="F561" s="24" t="s">
        <v>16</v>
      </c>
      <c r="G561" s="22">
        <v>18148</v>
      </c>
      <c r="H561" s="22">
        <v>8068</v>
      </c>
      <c r="I561" s="22">
        <v>6217</v>
      </c>
      <c r="J561" s="24" t="s">
        <v>151</v>
      </c>
      <c r="K561" s="22">
        <f>SUM(G561,H561,I561)</f>
        <v>32433</v>
      </c>
      <c r="L561" s="23" t="s">
        <v>859</v>
      </c>
      <c r="M561" s="23" t="str">
        <f>VLOOKUP(L561,スキル!B:C,2,FALSE)</f>
        <v>十字型に固定ダメージ[特大]</v>
      </c>
      <c r="N561" s="23" t="s">
        <v>18</v>
      </c>
      <c r="O561" s="23" t="str">
        <f>VLOOKUP(N561,スキル!B:C,2,FALSE)</f>
        <v>　</v>
      </c>
      <c r="P561" s="23" t="s">
        <v>281</v>
      </c>
      <c r="Q561" s="23" t="str">
        <f>VLOOKUP(P561,タクティクス!B:C,2,FALSE)</f>
        <v>CB時に獲得ポイント大UP＆BPが大回復(3回)</v>
      </c>
      <c r="R561" s="23" t="s">
        <v>18</v>
      </c>
      <c r="S561" s="23" t="str">
        <f>VLOOKUP(R561,タクティクス!B:C,2,FALSE)</f>
        <v>　</v>
      </c>
      <c r="T561" s="23" t="s">
        <v>18</v>
      </c>
      <c r="U561" s="23" t="s">
        <v>18</v>
      </c>
      <c r="V561" s="20" t="s">
        <v>1877</v>
      </c>
    </row>
    <row r="562" spans="1:22" ht="21.75" customHeight="1" x14ac:dyDescent="0.15">
      <c r="A562" s="20" t="str">
        <f>B562&amp;".jpg"</f>
        <v>1921.jpg</v>
      </c>
      <c r="B562" s="46">
        <v>1921</v>
      </c>
      <c r="C562" s="24" t="s">
        <v>386</v>
      </c>
      <c r="D562" s="24" t="s">
        <v>150</v>
      </c>
      <c r="E562" s="24">
        <v>15</v>
      </c>
      <c r="F562" s="24" t="s">
        <v>16</v>
      </c>
      <c r="G562" s="22">
        <v>18373</v>
      </c>
      <c r="H562" s="22">
        <v>8653</v>
      </c>
      <c r="I562" s="22">
        <v>6022</v>
      </c>
      <c r="J562" s="24" t="s">
        <v>26</v>
      </c>
      <c r="K562" s="22">
        <f>SUM(G562,H562,I562)</f>
        <v>33048</v>
      </c>
      <c r="L562" s="23" t="s">
        <v>739</v>
      </c>
      <c r="M562" s="23" t="str">
        <f>VLOOKUP(L562,スキル!B:C,2,FALSE)</f>
        <v>最もダメージが多い味方1人のHP回復[特大]</v>
      </c>
      <c r="N562" s="23" t="s">
        <v>18</v>
      </c>
      <c r="O562" s="23" t="str">
        <f>VLOOKUP(N562,スキル!B:C,2,FALSE)</f>
        <v>　</v>
      </c>
      <c r="P562" s="23" t="s">
        <v>361</v>
      </c>
      <c r="Q562" s="23" t="str">
        <f>VLOOKUP(P562,タクティクス!B:C,2,FALSE)</f>
        <v>パーティ全体の攻撃力が特大UP(3分間)</v>
      </c>
      <c r="R562" s="23" t="s">
        <v>298</v>
      </c>
      <c r="S562" s="23" t="str">
        <f>VLOOKUP(R562,タクティクス!B:C,2,FALSE)</f>
        <v>城の強度Lvが中UP(3分間)</v>
      </c>
      <c r="T562" s="23" t="s">
        <v>18</v>
      </c>
      <c r="U562" s="23" t="s">
        <v>18</v>
      </c>
      <c r="V562" s="20" t="s">
        <v>1911</v>
      </c>
    </row>
    <row r="563" spans="1:22" ht="21.75" customHeight="1" x14ac:dyDescent="0.15">
      <c r="A563" s="20" t="str">
        <f>B563&amp;".jpg"</f>
        <v>1923.jpg</v>
      </c>
      <c r="B563" s="46">
        <v>1923</v>
      </c>
      <c r="C563" s="24" t="s">
        <v>387</v>
      </c>
      <c r="D563" s="24" t="s">
        <v>150</v>
      </c>
      <c r="E563" s="24">
        <v>15</v>
      </c>
      <c r="F563" s="24" t="s">
        <v>16</v>
      </c>
      <c r="G563" s="22">
        <v>19249</v>
      </c>
      <c r="H563" s="22">
        <v>9088</v>
      </c>
      <c r="I563" s="22">
        <v>6246</v>
      </c>
      <c r="J563" s="24" t="s">
        <v>26</v>
      </c>
      <c r="K563" s="22">
        <f>SUM(G563,H563,I563)</f>
        <v>34583</v>
      </c>
      <c r="L563" s="23" t="s">
        <v>833</v>
      </c>
      <c r="M563" s="23" t="str">
        <f>VLOOKUP(L563,スキル!B:C,2,FALSE)</f>
        <v>次の攻撃でダメージが上昇する[大]</v>
      </c>
      <c r="N563" s="23" t="s">
        <v>18</v>
      </c>
      <c r="O563" s="23" t="str">
        <f>VLOOKUP(N563,スキル!B:C,2,FALSE)</f>
        <v>　</v>
      </c>
      <c r="P563" s="23" t="s">
        <v>388</v>
      </c>
      <c r="Q563" s="23" t="str">
        <f>VLOOKUP(P563,タクティクス!B:C,2,FALSE)</f>
        <v>獲得する騎士団戦スコアが特大アップ(バトル3回)</v>
      </c>
      <c r="R563" s="23" t="s">
        <v>178</v>
      </c>
      <c r="S563" s="23" t="str">
        <f>VLOOKUP(R563,タクティクス!B:C,2,FALSE)</f>
        <v>パーティ全体の攻撃力が大UP(3分間)</v>
      </c>
      <c r="T563" s="23" t="s">
        <v>18</v>
      </c>
      <c r="U563" s="23" t="s">
        <v>18</v>
      </c>
      <c r="V563" s="20" t="s">
        <v>1823</v>
      </c>
    </row>
    <row r="564" spans="1:22" ht="21.75" customHeight="1" x14ac:dyDescent="0.15">
      <c r="A564" s="20" t="str">
        <f>B564&amp;".jpg"</f>
        <v>1925.jpg</v>
      </c>
      <c r="B564" s="46">
        <v>1925</v>
      </c>
      <c r="C564" s="24" t="s">
        <v>389</v>
      </c>
      <c r="D564" s="24" t="s">
        <v>150</v>
      </c>
      <c r="E564" s="24">
        <v>14</v>
      </c>
      <c r="F564" s="24" t="s">
        <v>41</v>
      </c>
      <c r="G564" s="22">
        <v>19430</v>
      </c>
      <c r="H564" s="22">
        <v>6556</v>
      </c>
      <c r="I564" s="22">
        <v>6224</v>
      </c>
      <c r="J564" s="24" t="s">
        <v>55</v>
      </c>
      <c r="K564" s="22">
        <f>SUM(G564,H564,I564)</f>
        <v>32210</v>
      </c>
      <c r="L564" s="23" t="s">
        <v>767</v>
      </c>
      <c r="M564" s="23" t="str">
        <f>VLOOKUP(L564,スキル!B:C,2,FALSE)</f>
        <v>味方全員のHPを回復[大]</v>
      </c>
      <c r="N564" s="23" t="s">
        <v>18</v>
      </c>
      <c r="O564" s="23" t="str">
        <f>VLOOKUP(N564,スキル!B:C,2,FALSE)</f>
        <v>　</v>
      </c>
      <c r="P564" s="23" t="s">
        <v>293</v>
      </c>
      <c r="Q564" s="23" t="str">
        <f>VLOOKUP(P564,タクティクス!B:C,2,FALSE)</f>
        <v>騎士団全体の防御力が中UP(3分間)</v>
      </c>
      <c r="R564" s="23" t="s">
        <v>18</v>
      </c>
      <c r="S564" s="23" t="str">
        <f>VLOOKUP(R564,タクティクス!B:C,2,FALSE)</f>
        <v>　</v>
      </c>
      <c r="T564" s="23" t="s">
        <v>18</v>
      </c>
      <c r="U564" s="23" t="s">
        <v>18</v>
      </c>
      <c r="V564" s="20" t="s">
        <v>1823</v>
      </c>
    </row>
    <row r="565" spans="1:22" ht="21.75" customHeight="1" x14ac:dyDescent="0.15">
      <c r="A565" s="20" t="str">
        <f>B565&amp;".jpg"</f>
        <v>1926.jpg</v>
      </c>
      <c r="B565" s="46">
        <v>1926</v>
      </c>
      <c r="C565" s="24" t="s">
        <v>116</v>
      </c>
      <c r="D565" s="24" t="s">
        <v>150</v>
      </c>
      <c r="E565" s="24">
        <v>15</v>
      </c>
      <c r="F565" s="24" t="s">
        <v>16</v>
      </c>
      <c r="G565" s="22">
        <v>20120</v>
      </c>
      <c r="H565" s="22">
        <v>9147</v>
      </c>
      <c r="I565" s="22">
        <v>6339</v>
      </c>
      <c r="J565" s="24" t="s">
        <v>31</v>
      </c>
      <c r="K565" s="22">
        <f>SUM(G565,H565,I565)</f>
        <v>35606</v>
      </c>
      <c r="L565" s="23" t="s">
        <v>861</v>
      </c>
      <c r="M565" s="23" t="str">
        <f>VLOOKUP(L565,スキル!B:C,2,FALSE)</f>
        <v>突に強く斬に弱い縦一列攻撃[特大]</v>
      </c>
      <c r="N565" s="23" t="s">
        <v>18</v>
      </c>
      <c r="O565" s="23" t="str">
        <f>VLOOKUP(N565,スキル!B:C,2,FALSE)</f>
        <v>　</v>
      </c>
      <c r="P565" s="23" t="s">
        <v>374</v>
      </c>
      <c r="Q565" s="23" t="str">
        <f>VLOOKUP(P565,タクティクス!B:C,2,FALSE)</f>
        <v>パーティ全体の攻・防が特大UP(3分間)</v>
      </c>
      <c r="R565" s="23" t="s">
        <v>226</v>
      </c>
      <c r="S565" s="23" t="str">
        <f>VLOOKUP(R565,タクティクス!B:C,2,FALSE)</f>
        <v>バトルで獲得する騎士団戦スコアが大アップ(3分間)</v>
      </c>
      <c r="T565" s="23" t="s">
        <v>18</v>
      </c>
      <c r="U565" s="23" t="s">
        <v>18</v>
      </c>
      <c r="V565" s="20" t="s">
        <v>1899</v>
      </c>
    </row>
    <row r="566" spans="1:22" ht="21.75" customHeight="1" x14ac:dyDescent="0.15">
      <c r="A566" s="20" t="str">
        <f>B566&amp;".jpg"</f>
        <v>1927.jpg</v>
      </c>
      <c r="B566" s="46">
        <v>1927</v>
      </c>
      <c r="C566" s="24" t="s">
        <v>72</v>
      </c>
      <c r="D566" s="24" t="s">
        <v>150</v>
      </c>
      <c r="E566" s="24">
        <v>14</v>
      </c>
      <c r="F566" s="24" t="s">
        <v>41</v>
      </c>
      <c r="G566" s="22">
        <v>19434</v>
      </c>
      <c r="H566" s="22">
        <v>6822</v>
      </c>
      <c r="I566" s="22">
        <v>5436</v>
      </c>
      <c r="J566" s="24" t="s">
        <v>55</v>
      </c>
      <c r="K566" s="22">
        <f>SUM(G566,H566,I566)</f>
        <v>31692</v>
      </c>
      <c r="L566" s="23" t="s">
        <v>603</v>
      </c>
      <c r="M566" s="23" t="str">
        <f>VLOOKUP(L566,スキル!B:C,2,FALSE)</f>
        <v>味方遠属性の攻撃力と防御力をUP[大]</v>
      </c>
      <c r="N566" s="23" t="s">
        <v>18</v>
      </c>
      <c r="O566" s="23" t="str">
        <f>VLOOKUP(N566,スキル!B:C,2,FALSE)</f>
        <v>　</v>
      </c>
      <c r="P566" s="23" t="s">
        <v>195</v>
      </c>
      <c r="Q566" s="23" t="str">
        <f>VLOOKUP(P566,タクティクス!B:C,2,FALSE)</f>
        <v>パーティ全体のスキル発動率が大UP(3分間)</v>
      </c>
      <c r="R566" s="23" t="s">
        <v>18</v>
      </c>
      <c r="S566" s="23" t="str">
        <f>VLOOKUP(R566,タクティクス!B:C,2,FALSE)</f>
        <v>　</v>
      </c>
      <c r="T566" s="23" t="s">
        <v>18</v>
      </c>
      <c r="U566" s="23" t="s">
        <v>18</v>
      </c>
      <c r="V566" s="20" t="s">
        <v>1825</v>
      </c>
    </row>
    <row r="567" spans="1:22" ht="21.75" customHeight="1" x14ac:dyDescent="0.15">
      <c r="A567" s="20" t="str">
        <f>B567&amp;".jpg"</f>
        <v>1928.jpg</v>
      </c>
      <c r="B567" s="46">
        <v>1928</v>
      </c>
      <c r="C567" s="24" t="s">
        <v>72</v>
      </c>
      <c r="D567" s="24" t="s">
        <v>15</v>
      </c>
      <c r="E567" s="24">
        <v>13</v>
      </c>
      <c r="F567" s="24" t="s">
        <v>41</v>
      </c>
      <c r="G567" s="22">
        <v>15993</v>
      </c>
      <c r="H567" s="22">
        <v>6111</v>
      </c>
      <c r="I567" s="22">
        <v>5014</v>
      </c>
      <c r="J567" s="24" t="s">
        <v>42</v>
      </c>
      <c r="K567" s="22">
        <f>SUM(G567,H567,I567)</f>
        <v>27118</v>
      </c>
      <c r="L567" s="23" t="s">
        <v>597</v>
      </c>
      <c r="M567" s="23" t="str">
        <f>VLOOKUP(L567,スキル!B:C,2,FALSE)</f>
        <v>一定確率で敵を暗闇状態にする[高確率]</v>
      </c>
      <c r="N567" s="23" t="s">
        <v>18</v>
      </c>
      <c r="O567" s="23" t="str">
        <f>VLOOKUP(N567,スキル!B:C,2,FALSE)</f>
        <v>　</v>
      </c>
      <c r="P567" s="23" t="s">
        <v>228</v>
      </c>
      <c r="Q567" s="23" t="str">
        <f>VLOOKUP(P567,タクティクス!B:C,2,FALSE)</f>
        <v>強襲が発生無効、バトル時に攻・防中UP(3分間)</v>
      </c>
      <c r="R567" s="23" t="s">
        <v>18</v>
      </c>
      <c r="S567" s="23" t="str">
        <f>VLOOKUP(R567,タクティクス!B:C,2,FALSE)</f>
        <v>　</v>
      </c>
      <c r="T567" s="23" t="s">
        <v>18</v>
      </c>
      <c r="U567" s="23" t="s">
        <v>18</v>
      </c>
      <c r="V567" s="20" t="s">
        <v>1825</v>
      </c>
    </row>
    <row r="568" spans="1:22" ht="21.75" customHeight="1" x14ac:dyDescent="0.15">
      <c r="A568" s="20" t="str">
        <f>B568&amp;".jpg"</f>
        <v>1930.jpg</v>
      </c>
      <c r="B568" s="46">
        <v>1930</v>
      </c>
      <c r="C568" s="24" t="s">
        <v>390</v>
      </c>
      <c r="D568" s="24" t="s">
        <v>15</v>
      </c>
      <c r="E568" s="24">
        <v>13</v>
      </c>
      <c r="F568" s="24" t="s">
        <v>41</v>
      </c>
      <c r="G568" s="22">
        <v>17905</v>
      </c>
      <c r="H568" s="22">
        <v>6015</v>
      </c>
      <c r="I568" s="22">
        <v>5516</v>
      </c>
      <c r="J568" s="24" t="s">
        <v>42</v>
      </c>
      <c r="K568" s="22">
        <f>SUM(G568,H568,I568)</f>
        <v>29436</v>
      </c>
      <c r="L568" s="23" t="s">
        <v>629</v>
      </c>
      <c r="M568" s="23" t="str">
        <f>VLOOKUP(L568,スキル!B:C,2,FALSE)</f>
        <v>敵単体に攻撃しつつHP回復[大]</v>
      </c>
      <c r="N568" s="23" t="s">
        <v>18</v>
      </c>
      <c r="O568" s="23" t="str">
        <f>VLOOKUP(N568,スキル!B:C,2,FALSE)</f>
        <v>　</v>
      </c>
      <c r="P568" s="23" t="s">
        <v>232</v>
      </c>
      <c r="Q568" s="23" t="str">
        <f>VLOOKUP(P568,タクティクス!B:C,2,FALSE)</f>
        <v>騎士団全員のBPを中回復</v>
      </c>
      <c r="R568" s="23" t="s">
        <v>18</v>
      </c>
      <c r="S568" s="23" t="str">
        <f>VLOOKUP(R568,タクティクス!B:C,2,FALSE)</f>
        <v>　</v>
      </c>
      <c r="T568" s="23" t="s">
        <v>18</v>
      </c>
      <c r="U568" s="23" t="s">
        <v>18</v>
      </c>
      <c r="V568" s="20" t="s">
        <v>1823</v>
      </c>
    </row>
    <row r="569" spans="1:22" ht="21.75" customHeight="1" x14ac:dyDescent="0.15">
      <c r="A569" s="20" t="str">
        <f>B569&amp;".jpg"</f>
        <v>1931.jpg</v>
      </c>
      <c r="B569" s="46">
        <v>1931</v>
      </c>
      <c r="C569" s="24" t="s">
        <v>390</v>
      </c>
      <c r="D569" s="24" t="s">
        <v>150</v>
      </c>
      <c r="E569" s="24">
        <v>15</v>
      </c>
      <c r="F569" s="24" t="s">
        <v>41</v>
      </c>
      <c r="G569" s="22">
        <v>22569</v>
      </c>
      <c r="H569" s="22">
        <v>6958</v>
      </c>
      <c r="I569" s="22">
        <v>7648</v>
      </c>
      <c r="J569" s="24" t="s">
        <v>261</v>
      </c>
      <c r="K569" s="22">
        <f>SUM(G569,H569,I569)</f>
        <v>37175</v>
      </c>
      <c r="L569" s="23" t="s">
        <v>863</v>
      </c>
      <c r="M569" s="23" t="str">
        <f>VLOOKUP(L569,スキル!B:C,2,FALSE)</f>
        <v>ランダムで6連続攻撃[中]</v>
      </c>
      <c r="N569" s="23" t="s">
        <v>18</v>
      </c>
      <c r="O569" s="23" t="str">
        <f>VLOOKUP(N569,スキル!B:C,2,FALSE)</f>
        <v>　</v>
      </c>
      <c r="P569" s="23" t="s">
        <v>357</v>
      </c>
      <c r="Q569" s="23" t="str">
        <f>VLOOKUP(P569,タクティクス!B:C,2,FALSE)</f>
        <v>パーティ全体の防御力が特大UP(3分間)</v>
      </c>
      <c r="R569" s="23" t="s">
        <v>298</v>
      </c>
      <c r="S569" s="23" t="str">
        <f>VLOOKUP(R569,タクティクス!B:C,2,FALSE)</f>
        <v>城の強度Lvが中UP(3分間)</v>
      </c>
      <c r="T569" s="23" t="s">
        <v>18</v>
      </c>
      <c r="U569" s="23" t="s">
        <v>18</v>
      </c>
      <c r="V569" s="20" t="s">
        <v>1878</v>
      </c>
    </row>
    <row r="570" spans="1:22" ht="21.75" customHeight="1" x14ac:dyDescent="0.15">
      <c r="A570" s="20" t="str">
        <f>B570&amp;".jpg"</f>
        <v>1932.jpg</v>
      </c>
      <c r="B570" s="46">
        <v>1932</v>
      </c>
      <c r="C570" s="24" t="s">
        <v>39</v>
      </c>
      <c r="D570" s="24" t="s">
        <v>15</v>
      </c>
      <c r="E570" s="24">
        <v>12</v>
      </c>
      <c r="F570" s="24" t="s">
        <v>34</v>
      </c>
      <c r="G570" s="22">
        <v>19974</v>
      </c>
      <c r="H570" s="22">
        <v>5267</v>
      </c>
      <c r="I570" s="22">
        <v>6268</v>
      </c>
      <c r="J570" s="24" t="s">
        <v>35</v>
      </c>
      <c r="K570" s="22">
        <f>SUM(G570,H570,I570)</f>
        <v>31509</v>
      </c>
      <c r="L570" s="23" t="s">
        <v>719</v>
      </c>
      <c r="M570" s="23" t="str">
        <f>VLOOKUP(L570,スキル!B:C,2,FALSE)</f>
        <v>X字型攻撃[大]自分の防御力UP[大]</v>
      </c>
      <c r="N570" s="23" t="s">
        <v>18</v>
      </c>
      <c r="O570" s="23" t="str">
        <f>VLOOKUP(N570,スキル!B:C,2,FALSE)</f>
        <v>　</v>
      </c>
      <c r="P570" s="23" t="s">
        <v>23</v>
      </c>
      <c r="Q570" s="23" t="str">
        <f>VLOOKUP(P570,タクティクス!B:C,2,FALSE)</f>
        <v>パーティ全体の攻撃力が中UP(3分間)</v>
      </c>
      <c r="R570" s="23" t="s">
        <v>18</v>
      </c>
      <c r="S570" s="23" t="str">
        <f>VLOOKUP(R570,タクティクス!B:C,2,FALSE)</f>
        <v>　</v>
      </c>
      <c r="T570" s="23" t="s">
        <v>18</v>
      </c>
      <c r="U570" s="23" t="s">
        <v>18</v>
      </c>
      <c r="V570" s="20" t="s">
        <v>1850</v>
      </c>
    </row>
    <row r="571" spans="1:22" ht="21.75" customHeight="1" x14ac:dyDescent="0.15">
      <c r="A571" s="20" t="str">
        <f>B571&amp;".jpg"</f>
        <v>1933.jpg</v>
      </c>
      <c r="B571" s="46">
        <v>1933</v>
      </c>
      <c r="C571" s="24" t="s">
        <v>39</v>
      </c>
      <c r="D571" s="24" t="s">
        <v>15</v>
      </c>
      <c r="E571" s="24">
        <v>13</v>
      </c>
      <c r="F571" s="24" t="s">
        <v>34</v>
      </c>
      <c r="G571" s="22">
        <v>18665</v>
      </c>
      <c r="H571" s="22">
        <v>6273</v>
      </c>
      <c r="I571" s="22">
        <v>6889</v>
      </c>
      <c r="J571" s="24" t="s">
        <v>35</v>
      </c>
      <c r="K571" s="22">
        <f>SUM(G571,H571,I571)</f>
        <v>31827</v>
      </c>
      <c r="L571" s="23" t="s">
        <v>719</v>
      </c>
      <c r="M571" s="23" t="str">
        <f>VLOOKUP(L571,スキル!B:C,2,FALSE)</f>
        <v>X字型攻撃[大]自分の防御力UP[大]</v>
      </c>
      <c r="N571" s="23" t="s">
        <v>18</v>
      </c>
      <c r="O571" s="23" t="str">
        <f>VLOOKUP(N571,スキル!B:C,2,FALSE)</f>
        <v>　</v>
      </c>
      <c r="P571" s="23" t="s">
        <v>23</v>
      </c>
      <c r="Q571" s="23" t="str">
        <f>VLOOKUP(P571,タクティクス!B:C,2,FALSE)</f>
        <v>パーティ全体の攻撃力が中UP(3分間)</v>
      </c>
      <c r="R571" s="23" t="s">
        <v>18</v>
      </c>
      <c r="S571" s="23" t="str">
        <f>VLOOKUP(R571,タクティクス!B:C,2,FALSE)</f>
        <v>　</v>
      </c>
      <c r="T571" s="23" t="s">
        <v>18</v>
      </c>
      <c r="U571" s="23" t="s">
        <v>18</v>
      </c>
      <c r="V571" s="20" t="s">
        <v>1850</v>
      </c>
    </row>
    <row r="572" spans="1:22" ht="21.75" customHeight="1" x14ac:dyDescent="0.15">
      <c r="A572" s="20" t="str">
        <f>B572&amp;".jpg"</f>
        <v>1934.jpg</v>
      </c>
      <c r="B572" s="46">
        <v>1934</v>
      </c>
      <c r="C572" s="24" t="s">
        <v>39</v>
      </c>
      <c r="D572" s="24" t="s">
        <v>150</v>
      </c>
      <c r="E572" s="24">
        <v>14</v>
      </c>
      <c r="F572" s="24" t="s">
        <v>34</v>
      </c>
      <c r="G572" s="22">
        <v>23815</v>
      </c>
      <c r="H572" s="22">
        <v>6955</v>
      </c>
      <c r="I572" s="22">
        <v>9502</v>
      </c>
      <c r="J572" s="24" t="s">
        <v>17</v>
      </c>
      <c r="K572" s="22">
        <f>SUM(G572,H572,I572)</f>
        <v>40272</v>
      </c>
      <c r="L572" s="23" t="s">
        <v>799</v>
      </c>
      <c r="M572" s="23" t="str">
        <f>VLOOKUP(L572,スキル!B:C,2,FALSE)</f>
        <v>X字型攻撃[特大]自分の防御力UP[特大]</v>
      </c>
      <c r="N572" s="23" t="s">
        <v>18</v>
      </c>
      <c r="O572" s="23" t="str">
        <f>VLOOKUP(N572,スキル!B:C,2,FALSE)</f>
        <v>　</v>
      </c>
      <c r="P572" s="23" t="s">
        <v>178</v>
      </c>
      <c r="Q572" s="23" t="str">
        <f>VLOOKUP(P572,タクティクス!B:C,2,FALSE)</f>
        <v>パーティ全体の攻撃力が大UP(3分間)</v>
      </c>
      <c r="R572" s="23" t="s">
        <v>18</v>
      </c>
      <c r="S572" s="23" t="str">
        <f>VLOOKUP(R572,タクティクス!B:C,2,FALSE)</f>
        <v>　</v>
      </c>
      <c r="T572" s="23" t="s">
        <v>18</v>
      </c>
      <c r="U572" s="23" t="s">
        <v>18</v>
      </c>
      <c r="V572" s="20" t="s">
        <v>1850</v>
      </c>
    </row>
    <row r="573" spans="1:22" ht="21.75" customHeight="1" x14ac:dyDescent="0.15">
      <c r="A573" s="20" t="str">
        <f>B573&amp;".jpg"</f>
        <v>1935.jpg</v>
      </c>
      <c r="B573" s="46">
        <v>1935</v>
      </c>
      <c r="C573" s="24" t="s">
        <v>39</v>
      </c>
      <c r="D573" s="24" t="s">
        <v>150</v>
      </c>
      <c r="E573" s="24">
        <v>15</v>
      </c>
      <c r="F573" s="24" t="s">
        <v>34</v>
      </c>
      <c r="G573" s="22">
        <v>26881</v>
      </c>
      <c r="H573" s="22">
        <v>7479</v>
      </c>
      <c r="I573" s="22">
        <v>10126</v>
      </c>
      <c r="J573" s="24" t="s">
        <v>151</v>
      </c>
      <c r="K573" s="22">
        <f>SUM(G573,H573,I573)</f>
        <v>44486</v>
      </c>
      <c r="L573" s="23" t="s">
        <v>799</v>
      </c>
      <c r="M573" s="23" t="str">
        <f>VLOOKUP(L573,スキル!B:C,2,FALSE)</f>
        <v>X字型攻撃[特大]自分の防御力UP[特大]</v>
      </c>
      <c r="N573" s="23" t="s">
        <v>18</v>
      </c>
      <c r="O573" s="23" t="str">
        <f>VLOOKUP(N573,スキル!B:C,2,FALSE)</f>
        <v>　</v>
      </c>
      <c r="P573" s="23" t="s">
        <v>361</v>
      </c>
      <c r="Q573" s="23" t="str">
        <f>VLOOKUP(P573,タクティクス!B:C,2,FALSE)</f>
        <v>パーティ全体の攻撃力が特大UP(3分間)</v>
      </c>
      <c r="R573" s="23" t="s">
        <v>226</v>
      </c>
      <c r="S573" s="23" t="str">
        <f>VLOOKUP(R573,タクティクス!B:C,2,FALSE)</f>
        <v>バトルで獲得する騎士団戦スコアが大アップ(3分間)</v>
      </c>
      <c r="T573" s="23" t="s">
        <v>18</v>
      </c>
      <c r="U573" s="23" t="s">
        <v>18</v>
      </c>
      <c r="V573" s="20" t="s">
        <v>1850</v>
      </c>
    </row>
    <row r="574" spans="1:22" ht="21.75" customHeight="1" x14ac:dyDescent="0.15">
      <c r="A574" s="20" t="str">
        <f>B574&amp;".jpg"</f>
        <v>1937.jpg</v>
      </c>
      <c r="B574" s="46">
        <v>1937</v>
      </c>
      <c r="C574" s="24" t="s">
        <v>391</v>
      </c>
      <c r="D574" s="24" t="s">
        <v>15</v>
      </c>
      <c r="E574" s="24">
        <v>13</v>
      </c>
      <c r="F574" s="24" t="s">
        <v>34</v>
      </c>
      <c r="G574" s="22">
        <v>18571</v>
      </c>
      <c r="H574" s="22">
        <v>6378</v>
      </c>
      <c r="I574" s="22">
        <v>6784</v>
      </c>
      <c r="J574" s="24" t="s">
        <v>35</v>
      </c>
      <c r="K574" s="22">
        <f>SUM(G574,H574,I574)</f>
        <v>31733</v>
      </c>
      <c r="L574" s="23" t="s">
        <v>669</v>
      </c>
      <c r="M574" s="23" t="str">
        <f>VLOOKUP(L574,スキル!B:C,2,FALSE)</f>
        <v>X字型攻撃[大]自分の攻撃力UP[大]</v>
      </c>
      <c r="N574" s="23" t="s">
        <v>18</v>
      </c>
      <c r="O574" s="23" t="str">
        <f>VLOOKUP(N574,スキル!B:C,2,FALSE)</f>
        <v>　</v>
      </c>
      <c r="P574" s="23" t="s">
        <v>19</v>
      </c>
      <c r="Q574" s="23" t="str">
        <f>VLOOKUP(P574,タクティクス!B:C,2,FALSE)</f>
        <v>中確率でパーティ全員を復帰(全滅時のみ使用可)</v>
      </c>
      <c r="R574" s="23" t="s">
        <v>18</v>
      </c>
      <c r="S574" s="23" t="str">
        <f>VLOOKUP(R574,タクティクス!B:C,2,FALSE)</f>
        <v>　</v>
      </c>
      <c r="T574" s="23" t="s">
        <v>18</v>
      </c>
      <c r="U574" s="23" t="s">
        <v>18</v>
      </c>
      <c r="V574" s="20" t="s">
        <v>1902</v>
      </c>
    </row>
    <row r="575" spans="1:22" ht="21.75" customHeight="1" x14ac:dyDescent="0.15">
      <c r="A575" s="20" t="str">
        <f>B575&amp;".jpg"</f>
        <v>1938.jpg</v>
      </c>
      <c r="B575" s="46">
        <v>1938</v>
      </c>
      <c r="C575" s="24" t="s">
        <v>392</v>
      </c>
      <c r="D575" s="24" t="s">
        <v>150</v>
      </c>
      <c r="E575" s="24">
        <v>15</v>
      </c>
      <c r="F575" s="24" t="s">
        <v>41</v>
      </c>
      <c r="G575" s="22">
        <v>20978</v>
      </c>
      <c r="H575" s="22">
        <v>7214</v>
      </c>
      <c r="I575" s="22">
        <v>6239</v>
      </c>
      <c r="J575" s="24" t="s">
        <v>261</v>
      </c>
      <c r="K575" s="22">
        <f>SUM(G575,H575,I575)</f>
        <v>34431</v>
      </c>
      <c r="L575" s="23" t="s">
        <v>864</v>
      </c>
      <c r="M575" s="23" t="str">
        <f>VLOOKUP(L575,スキル!B:C,2,FALSE)</f>
        <v>一定確率で敵を範囲不可にする[超高確率]</v>
      </c>
      <c r="N575" s="23" t="s">
        <v>18</v>
      </c>
      <c r="O575" s="23" t="str">
        <f>VLOOKUP(N575,スキル!B:C,2,FALSE)</f>
        <v>　</v>
      </c>
      <c r="P575" s="23" t="s">
        <v>393</v>
      </c>
      <c r="Q575" s="23" t="str">
        <f>VLOOKUP(P575,タクティクス!B:C,2,FALSE)</f>
        <v>強襲が発生無効、バトル時に攻・防大UP(3分間)</v>
      </c>
      <c r="R575" s="23" t="s">
        <v>178</v>
      </c>
      <c r="S575" s="23" t="str">
        <f>VLOOKUP(R575,タクティクス!B:C,2,FALSE)</f>
        <v>パーティ全体の攻撃力が大UP(3分間)</v>
      </c>
      <c r="T575" s="23" t="s">
        <v>18</v>
      </c>
      <c r="U575" s="23" t="s">
        <v>18</v>
      </c>
      <c r="V575" s="20" t="s">
        <v>1910</v>
      </c>
    </row>
    <row r="576" spans="1:22" ht="21.75" customHeight="1" x14ac:dyDescent="0.15">
      <c r="A576" s="20" t="str">
        <f>B576&amp;".jpg"</f>
        <v>1940.jpg</v>
      </c>
      <c r="B576" s="46">
        <v>1940</v>
      </c>
      <c r="C576" s="24" t="s">
        <v>69</v>
      </c>
      <c r="D576" s="24" t="s">
        <v>150</v>
      </c>
      <c r="E576" s="24">
        <v>15</v>
      </c>
      <c r="F576" s="24" t="s">
        <v>41</v>
      </c>
      <c r="G576" s="22">
        <v>21772</v>
      </c>
      <c r="H576" s="22">
        <v>7313</v>
      </c>
      <c r="I576" s="22">
        <v>7016</v>
      </c>
      <c r="J576" s="24" t="s">
        <v>261</v>
      </c>
      <c r="K576" s="22">
        <f>SUM(G576,H576,I576)</f>
        <v>36101</v>
      </c>
      <c r="L576" s="23" t="s">
        <v>763</v>
      </c>
      <c r="M576" s="23" t="str">
        <f>VLOOKUP(L576,スキル!B:C,2,FALSE)</f>
        <v>味方遠属性の防御力をUP[特大]</v>
      </c>
      <c r="N576" s="23" t="s">
        <v>18</v>
      </c>
      <c r="O576" s="23" t="str">
        <f>VLOOKUP(N576,スキル!B:C,2,FALSE)</f>
        <v>　</v>
      </c>
      <c r="P576" s="23" t="s">
        <v>374</v>
      </c>
      <c r="Q576" s="23" t="str">
        <f>VLOOKUP(P576,タクティクス!B:C,2,FALSE)</f>
        <v>パーティ全体の攻・防が特大UP(3分間)</v>
      </c>
      <c r="R576" s="23" t="s">
        <v>195</v>
      </c>
      <c r="S576" s="23" t="str">
        <f>VLOOKUP(R576,タクティクス!B:C,2,FALSE)</f>
        <v>パーティ全体のスキル発動率が大UP(3分間)</v>
      </c>
      <c r="T576" s="23" t="s">
        <v>18</v>
      </c>
      <c r="U576" s="23" t="s">
        <v>18</v>
      </c>
      <c r="V576" s="20" t="s">
        <v>1823</v>
      </c>
    </row>
    <row r="577" spans="1:22" ht="21.75" customHeight="1" x14ac:dyDescent="0.15">
      <c r="A577" s="20" t="str">
        <f>B577&amp;".jpg"</f>
        <v>1942.jpg</v>
      </c>
      <c r="B577" s="46">
        <v>1942</v>
      </c>
      <c r="C577" s="24" t="s">
        <v>97</v>
      </c>
      <c r="D577" s="24" t="s">
        <v>150</v>
      </c>
      <c r="E577" s="24">
        <v>15</v>
      </c>
      <c r="F577" s="24" t="s">
        <v>41</v>
      </c>
      <c r="G577" s="22">
        <v>23317</v>
      </c>
      <c r="H577" s="22">
        <v>7188</v>
      </c>
      <c r="I577" s="22">
        <v>6896</v>
      </c>
      <c r="J577" s="24" t="s">
        <v>261</v>
      </c>
      <c r="K577" s="22">
        <f>SUM(G577,H577,I577)</f>
        <v>37401</v>
      </c>
      <c r="L577" s="23" t="s">
        <v>835</v>
      </c>
      <c r="M577" s="23" t="str">
        <f>VLOOKUP(L577,スキル!B:C,2,FALSE)</f>
        <v>単体攻撃（宝箱優先／追加ダメージ）[特大]</v>
      </c>
      <c r="N577" s="23" t="s">
        <v>18</v>
      </c>
      <c r="O577" s="23" t="str">
        <f>VLOOKUP(N577,スキル!B:C,2,FALSE)</f>
        <v>　</v>
      </c>
      <c r="P577" s="23" t="s">
        <v>357</v>
      </c>
      <c r="Q577" s="23" t="str">
        <f>VLOOKUP(P577,タクティクス!B:C,2,FALSE)</f>
        <v>パーティ全体の防御力が特大UP(3分間)</v>
      </c>
      <c r="R577" s="23" t="s">
        <v>185</v>
      </c>
      <c r="S577" s="23" t="str">
        <f>VLOOKUP(R577,タクティクス!B:C,2,FALSE)</f>
        <v>バトル時の強襲CB率が中UP(3分間)</v>
      </c>
      <c r="T577" s="23" t="s">
        <v>18</v>
      </c>
      <c r="U577" s="23" t="s">
        <v>18</v>
      </c>
      <c r="V577" s="20" t="s">
        <v>1823</v>
      </c>
    </row>
    <row r="578" spans="1:22" ht="21.75" customHeight="1" x14ac:dyDescent="0.15">
      <c r="A578" s="20" t="str">
        <f>B578&amp;".jpg"</f>
        <v>1943.jpg</v>
      </c>
      <c r="B578" s="46">
        <v>1943</v>
      </c>
      <c r="C578" s="24" t="s">
        <v>394</v>
      </c>
      <c r="D578" s="24" t="s">
        <v>150</v>
      </c>
      <c r="E578" s="24">
        <v>15</v>
      </c>
      <c r="F578" s="24" t="s">
        <v>16</v>
      </c>
      <c r="G578" s="22">
        <v>21024</v>
      </c>
      <c r="H578" s="22">
        <v>9282</v>
      </c>
      <c r="I578" s="22">
        <v>7359</v>
      </c>
      <c r="J578" s="24" t="s">
        <v>26</v>
      </c>
      <c r="K578" s="22">
        <f>SUM(G578,H578,I578)</f>
        <v>37665</v>
      </c>
      <c r="L578" s="23" t="s">
        <v>664</v>
      </c>
      <c r="M578" s="23" t="str">
        <f>VLOOKUP(L578,スキル!B:C,2,FALSE)</f>
        <v>縦一列に攻撃[特大]</v>
      </c>
      <c r="N578" s="23" t="s">
        <v>18</v>
      </c>
      <c r="O578" s="23" t="str">
        <f>VLOOKUP(N578,スキル!B:C,2,FALSE)</f>
        <v>　</v>
      </c>
      <c r="P578" s="23" t="s">
        <v>361</v>
      </c>
      <c r="Q578" s="23" t="str">
        <f>VLOOKUP(P578,タクティクス!B:C,2,FALSE)</f>
        <v>パーティ全体の攻撃力が特大UP(3分間)</v>
      </c>
      <c r="R578" s="23" t="s">
        <v>376</v>
      </c>
      <c r="S578" s="23" t="str">
        <f>VLOOKUP(R578,タクティクス!B:C,2,FALSE)</f>
        <v>キリ番キャッスルブレイク時の獲得ポイントUP(3回)</v>
      </c>
      <c r="T578" s="23" t="s">
        <v>18</v>
      </c>
      <c r="U578" s="23" t="s">
        <v>18</v>
      </c>
      <c r="V578" s="20" t="s">
        <v>1899</v>
      </c>
    </row>
    <row r="579" spans="1:22" ht="21.75" customHeight="1" x14ac:dyDescent="0.15">
      <c r="A579" s="20" t="str">
        <f>B579&amp;".jpg"</f>
        <v>1944.jpg</v>
      </c>
      <c r="B579" s="46">
        <v>1944</v>
      </c>
      <c r="C579" s="24" t="s">
        <v>279</v>
      </c>
      <c r="D579" s="24" t="s">
        <v>150</v>
      </c>
      <c r="E579" s="24">
        <v>15</v>
      </c>
      <c r="F579" s="24" t="s">
        <v>16</v>
      </c>
      <c r="G579" s="22">
        <v>21528</v>
      </c>
      <c r="H579" s="22">
        <v>9208</v>
      </c>
      <c r="I579" s="22">
        <v>7647</v>
      </c>
      <c r="J579" s="24" t="s">
        <v>26</v>
      </c>
      <c r="K579" s="22">
        <f>SUM(G579,H579,I579)</f>
        <v>38383</v>
      </c>
      <c r="L579" s="23" t="s">
        <v>778</v>
      </c>
      <c r="M579" s="23" t="str">
        <f>VLOOKUP(L579,スキル!B:C,2,FALSE)</f>
        <v>横一列攻撃[特大]自分の防御力UP[特大]</v>
      </c>
      <c r="N579" s="23" t="s">
        <v>18</v>
      </c>
      <c r="O579" s="23" t="str">
        <f>VLOOKUP(N579,スキル!B:C,2,FALSE)</f>
        <v>　</v>
      </c>
      <c r="P579" s="23" t="s">
        <v>395</v>
      </c>
      <c r="Q579" s="23" t="str">
        <f>VLOOKUP(P579,タクティクス!B:C,2,FALSE)</f>
        <v>騎士団全体の強襲率大DOWN・防御力大UP(3分間)</v>
      </c>
      <c r="R579" s="23" t="s">
        <v>274</v>
      </c>
      <c r="S579" s="23" t="str">
        <f>VLOOKUP(R579,タクティクス!B:C,2,FALSE)</f>
        <v>パーティ全体の攻撃力・速度が中UP(3分間)</v>
      </c>
      <c r="T579" s="23" t="s">
        <v>18</v>
      </c>
      <c r="U579" s="23" t="s">
        <v>18</v>
      </c>
      <c r="V579" s="20" t="s">
        <v>1899</v>
      </c>
    </row>
    <row r="580" spans="1:22" ht="21.75" customHeight="1" x14ac:dyDescent="0.15">
      <c r="A580" s="20" t="str">
        <f>B580&amp;".jpg"</f>
        <v>1945.jpg</v>
      </c>
      <c r="B580" s="46">
        <v>1945</v>
      </c>
      <c r="C580" s="24" t="s">
        <v>396</v>
      </c>
      <c r="D580" s="24" t="s">
        <v>150</v>
      </c>
      <c r="E580" s="24">
        <v>15</v>
      </c>
      <c r="F580" s="24" t="s">
        <v>41</v>
      </c>
      <c r="G580" s="22">
        <v>26847</v>
      </c>
      <c r="H580" s="22">
        <v>8250</v>
      </c>
      <c r="I580" s="22">
        <v>8098</v>
      </c>
      <c r="J580" s="24" t="s">
        <v>261</v>
      </c>
      <c r="K580" s="22">
        <f>SUM(G580,H580,I580)</f>
        <v>43195</v>
      </c>
      <c r="L580" s="23" t="s">
        <v>865</v>
      </c>
      <c r="M580" s="23" t="str">
        <f>VLOOKUP(L580,スキル!B:C,2,FALSE)</f>
        <v>敵全体に攻撃[極大]</v>
      </c>
      <c r="N580" s="23" t="s">
        <v>18</v>
      </c>
      <c r="O580" s="23" t="str">
        <f>VLOOKUP(N580,スキル!B:C,2,FALSE)</f>
        <v>　</v>
      </c>
      <c r="P580" s="26" t="s">
        <v>397</v>
      </c>
      <c r="Q580" s="23" t="str">
        <f>VLOOKUP(P580,タクティクス!B:C,2,FALSE)</f>
        <v>バトルで獲得する騎士団戦スコアが特大アップ(3分間)</v>
      </c>
      <c r="R580" s="23" t="s">
        <v>178</v>
      </c>
      <c r="S580" s="23" t="str">
        <f>VLOOKUP(R580,タクティクス!B:C,2,FALSE)</f>
        <v>パーティ全体の攻撃力が大UP(3分間)</v>
      </c>
      <c r="T580" s="23" t="s">
        <v>18</v>
      </c>
      <c r="U580" s="23" t="s">
        <v>18</v>
      </c>
      <c r="V580" s="20" t="s">
        <v>1899</v>
      </c>
    </row>
    <row r="581" spans="1:22" ht="21.75" customHeight="1" x14ac:dyDescent="0.15">
      <c r="A581" s="20" t="str">
        <f>B581&amp;".jpg"</f>
        <v>1946.jpg</v>
      </c>
      <c r="B581" s="46">
        <v>1946</v>
      </c>
      <c r="C581" s="24" t="s">
        <v>237</v>
      </c>
      <c r="D581" s="24" t="s">
        <v>150</v>
      </c>
      <c r="E581" s="24">
        <v>15</v>
      </c>
      <c r="F581" s="24" t="s">
        <v>16</v>
      </c>
      <c r="G581" s="22">
        <v>19066</v>
      </c>
      <c r="H581" s="22">
        <v>9450</v>
      </c>
      <c r="I581" s="22">
        <v>6332</v>
      </c>
      <c r="J581" s="24" t="s">
        <v>26</v>
      </c>
      <c r="K581" s="22">
        <f>SUM(G581,H581,I581)</f>
        <v>34848</v>
      </c>
      <c r="L581" s="23" t="s">
        <v>664</v>
      </c>
      <c r="M581" s="23" t="str">
        <f>VLOOKUP(L581,スキル!B:C,2,FALSE)</f>
        <v>縦一列に攻撃[特大]</v>
      </c>
      <c r="N581" s="23" t="s">
        <v>955</v>
      </c>
      <c r="O581" s="23" t="str">
        <f>VLOOKUP(N581,スキル!B:C,2,FALSE)</f>
        <v>単体固定ダメ[超特大]自分に固定ダメ[極大]</v>
      </c>
      <c r="P581" s="23" t="s">
        <v>361</v>
      </c>
      <c r="Q581" s="23" t="str">
        <f>VLOOKUP(P581,タクティクス!B:C,2,FALSE)</f>
        <v>パーティ全体の攻撃力が特大UP(3分間)</v>
      </c>
      <c r="R581" s="23" t="s">
        <v>178</v>
      </c>
      <c r="S581" s="23" t="str">
        <f>VLOOKUP(R581,タクティクス!B:C,2,FALSE)</f>
        <v>パーティ全体の攻撃力が大UP(3分間)</v>
      </c>
      <c r="T581" s="23" t="s">
        <v>18</v>
      </c>
      <c r="U581" s="23" t="s">
        <v>18</v>
      </c>
      <c r="V581" s="20" t="s">
        <v>1892</v>
      </c>
    </row>
    <row r="582" spans="1:22" ht="21.75" customHeight="1" x14ac:dyDescent="0.15">
      <c r="A582" s="20" t="str">
        <f>B582&amp;".jpg"</f>
        <v>1947.jpg</v>
      </c>
      <c r="B582" s="46">
        <v>1947</v>
      </c>
      <c r="C582" s="24" t="s">
        <v>149</v>
      </c>
      <c r="D582" s="24" t="s">
        <v>150</v>
      </c>
      <c r="E582" s="24">
        <v>15</v>
      </c>
      <c r="F582" s="24" t="s">
        <v>16</v>
      </c>
      <c r="G582" s="22">
        <v>20708</v>
      </c>
      <c r="H582" s="22">
        <v>9082</v>
      </c>
      <c r="I582" s="22">
        <v>7437</v>
      </c>
      <c r="J582" s="24" t="s">
        <v>26</v>
      </c>
      <c r="K582" s="22">
        <f>SUM(G582,H582,I582)</f>
        <v>37227</v>
      </c>
      <c r="L582" s="23" t="s">
        <v>664</v>
      </c>
      <c r="M582" s="23" t="str">
        <f>VLOOKUP(L582,スキル!B:C,2,FALSE)</f>
        <v>縦一列に攻撃[特大]</v>
      </c>
      <c r="N582" s="23" t="s">
        <v>957</v>
      </c>
      <c r="O582" s="23" t="str">
        <f>VLOOKUP(N582,スキル!B:C,2,FALSE)</f>
        <v>味方1体を蘇生[HP特大]</v>
      </c>
      <c r="P582" s="23" t="s">
        <v>398</v>
      </c>
      <c r="Q582" s="23" t="str">
        <f>VLOOKUP(P582,タクティクス!B:C,2,FALSE)</f>
        <v>バトルで敵を全滅するとBPが大回復(3分間)</v>
      </c>
      <c r="R582" s="23" t="s">
        <v>178</v>
      </c>
      <c r="S582" s="23" t="str">
        <f>VLOOKUP(R582,タクティクス!B:C,2,FALSE)</f>
        <v>パーティ全体の攻撃力が大UP(3分間)</v>
      </c>
      <c r="T582" s="23" t="s">
        <v>18</v>
      </c>
      <c r="U582" s="23" t="s">
        <v>18</v>
      </c>
      <c r="V582" s="20" t="s">
        <v>1892</v>
      </c>
    </row>
    <row r="583" spans="1:22" ht="21.75" customHeight="1" x14ac:dyDescent="0.15">
      <c r="A583" s="20" t="str">
        <f>B583&amp;".jpg"</f>
        <v>1948.jpg</v>
      </c>
      <c r="B583" s="46">
        <v>1948</v>
      </c>
      <c r="C583" s="24" t="s">
        <v>80</v>
      </c>
      <c r="D583" s="24" t="s">
        <v>150</v>
      </c>
      <c r="E583" s="24">
        <v>15</v>
      </c>
      <c r="F583" s="24" t="s">
        <v>25</v>
      </c>
      <c r="G583" s="22">
        <v>21462</v>
      </c>
      <c r="H583" s="22">
        <v>6229</v>
      </c>
      <c r="I583" s="22">
        <v>7820</v>
      </c>
      <c r="J583" s="24" t="s">
        <v>177</v>
      </c>
      <c r="K583" s="22">
        <f>SUM(G583,H583,I583)</f>
        <v>35511</v>
      </c>
      <c r="L583" s="23" t="s">
        <v>793</v>
      </c>
      <c r="M583" s="23" t="str">
        <f>VLOOKUP(L583,スキル!B:C,2,FALSE)</f>
        <v>味方突属性の防御力をUP[特大]</v>
      </c>
      <c r="N583" s="23" t="s">
        <v>18</v>
      </c>
      <c r="O583" s="23" t="str">
        <f>VLOOKUP(N583,スキル!B:C,2,FALSE)</f>
        <v>　</v>
      </c>
      <c r="P583" s="23" t="s">
        <v>374</v>
      </c>
      <c r="Q583" s="23" t="str">
        <f>VLOOKUP(P583,タクティクス!B:C,2,FALSE)</f>
        <v>パーティ全体の攻・防が特大UP(3分間)</v>
      </c>
      <c r="R583" s="23" t="s">
        <v>188</v>
      </c>
      <c r="S583" s="23" t="str">
        <f>VLOOKUP(R583,タクティクス!B:C,2,FALSE)</f>
        <v>バトルで敵を全滅するとBPが大回復(バトル3回)</v>
      </c>
      <c r="T583" s="23" t="s">
        <v>18</v>
      </c>
      <c r="U583" s="23" t="s">
        <v>18</v>
      </c>
      <c r="V583" s="20" t="s">
        <v>1907</v>
      </c>
    </row>
    <row r="584" spans="1:22" ht="21.75" customHeight="1" x14ac:dyDescent="0.15">
      <c r="A584" s="20" t="str">
        <f>B584&amp;".jpg"</f>
        <v>1950.jpg</v>
      </c>
      <c r="B584" s="46">
        <v>1950</v>
      </c>
      <c r="C584" s="24" t="s">
        <v>57</v>
      </c>
      <c r="D584" s="24" t="s">
        <v>15</v>
      </c>
      <c r="E584" s="24">
        <v>13</v>
      </c>
      <c r="F584" s="24" t="s">
        <v>16</v>
      </c>
      <c r="G584" s="22">
        <v>16529</v>
      </c>
      <c r="H584" s="22">
        <v>7966</v>
      </c>
      <c r="I584" s="22">
        <v>5236</v>
      </c>
      <c r="J584" s="24" t="s">
        <v>17</v>
      </c>
      <c r="K584" s="22">
        <f>SUM(G584,H584,I584)</f>
        <v>29731</v>
      </c>
      <c r="L584" s="23" t="s">
        <v>656</v>
      </c>
      <c r="M584" s="23" t="str">
        <f>VLOOKUP(L584,スキル!B:C,2,FALSE)</f>
        <v>十字型攻撃[大]自分の防御力UP[大]</v>
      </c>
      <c r="N584" s="23" t="s">
        <v>18</v>
      </c>
      <c r="O584" s="23" t="str">
        <f>VLOOKUP(N584,スキル!B:C,2,FALSE)</f>
        <v>　</v>
      </c>
      <c r="P584" s="23" t="s">
        <v>81</v>
      </c>
      <c r="Q584" s="23" t="str">
        <f>VLOOKUP(P584,タクティクス!B:C,2,FALSE)</f>
        <v>騎士団全体の攻撃力が小UP(3分間)</v>
      </c>
      <c r="R584" s="23" t="s">
        <v>18</v>
      </c>
      <c r="S584" s="23" t="str">
        <f>VLOOKUP(R584,タクティクス!B:C,2,FALSE)</f>
        <v>　</v>
      </c>
      <c r="T584" s="23" t="s">
        <v>18</v>
      </c>
      <c r="U584" s="23" t="s">
        <v>18</v>
      </c>
      <c r="V584" s="20" t="s">
        <v>1879</v>
      </c>
    </row>
    <row r="585" spans="1:22" ht="21.75" customHeight="1" x14ac:dyDescent="0.15">
      <c r="A585" s="20" t="str">
        <f>B585&amp;".jpg"</f>
        <v>1951.jpg</v>
      </c>
      <c r="B585" s="46">
        <v>1951</v>
      </c>
      <c r="C585" s="24" t="s">
        <v>74</v>
      </c>
      <c r="D585" s="24" t="s">
        <v>150</v>
      </c>
      <c r="E585" s="24">
        <v>14</v>
      </c>
      <c r="F585" s="24" t="s">
        <v>25</v>
      </c>
      <c r="G585" s="22">
        <v>21920</v>
      </c>
      <c r="H585" s="22">
        <v>6272</v>
      </c>
      <c r="I585" s="22">
        <v>7270</v>
      </c>
      <c r="J585" s="24" t="s">
        <v>177</v>
      </c>
      <c r="K585" s="22">
        <f>SUM(G585,H585,I585)</f>
        <v>35462</v>
      </c>
      <c r="L585" s="23" t="s">
        <v>707</v>
      </c>
      <c r="M585" s="23" t="str">
        <f>VLOOKUP(L585,スキル!B:C,2,FALSE)</f>
        <v>一定確率で敵を範囲不可にする[超高確率]</v>
      </c>
      <c r="N585" s="23" t="s">
        <v>18</v>
      </c>
      <c r="O585" s="23" t="str">
        <f>VLOOKUP(N585,スキル!B:C,2,FALSE)</f>
        <v>　</v>
      </c>
      <c r="P585" s="23" t="s">
        <v>188</v>
      </c>
      <c r="Q585" s="23" t="str">
        <f>VLOOKUP(P585,タクティクス!B:C,2,FALSE)</f>
        <v>バトルで敵を全滅するとBPが大回復(バトル3回)</v>
      </c>
      <c r="R585" s="23" t="s">
        <v>18</v>
      </c>
      <c r="S585" s="23" t="str">
        <f>VLOOKUP(R585,タクティクス!B:C,2,FALSE)</f>
        <v>　</v>
      </c>
      <c r="T585" s="23" t="s">
        <v>18</v>
      </c>
      <c r="U585" s="23" t="s">
        <v>18</v>
      </c>
      <c r="V585" s="20" t="s">
        <v>1879</v>
      </c>
    </row>
    <row r="586" spans="1:22" ht="21.75" customHeight="1" x14ac:dyDescent="0.15">
      <c r="A586" s="20" t="str">
        <f>B586&amp;".jpg"</f>
        <v>1953.jpg</v>
      </c>
      <c r="B586" s="46">
        <v>1953</v>
      </c>
      <c r="C586" s="24" t="s">
        <v>191</v>
      </c>
      <c r="D586" s="24" t="s">
        <v>150</v>
      </c>
      <c r="E586" s="24">
        <v>14</v>
      </c>
      <c r="F586" s="24" t="s">
        <v>16</v>
      </c>
      <c r="G586" s="22">
        <v>18123</v>
      </c>
      <c r="H586" s="22">
        <v>8995</v>
      </c>
      <c r="I586" s="22">
        <v>6257</v>
      </c>
      <c r="J586" s="24" t="s">
        <v>151</v>
      </c>
      <c r="K586" s="22">
        <f>SUM(G586,H586,I586)</f>
        <v>33375</v>
      </c>
      <c r="L586" s="23" t="s">
        <v>774</v>
      </c>
      <c r="M586" s="23" t="str">
        <f>VLOOKUP(L586,スキル!B:C,2,FALSE)</f>
        <v>味方斬属性の防御力をUP[特大]</v>
      </c>
      <c r="N586" s="23" t="s">
        <v>18</v>
      </c>
      <c r="O586" s="23" t="str">
        <f>VLOOKUP(N586,スキル!B:C,2,FALSE)</f>
        <v>　</v>
      </c>
      <c r="P586" s="23" t="s">
        <v>341</v>
      </c>
      <c r="Q586" s="23" t="str">
        <f>VLOOKUP(P586,タクティクス!B:C,2,FALSE)</f>
        <v>キリ番CB時の獲得ポイント大UP(3分間)</v>
      </c>
      <c r="R586" s="23" t="s">
        <v>18</v>
      </c>
      <c r="S586" s="23" t="str">
        <f>VLOOKUP(R586,タクティクス!B:C,2,FALSE)</f>
        <v>　</v>
      </c>
      <c r="T586" s="23" t="s">
        <v>18</v>
      </c>
      <c r="U586" s="23" t="s">
        <v>18</v>
      </c>
      <c r="V586" s="20" t="s">
        <v>1899</v>
      </c>
    </row>
    <row r="587" spans="1:22" ht="21.75" customHeight="1" x14ac:dyDescent="0.15">
      <c r="A587" s="20" t="str">
        <f>B587&amp;".jpg"</f>
        <v>1955.jpg</v>
      </c>
      <c r="B587" s="46">
        <v>1955</v>
      </c>
      <c r="C587" s="24" t="s">
        <v>114</v>
      </c>
      <c r="D587" s="24" t="s">
        <v>150</v>
      </c>
      <c r="E587" s="24">
        <v>15</v>
      </c>
      <c r="F587" s="24" t="s">
        <v>25</v>
      </c>
      <c r="G587" s="22">
        <v>23876</v>
      </c>
      <c r="H587" s="22">
        <v>6588</v>
      </c>
      <c r="I587" s="22">
        <v>8567</v>
      </c>
      <c r="J587" s="24" t="s">
        <v>356</v>
      </c>
      <c r="K587" s="22">
        <f>SUM(G587,H587,I587)</f>
        <v>39031</v>
      </c>
      <c r="L587" s="23" t="s">
        <v>851</v>
      </c>
      <c r="M587" s="23" t="str">
        <f>VLOOKUP(L587,スキル!B:C,2,FALSE)</f>
        <v>遠に強く打に弱い縦一列攻撃[特大]</v>
      </c>
      <c r="N587" s="23" t="s">
        <v>18</v>
      </c>
      <c r="O587" s="23" t="str">
        <f>VLOOKUP(N587,スキル!B:C,2,FALSE)</f>
        <v>　</v>
      </c>
      <c r="P587" s="23" t="s">
        <v>378</v>
      </c>
      <c r="Q587" s="23" t="str">
        <f>VLOOKUP(P587,タクティクス!B:C,2,FALSE)</f>
        <v>パーティ全体の攻撃力・速度が大UP(3分間)</v>
      </c>
      <c r="R587" s="23" t="s">
        <v>152</v>
      </c>
      <c r="S587" s="23" t="str">
        <f>VLOOKUP(R587,タクティクス!B:C,2,FALSE)</f>
        <v>パーティ全体の攻・防が大UP(3分間)</v>
      </c>
      <c r="T587" s="23" t="s">
        <v>18</v>
      </c>
      <c r="U587" s="23" t="s">
        <v>18</v>
      </c>
      <c r="V587" s="20" t="s">
        <v>1899</v>
      </c>
    </row>
    <row r="588" spans="1:22" ht="21.75" customHeight="1" x14ac:dyDescent="0.15">
      <c r="A588" s="20" t="str">
        <f>B588&amp;".jpg"</f>
        <v>1957.jpg</v>
      </c>
      <c r="B588" s="46">
        <v>1957</v>
      </c>
      <c r="C588" s="24" t="s">
        <v>305</v>
      </c>
      <c r="D588" s="24" t="s">
        <v>150</v>
      </c>
      <c r="E588" s="24">
        <v>14</v>
      </c>
      <c r="F588" s="24" t="s">
        <v>34</v>
      </c>
      <c r="G588" s="22">
        <v>23769</v>
      </c>
      <c r="H588" s="22">
        <v>7011</v>
      </c>
      <c r="I588" s="22">
        <v>8254</v>
      </c>
      <c r="J588" s="24" t="s">
        <v>55</v>
      </c>
      <c r="K588" s="22">
        <f>SUM(G588,H588,I588)</f>
        <v>39034</v>
      </c>
      <c r="L588" s="24" t="s">
        <v>729</v>
      </c>
      <c r="M588" s="23" t="str">
        <f>VLOOKUP(L588,スキル!B:C,2,FALSE)</f>
        <v>X字型に攻撃[特大]</v>
      </c>
      <c r="N588" s="23" t="s">
        <v>18</v>
      </c>
      <c r="O588" s="23" t="str">
        <f>VLOOKUP(N588,スキル!B:C,2,FALSE)</f>
        <v>　</v>
      </c>
      <c r="P588" s="23" t="s">
        <v>311</v>
      </c>
      <c r="Q588" s="23" t="str">
        <f>VLOOKUP(P588,タクティクス!B:C,2,FALSE)</f>
        <v>対戦騎士団全体の防御力が中DOWN(3分間)</v>
      </c>
      <c r="R588" s="23" t="s">
        <v>18</v>
      </c>
      <c r="S588" s="23" t="str">
        <f>VLOOKUP(R588,タクティクス!B:C,2,FALSE)</f>
        <v>　</v>
      </c>
      <c r="T588" s="23" t="s">
        <v>18</v>
      </c>
      <c r="U588" s="23" t="s">
        <v>18</v>
      </c>
      <c r="V588" s="20" t="s">
        <v>1899</v>
      </c>
    </row>
    <row r="589" spans="1:22" ht="21.75" customHeight="1" x14ac:dyDescent="0.15">
      <c r="A589" s="20" t="str">
        <f>B589&amp;".jpg"</f>
        <v>1959.jpg</v>
      </c>
      <c r="B589" s="46">
        <v>1959</v>
      </c>
      <c r="C589" s="24" t="s">
        <v>221</v>
      </c>
      <c r="D589" s="24" t="s">
        <v>150</v>
      </c>
      <c r="E589" s="24">
        <v>15</v>
      </c>
      <c r="F589" s="24" t="s">
        <v>41</v>
      </c>
      <c r="G589" s="22">
        <v>22055</v>
      </c>
      <c r="H589" s="22">
        <v>7128</v>
      </c>
      <c r="I589" s="22">
        <v>7013</v>
      </c>
      <c r="J589" s="24" t="s">
        <v>261</v>
      </c>
      <c r="K589" s="22">
        <f>SUM(G589,H589,I589)</f>
        <v>36196</v>
      </c>
      <c r="L589" s="23" t="s">
        <v>867</v>
      </c>
      <c r="M589" s="23" t="str">
        <f>VLOOKUP(L589,スキル!B:C,2,FALSE)</f>
        <v>ﾗﾝﾀﾞﾑ6連続攻撃[中][低確率]でﾀﾞﾒｰｼﾞ2倍</v>
      </c>
      <c r="N589" s="23" t="s">
        <v>18</v>
      </c>
      <c r="O589" s="23" t="str">
        <f>VLOOKUP(N589,スキル!B:C,2,FALSE)</f>
        <v>　</v>
      </c>
      <c r="P589" s="23" t="s">
        <v>399</v>
      </c>
      <c r="Q589" s="23" t="str">
        <f>VLOOKUP(P589,タクティクス!B:C,2,FALSE)</f>
        <v>パーティ全体のスキル発動率が特大UP(3分間)</v>
      </c>
      <c r="R589" s="23" t="s">
        <v>226</v>
      </c>
      <c r="S589" s="23" t="str">
        <f>VLOOKUP(R589,タクティクス!B:C,2,FALSE)</f>
        <v>バトルで獲得する騎士団戦スコアが大アップ(3分間)</v>
      </c>
      <c r="T589" s="23" t="s">
        <v>18</v>
      </c>
      <c r="U589" s="23" t="s">
        <v>18</v>
      </c>
      <c r="V589" s="20" t="s">
        <v>1899</v>
      </c>
    </row>
    <row r="590" spans="1:22" ht="21.75" customHeight="1" x14ac:dyDescent="0.15">
      <c r="A590" s="20" t="str">
        <f>B590&amp;".jpg"</f>
        <v>1961.jpg</v>
      </c>
      <c r="B590" s="46">
        <v>1961</v>
      </c>
      <c r="C590" s="24" t="s">
        <v>400</v>
      </c>
      <c r="D590" s="24" t="s">
        <v>150</v>
      </c>
      <c r="E590" s="24">
        <v>14</v>
      </c>
      <c r="F590" s="24" t="s">
        <v>34</v>
      </c>
      <c r="G590" s="22">
        <v>22763</v>
      </c>
      <c r="H590" s="22">
        <v>6737</v>
      </c>
      <c r="I590" s="22">
        <v>9272</v>
      </c>
      <c r="J590" s="24" t="s">
        <v>17</v>
      </c>
      <c r="K590" s="22">
        <f>SUM(G590,H590,I590)</f>
        <v>38772</v>
      </c>
      <c r="L590" s="23" t="s">
        <v>749</v>
      </c>
      <c r="M590" s="23" t="str">
        <f>VLOOKUP(L590,スキル!B:C,2,FALSE)</f>
        <v>味方打属性の攻撃力をUP[特大]</v>
      </c>
      <c r="N590" s="23" t="s">
        <v>18</v>
      </c>
      <c r="O590" s="23" t="str">
        <f>VLOOKUP(N590,スキル!B:C,2,FALSE)</f>
        <v>　</v>
      </c>
      <c r="P590" s="23" t="s">
        <v>308</v>
      </c>
      <c r="Q590" s="23" t="str">
        <f>VLOOKUP(P590,タクティクス!B:C,2,FALSE)</f>
        <v>騎士団全体の攻撃力が中UP(3分間)</v>
      </c>
      <c r="R590" s="23" t="s">
        <v>18</v>
      </c>
      <c r="S590" s="23" t="str">
        <f>VLOOKUP(R590,タクティクス!B:C,2,FALSE)</f>
        <v>　</v>
      </c>
      <c r="T590" s="23" t="s">
        <v>18</v>
      </c>
      <c r="U590" s="23" t="s">
        <v>18</v>
      </c>
      <c r="V590" s="20" t="s">
        <v>1823</v>
      </c>
    </row>
    <row r="591" spans="1:22" ht="21.75" customHeight="1" x14ac:dyDescent="0.15">
      <c r="A591" s="20" t="str">
        <f>B591&amp;".jpg"</f>
        <v>1963.jpg</v>
      </c>
      <c r="B591" s="46">
        <v>1963</v>
      </c>
      <c r="C591" s="24" t="s">
        <v>153</v>
      </c>
      <c r="D591" s="24" t="s">
        <v>150</v>
      </c>
      <c r="E591" s="24">
        <v>15</v>
      </c>
      <c r="F591" s="24" t="s">
        <v>41</v>
      </c>
      <c r="G591" s="22">
        <v>21844</v>
      </c>
      <c r="H591" s="22">
        <v>7247</v>
      </c>
      <c r="I591" s="22">
        <v>6934</v>
      </c>
      <c r="J591" s="24" t="s">
        <v>261</v>
      </c>
      <c r="K591" s="22">
        <f>SUM(G591,H591,I591)</f>
        <v>36025</v>
      </c>
      <c r="L591" s="23" t="s">
        <v>849</v>
      </c>
      <c r="M591" s="23" t="str">
        <f>VLOOKUP(L591,スキル!B:C,2,FALSE)</f>
        <v>ランダム5連続攻撃[中]自分の攻撃力UP[中]</v>
      </c>
      <c r="N591" s="23" t="s">
        <v>18</v>
      </c>
      <c r="O591" s="23" t="str">
        <f>VLOOKUP(N591,スキル!B:C,2,FALSE)</f>
        <v>　</v>
      </c>
      <c r="P591" s="23" t="s">
        <v>357</v>
      </c>
      <c r="Q591" s="23" t="str">
        <f>VLOOKUP(P591,タクティクス!B:C,2,FALSE)</f>
        <v>パーティ全体の防御力が特大UP(3分間)</v>
      </c>
      <c r="R591" s="23" t="s">
        <v>135</v>
      </c>
      <c r="S591" s="23" t="str">
        <f>VLOOKUP(R591,タクティクス!B:C,2,FALSE)</f>
        <v>高確率で戦闘不能ユニットを復帰</v>
      </c>
      <c r="T591" s="23" t="s">
        <v>18</v>
      </c>
      <c r="U591" s="23" t="s">
        <v>18</v>
      </c>
      <c r="V591" s="20" t="s">
        <v>1823</v>
      </c>
    </row>
    <row r="592" spans="1:22" ht="21.75" customHeight="1" x14ac:dyDescent="0.15">
      <c r="A592" s="20" t="str">
        <f>B592&amp;".jpg"</f>
        <v>1964.jpg</v>
      </c>
      <c r="B592" s="46">
        <v>1964</v>
      </c>
      <c r="C592" s="24" t="s">
        <v>57</v>
      </c>
      <c r="D592" s="24" t="s">
        <v>150</v>
      </c>
      <c r="E592" s="24">
        <v>15</v>
      </c>
      <c r="F592" s="24" t="s">
        <v>16</v>
      </c>
      <c r="G592" s="22">
        <v>20668</v>
      </c>
      <c r="H592" s="22">
        <v>9404</v>
      </c>
      <c r="I592" s="22">
        <v>7010</v>
      </c>
      <c r="J592" s="24" t="s">
        <v>26</v>
      </c>
      <c r="K592" s="22">
        <f>SUM(G592,H592,I592)</f>
        <v>37082</v>
      </c>
      <c r="L592" s="23" t="s">
        <v>715</v>
      </c>
      <c r="M592" s="23" t="str">
        <f>VLOOKUP(L592,スキル!B:C,2,FALSE)</f>
        <v>打に強く遠に弱い縦一列攻撃[特大]</v>
      </c>
      <c r="N592" s="23" t="s">
        <v>18</v>
      </c>
      <c r="O592" s="23" t="str">
        <f>VLOOKUP(N592,スキル!B:C,2,FALSE)</f>
        <v>　</v>
      </c>
      <c r="P592" s="23" t="s">
        <v>361</v>
      </c>
      <c r="Q592" s="23" t="str">
        <f>VLOOKUP(P592,タクティクス!B:C,2,FALSE)</f>
        <v>パーティ全体の攻撃力が特大UP(3分間)</v>
      </c>
      <c r="R592" s="23" t="s">
        <v>325</v>
      </c>
      <c r="S592" s="23" t="str">
        <f>VLOOKUP(R592,タクティクス!B:C,2,FALSE)</f>
        <v>強襲CBの発生確率・強襲時獲得ポイントUP(3分間)</v>
      </c>
      <c r="T592" s="23" t="s">
        <v>18</v>
      </c>
      <c r="U592" s="23" t="s">
        <v>18</v>
      </c>
      <c r="V592" s="20" t="s">
        <v>1899</v>
      </c>
    </row>
    <row r="593" spans="1:22" ht="21.75" customHeight="1" x14ac:dyDescent="0.15">
      <c r="A593" s="20" t="str">
        <f>B593&amp;".jpg"</f>
        <v>1965.jpg</v>
      </c>
      <c r="B593" s="46">
        <v>1965</v>
      </c>
      <c r="C593" s="24" t="s">
        <v>59</v>
      </c>
      <c r="D593" s="24" t="s">
        <v>150</v>
      </c>
      <c r="E593" s="24">
        <v>15</v>
      </c>
      <c r="F593" s="24" t="s">
        <v>34</v>
      </c>
      <c r="G593" s="22">
        <v>26549</v>
      </c>
      <c r="H593" s="22">
        <v>7286</v>
      </c>
      <c r="I593" s="22">
        <v>10266</v>
      </c>
      <c r="J593" s="24" t="s">
        <v>151</v>
      </c>
      <c r="K593" s="22">
        <f>SUM(G593,H593,I593)</f>
        <v>44101</v>
      </c>
      <c r="L593" s="23" t="s">
        <v>697</v>
      </c>
      <c r="M593" s="23" t="str">
        <f>VLOOKUP(L593,スキル!B:C,2,FALSE)</f>
        <v>X字型攻撃[特大]自分の攻撃力UP[特大]</v>
      </c>
      <c r="N593" s="23" t="s">
        <v>18</v>
      </c>
      <c r="O593" s="23" t="str">
        <f>VLOOKUP(N593,スキル!B:C,2,FALSE)</f>
        <v>　</v>
      </c>
      <c r="P593" s="26" t="s">
        <v>238</v>
      </c>
      <c r="Q593" s="23" t="str">
        <f>VLOOKUP(P593,タクティクス!B:C,2,FALSE)</f>
        <v>騎士団全員のBPを大回復</v>
      </c>
      <c r="R593" s="23" t="s">
        <v>376</v>
      </c>
      <c r="S593" s="23" t="str">
        <f>VLOOKUP(R593,タクティクス!B:C,2,FALSE)</f>
        <v>キリ番キャッスルブレイク時の獲得ポイントUP(3回)</v>
      </c>
      <c r="T593" s="23" t="s">
        <v>18</v>
      </c>
      <c r="U593" s="23" t="s">
        <v>18</v>
      </c>
      <c r="V593" s="20" t="s">
        <v>1899</v>
      </c>
    </row>
    <row r="594" spans="1:22" ht="21.75" customHeight="1" x14ac:dyDescent="0.15">
      <c r="A594" s="20" t="str">
        <f>B594&amp;".jpg"</f>
        <v>1970.jpg</v>
      </c>
      <c r="B594" s="46">
        <v>1970</v>
      </c>
      <c r="C594" s="24" t="s">
        <v>401</v>
      </c>
      <c r="D594" s="24" t="s">
        <v>150</v>
      </c>
      <c r="E594" s="24">
        <v>14</v>
      </c>
      <c r="F594" s="24" t="s">
        <v>25</v>
      </c>
      <c r="G594" s="22">
        <v>21594</v>
      </c>
      <c r="H594" s="22">
        <v>6213</v>
      </c>
      <c r="I594" s="22">
        <v>7191</v>
      </c>
      <c r="J594" s="24" t="s">
        <v>177</v>
      </c>
      <c r="K594" s="22">
        <f>SUM(G594,H594,I594)</f>
        <v>34998</v>
      </c>
      <c r="L594" s="23" t="s">
        <v>739</v>
      </c>
      <c r="M594" s="23" t="str">
        <f>VLOOKUP(L594,スキル!B:C,2,FALSE)</f>
        <v>最もダメージが多い味方1人のHP回復[特大]</v>
      </c>
      <c r="N594" s="23" t="s">
        <v>18</v>
      </c>
      <c r="O594" s="23" t="str">
        <f>VLOOKUP(N594,スキル!B:C,2,FALSE)</f>
        <v>　</v>
      </c>
      <c r="P594" s="23" t="s">
        <v>226</v>
      </c>
      <c r="Q594" s="23" t="str">
        <f>VLOOKUP(P594,タクティクス!B:C,2,FALSE)</f>
        <v>バトルで獲得する騎士団戦スコアが大アップ(3分間)</v>
      </c>
      <c r="R594" s="23" t="s">
        <v>18</v>
      </c>
      <c r="S594" s="23" t="str">
        <f>VLOOKUP(R594,タクティクス!B:C,2,FALSE)</f>
        <v>　</v>
      </c>
      <c r="T594" s="23" t="s">
        <v>18</v>
      </c>
      <c r="U594" s="23" t="s">
        <v>18</v>
      </c>
      <c r="V594" s="20" t="s">
        <v>1825</v>
      </c>
    </row>
    <row r="595" spans="1:22" ht="21.75" customHeight="1" x14ac:dyDescent="0.15">
      <c r="A595" s="20" t="str">
        <f>B595&amp;".jpg"</f>
        <v>1972.jpg</v>
      </c>
      <c r="B595" s="46">
        <v>1972</v>
      </c>
      <c r="C595" s="24" t="s">
        <v>120</v>
      </c>
      <c r="D595" s="24" t="s">
        <v>150</v>
      </c>
      <c r="E595" s="24">
        <v>15</v>
      </c>
      <c r="F595" s="24" t="s">
        <v>16</v>
      </c>
      <c r="G595" s="22">
        <v>21190</v>
      </c>
      <c r="H595" s="22">
        <v>9286</v>
      </c>
      <c r="I595" s="22">
        <v>7417</v>
      </c>
      <c r="J595" s="24" t="s">
        <v>26</v>
      </c>
      <c r="K595" s="22">
        <f>SUM(G595,H595,I595)</f>
        <v>37893</v>
      </c>
      <c r="L595" s="23" t="s">
        <v>797</v>
      </c>
      <c r="M595" s="23" t="str">
        <f>VLOOKUP(L595,スキル!B:C,2,FALSE)</f>
        <v>横一列攻撃[特大]自分の攻撃力UP[特大]</v>
      </c>
      <c r="N595" s="23" t="s">
        <v>18</v>
      </c>
      <c r="O595" s="23" t="str">
        <f>VLOOKUP(N595,スキル!B:C,2,FALSE)</f>
        <v>　</v>
      </c>
      <c r="P595" s="23" t="s">
        <v>374</v>
      </c>
      <c r="Q595" s="23" t="str">
        <f>VLOOKUP(P595,タクティクス!B:C,2,FALSE)</f>
        <v>パーティ全体の攻・防が特大UP(3分間)</v>
      </c>
      <c r="R595" s="23" t="s">
        <v>274</v>
      </c>
      <c r="S595" s="23" t="str">
        <f>VLOOKUP(R595,タクティクス!B:C,2,FALSE)</f>
        <v>パーティ全体の攻撃力・速度が中UP(3分間)</v>
      </c>
      <c r="T595" s="23" t="s">
        <v>18</v>
      </c>
      <c r="U595" s="23" t="s">
        <v>18</v>
      </c>
      <c r="V595" s="20" t="s">
        <v>1899</v>
      </c>
    </row>
    <row r="596" spans="1:22" ht="21.75" customHeight="1" x14ac:dyDescent="0.15">
      <c r="A596" s="20" t="str">
        <f>B596&amp;".jpg"</f>
        <v>1974.jpg</v>
      </c>
      <c r="B596" s="46">
        <v>1974</v>
      </c>
      <c r="C596" s="24" t="s">
        <v>249</v>
      </c>
      <c r="D596" s="24" t="s">
        <v>150</v>
      </c>
      <c r="E596" s="24">
        <v>15</v>
      </c>
      <c r="F596" s="24" t="s">
        <v>25</v>
      </c>
      <c r="G596" s="22">
        <v>23431</v>
      </c>
      <c r="H596" s="22">
        <v>6559</v>
      </c>
      <c r="I596" s="22">
        <v>8673</v>
      </c>
      <c r="J596" s="24" t="s">
        <v>356</v>
      </c>
      <c r="K596" s="22">
        <f>SUM(G596,H596,I596)</f>
        <v>38663</v>
      </c>
      <c r="L596" s="23" t="s">
        <v>743</v>
      </c>
      <c r="M596" s="23" t="str">
        <f>VLOOKUP(L596,スキル!B:C,2,FALSE)</f>
        <v>味方突属性の攻撃力をUP[特大]</v>
      </c>
      <c r="N596" s="23" t="s">
        <v>18</v>
      </c>
      <c r="O596" s="23" t="str">
        <f>VLOOKUP(N596,スキル!B:C,2,FALSE)</f>
        <v>　</v>
      </c>
      <c r="P596" s="23" t="s">
        <v>397</v>
      </c>
      <c r="Q596" s="23" t="str">
        <f>VLOOKUP(P596,タクティクス!B:C,2,FALSE)</f>
        <v>バトルで獲得する騎士団戦スコアが特大アップ(3分間)</v>
      </c>
      <c r="R596" s="23" t="s">
        <v>152</v>
      </c>
      <c r="S596" s="23" t="str">
        <f>VLOOKUP(R596,タクティクス!B:C,2,FALSE)</f>
        <v>パーティ全体の攻・防が大UP(3分間)</v>
      </c>
      <c r="T596" s="23" t="s">
        <v>18</v>
      </c>
      <c r="U596" s="23" t="s">
        <v>18</v>
      </c>
      <c r="V596" s="20" t="s">
        <v>1899</v>
      </c>
    </row>
    <row r="597" spans="1:22" ht="21.75" customHeight="1" x14ac:dyDescent="0.15">
      <c r="A597" s="20" t="str">
        <f>B597&amp;".jpg"</f>
        <v>1975.jpg</v>
      </c>
      <c r="B597" s="46">
        <v>1975</v>
      </c>
      <c r="C597" s="24" t="s">
        <v>402</v>
      </c>
      <c r="D597" s="24" t="s">
        <v>150</v>
      </c>
      <c r="E597" s="24">
        <v>15</v>
      </c>
      <c r="F597" s="24" t="s">
        <v>16</v>
      </c>
      <c r="G597" s="22">
        <v>20371</v>
      </c>
      <c r="H597" s="22">
        <v>9175</v>
      </c>
      <c r="I597" s="22">
        <v>7597</v>
      </c>
      <c r="J597" s="24" t="s">
        <v>26</v>
      </c>
      <c r="K597" s="22">
        <f>SUM(G597,H597,I597)</f>
        <v>37143</v>
      </c>
      <c r="L597" s="23" t="s">
        <v>664</v>
      </c>
      <c r="M597" s="23" t="str">
        <f>VLOOKUP(L597,スキル!B:C,2,FALSE)</f>
        <v>縦一列に攻撃[特大]</v>
      </c>
      <c r="N597" s="23" t="s">
        <v>18</v>
      </c>
      <c r="O597" s="23" t="str">
        <f>VLOOKUP(N597,スキル!B:C,2,FALSE)</f>
        <v>　</v>
      </c>
      <c r="P597" s="23" t="s">
        <v>398</v>
      </c>
      <c r="Q597" s="23" t="str">
        <f>VLOOKUP(P597,タクティクス!B:C,2,FALSE)</f>
        <v>バトルで敵を全滅するとBPが大回復(3分間)</v>
      </c>
      <c r="R597" s="23" t="s">
        <v>178</v>
      </c>
      <c r="S597" s="23" t="str">
        <f>VLOOKUP(R597,タクティクス!B:C,2,FALSE)</f>
        <v>パーティ全体の攻撃力が大UP(3分間)</v>
      </c>
      <c r="T597" s="23" t="s">
        <v>18</v>
      </c>
      <c r="U597" s="23" t="s">
        <v>18</v>
      </c>
      <c r="V597" s="20" t="s">
        <v>1882</v>
      </c>
    </row>
    <row r="598" spans="1:22" ht="21.75" customHeight="1" x14ac:dyDescent="0.15">
      <c r="A598" s="20" t="str">
        <f>B598&amp;".jpg"</f>
        <v>1976.jpg</v>
      </c>
      <c r="B598" s="46">
        <v>1976</v>
      </c>
      <c r="C598" s="24" t="s">
        <v>403</v>
      </c>
      <c r="D598" s="24" t="s">
        <v>150</v>
      </c>
      <c r="E598" s="24">
        <v>15</v>
      </c>
      <c r="F598" s="24" t="s">
        <v>34</v>
      </c>
      <c r="G598" s="22">
        <v>26948</v>
      </c>
      <c r="H598" s="22">
        <v>7313</v>
      </c>
      <c r="I598" s="22">
        <v>10639</v>
      </c>
      <c r="J598" s="24" t="s">
        <v>151</v>
      </c>
      <c r="K598" s="22">
        <f>SUM(G598,H598,I598)</f>
        <v>44900</v>
      </c>
      <c r="L598" s="24" t="s">
        <v>729</v>
      </c>
      <c r="M598" s="23" t="str">
        <f>VLOOKUP(L598,スキル!B:C,2,FALSE)</f>
        <v>X字型に攻撃[特大]</v>
      </c>
      <c r="N598" s="23" t="s">
        <v>959</v>
      </c>
      <c r="O598" s="23" t="str">
        <f>VLOOKUP(N598,スキル!B:C,2,FALSE)</f>
        <v>自分の攻撃力と防御力をUP[極大]</v>
      </c>
      <c r="P598" s="23" t="s">
        <v>393</v>
      </c>
      <c r="Q598" s="23" t="str">
        <f>VLOOKUP(P598,タクティクス!B:C,2,FALSE)</f>
        <v>強襲が発生無効、バトル時に攻・防大UP(3分間)</v>
      </c>
      <c r="R598" s="23" t="s">
        <v>152</v>
      </c>
      <c r="S598" s="23" t="str">
        <f>VLOOKUP(R598,タクティクス!B:C,2,FALSE)</f>
        <v>パーティ全体の攻・防が大UP(3分間)</v>
      </c>
      <c r="T598" s="23" t="s">
        <v>18</v>
      </c>
      <c r="U598" s="23" t="s">
        <v>18</v>
      </c>
      <c r="V598" s="20" t="s">
        <v>1823</v>
      </c>
    </row>
    <row r="599" spans="1:22" ht="21.75" customHeight="1" x14ac:dyDescent="0.15">
      <c r="A599" s="20" t="str">
        <f>B599&amp;".jpg"</f>
        <v>1978.jpg</v>
      </c>
      <c r="B599" s="46">
        <v>1978</v>
      </c>
      <c r="C599" s="24" t="s">
        <v>404</v>
      </c>
      <c r="D599" s="24" t="s">
        <v>150</v>
      </c>
      <c r="E599" s="24">
        <v>15</v>
      </c>
      <c r="F599" s="24" t="s">
        <v>16</v>
      </c>
      <c r="G599" s="22">
        <v>20458</v>
      </c>
      <c r="H599" s="22">
        <v>9203</v>
      </c>
      <c r="I599" s="22">
        <v>7053</v>
      </c>
      <c r="J599" s="24" t="s">
        <v>26</v>
      </c>
      <c r="K599" s="22">
        <f>SUM(G599,H599,I599)</f>
        <v>36714</v>
      </c>
      <c r="L599" s="23" t="s">
        <v>747</v>
      </c>
      <c r="M599" s="23" t="str">
        <f>VLOOKUP(L599,スキル!B:C,2,FALSE)</f>
        <v>打に強く遠に弱い横一列攻撃[特大]</v>
      </c>
      <c r="N599" s="23" t="s">
        <v>18</v>
      </c>
      <c r="O599" s="23" t="str">
        <f>VLOOKUP(N599,スキル!B:C,2,FALSE)</f>
        <v>　</v>
      </c>
      <c r="P599" s="23" t="s">
        <v>345</v>
      </c>
      <c r="Q599" s="23" t="str">
        <f>VLOOKUP(P599,タクティクス!B:C,2,FALSE)</f>
        <v>強襲CBの発生確率・強襲時獲得ポイント大UP(3回)</v>
      </c>
      <c r="R599" s="23" t="s">
        <v>180</v>
      </c>
      <c r="S599" s="23" t="str">
        <f>VLOOKUP(R599,タクティクス!B:C,2,FALSE)</f>
        <v>獲得する騎士団戦スコアが大アップ(バトル3回)</v>
      </c>
      <c r="T599" s="23" t="s">
        <v>18</v>
      </c>
      <c r="U599" s="23" t="s">
        <v>18</v>
      </c>
      <c r="V599" s="20" t="s">
        <v>1823</v>
      </c>
    </row>
    <row r="600" spans="1:22" ht="21.75" customHeight="1" x14ac:dyDescent="0.15">
      <c r="A600" s="20" t="str">
        <f>B600&amp;".jpg"</f>
        <v>1980.jpg</v>
      </c>
      <c r="B600" s="46">
        <v>1980</v>
      </c>
      <c r="C600" s="24" t="s">
        <v>405</v>
      </c>
      <c r="D600" s="24" t="s">
        <v>150</v>
      </c>
      <c r="E600" s="24">
        <v>14</v>
      </c>
      <c r="F600" s="24" t="s">
        <v>34</v>
      </c>
      <c r="G600" s="22">
        <v>21324</v>
      </c>
      <c r="H600" s="22">
        <v>6770</v>
      </c>
      <c r="I600" s="22">
        <v>9470</v>
      </c>
      <c r="J600" s="24" t="s">
        <v>17</v>
      </c>
      <c r="K600" s="22">
        <f>SUM(G600,H600,I600)</f>
        <v>37564</v>
      </c>
      <c r="L600" s="24" t="s">
        <v>691</v>
      </c>
      <c r="M600" s="23" t="str">
        <f>VLOOKUP(L600,スキル!B:C,2,FALSE)</f>
        <v>横一列に攻撃[特大]</v>
      </c>
      <c r="N600" s="23" t="s">
        <v>18</v>
      </c>
      <c r="O600" s="23" t="str">
        <f>VLOOKUP(N600,スキル!B:C,2,FALSE)</f>
        <v>　</v>
      </c>
      <c r="P600" s="23" t="s">
        <v>287</v>
      </c>
      <c r="Q600" s="23" t="str">
        <f>VLOOKUP(P600,タクティクス!B:C,2,FALSE)</f>
        <v>騎士団全体の攻・防が中UP(3分間)</v>
      </c>
      <c r="R600" s="23" t="s">
        <v>18</v>
      </c>
      <c r="S600" s="23" t="str">
        <f>VLOOKUP(R600,タクティクス!B:C,2,FALSE)</f>
        <v>　</v>
      </c>
      <c r="T600" s="23" t="s">
        <v>18</v>
      </c>
      <c r="U600" s="23" t="s">
        <v>18</v>
      </c>
      <c r="V600" s="20" t="s">
        <v>1823</v>
      </c>
    </row>
    <row r="601" spans="1:22" ht="21.75" customHeight="1" x14ac:dyDescent="0.15">
      <c r="A601" s="20" t="str">
        <f>B601&amp;".jpg"</f>
        <v>1981.jpg</v>
      </c>
      <c r="B601" s="46">
        <v>1981</v>
      </c>
      <c r="C601" s="24" t="s">
        <v>406</v>
      </c>
      <c r="D601" s="24" t="s">
        <v>150</v>
      </c>
      <c r="E601" s="24">
        <v>14</v>
      </c>
      <c r="F601" s="24" t="s">
        <v>16</v>
      </c>
      <c r="G601" s="22">
        <v>17935</v>
      </c>
      <c r="H601" s="22">
        <v>8278</v>
      </c>
      <c r="I601" s="22">
        <v>6918</v>
      </c>
      <c r="J601" s="24" t="s">
        <v>151</v>
      </c>
      <c r="K601" s="22">
        <f>SUM(G601,H601,I601)</f>
        <v>33131</v>
      </c>
      <c r="L601" s="23" t="s">
        <v>859</v>
      </c>
      <c r="M601" s="23" t="str">
        <f>VLOOKUP(L601,スキル!B:C,2,FALSE)</f>
        <v>十字型に固定ダメージ[特大]</v>
      </c>
      <c r="N601" s="23" t="s">
        <v>18</v>
      </c>
      <c r="O601" s="23" t="str">
        <f>VLOOKUP(N601,スキル!B:C,2,FALSE)</f>
        <v>　</v>
      </c>
      <c r="P601" s="23" t="s">
        <v>274</v>
      </c>
      <c r="Q601" s="23" t="str">
        <f>VLOOKUP(P601,タクティクス!B:C,2,FALSE)</f>
        <v>パーティ全体の攻撃力・速度が中UP(3分間)</v>
      </c>
      <c r="R601" s="23" t="s">
        <v>18</v>
      </c>
      <c r="S601" s="23" t="str">
        <f>VLOOKUP(R601,タクティクス!B:C,2,FALSE)</f>
        <v>　</v>
      </c>
      <c r="T601" s="23" t="s">
        <v>18</v>
      </c>
      <c r="U601" s="23" t="s">
        <v>18</v>
      </c>
      <c r="V601" s="20" t="s">
        <v>1872</v>
      </c>
    </row>
    <row r="602" spans="1:22" ht="21.75" customHeight="1" x14ac:dyDescent="0.15">
      <c r="A602" s="20" t="str">
        <f>B602&amp;".jpg"</f>
        <v>1982.jpg</v>
      </c>
      <c r="B602" s="46">
        <v>1982</v>
      </c>
      <c r="C602" s="24" t="s">
        <v>372</v>
      </c>
      <c r="D602" s="24" t="s">
        <v>150</v>
      </c>
      <c r="E602" s="24">
        <v>15</v>
      </c>
      <c r="F602" s="24" t="s">
        <v>41</v>
      </c>
      <c r="G602" s="22">
        <v>20741</v>
      </c>
      <c r="H602" s="22">
        <v>7105</v>
      </c>
      <c r="I602" s="22">
        <v>6137</v>
      </c>
      <c r="J602" s="24" t="s">
        <v>261</v>
      </c>
      <c r="K602" s="22">
        <f>SUM(G602,H602,I602)</f>
        <v>33983</v>
      </c>
      <c r="L602" s="23" t="s">
        <v>869</v>
      </c>
      <c r="M602" s="23" t="str">
        <f>VLOOKUP(L602,スキル!B:C,2,FALSE)</f>
        <v>ランダムで6連続攻撃[中]</v>
      </c>
      <c r="N602" s="23" t="s">
        <v>18</v>
      </c>
      <c r="O602" s="23" t="str">
        <f>VLOOKUP(N602,スキル!B:C,2,FALSE)</f>
        <v>　</v>
      </c>
      <c r="P602" s="23" t="s">
        <v>361</v>
      </c>
      <c r="Q602" s="23" t="str">
        <f>VLOOKUP(P602,タクティクス!B:C,2,FALSE)</f>
        <v>パーティ全体の攻撃力が特大UP(3分間)</v>
      </c>
      <c r="R602" s="23" t="s">
        <v>228</v>
      </c>
      <c r="S602" s="23" t="str">
        <f>VLOOKUP(R602,タクティクス!B:C,2,FALSE)</f>
        <v>強襲が発生無効、バトル時に攻・防中UP(3分間)</v>
      </c>
      <c r="T602" s="23" t="s">
        <v>18</v>
      </c>
      <c r="U602" s="23" t="s">
        <v>18</v>
      </c>
      <c r="V602" s="20" t="s">
        <v>1892</v>
      </c>
    </row>
    <row r="603" spans="1:22" ht="21.75" customHeight="1" x14ac:dyDescent="0.15">
      <c r="A603" s="20" t="str">
        <f>B603&amp;".jpg"</f>
        <v>1983.jpg</v>
      </c>
      <c r="B603" s="46">
        <v>1983</v>
      </c>
      <c r="C603" s="24" t="s">
        <v>373</v>
      </c>
      <c r="D603" s="24" t="s">
        <v>150</v>
      </c>
      <c r="E603" s="24">
        <v>15</v>
      </c>
      <c r="F603" s="24" t="s">
        <v>41</v>
      </c>
      <c r="G603" s="22">
        <v>22183</v>
      </c>
      <c r="H603" s="22">
        <v>7086</v>
      </c>
      <c r="I603" s="22">
        <v>7016</v>
      </c>
      <c r="J603" s="24" t="s">
        <v>261</v>
      </c>
      <c r="K603" s="22">
        <f>SUM(G603,H603,I603)</f>
        <v>36285</v>
      </c>
      <c r="L603" s="23" t="s">
        <v>870</v>
      </c>
      <c r="M603" s="23" t="str">
        <f>VLOOKUP(L603,スキル!B:C,2,FALSE)</f>
        <v>味方遠属性の防御力をUP[極大]</v>
      </c>
      <c r="N603" s="23" t="s">
        <v>18</v>
      </c>
      <c r="O603" s="23" t="str">
        <f>VLOOKUP(N603,スキル!B:C,2,FALSE)</f>
        <v>　</v>
      </c>
      <c r="P603" s="23" t="s">
        <v>357</v>
      </c>
      <c r="Q603" s="23" t="str">
        <f>VLOOKUP(P603,タクティクス!B:C,2,FALSE)</f>
        <v>パーティ全体の防御力が特大UP(3分間)</v>
      </c>
      <c r="R603" s="23" t="s">
        <v>178</v>
      </c>
      <c r="S603" s="23" t="str">
        <f>VLOOKUP(R603,タクティクス!B:C,2,FALSE)</f>
        <v>パーティ全体の攻撃力が大UP(3分間)</v>
      </c>
      <c r="T603" s="23" t="s">
        <v>18</v>
      </c>
      <c r="U603" s="23" t="s">
        <v>18</v>
      </c>
      <c r="V603" s="20" t="s">
        <v>1892</v>
      </c>
    </row>
    <row r="604" spans="1:22" ht="21.75" customHeight="1" x14ac:dyDescent="0.15">
      <c r="A604" s="20" t="str">
        <f>B604&amp;".jpg"</f>
        <v>1988.jpg</v>
      </c>
      <c r="B604" s="46">
        <v>1988</v>
      </c>
      <c r="C604" s="24" t="s">
        <v>24</v>
      </c>
      <c r="D604" s="24" t="s">
        <v>15</v>
      </c>
      <c r="E604" s="24">
        <v>13</v>
      </c>
      <c r="F604" s="24" t="s">
        <v>25</v>
      </c>
      <c r="G604" s="22">
        <v>17181</v>
      </c>
      <c r="H604" s="22">
        <v>5380</v>
      </c>
      <c r="I604" s="22">
        <v>6104</v>
      </c>
      <c r="J604" s="24" t="s">
        <v>26</v>
      </c>
      <c r="K604" s="22">
        <f>SUM(G604,H604,I604)</f>
        <v>28665</v>
      </c>
      <c r="L604" s="23" t="s">
        <v>615</v>
      </c>
      <c r="M604" s="23" t="str">
        <f>VLOOKUP(L604,スキル!B:C,2,FALSE)</f>
        <v>味方突属性の攻撃力と防御力をUP[大]</v>
      </c>
      <c r="N604" s="23" t="s">
        <v>18</v>
      </c>
      <c r="O604" s="23" t="str">
        <f>VLOOKUP(N604,スキル!B:C,2,FALSE)</f>
        <v>　</v>
      </c>
      <c r="P604" s="23" t="s">
        <v>23</v>
      </c>
      <c r="Q604" s="23" t="str">
        <f>VLOOKUP(P604,タクティクス!B:C,2,FALSE)</f>
        <v>パーティ全体の攻撃力が中UP(3分間)</v>
      </c>
      <c r="R604" s="23" t="s">
        <v>18</v>
      </c>
      <c r="S604" s="23" t="str">
        <f>VLOOKUP(R604,タクティクス!B:C,2,FALSE)</f>
        <v>　</v>
      </c>
      <c r="T604" s="23" t="s">
        <v>18</v>
      </c>
      <c r="U604" s="23" t="s">
        <v>18</v>
      </c>
      <c r="V604" s="20" t="s">
        <v>1902</v>
      </c>
    </row>
    <row r="605" spans="1:22" ht="21.75" customHeight="1" x14ac:dyDescent="0.15">
      <c r="A605" s="20" t="str">
        <f>B605&amp;".jpg"</f>
        <v>1989.jpg</v>
      </c>
      <c r="B605" s="46">
        <v>1989</v>
      </c>
      <c r="C605" s="24" t="s">
        <v>407</v>
      </c>
      <c r="D605" s="24" t="s">
        <v>150</v>
      </c>
      <c r="E605" s="24">
        <v>14</v>
      </c>
      <c r="F605" s="24" t="s">
        <v>16</v>
      </c>
      <c r="G605" s="22">
        <v>18396</v>
      </c>
      <c r="H605" s="22">
        <v>8488</v>
      </c>
      <c r="I605" s="22">
        <v>6628</v>
      </c>
      <c r="J605" s="24" t="s">
        <v>151</v>
      </c>
      <c r="K605" s="22">
        <f>SUM(G605,H605,I605)</f>
        <v>33512</v>
      </c>
      <c r="L605" s="23" t="s">
        <v>774</v>
      </c>
      <c r="M605" s="23" t="str">
        <f>VLOOKUP(L605,スキル!B:C,2,FALSE)</f>
        <v>味方斬属性の防御力をUP[特大]</v>
      </c>
      <c r="N605" s="23" t="s">
        <v>18</v>
      </c>
      <c r="O605" s="23" t="str">
        <f>VLOOKUP(N605,スキル!B:C,2,FALSE)</f>
        <v>　</v>
      </c>
      <c r="P605" s="23" t="s">
        <v>308</v>
      </c>
      <c r="Q605" s="23" t="str">
        <f>VLOOKUP(P605,タクティクス!B:C,2,FALSE)</f>
        <v>騎士団全体の攻撃力が中UP(3分間)</v>
      </c>
      <c r="R605" s="23" t="s">
        <v>18</v>
      </c>
      <c r="S605" s="23" t="str">
        <f>VLOOKUP(R605,タクティクス!B:C,2,FALSE)</f>
        <v>　</v>
      </c>
      <c r="T605" s="23" t="s">
        <v>18</v>
      </c>
      <c r="U605" s="23" t="s">
        <v>18</v>
      </c>
      <c r="V605" s="20" t="s">
        <v>1877</v>
      </c>
    </row>
    <row r="606" spans="1:22" ht="21.75" customHeight="1" x14ac:dyDescent="0.15">
      <c r="A606" s="20" t="str">
        <f>B606&amp;".jpg"</f>
        <v>1991.jpg</v>
      </c>
      <c r="B606" s="46">
        <v>1991</v>
      </c>
      <c r="C606" s="24" t="s">
        <v>236</v>
      </c>
      <c r="D606" s="24" t="s">
        <v>150</v>
      </c>
      <c r="E606" s="24">
        <v>15</v>
      </c>
      <c r="F606" s="24" t="s">
        <v>25</v>
      </c>
      <c r="G606" s="22">
        <v>22881</v>
      </c>
      <c r="H606" s="22">
        <v>6714</v>
      </c>
      <c r="I606" s="22">
        <v>8350</v>
      </c>
      <c r="J606" s="24" t="s">
        <v>356</v>
      </c>
      <c r="K606" s="22">
        <f>SUM(G606,H606,I606)</f>
        <v>37945</v>
      </c>
      <c r="L606" s="23" t="s">
        <v>872</v>
      </c>
      <c r="M606" s="23" t="str">
        <f>VLOOKUP(L606,スキル!B:C,2,FALSE)</f>
        <v>敵全体の攻撃力をDOWN[極大]</v>
      </c>
      <c r="N606" s="23" t="s">
        <v>18</v>
      </c>
      <c r="O606" s="23" t="str">
        <f>VLOOKUP(N606,スキル!B:C,2,FALSE)</f>
        <v>　</v>
      </c>
      <c r="P606" s="23" t="s">
        <v>397</v>
      </c>
      <c r="Q606" s="23" t="str">
        <f>VLOOKUP(P606,タクティクス!B:C,2,FALSE)</f>
        <v>バトルで獲得する騎士団戦スコアが特大アップ(3分間)</v>
      </c>
      <c r="R606" s="23" t="s">
        <v>180</v>
      </c>
      <c r="S606" s="23" t="str">
        <f>VLOOKUP(R606,タクティクス!B:C,2,FALSE)</f>
        <v>獲得する騎士団戦スコアが大アップ(バトル3回)</v>
      </c>
      <c r="T606" s="23" t="s">
        <v>18</v>
      </c>
      <c r="U606" s="23" t="s">
        <v>18</v>
      </c>
      <c r="V606" s="20" t="s">
        <v>1899</v>
      </c>
    </row>
    <row r="607" spans="1:22" ht="21.75" customHeight="1" x14ac:dyDescent="0.15">
      <c r="A607" s="20" t="str">
        <f>B607&amp;".jpg"</f>
        <v>1993.jpg</v>
      </c>
      <c r="B607" s="46">
        <v>1993</v>
      </c>
      <c r="C607" s="24" t="s">
        <v>82</v>
      </c>
      <c r="D607" s="24" t="s">
        <v>150</v>
      </c>
      <c r="E607" s="24">
        <v>15</v>
      </c>
      <c r="F607" s="24" t="s">
        <v>34</v>
      </c>
      <c r="G607" s="22">
        <v>28798</v>
      </c>
      <c r="H607" s="22">
        <v>7405</v>
      </c>
      <c r="I607" s="22">
        <v>11047</v>
      </c>
      <c r="J607" s="24" t="s">
        <v>151</v>
      </c>
      <c r="K607" s="22">
        <f>SUM(G607,H607,I607)</f>
        <v>47250</v>
      </c>
      <c r="L607" s="23" t="s">
        <v>799</v>
      </c>
      <c r="M607" s="23" t="str">
        <f>VLOOKUP(L607,スキル!B:C,2,FALSE)</f>
        <v>X字型攻撃[特大]自分の防御力UP[特大]</v>
      </c>
      <c r="N607" s="23" t="s">
        <v>18</v>
      </c>
      <c r="O607" s="23" t="str">
        <f>VLOOKUP(N607,スキル!B:C,2,FALSE)</f>
        <v>　</v>
      </c>
      <c r="P607" s="23" t="s">
        <v>395</v>
      </c>
      <c r="Q607" s="23" t="str">
        <f>VLOOKUP(P607,タクティクス!B:C,2,FALSE)</f>
        <v>騎士団全体の強襲率大DOWN・防御力大UP(3分間)</v>
      </c>
      <c r="R607" s="23" t="s">
        <v>298</v>
      </c>
      <c r="S607" s="23" t="str">
        <f>VLOOKUP(R607,タクティクス!B:C,2,FALSE)</f>
        <v>城の強度Lvが中UP(3分間)</v>
      </c>
      <c r="T607" s="23" t="s">
        <v>18</v>
      </c>
      <c r="U607" s="23" t="s">
        <v>18</v>
      </c>
      <c r="V607" s="20" t="s">
        <v>1899</v>
      </c>
    </row>
    <row r="608" spans="1:22" ht="21.75" customHeight="1" x14ac:dyDescent="0.15">
      <c r="A608" s="20" t="str">
        <f>B608&amp;".jpg"</f>
        <v>1995.jpg</v>
      </c>
      <c r="B608" s="46">
        <v>1995</v>
      </c>
      <c r="C608" s="24" t="s">
        <v>76</v>
      </c>
      <c r="D608" s="24" t="s">
        <v>150</v>
      </c>
      <c r="E608" s="24">
        <v>15</v>
      </c>
      <c r="F608" s="24" t="s">
        <v>41</v>
      </c>
      <c r="G608" s="22">
        <v>23155</v>
      </c>
      <c r="H608" s="22">
        <v>7240</v>
      </c>
      <c r="I608" s="22">
        <v>7461</v>
      </c>
      <c r="J608" s="24" t="s">
        <v>261</v>
      </c>
      <c r="K608" s="22">
        <f>SUM(G608,H608,I608)</f>
        <v>37856</v>
      </c>
      <c r="L608" s="23" t="s">
        <v>863</v>
      </c>
      <c r="M608" s="23" t="str">
        <f>VLOOKUP(L608,スキル!B:C,2,FALSE)</f>
        <v>ランダムで6連続攻撃[中]</v>
      </c>
      <c r="N608" s="23" t="s">
        <v>18</v>
      </c>
      <c r="O608" s="23" t="str">
        <f>VLOOKUP(N608,スキル!B:C,2,FALSE)</f>
        <v>　</v>
      </c>
      <c r="P608" s="23" t="s">
        <v>374</v>
      </c>
      <c r="Q608" s="23" t="str">
        <f>VLOOKUP(P608,タクティクス!B:C,2,FALSE)</f>
        <v>パーティ全体の攻・防が特大UP(3分間)</v>
      </c>
      <c r="R608" s="23" t="s">
        <v>251</v>
      </c>
      <c r="S608" s="23" t="str">
        <f>VLOOKUP(R608,タクティクス!B:C,2,FALSE)</f>
        <v>パーティ全体の速度が大UP(3分間)</v>
      </c>
      <c r="T608" s="23" t="s">
        <v>18</v>
      </c>
      <c r="U608" s="23" t="s">
        <v>18</v>
      </c>
      <c r="V608" s="20" t="s">
        <v>1878</v>
      </c>
    </row>
    <row r="609" spans="1:22" ht="21.75" customHeight="1" x14ac:dyDescent="0.15">
      <c r="A609" s="20" t="str">
        <f>B609&amp;".jpg"</f>
        <v>1996.jpg</v>
      </c>
      <c r="B609" s="46">
        <v>1996</v>
      </c>
      <c r="C609" s="24" t="s">
        <v>392</v>
      </c>
      <c r="D609" s="24" t="s">
        <v>150</v>
      </c>
      <c r="E609" s="24">
        <v>15</v>
      </c>
      <c r="F609" s="24" t="s">
        <v>41</v>
      </c>
      <c r="G609" s="22">
        <v>22822</v>
      </c>
      <c r="H609" s="22">
        <v>7408</v>
      </c>
      <c r="I609" s="22">
        <v>6872</v>
      </c>
      <c r="J609" s="24" t="s">
        <v>261</v>
      </c>
      <c r="K609" s="22">
        <f>SUM(G609,H609,I609)</f>
        <v>37102</v>
      </c>
      <c r="L609" s="23" t="s">
        <v>715</v>
      </c>
      <c r="M609" s="23" t="str">
        <f>VLOOKUP(L609,スキル!B:C,2,FALSE)</f>
        <v>打に強く遠に弱い縦一列攻撃[特大]</v>
      </c>
      <c r="N609" s="23" t="s">
        <v>961</v>
      </c>
      <c r="O609" s="23" t="str">
        <f>VLOOKUP(N609,スキル!B:C,2,FALSE)</f>
        <v>敵を毒状態[超高確率]&amp;毒ダメージ[大]</v>
      </c>
      <c r="P609" s="23" t="s">
        <v>398</v>
      </c>
      <c r="Q609" s="23" t="str">
        <f>VLOOKUP(P609,タクティクス!B:C,2,FALSE)</f>
        <v>バトルで敵を全滅するとBPが大回復(3分間)</v>
      </c>
      <c r="R609" s="23" t="s">
        <v>192</v>
      </c>
      <c r="S609" s="23" t="str">
        <f>VLOOKUP(R609,タクティクス!B:C,2,FALSE)</f>
        <v>パーティ全体の防御力が大UP(3分間)</v>
      </c>
      <c r="T609" s="23" t="s">
        <v>18</v>
      </c>
      <c r="U609" s="23" t="s">
        <v>18</v>
      </c>
      <c r="V609" s="20" t="s">
        <v>1823</v>
      </c>
    </row>
    <row r="610" spans="1:22" ht="21.75" customHeight="1" x14ac:dyDescent="0.15">
      <c r="A610" s="20" t="str">
        <f>B610&amp;".jpg"</f>
        <v>1997.jpg</v>
      </c>
      <c r="B610" s="46">
        <v>1997</v>
      </c>
      <c r="C610" s="24" t="s">
        <v>50</v>
      </c>
      <c r="D610" s="24" t="s">
        <v>15</v>
      </c>
      <c r="E610" s="24">
        <v>12</v>
      </c>
      <c r="F610" s="24" t="s">
        <v>34</v>
      </c>
      <c r="G610" s="22">
        <v>19361</v>
      </c>
      <c r="H610" s="22">
        <v>5334</v>
      </c>
      <c r="I610" s="22">
        <v>6914</v>
      </c>
      <c r="J610" s="24" t="s">
        <v>35</v>
      </c>
      <c r="K610" s="22">
        <f>SUM(G610,H610,I610)</f>
        <v>31609</v>
      </c>
      <c r="L610" s="23" t="s">
        <v>669</v>
      </c>
      <c r="M610" s="23" t="str">
        <f>VLOOKUP(L610,スキル!B:C,2,FALSE)</f>
        <v>X字型攻撃[大]自分の攻撃力UP[大]</v>
      </c>
      <c r="N610" s="23" t="s">
        <v>18</v>
      </c>
      <c r="O610" s="23" t="str">
        <f>VLOOKUP(N610,スキル!B:C,2,FALSE)</f>
        <v>　</v>
      </c>
      <c r="P610" s="23" t="s">
        <v>408</v>
      </c>
      <c r="Q610" s="23" t="str">
        <f>VLOOKUP(P610,タクティクス!B:C,2,FALSE)</f>
        <v>パーティ全体の攻撃力中UP・速度大DOWN(3分間)</v>
      </c>
      <c r="R610" s="23" t="s">
        <v>18</v>
      </c>
      <c r="S610" s="23" t="str">
        <f>VLOOKUP(R610,タクティクス!B:C,2,FALSE)</f>
        <v>　</v>
      </c>
      <c r="T610" s="23" t="s">
        <v>18</v>
      </c>
      <c r="U610" s="23" t="s">
        <v>18</v>
      </c>
      <c r="V610" s="20" t="s">
        <v>1851</v>
      </c>
    </row>
    <row r="611" spans="1:22" ht="21.75" customHeight="1" x14ac:dyDescent="0.15">
      <c r="A611" s="20" t="str">
        <f>B611&amp;".jpg"</f>
        <v>1998.jpg</v>
      </c>
      <c r="B611" s="46">
        <v>1998</v>
      </c>
      <c r="C611" s="24" t="s">
        <v>50</v>
      </c>
      <c r="D611" s="24" t="s">
        <v>15</v>
      </c>
      <c r="E611" s="24">
        <v>13</v>
      </c>
      <c r="F611" s="24" t="s">
        <v>34</v>
      </c>
      <c r="G611" s="22">
        <v>18992</v>
      </c>
      <c r="H611" s="22">
        <v>6467</v>
      </c>
      <c r="I611" s="22">
        <v>7593</v>
      </c>
      <c r="J611" s="24" t="s">
        <v>35</v>
      </c>
      <c r="K611" s="22">
        <f>SUM(G611,H611,I611)</f>
        <v>33052</v>
      </c>
      <c r="L611" s="23" t="s">
        <v>669</v>
      </c>
      <c r="M611" s="23" t="str">
        <f>VLOOKUP(L611,スキル!B:C,2,FALSE)</f>
        <v>X字型攻撃[大]自分の攻撃力UP[大]</v>
      </c>
      <c r="N611" s="23" t="s">
        <v>18</v>
      </c>
      <c r="O611" s="23" t="str">
        <f>VLOOKUP(N611,スキル!B:C,2,FALSE)</f>
        <v>　</v>
      </c>
      <c r="P611" s="23" t="s">
        <v>408</v>
      </c>
      <c r="Q611" s="23" t="str">
        <f>VLOOKUP(P611,タクティクス!B:C,2,FALSE)</f>
        <v>パーティ全体の攻撃力中UP・速度大DOWN(3分間)</v>
      </c>
      <c r="R611" s="23" t="s">
        <v>18</v>
      </c>
      <c r="S611" s="23" t="str">
        <f>VLOOKUP(R611,タクティクス!B:C,2,FALSE)</f>
        <v>　</v>
      </c>
      <c r="T611" s="23" t="s">
        <v>18</v>
      </c>
      <c r="U611" s="23" t="s">
        <v>18</v>
      </c>
      <c r="V611" s="20" t="s">
        <v>1851</v>
      </c>
    </row>
    <row r="612" spans="1:22" ht="21.75" customHeight="1" x14ac:dyDescent="0.15">
      <c r="A612" s="20" t="str">
        <f>B612&amp;".jpg"</f>
        <v>1999.jpg</v>
      </c>
      <c r="B612" s="46">
        <v>1999</v>
      </c>
      <c r="C612" s="24" t="s">
        <v>50</v>
      </c>
      <c r="D612" s="24" t="s">
        <v>150</v>
      </c>
      <c r="E612" s="24">
        <v>14</v>
      </c>
      <c r="F612" s="24" t="s">
        <v>34</v>
      </c>
      <c r="G612" s="22">
        <v>24195</v>
      </c>
      <c r="H612" s="22">
        <v>7016</v>
      </c>
      <c r="I612" s="22">
        <v>9743</v>
      </c>
      <c r="J612" s="24" t="s">
        <v>17</v>
      </c>
      <c r="K612" s="22">
        <f>SUM(G612,H612,I612)</f>
        <v>40954</v>
      </c>
      <c r="L612" s="23" t="s">
        <v>697</v>
      </c>
      <c r="M612" s="23" t="str">
        <f>VLOOKUP(L612,スキル!B:C,2,FALSE)</f>
        <v>X字型攻撃[特大]自分の攻撃力UP[特大]</v>
      </c>
      <c r="N612" s="23" t="s">
        <v>18</v>
      </c>
      <c r="O612" s="23" t="str">
        <f>VLOOKUP(N612,スキル!B:C,2,FALSE)</f>
        <v>　</v>
      </c>
      <c r="P612" s="23" t="s">
        <v>409</v>
      </c>
      <c r="Q612" s="23" t="str">
        <f>VLOOKUP(P612,タクティクス!B:C,2,FALSE)</f>
        <v>パーティ全体の攻撃力大UP・速度大DOWN(3分間)</v>
      </c>
      <c r="R612" s="23" t="s">
        <v>1011</v>
      </c>
      <c r="S612" s="23" t="str">
        <f>VLOOKUP(R612,タクティクス!B:C,2,FALSE)</f>
        <v>　</v>
      </c>
      <c r="T612" s="23" t="s">
        <v>18</v>
      </c>
      <c r="U612" s="23" t="s">
        <v>18</v>
      </c>
      <c r="V612" s="20" t="s">
        <v>1851</v>
      </c>
    </row>
    <row r="613" spans="1:22" ht="21.75" customHeight="1" x14ac:dyDescent="0.15">
      <c r="A613" s="20" t="str">
        <f>B613&amp;".jpg"</f>
        <v>2000.jpg</v>
      </c>
      <c r="B613" s="46">
        <v>2000</v>
      </c>
      <c r="C613" s="24" t="s">
        <v>50</v>
      </c>
      <c r="D613" s="24" t="s">
        <v>150</v>
      </c>
      <c r="E613" s="24">
        <v>15</v>
      </c>
      <c r="F613" s="24" t="s">
        <v>34</v>
      </c>
      <c r="G613" s="22">
        <v>27468</v>
      </c>
      <c r="H613" s="22">
        <v>7329</v>
      </c>
      <c r="I613" s="22">
        <v>10487</v>
      </c>
      <c r="J613" s="24" t="s">
        <v>151</v>
      </c>
      <c r="K613" s="22">
        <f>SUM(G613,H613,I613)</f>
        <v>45284</v>
      </c>
      <c r="L613" s="23" t="s">
        <v>697</v>
      </c>
      <c r="M613" s="23" t="str">
        <f>VLOOKUP(L613,スキル!B:C,2,FALSE)</f>
        <v>X字型攻撃[特大]自分の攻撃力UP[特大]</v>
      </c>
      <c r="N613" s="23" t="s">
        <v>18</v>
      </c>
      <c r="O613" s="23" t="str">
        <f>VLOOKUP(N613,スキル!B:C,2,FALSE)</f>
        <v>　</v>
      </c>
      <c r="P613" s="23" t="s">
        <v>410</v>
      </c>
      <c r="Q613" s="23" t="str">
        <f>VLOOKUP(P613,タクティクス!B:C,2,FALSE)</f>
        <v>パーティ全体の攻撃力特大UP・速度大DOWN(3分間)</v>
      </c>
      <c r="R613" s="23" t="s">
        <v>180</v>
      </c>
      <c r="S613" s="23" t="str">
        <f>VLOOKUP(R613,タクティクス!B:C,2,FALSE)</f>
        <v>獲得する騎士団戦スコアが大アップ(バトル3回)</v>
      </c>
      <c r="T613" s="23" t="s">
        <v>18</v>
      </c>
      <c r="U613" s="23" t="s">
        <v>18</v>
      </c>
      <c r="V613" s="20" t="s">
        <v>1851</v>
      </c>
    </row>
    <row r="614" spans="1:22" ht="21.75" customHeight="1" x14ac:dyDescent="0.15">
      <c r="A614" s="20" t="str">
        <f>B614&amp;".jpg"</f>
        <v>2002.jpg</v>
      </c>
      <c r="B614" s="46">
        <v>2002</v>
      </c>
      <c r="C614" s="24" t="s">
        <v>411</v>
      </c>
      <c r="D614" s="24" t="s">
        <v>150</v>
      </c>
      <c r="E614" s="24">
        <v>14</v>
      </c>
      <c r="F614" s="24" t="s">
        <v>16</v>
      </c>
      <c r="G614" s="22">
        <v>18581</v>
      </c>
      <c r="H614" s="22">
        <v>8195</v>
      </c>
      <c r="I614" s="22">
        <v>7013</v>
      </c>
      <c r="J614" s="24" t="s">
        <v>151</v>
      </c>
      <c r="K614" s="22">
        <f>SUM(G614,H614,I614)</f>
        <v>33789</v>
      </c>
      <c r="L614" s="23" t="s">
        <v>721</v>
      </c>
      <c r="M614" s="23" t="str">
        <f>VLOOKUP(L614,スキル!B:C,2,FALSE)</f>
        <v>突に強く斬に弱い横一列攻撃[特大]</v>
      </c>
      <c r="N614" s="23" t="s">
        <v>18</v>
      </c>
      <c r="O614" s="23" t="str">
        <f>VLOOKUP(N614,スキル!B:C,2,FALSE)</f>
        <v>　</v>
      </c>
      <c r="P614" s="23" t="s">
        <v>293</v>
      </c>
      <c r="Q614" s="23" t="str">
        <f>VLOOKUP(P614,タクティクス!B:C,2,FALSE)</f>
        <v>騎士団全体の防御力が中UP(3分間)</v>
      </c>
      <c r="R614" s="23" t="s">
        <v>18</v>
      </c>
      <c r="S614" s="23" t="str">
        <f>VLOOKUP(R614,タクティクス!B:C,2,FALSE)</f>
        <v>　</v>
      </c>
      <c r="T614" s="23" t="s">
        <v>18</v>
      </c>
      <c r="U614" s="23" t="s">
        <v>18</v>
      </c>
      <c r="V614" s="20" t="s">
        <v>1823</v>
      </c>
    </row>
    <row r="615" spans="1:22" ht="21.75" customHeight="1" x14ac:dyDescent="0.15">
      <c r="A615" s="20" t="str">
        <f>B615&amp;".jpg"</f>
        <v>2004.jpg</v>
      </c>
      <c r="B615" s="46">
        <v>2004</v>
      </c>
      <c r="C615" s="24" t="s">
        <v>114</v>
      </c>
      <c r="D615" s="24" t="s">
        <v>150</v>
      </c>
      <c r="E615" s="24">
        <v>15</v>
      </c>
      <c r="F615" s="24" t="s">
        <v>25</v>
      </c>
      <c r="G615" s="22">
        <v>22075</v>
      </c>
      <c r="H615" s="22">
        <v>6421</v>
      </c>
      <c r="I615" s="22">
        <v>8212</v>
      </c>
      <c r="J615" s="24" t="s">
        <v>356</v>
      </c>
      <c r="K615" s="22">
        <f>SUM(G615,H615,I615)</f>
        <v>36708</v>
      </c>
      <c r="L615" s="23" t="s">
        <v>664</v>
      </c>
      <c r="M615" s="23" t="str">
        <f>VLOOKUP(L615,スキル!B:C,2,FALSE)</f>
        <v>縦一列に攻撃[特大]</v>
      </c>
      <c r="N615" s="23" t="s">
        <v>18</v>
      </c>
      <c r="O615" s="23" t="str">
        <f>VLOOKUP(N615,スキル!B:C,2,FALSE)</f>
        <v>　</v>
      </c>
      <c r="P615" s="23" t="s">
        <v>361</v>
      </c>
      <c r="Q615" s="23" t="str">
        <f>VLOOKUP(P615,タクティクス!B:C,2,FALSE)</f>
        <v>パーティ全体の攻撃力が特大UP(3分間)</v>
      </c>
      <c r="R615" s="23" t="s">
        <v>152</v>
      </c>
      <c r="S615" s="23" t="str">
        <f>VLOOKUP(R615,タクティクス!B:C,2,FALSE)</f>
        <v>パーティ全体の攻・防が大UP(3分間)</v>
      </c>
      <c r="T615" s="23" t="s">
        <v>18</v>
      </c>
      <c r="U615" s="23" t="s">
        <v>18</v>
      </c>
      <c r="V615" s="20" t="s">
        <v>1823</v>
      </c>
    </row>
    <row r="616" spans="1:22" ht="21.75" customHeight="1" x14ac:dyDescent="0.15">
      <c r="A616" s="20" t="str">
        <f>B616&amp;".jpg"</f>
        <v>2006.jpg</v>
      </c>
      <c r="B616" s="46">
        <v>2006</v>
      </c>
      <c r="C616" s="24" t="s">
        <v>145</v>
      </c>
      <c r="D616" s="24" t="s">
        <v>150</v>
      </c>
      <c r="E616" s="24">
        <v>15</v>
      </c>
      <c r="F616" s="24" t="s">
        <v>34</v>
      </c>
      <c r="G616" s="22">
        <v>27468</v>
      </c>
      <c r="H616" s="22">
        <v>7434</v>
      </c>
      <c r="I616" s="22">
        <v>10490</v>
      </c>
      <c r="J616" s="24" t="s">
        <v>151</v>
      </c>
      <c r="K616" s="22">
        <f>SUM(G616,H616,I616)</f>
        <v>45392</v>
      </c>
      <c r="L616" s="23" t="s">
        <v>835</v>
      </c>
      <c r="M616" s="23" t="str">
        <f>VLOOKUP(L616,スキル!B:C,2,FALSE)</f>
        <v>単体攻撃（宝箱優先／追加ダメージ）[特大]</v>
      </c>
      <c r="N616" s="23" t="s">
        <v>18</v>
      </c>
      <c r="O616" s="23" t="str">
        <f>VLOOKUP(N616,スキル!B:C,2,FALSE)</f>
        <v>　</v>
      </c>
      <c r="P616" s="23" t="s">
        <v>374</v>
      </c>
      <c r="Q616" s="23" t="str">
        <f>VLOOKUP(P616,タクティクス!B:C,2,FALSE)</f>
        <v>パーティ全体の攻・防が特大UP(3分間)</v>
      </c>
      <c r="R616" s="23" t="s">
        <v>226</v>
      </c>
      <c r="S616" s="23" t="str">
        <f>VLOOKUP(R616,タクティクス!B:C,2,FALSE)</f>
        <v>バトルで獲得する騎士団戦スコアが大アップ(3分間)</v>
      </c>
      <c r="T616" s="23" t="s">
        <v>18</v>
      </c>
      <c r="U616" s="23" t="s">
        <v>18</v>
      </c>
      <c r="V616" s="20" t="s">
        <v>1899</v>
      </c>
    </row>
    <row r="617" spans="1:22" ht="21.75" customHeight="1" x14ac:dyDescent="0.15">
      <c r="A617" s="20" t="str">
        <f>B617&amp;".jpg"</f>
        <v>2008.jpg</v>
      </c>
      <c r="B617" s="46">
        <v>2008</v>
      </c>
      <c r="C617" s="24" t="s">
        <v>146</v>
      </c>
      <c r="D617" s="24" t="s">
        <v>150</v>
      </c>
      <c r="E617" s="24">
        <v>15</v>
      </c>
      <c r="F617" s="24" t="s">
        <v>41</v>
      </c>
      <c r="G617" s="22">
        <v>23247</v>
      </c>
      <c r="H617" s="22">
        <v>7290</v>
      </c>
      <c r="I617" s="22">
        <v>7214</v>
      </c>
      <c r="J617" s="24" t="s">
        <v>261</v>
      </c>
      <c r="K617" s="22">
        <f>SUM(G617,H617,I617)</f>
        <v>37751</v>
      </c>
      <c r="L617" s="23" t="s">
        <v>816</v>
      </c>
      <c r="M617" s="23" t="str">
        <f>VLOOKUP(L617,スキル!B:C,2,FALSE)</f>
        <v>斬に強く突に弱い横一列攻撃[特大]</v>
      </c>
      <c r="N617" s="23" t="s">
        <v>18</v>
      </c>
      <c r="O617" s="23" t="str">
        <f>VLOOKUP(N617,スキル!B:C,2,FALSE)</f>
        <v>　</v>
      </c>
      <c r="P617" s="23" t="s">
        <v>393</v>
      </c>
      <c r="Q617" s="23" t="str">
        <f>VLOOKUP(P617,タクティクス!B:C,2,FALSE)</f>
        <v>強襲が発生無効、バトル時に攻・防大UP(3分間)</v>
      </c>
      <c r="R617" s="23" t="s">
        <v>192</v>
      </c>
      <c r="S617" s="23" t="str">
        <f>VLOOKUP(R617,タクティクス!B:C,2,FALSE)</f>
        <v>パーティ全体の防御力が大UP(3分間)</v>
      </c>
      <c r="T617" s="23" t="s">
        <v>18</v>
      </c>
      <c r="U617" s="23" t="s">
        <v>18</v>
      </c>
      <c r="V617" s="20" t="s">
        <v>1899</v>
      </c>
    </row>
    <row r="618" spans="1:22" ht="21.75" customHeight="1" x14ac:dyDescent="0.15">
      <c r="A618" s="20" t="str">
        <f>B618&amp;".jpg"</f>
        <v>2009.jpg</v>
      </c>
      <c r="B618" s="46">
        <v>2009</v>
      </c>
      <c r="C618" s="24" t="s">
        <v>39</v>
      </c>
      <c r="D618" s="24" t="s">
        <v>150</v>
      </c>
      <c r="E618" s="24">
        <v>15</v>
      </c>
      <c r="F618" s="24" t="s">
        <v>34</v>
      </c>
      <c r="G618" s="22">
        <v>25795</v>
      </c>
      <c r="H618" s="22">
        <v>7214</v>
      </c>
      <c r="I618" s="22">
        <v>10046</v>
      </c>
      <c r="J618" s="24" t="s">
        <v>151</v>
      </c>
      <c r="K618" s="22">
        <f>SUM(G618,H618,I618)</f>
        <v>43055</v>
      </c>
      <c r="L618" s="24" t="s">
        <v>729</v>
      </c>
      <c r="M618" s="23" t="str">
        <f>VLOOKUP(L618,スキル!B:C,2,FALSE)</f>
        <v>X字型に攻撃[特大]</v>
      </c>
      <c r="N618" s="23" t="s">
        <v>18</v>
      </c>
      <c r="O618" s="23" t="str">
        <f>VLOOKUP(N618,スキル!B:C,2,FALSE)</f>
        <v>　</v>
      </c>
      <c r="P618" s="23" t="s">
        <v>388</v>
      </c>
      <c r="Q618" s="23" t="str">
        <f>VLOOKUP(P618,タクティクス!B:C,2,FALSE)</f>
        <v>獲得する騎士団戦スコアが特大アップ(バトル3回)</v>
      </c>
      <c r="R618" s="23" t="s">
        <v>178</v>
      </c>
      <c r="S618" s="23" t="str">
        <f>VLOOKUP(R618,タクティクス!B:C,2,FALSE)</f>
        <v>パーティ全体の攻撃力が大UP(3分間)</v>
      </c>
      <c r="T618" s="23" t="s">
        <v>18</v>
      </c>
      <c r="U618" s="23" t="s">
        <v>18</v>
      </c>
      <c r="V618" s="20" t="s">
        <v>1892</v>
      </c>
    </row>
    <row r="619" spans="1:22" ht="21.75" customHeight="1" x14ac:dyDescent="0.15">
      <c r="A619" s="20" t="str">
        <f>B619&amp;".jpg"</f>
        <v>2010.jpg</v>
      </c>
      <c r="B619" s="46">
        <v>2010</v>
      </c>
      <c r="C619" s="24" t="s">
        <v>367</v>
      </c>
      <c r="D619" s="24" t="s">
        <v>15</v>
      </c>
      <c r="E619" s="24">
        <v>13</v>
      </c>
      <c r="F619" s="24" t="s">
        <v>41</v>
      </c>
      <c r="G619" s="22">
        <v>19474</v>
      </c>
      <c r="H619" s="22">
        <v>6488</v>
      </c>
      <c r="I619" s="22">
        <v>5794</v>
      </c>
      <c r="J619" s="24" t="s">
        <v>42</v>
      </c>
      <c r="K619" s="22">
        <f>SUM(G619,H619,I619)</f>
        <v>31756</v>
      </c>
      <c r="L619" s="23" t="s">
        <v>705</v>
      </c>
      <c r="M619" s="23" t="str">
        <f>VLOOKUP(L619,スキル!B:C,2,FALSE)</f>
        <v>ランダム4連続攻撃[中]自分の防御力UP[中]</v>
      </c>
      <c r="N619" s="23" t="s">
        <v>18</v>
      </c>
      <c r="O619" s="23" t="str">
        <f>VLOOKUP(N619,スキル!B:C,2,FALSE)</f>
        <v>　</v>
      </c>
      <c r="P619" s="23" t="s">
        <v>232</v>
      </c>
      <c r="Q619" s="23" t="str">
        <f>VLOOKUP(P619,タクティクス!B:C,2,FALSE)</f>
        <v>騎士団全員のBPを中回復</v>
      </c>
      <c r="R619" s="23" t="s">
        <v>18</v>
      </c>
      <c r="S619" s="23" t="str">
        <f>VLOOKUP(R619,タクティクス!B:C,2,FALSE)</f>
        <v>　</v>
      </c>
      <c r="T619" s="23" t="s">
        <v>18</v>
      </c>
      <c r="U619" s="23" t="s">
        <v>18</v>
      </c>
      <c r="V619" s="20" t="s">
        <v>1879</v>
      </c>
    </row>
    <row r="620" spans="1:22" ht="21.75" customHeight="1" x14ac:dyDescent="0.15">
      <c r="A620" s="20" t="str">
        <f>B620&amp;".jpg"</f>
        <v>2011.jpg</v>
      </c>
      <c r="B620" s="46">
        <v>2011</v>
      </c>
      <c r="C620" s="24" t="s">
        <v>412</v>
      </c>
      <c r="D620" s="24" t="s">
        <v>150</v>
      </c>
      <c r="E620" s="24">
        <v>14</v>
      </c>
      <c r="F620" s="24" t="s">
        <v>25</v>
      </c>
      <c r="G620" s="22">
        <v>22170</v>
      </c>
      <c r="H620" s="22">
        <v>6187</v>
      </c>
      <c r="I620" s="22">
        <v>7254</v>
      </c>
      <c r="J620" s="24" t="s">
        <v>177</v>
      </c>
      <c r="K620" s="22">
        <f>SUM(G620,H620,I620)</f>
        <v>35611</v>
      </c>
      <c r="L620" s="23" t="s">
        <v>715</v>
      </c>
      <c r="M620" s="23" t="str">
        <f>VLOOKUP(L620,スキル!B:C,2,FALSE)</f>
        <v>打に強く遠に弱い縦一列攻撃[特大]</v>
      </c>
      <c r="N620" s="23" t="s">
        <v>18</v>
      </c>
      <c r="O620" s="23" t="str">
        <f>VLOOKUP(N620,スキル!B:C,2,FALSE)</f>
        <v>　</v>
      </c>
      <c r="P620" s="23" t="s">
        <v>287</v>
      </c>
      <c r="Q620" s="23" t="str">
        <f>VLOOKUP(P620,タクティクス!B:C,2,FALSE)</f>
        <v>騎士団全体の攻・防が中UP(3分間)</v>
      </c>
      <c r="R620" s="23" t="s">
        <v>18</v>
      </c>
      <c r="S620" s="23" t="str">
        <f>VLOOKUP(R620,タクティクス!B:C,2,FALSE)</f>
        <v>　</v>
      </c>
      <c r="T620" s="23" t="s">
        <v>18</v>
      </c>
      <c r="U620" s="23" t="s">
        <v>18</v>
      </c>
      <c r="V620" s="20" t="s">
        <v>1879</v>
      </c>
    </row>
    <row r="621" spans="1:22" ht="21.75" customHeight="1" x14ac:dyDescent="0.15">
      <c r="A621" s="20" t="str">
        <f>B621&amp;".jpg"</f>
        <v>2012.jpg</v>
      </c>
      <c r="B621" s="46">
        <v>2012</v>
      </c>
      <c r="C621" s="24" t="s">
        <v>219</v>
      </c>
      <c r="D621" s="24" t="s">
        <v>150</v>
      </c>
      <c r="E621" s="24">
        <v>15</v>
      </c>
      <c r="F621" s="24" t="s">
        <v>16</v>
      </c>
      <c r="G621" s="22">
        <v>19750</v>
      </c>
      <c r="H621" s="22">
        <v>9387</v>
      </c>
      <c r="I621" s="22">
        <v>7155</v>
      </c>
      <c r="J621" s="24" t="s">
        <v>26</v>
      </c>
      <c r="K621" s="22">
        <f>SUM(G621,H621,I621)</f>
        <v>36292</v>
      </c>
      <c r="L621" s="23" t="s">
        <v>735</v>
      </c>
      <c r="M621" s="23" t="str">
        <f>VLOOKUP(L621,スキル!B:C,2,FALSE)</f>
        <v>X字型攻撃[特大]自分の攻撃力UP[特大]</v>
      </c>
      <c r="N621" s="23" t="s">
        <v>963</v>
      </c>
      <c r="O621" s="23" t="str">
        <f>VLOOKUP(N621,スキル!B:C,2,FALSE)</f>
        <v>一定時間HP最大値をUP[極大]</v>
      </c>
      <c r="P621" s="23" t="s">
        <v>354</v>
      </c>
      <c r="Q621" s="23" t="str">
        <f>VLOOKUP(P621,タクティクス!B:C,2,FALSE)</f>
        <v>バトル時の強襲CB率が大UP(3分間)</v>
      </c>
      <c r="R621" s="23" t="s">
        <v>178</v>
      </c>
      <c r="S621" s="23" t="str">
        <f>VLOOKUP(R621,タクティクス!B:C,2,FALSE)</f>
        <v>パーティ全体の攻撃力が大UP(3分間)</v>
      </c>
      <c r="T621" s="23" t="s">
        <v>18</v>
      </c>
      <c r="U621" s="23" t="s">
        <v>18</v>
      </c>
      <c r="V621" s="20" t="s">
        <v>1823</v>
      </c>
    </row>
    <row r="622" spans="1:22" ht="21.75" customHeight="1" x14ac:dyDescent="0.15">
      <c r="A622" s="20" t="str">
        <f>B622&amp;".jpg"</f>
        <v>2013.jpg</v>
      </c>
      <c r="B622" s="46">
        <v>2013</v>
      </c>
      <c r="C622" s="24" t="s">
        <v>61</v>
      </c>
      <c r="D622" s="24" t="s">
        <v>150</v>
      </c>
      <c r="E622" s="24">
        <v>15</v>
      </c>
      <c r="F622" s="24" t="s">
        <v>41</v>
      </c>
      <c r="G622" s="22">
        <v>23797</v>
      </c>
      <c r="H622" s="22">
        <v>7583</v>
      </c>
      <c r="I622" s="22">
        <v>7319</v>
      </c>
      <c r="J622" s="24" t="s">
        <v>261</v>
      </c>
      <c r="K622" s="22">
        <f>SUM(G622,H622,I622)</f>
        <v>38699</v>
      </c>
      <c r="L622" s="23" t="s">
        <v>874</v>
      </c>
      <c r="M622" s="23" t="str">
        <f>VLOOKUP(L622,スキル!B:C,2,FALSE)</f>
        <v>単体固定ﾀﾞﾒｰｼﾞ[大]+味方ｽﾃｰﾀｽDOWN解除</v>
      </c>
      <c r="N622" s="23" t="s">
        <v>18</v>
      </c>
      <c r="O622" s="23" t="str">
        <f>VLOOKUP(N622,スキル!B:C,2,FALSE)</f>
        <v>　</v>
      </c>
      <c r="P622" s="23" t="s">
        <v>413</v>
      </c>
      <c r="Q622" s="23" t="str">
        <f>VLOOKUP(P622,タクティクス!B:C,2,FALSE)</f>
        <v>攻撃回数が多いほどバトル獲得スコアが大UP(3分間)</v>
      </c>
      <c r="R622" s="23" t="s">
        <v>152</v>
      </c>
      <c r="S622" s="23" t="str">
        <f>VLOOKUP(R622,タクティクス!B:C,2,FALSE)</f>
        <v>パーティ全体の攻・防が大UP(3分間)</v>
      </c>
      <c r="T622" s="23" t="s">
        <v>18</v>
      </c>
      <c r="U622" s="23" t="s">
        <v>18</v>
      </c>
      <c r="V622" s="20" t="s">
        <v>1899</v>
      </c>
    </row>
    <row r="623" spans="1:22" ht="21.75" customHeight="1" x14ac:dyDescent="0.15">
      <c r="A623" s="20" t="str">
        <f>B623&amp;".jpg"</f>
        <v>2014.jpg</v>
      </c>
      <c r="B623" s="46">
        <v>2014</v>
      </c>
      <c r="C623" s="24" t="s">
        <v>149</v>
      </c>
      <c r="D623" s="24" t="s">
        <v>150</v>
      </c>
      <c r="E623" s="24">
        <v>15</v>
      </c>
      <c r="F623" s="24" t="s">
        <v>16</v>
      </c>
      <c r="G623" s="22">
        <v>20313</v>
      </c>
      <c r="H623" s="22">
        <v>9285</v>
      </c>
      <c r="I623" s="22">
        <v>7016</v>
      </c>
      <c r="J623" s="24" t="s">
        <v>26</v>
      </c>
      <c r="K623" s="22">
        <f>SUM(G623,H623,I623)</f>
        <v>36614</v>
      </c>
      <c r="L623" s="23" t="s">
        <v>664</v>
      </c>
      <c r="M623" s="23" t="str">
        <f>VLOOKUP(L623,スキル!B:C,2,FALSE)</f>
        <v>縦一列に攻撃[特大]</v>
      </c>
      <c r="N623" s="23" t="s">
        <v>18</v>
      </c>
      <c r="O623" s="23" t="str">
        <f>VLOOKUP(N623,スキル!B:C,2,FALSE)</f>
        <v>　</v>
      </c>
      <c r="P623" s="23" t="s">
        <v>361</v>
      </c>
      <c r="Q623" s="23" t="str">
        <f>VLOOKUP(P623,タクティクス!B:C,2,FALSE)</f>
        <v>パーティ全体の攻撃力が特大UP(3分間)</v>
      </c>
      <c r="R623" s="23" t="s">
        <v>185</v>
      </c>
      <c r="S623" s="23" t="str">
        <f>VLOOKUP(R623,タクティクス!B:C,2,FALSE)</f>
        <v>バトル時の強襲CB率が中UP(3分間)</v>
      </c>
      <c r="T623" s="23" t="s">
        <v>18</v>
      </c>
      <c r="U623" s="23" t="s">
        <v>18</v>
      </c>
      <c r="V623" s="20" t="s">
        <v>1899</v>
      </c>
    </row>
    <row r="624" spans="1:22" ht="21.75" customHeight="1" x14ac:dyDescent="0.15">
      <c r="A624" s="20" t="str">
        <f>B624&amp;".jpg"</f>
        <v>2015.jpg</v>
      </c>
      <c r="B624" s="46">
        <v>2015</v>
      </c>
      <c r="C624" s="24" t="s">
        <v>98</v>
      </c>
      <c r="D624" s="24" t="s">
        <v>150</v>
      </c>
      <c r="E624" s="24">
        <v>15</v>
      </c>
      <c r="F624" s="24" t="s">
        <v>34</v>
      </c>
      <c r="G624" s="22">
        <v>26784</v>
      </c>
      <c r="H624" s="22">
        <v>7291</v>
      </c>
      <c r="I624" s="22">
        <v>10584</v>
      </c>
      <c r="J624" s="24" t="s">
        <v>151</v>
      </c>
      <c r="K624" s="22">
        <f>SUM(G624,H624,I624)</f>
        <v>44659</v>
      </c>
      <c r="L624" s="24" t="s">
        <v>729</v>
      </c>
      <c r="M624" s="23" t="str">
        <f>VLOOKUP(L624,スキル!B:C,2,FALSE)</f>
        <v>X字型に攻撃[特大]</v>
      </c>
      <c r="N624" s="23" t="s">
        <v>18</v>
      </c>
      <c r="O624" s="23" t="str">
        <f>VLOOKUP(N624,スキル!B:C,2,FALSE)</f>
        <v>　</v>
      </c>
      <c r="P624" s="23" t="s">
        <v>361</v>
      </c>
      <c r="Q624" s="23" t="str">
        <f>VLOOKUP(P624,タクティクス!B:C,2,FALSE)</f>
        <v>パーティ全体の攻撃力が特大UP(3分間)</v>
      </c>
      <c r="R624" s="23" t="s">
        <v>180</v>
      </c>
      <c r="S624" s="23" t="str">
        <f>VLOOKUP(R624,タクティクス!B:C,2,FALSE)</f>
        <v>獲得する騎士団戦スコアが大アップ(バトル3回)</v>
      </c>
      <c r="T624" s="23" t="s">
        <v>18</v>
      </c>
      <c r="U624" s="23" t="s">
        <v>18</v>
      </c>
      <c r="V624" s="20" t="s">
        <v>1892</v>
      </c>
    </row>
    <row r="625" spans="1:22" ht="21.75" customHeight="1" x14ac:dyDescent="0.15">
      <c r="A625" s="20" t="str">
        <f>B625&amp;".jpg"</f>
        <v>2016.jpg</v>
      </c>
      <c r="B625" s="46">
        <v>2016</v>
      </c>
      <c r="C625" s="24" t="s">
        <v>221</v>
      </c>
      <c r="D625" s="24" t="s">
        <v>150</v>
      </c>
      <c r="E625" s="24">
        <v>15</v>
      </c>
      <c r="F625" s="24" t="s">
        <v>41</v>
      </c>
      <c r="G625" s="22">
        <v>20504</v>
      </c>
      <c r="H625" s="22">
        <v>7204</v>
      </c>
      <c r="I625" s="22">
        <v>6984</v>
      </c>
      <c r="J625" s="24" t="s">
        <v>261</v>
      </c>
      <c r="K625" s="22">
        <f>SUM(G625,H625,I625)</f>
        <v>34692</v>
      </c>
      <c r="L625" s="24" t="s">
        <v>691</v>
      </c>
      <c r="M625" s="23" t="str">
        <f>VLOOKUP(L625,スキル!B:C,2,FALSE)</f>
        <v>横一列に攻撃[特大]</v>
      </c>
      <c r="N625" s="23" t="s">
        <v>18</v>
      </c>
      <c r="O625" s="23" t="str">
        <f>VLOOKUP(N625,スキル!B:C,2,FALSE)</f>
        <v>　</v>
      </c>
      <c r="P625" s="23" t="s">
        <v>357</v>
      </c>
      <c r="Q625" s="23" t="str">
        <f>VLOOKUP(P625,タクティクス!B:C,2,FALSE)</f>
        <v>パーティ全体の防御力が特大UP(3分間)</v>
      </c>
      <c r="R625" s="23" t="s">
        <v>195</v>
      </c>
      <c r="S625" s="23" t="str">
        <f>VLOOKUP(R625,タクティクス!B:C,2,FALSE)</f>
        <v>パーティ全体のスキル発動率が大UP(3分間)</v>
      </c>
      <c r="T625" s="23" t="s">
        <v>18</v>
      </c>
      <c r="U625" s="23" t="s">
        <v>18</v>
      </c>
      <c r="V625" s="20" t="s">
        <v>1892</v>
      </c>
    </row>
    <row r="626" spans="1:22" ht="21.75" customHeight="1" x14ac:dyDescent="0.15">
      <c r="A626" s="20" t="str">
        <f>B626&amp;".jpg"</f>
        <v>2021.jpg</v>
      </c>
      <c r="B626" s="46">
        <v>2021</v>
      </c>
      <c r="C626" s="24" t="s">
        <v>414</v>
      </c>
      <c r="D626" s="24" t="s">
        <v>15</v>
      </c>
      <c r="E626" s="24">
        <v>13</v>
      </c>
      <c r="F626" s="24" t="s">
        <v>41</v>
      </c>
      <c r="G626" s="22">
        <v>20204</v>
      </c>
      <c r="H626" s="22">
        <v>6419</v>
      </c>
      <c r="I626" s="22">
        <v>4984</v>
      </c>
      <c r="J626" s="24" t="s">
        <v>42</v>
      </c>
      <c r="K626" s="22">
        <f>SUM(G626,H626,I626)</f>
        <v>31607</v>
      </c>
      <c r="L626" s="23" t="s">
        <v>635</v>
      </c>
      <c r="M626" s="23" t="str">
        <f>VLOOKUP(L626,スキル!B:C,2,FALSE)</f>
        <v>単体攻撃（宝箱優先／追加ダメージ）[大]</v>
      </c>
      <c r="N626" s="23" t="s">
        <v>18</v>
      </c>
      <c r="O626" s="23" t="str">
        <f>VLOOKUP(N626,スキル!B:C,2,FALSE)</f>
        <v>　</v>
      </c>
      <c r="P626" s="23" t="s">
        <v>23</v>
      </c>
      <c r="Q626" s="23" t="str">
        <f>VLOOKUP(P626,タクティクス!B:C,2,FALSE)</f>
        <v>パーティ全体の攻撃力が中UP(3分間)</v>
      </c>
      <c r="R626" s="23" t="s">
        <v>18</v>
      </c>
      <c r="S626" s="23" t="str">
        <f>VLOOKUP(R626,タクティクス!B:C,2,FALSE)</f>
        <v>　</v>
      </c>
      <c r="T626" s="23" t="s">
        <v>18</v>
      </c>
      <c r="U626" s="23" t="s">
        <v>18</v>
      </c>
      <c r="V626" s="20" t="s">
        <v>1909</v>
      </c>
    </row>
    <row r="627" spans="1:22" ht="21.75" customHeight="1" x14ac:dyDescent="0.15">
      <c r="A627" s="20" t="str">
        <f>B627&amp;".jpg"</f>
        <v>2022.jpg</v>
      </c>
      <c r="B627" s="46">
        <v>2022</v>
      </c>
      <c r="C627" s="24" t="s">
        <v>73</v>
      </c>
      <c r="D627" s="24" t="s">
        <v>150</v>
      </c>
      <c r="E627" s="24">
        <v>14</v>
      </c>
      <c r="F627" s="24" t="s">
        <v>16</v>
      </c>
      <c r="G627" s="22">
        <v>17531</v>
      </c>
      <c r="H627" s="22">
        <v>8881</v>
      </c>
      <c r="I627" s="22">
        <v>6192</v>
      </c>
      <c r="J627" s="24" t="s">
        <v>151</v>
      </c>
      <c r="K627" s="22">
        <f>SUM(G627,H627,I627)</f>
        <v>32604</v>
      </c>
      <c r="L627" s="23" t="s">
        <v>664</v>
      </c>
      <c r="M627" s="23" t="str">
        <f>VLOOKUP(L627,スキル!B:C,2,FALSE)</f>
        <v>縦一列に攻撃[特大]</v>
      </c>
      <c r="N627" s="23" t="s">
        <v>18</v>
      </c>
      <c r="O627" s="23" t="str">
        <f>VLOOKUP(N627,スキル!B:C,2,FALSE)</f>
        <v>　</v>
      </c>
      <c r="P627" s="23" t="s">
        <v>308</v>
      </c>
      <c r="Q627" s="23" t="str">
        <f>VLOOKUP(P627,タクティクス!B:C,2,FALSE)</f>
        <v>騎士団全体の攻撃力が中UP(3分間)</v>
      </c>
      <c r="R627" s="23" t="s">
        <v>18</v>
      </c>
      <c r="S627" s="23" t="str">
        <f>VLOOKUP(R627,タクティクス!B:C,2,FALSE)</f>
        <v>　</v>
      </c>
      <c r="T627" s="23" t="s">
        <v>18</v>
      </c>
      <c r="U627" s="23" t="s">
        <v>18</v>
      </c>
      <c r="V627" s="20" t="s">
        <v>1825</v>
      </c>
    </row>
    <row r="628" spans="1:22" ht="21.75" customHeight="1" x14ac:dyDescent="0.15">
      <c r="A628" s="20" t="str">
        <f>B628&amp;".jpg"</f>
        <v>2023.jpg</v>
      </c>
      <c r="B628" s="46">
        <v>2023</v>
      </c>
      <c r="C628" s="24" t="s">
        <v>249</v>
      </c>
      <c r="D628" s="24" t="s">
        <v>150</v>
      </c>
      <c r="E628" s="24">
        <v>15</v>
      </c>
      <c r="F628" s="24" t="s">
        <v>25</v>
      </c>
      <c r="G628" s="22">
        <v>23767</v>
      </c>
      <c r="H628" s="22">
        <v>6585</v>
      </c>
      <c r="I628" s="22">
        <v>8462</v>
      </c>
      <c r="J628" s="24" t="s">
        <v>356</v>
      </c>
      <c r="K628" s="22">
        <f>SUM(G628,H628,I628)</f>
        <v>38814</v>
      </c>
      <c r="L628" s="24" t="s">
        <v>691</v>
      </c>
      <c r="M628" s="23" t="str">
        <f>VLOOKUP(L628,スキル!B:C,2,FALSE)</f>
        <v>横一列に攻撃[特大]</v>
      </c>
      <c r="N628" s="23" t="s">
        <v>965</v>
      </c>
      <c r="O628" s="23" t="str">
        <f>VLOOKUP(N628,スキル!B:C,2,FALSE)</f>
        <v>敵の状態異常スキルを完全無効化</v>
      </c>
      <c r="P628" s="23" t="s">
        <v>374</v>
      </c>
      <c r="Q628" s="23" t="str">
        <f>VLOOKUP(P628,タクティクス!B:C,2,FALSE)</f>
        <v>パーティ全体の攻・防が特大UP(3分間)</v>
      </c>
      <c r="R628" s="23" t="s">
        <v>178</v>
      </c>
      <c r="S628" s="23" t="str">
        <f>VLOOKUP(R628,タクティクス!B:C,2,FALSE)</f>
        <v>パーティ全体の攻撃力が大UP(3分間)</v>
      </c>
      <c r="T628" s="23" t="s">
        <v>18</v>
      </c>
      <c r="U628" s="23" t="s">
        <v>18</v>
      </c>
      <c r="V628" s="20" t="s">
        <v>1823</v>
      </c>
    </row>
    <row r="629" spans="1:22" ht="21.75" customHeight="1" x14ac:dyDescent="0.15">
      <c r="A629" s="20" t="str">
        <f>B629&amp;".jpg"</f>
        <v>2025.jpg</v>
      </c>
      <c r="B629" s="46">
        <v>2025</v>
      </c>
      <c r="C629" s="24" t="s">
        <v>96</v>
      </c>
      <c r="D629" s="24" t="s">
        <v>150</v>
      </c>
      <c r="E629" s="24">
        <v>14</v>
      </c>
      <c r="F629" s="24" t="s">
        <v>34</v>
      </c>
      <c r="G629" s="22">
        <v>23645</v>
      </c>
      <c r="H629" s="22">
        <v>6704</v>
      </c>
      <c r="I629" s="22">
        <v>8416</v>
      </c>
      <c r="J629" s="24" t="s">
        <v>17</v>
      </c>
      <c r="K629" s="22">
        <f>SUM(G629,H629,I629)</f>
        <v>38765</v>
      </c>
      <c r="L629" s="23" t="s">
        <v>703</v>
      </c>
      <c r="M629" s="23" t="str">
        <f>VLOOKUP(L629,スキル!B:C,2,FALSE)</f>
        <v>一定確率で敵を沈黙状態にする[超高確率]</v>
      </c>
      <c r="N629" s="23" t="s">
        <v>18</v>
      </c>
      <c r="O629" s="23" t="str">
        <f>VLOOKUP(N629,スキル!B:C,2,FALSE)</f>
        <v>　</v>
      </c>
      <c r="P629" s="23" t="s">
        <v>181</v>
      </c>
      <c r="Q629" s="23" t="str">
        <f>VLOOKUP(P629,タクティクス!B:C,2,FALSE)</f>
        <v>騎士団全体の強襲CB率が小UP(3分間)</v>
      </c>
      <c r="R629" s="23" t="s">
        <v>18</v>
      </c>
      <c r="S629" s="23" t="str">
        <f>VLOOKUP(R629,タクティクス!B:C,2,FALSE)</f>
        <v>　</v>
      </c>
      <c r="T629" s="23" t="s">
        <v>18</v>
      </c>
      <c r="U629" s="23" t="s">
        <v>18</v>
      </c>
      <c r="V629" s="20" t="s">
        <v>1823</v>
      </c>
    </row>
    <row r="630" spans="1:22" ht="21.75" customHeight="1" x14ac:dyDescent="0.15">
      <c r="A630" s="20" t="str">
        <f>B630&amp;".jpg"</f>
        <v>2027.jpg</v>
      </c>
      <c r="B630" s="46">
        <v>2027</v>
      </c>
      <c r="C630" s="24" t="s">
        <v>92</v>
      </c>
      <c r="D630" s="24" t="s">
        <v>150</v>
      </c>
      <c r="E630" s="24">
        <v>15</v>
      </c>
      <c r="F630" s="24" t="s">
        <v>34</v>
      </c>
      <c r="G630" s="22">
        <v>26895</v>
      </c>
      <c r="H630" s="22">
        <v>7319</v>
      </c>
      <c r="I630" s="22">
        <v>10596</v>
      </c>
      <c r="J630" s="24" t="s">
        <v>151</v>
      </c>
      <c r="K630" s="22">
        <f>SUM(G630,H630,I630)</f>
        <v>44810</v>
      </c>
      <c r="L630" s="23" t="s">
        <v>876</v>
      </c>
      <c r="M630" s="23" t="str">
        <f>VLOOKUP(L630,スキル!B:C,2,FALSE)</f>
        <v>味方打属性の防御力をUP[極大]</v>
      </c>
      <c r="N630" s="23" t="s">
        <v>18</v>
      </c>
      <c r="O630" s="23" t="str">
        <f>VLOOKUP(N630,スキル!B:C,2,FALSE)</f>
        <v>　</v>
      </c>
      <c r="P630" s="23" t="s">
        <v>410</v>
      </c>
      <c r="Q630" s="23" t="str">
        <f>VLOOKUP(P630,タクティクス!B:C,2,FALSE)</f>
        <v>パーティ全体の攻撃力特大UP・速度大DOWN(3分間)</v>
      </c>
      <c r="R630" s="23" t="s">
        <v>319</v>
      </c>
      <c r="S630" s="23" t="str">
        <f>VLOOKUP(R630,タクティクス!B:C,2,FALSE)</f>
        <v>対戦騎士団の城強度Lvが中DOWN(3分間)</v>
      </c>
      <c r="T630" s="23" t="s">
        <v>18</v>
      </c>
      <c r="U630" s="23" t="s">
        <v>18</v>
      </c>
      <c r="V630" s="20" t="s">
        <v>1899</v>
      </c>
    </row>
    <row r="631" spans="1:22" ht="21.75" customHeight="1" x14ac:dyDescent="0.15">
      <c r="A631" s="20" t="str">
        <f>B631&amp;".jpg"</f>
        <v>2029.jpg</v>
      </c>
      <c r="B631" s="46">
        <v>2029</v>
      </c>
      <c r="C631" s="24" t="s">
        <v>186</v>
      </c>
      <c r="D631" s="24" t="s">
        <v>150</v>
      </c>
      <c r="E631" s="24">
        <v>15</v>
      </c>
      <c r="F631" s="24" t="s">
        <v>41</v>
      </c>
      <c r="G631" s="22">
        <v>22842</v>
      </c>
      <c r="H631" s="22">
        <v>7415</v>
      </c>
      <c r="I631" s="22">
        <v>7270</v>
      </c>
      <c r="J631" s="24" t="s">
        <v>261</v>
      </c>
      <c r="K631" s="22">
        <f>SUM(G631,H631,I631)</f>
        <v>37527</v>
      </c>
      <c r="L631" s="23" t="s">
        <v>878</v>
      </c>
      <c r="M631" s="23" t="str">
        <f>VLOOKUP(L631,スキル!B:C,2,FALSE)</f>
        <v>ランダム6連続攻撃[中]自分の防御力UP[中]</v>
      </c>
      <c r="N631" s="23" t="s">
        <v>18</v>
      </c>
      <c r="O631" s="23" t="str">
        <f>VLOOKUP(N631,スキル!B:C,2,FALSE)</f>
        <v>　</v>
      </c>
      <c r="P631" s="23" t="s">
        <v>397</v>
      </c>
      <c r="Q631" s="23" t="str">
        <f>VLOOKUP(P631,タクティクス!B:C,2,FALSE)</f>
        <v>バトルで獲得する騎士団戦スコアが特大アップ(3分間)</v>
      </c>
      <c r="R631" s="23" t="s">
        <v>274</v>
      </c>
      <c r="S631" s="23" t="str">
        <f>VLOOKUP(R631,タクティクス!B:C,2,FALSE)</f>
        <v>パーティ全体の攻撃力・速度が中UP(3分間)</v>
      </c>
      <c r="T631" s="23" t="s">
        <v>18</v>
      </c>
      <c r="U631" s="23" t="s">
        <v>18</v>
      </c>
      <c r="V631" s="20" t="s">
        <v>1899</v>
      </c>
    </row>
    <row r="632" spans="1:22" ht="21.75" customHeight="1" x14ac:dyDescent="0.15">
      <c r="A632" s="20" t="str">
        <f>B632&amp;".jpg"</f>
        <v>2030.jpg</v>
      </c>
      <c r="B632" s="46">
        <v>2030</v>
      </c>
      <c r="C632" s="24" t="s">
        <v>291</v>
      </c>
      <c r="D632" s="24" t="s">
        <v>150</v>
      </c>
      <c r="E632" s="24">
        <v>15</v>
      </c>
      <c r="F632" s="24" t="s">
        <v>34</v>
      </c>
      <c r="G632" s="22">
        <v>26349</v>
      </c>
      <c r="H632" s="22">
        <v>7102</v>
      </c>
      <c r="I632" s="22">
        <v>10128</v>
      </c>
      <c r="J632" s="24" t="s">
        <v>151</v>
      </c>
      <c r="K632" s="22">
        <f>SUM(G632,H632,I632)</f>
        <v>43579</v>
      </c>
      <c r="L632" s="23" t="s">
        <v>880</v>
      </c>
      <c r="M632" s="23" t="str">
        <f>VLOOKUP(L632,スキル!B:C,2,FALSE)</f>
        <v>自分の防御力をUP[極大]</v>
      </c>
      <c r="N632" s="23" t="s">
        <v>18</v>
      </c>
      <c r="O632" s="23" t="str">
        <f>VLOOKUP(N632,スキル!B:C,2,FALSE)</f>
        <v>　</v>
      </c>
      <c r="P632" s="26" t="s">
        <v>354</v>
      </c>
      <c r="Q632" s="23" t="str">
        <f>VLOOKUP(P632,タクティクス!B:C,2,FALSE)</f>
        <v>バトル時の強襲CB率が大UP(3分間)</v>
      </c>
      <c r="R632" s="23" t="s">
        <v>195</v>
      </c>
      <c r="S632" s="23" t="str">
        <f>VLOOKUP(R632,タクティクス!B:C,2,FALSE)</f>
        <v>パーティ全体のスキル発動率が大UP(3分間)</v>
      </c>
      <c r="T632" s="23" t="s">
        <v>18</v>
      </c>
      <c r="U632" s="23" t="s">
        <v>18</v>
      </c>
      <c r="V632" s="20" t="s">
        <v>1907</v>
      </c>
    </row>
    <row r="633" spans="1:22" ht="21.75" customHeight="1" x14ac:dyDescent="0.15">
      <c r="A633" s="20" t="str">
        <f>B633&amp;".jpg"</f>
        <v>2031.jpg</v>
      </c>
      <c r="B633" s="46">
        <v>2031</v>
      </c>
      <c r="C633" s="24" t="s">
        <v>249</v>
      </c>
      <c r="D633" s="24" t="s">
        <v>150</v>
      </c>
      <c r="E633" s="24">
        <v>15</v>
      </c>
      <c r="F633" s="24" t="s">
        <v>25</v>
      </c>
      <c r="G633" s="22">
        <v>22074</v>
      </c>
      <c r="H633" s="22">
        <v>6341</v>
      </c>
      <c r="I633" s="22">
        <v>8031</v>
      </c>
      <c r="J633" s="24" t="s">
        <v>356</v>
      </c>
      <c r="K633" s="22">
        <f>SUM(G633,H633,I633)</f>
        <v>36446</v>
      </c>
      <c r="L633" s="23" t="s">
        <v>747</v>
      </c>
      <c r="M633" s="23" t="str">
        <f>VLOOKUP(L633,スキル!B:C,2,FALSE)</f>
        <v>打に強く遠に弱い横一列攻撃[特大]</v>
      </c>
      <c r="N633" s="23" t="s">
        <v>18</v>
      </c>
      <c r="O633" s="23" t="str">
        <f>VLOOKUP(N633,スキル!B:C,2,FALSE)</f>
        <v>　</v>
      </c>
      <c r="P633" s="23" t="s">
        <v>398</v>
      </c>
      <c r="Q633" s="23" t="str">
        <f>VLOOKUP(P633,タクティクス!B:C,2,FALSE)</f>
        <v>バトルで敵を全滅するとBPが大回復(3分間)</v>
      </c>
      <c r="R633" s="23" t="s">
        <v>152</v>
      </c>
      <c r="S633" s="23" t="str">
        <f>VLOOKUP(R633,タクティクス!B:C,2,FALSE)</f>
        <v>パーティ全体の攻・防が大UP(3分間)</v>
      </c>
      <c r="T633" s="23" t="s">
        <v>18</v>
      </c>
      <c r="U633" s="23" t="s">
        <v>18</v>
      </c>
      <c r="V633" s="20" t="s">
        <v>1916</v>
      </c>
    </row>
    <row r="634" spans="1:22" ht="21.75" customHeight="1" x14ac:dyDescent="0.15">
      <c r="A634" s="20" t="str">
        <f>B634&amp;".jpg"</f>
        <v>2032.jpg</v>
      </c>
      <c r="B634" s="46">
        <v>2032</v>
      </c>
      <c r="C634" s="24" t="s">
        <v>84</v>
      </c>
      <c r="D634" s="24" t="s">
        <v>150</v>
      </c>
      <c r="E634" s="24">
        <v>15</v>
      </c>
      <c r="F634" s="24" t="s">
        <v>41</v>
      </c>
      <c r="G634" s="22">
        <v>23365</v>
      </c>
      <c r="H634" s="22">
        <v>7348</v>
      </c>
      <c r="I634" s="22">
        <v>7189</v>
      </c>
      <c r="J634" s="24" t="s">
        <v>356</v>
      </c>
      <c r="K634" s="22">
        <f>SUM(G634,H634,I634)</f>
        <v>37902</v>
      </c>
      <c r="L634" s="23" t="s">
        <v>882</v>
      </c>
      <c r="M634" s="23" t="str">
        <f>VLOOKUP(L634,スキル!B:C,2,FALSE)</f>
        <v>ランダム6連続攻撃[中]自分の攻撃力UP[中]</v>
      </c>
      <c r="N634" s="23" t="s">
        <v>18</v>
      </c>
      <c r="O634" s="23" t="str">
        <f>VLOOKUP(N634,スキル!B:C,2,FALSE)</f>
        <v>　</v>
      </c>
      <c r="P634" s="23" t="s">
        <v>374</v>
      </c>
      <c r="Q634" s="23" t="str">
        <f>VLOOKUP(P634,タクティクス!B:C,2,FALSE)</f>
        <v>パーティ全体の攻・防が特大UP(3分間)</v>
      </c>
      <c r="R634" s="23" t="s">
        <v>308</v>
      </c>
      <c r="S634" s="23" t="str">
        <f>VLOOKUP(R634,タクティクス!B:C,2,FALSE)</f>
        <v>騎士団全体の攻撃力が中UP(3分間)</v>
      </c>
      <c r="T634" s="23" t="s">
        <v>18</v>
      </c>
      <c r="U634" s="23" t="s">
        <v>18</v>
      </c>
      <c r="V634" s="20" t="s">
        <v>1908</v>
      </c>
    </row>
    <row r="635" spans="1:22" ht="21.75" customHeight="1" x14ac:dyDescent="0.15">
      <c r="A635" s="20" t="str">
        <f>B635&amp;".jpg"</f>
        <v>2033.jpg</v>
      </c>
      <c r="B635" s="46">
        <v>2033</v>
      </c>
      <c r="C635" s="24" t="s">
        <v>102</v>
      </c>
      <c r="D635" s="24" t="s">
        <v>15</v>
      </c>
      <c r="E635" s="24">
        <v>13</v>
      </c>
      <c r="F635" s="24" t="s">
        <v>16</v>
      </c>
      <c r="G635" s="22">
        <v>17376</v>
      </c>
      <c r="H635" s="22">
        <v>7899</v>
      </c>
      <c r="I635" s="22">
        <v>5126</v>
      </c>
      <c r="J635" s="24" t="s">
        <v>17</v>
      </c>
      <c r="K635" s="22">
        <f>SUM(G635,H635,I635)</f>
        <v>30401</v>
      </c>
      <c r="L635" s="23" t="s">
        <v>568</v>
      </c>
      <c r="M635" s="23" t="str">
        <f>VLOOKUP(L635,スキル!B:C,2,FALSE)</f>
        <v>縦一列に攻撃[大]</v>
      </c>
      <c r="N635" s="23" t="s">
        <v>18</v>
      </c>
      <c r="O635" s="23" t="str">
        <f>VLOOKUP(N635,スキル!B:C,2,FALSE)</f>
        <v>　</v>
      </c>
      <c r="P635" s="23" t="s">
        <v>81</v>
      </c>
      <c r="Q635" s="23" t="str">
        <f>VLOOKUP(P635,タクティクス!B:C,2,FALSE)</f>
        <v>騎士団全体の攻撃力が小UP(3分間)</v>
      </c>
      <c r="R635" s="23" t="s">
        <v>18</v>
      </c>
      <c r="S635" s="23" t="str">
        <f>VLOOKUP(R635,タクティクス!B:C,2,FALSE)</f>
        <v>　</v>
      </c>
      <c r="T635" s="23" t="s">
        <v>18</v>
      </c>
      <c r="U635" s="23" t="s">
        <v>18</v>
      </c>
      <c r="V635" s="20" t="s">
        <v>1879</v>
      </c>
    </row>
    <row r="636" spans="1:22" ht="21.75" customHeight="1" x14ac:dyDescent="0.15">
      <c r="A636" s="20" t="str">
        <f>B636&amp;".jpg"</f>
        <v>2034.jpg</v>
      </c>
      <c r="B636" s="46">
        <v>2034</v>
      </c>
      <c r="C636" s="24" t="s">
        <v>103</v>
      </c>
      <c r="D636" s="24" t="s">
        <v>150</v>
      </c>
      <c r="E636" s="24">
        <v>14</v>
      </c>
      <c r="F636" s="24" t="s">
        <v>34</v>
      </c>
      <c r="G636" s="22">
        <v>23859</v>
      </c>
      <c r="H636" s="22">
        <v>6891</v>
      </c>
      <c r="I636" s="22">
        <v>9127</v>
      </c>
      <c r="J636" s="24" t="s">
        <v>17</v>
      </c>
      <c r="K636" s="22">
        <f>SUM(G636,H636,I636)</f>
        <v>39877</v>
      </c>
      <c r="L636" s="23" t="s">
        <v>883</v>
      </c>
      <c r="M636" s="23" t="str">
        <f>VLOOKUP(L636,スキル!B:C,2,FALSE)</f>
        <v>一定確率で敵を睡眠状態にする[超高確率]</v>
      </c>
      <c r="N636" s="23" t="s">
        <v>18</v>
      </c>
      <c r="O636" s="23" t="str">
        <f>VLOOKUP(N636,スキル!B:C,2,FALSE)</f>
        <v>　</v>
      </c>
      <c r="P636" s="23" t="s">
        <v>293</v>
      </c>
      <c r="Q636" s="23" t="str">
        <f>VLOOKUP(P636,タクティクス!B:C,2,FALSE)</f>
        <v>騎士団全体の防御力が中UP(3分間)</v>
      </c>
      <c r="R636" s="23" t="s">
        <v>18</v>
      </c>
      <c r="S636" s="23" t="str">
        <f>VLOOKUP(R636,タクティクス!B:C,2,FALSE)</f>
        <v>　</v>
      </c>
      <c r="T636" s="23" t="s">
        <v>18</v>
      </c>
      <c r="U636" s="23" t="s">
        <v>18</v>
      </c>
      <c r="V636" s="20" t="s">
        <v>1879</v>
      </c>
    </row>
    <row r="637" spans="1:22" ht="21.75" customHeight="1" x14ac:dyDescent="0.15">
      <c r="A637" s="20" t="str">
        <f>B637&amp;".jpg"</f>
        <v>2035.jpg</v>
      </c>
      <c r="B637" s="46">
        <v>2035</v>
      </c>
      <c r="C637" s="24" t="s">
        <v>415</v>
      </c>
      <c r="D637" s="24" t="s">
        <v>150</v>
      </c>
      <c r="E637" s="24">
        <v>14</v>
      </c>
      <c r="F637" s="24" t="s">
        <v>34</v>
      </c>
      <c r="G637" s="22">
        <v>22407</v>
      </c>
      <c r="H637" s="22">
        <v>7314</v>
      </c>
      <c r="I637" s="22">
        <v>7848</v>
      </c>
      <c r="J637" s="24" t="s">
        <v>17</v>
      </c>
      <c r="K637" s="22">
        <f>SUM(G637,H637,I637)</f>
        <v>37569</v>
      </c>
      <c r="L637" s="23" t="s">
        <v>566</v>
      </c>
      <c r="M637" s="23" t="str">
        <f>VLOOKUP(L637,スキル!B:C,2,FALSE)</f>
        <v>防御力を極大DOWNし、攻撃力を極大UP</v>
      </c>
      <c r="N637" s="23" t="s">
        <v>18</v>
      </c>
      <c r="O637" s="23" t="str">
        <f>VLOOKUP(N637,スキル!B:C,2,FALSE)</f>
        <v>　</v>
      </c>
      <c r="P637" s="23" t="s">
        <v>181</v>
      </c>
      <c r="Q637" s="23" t="str">
        <f>VLOOKUP(P637,タクティクス!B:C,2,FALSE)</f>
        <v>騎士団全体の強襲CB率が小UP(3分間)</v>
      </c>
      <c r="R637" s="23" t="s">
        <v>18</v>
      </c>
      <c r="S637" s="23" t="str">
        <f>VLOOKUP(R637,タクティクス!B:C,2,FALSE)</f>
        <v>　</v>
      </c>
      <c r="T637" s="23" t="s">
        <v>18</v>
      </c>
      <c r="U637" s="23" t="s">
        <v>18</v>
      </c>
      <c r="V637" s="20" t="s">
        <v>1877</v>
      </c>
    </row>
    <row r="638" spans="1:22" ht="21.75" customHeight="1" x14ac:dyDescent="0.15">
      <c r="A638" s="20" t="str">
        <f>B638&amp;".jpg"</f>
        <v>2037.jpg</v>
      </c>
      <c r="B638" s="46">
        <v>2037</v>
      </c>
      <c r="C638" s="24" t="s">
        <v>416</v>
      </c>
      <c r="D638" s="24" t="s">
        <v>150</v>
      </c>
      <c r="E638" s="24">
        <v>15</v>
      </c>
      <c r="F638" s="24" t="s">
        <v>41</v>
      </c>
      <c r="G638" s="22">
        <v>22170</v>
      </c>
      <c r="H638" s="22">
        <v>7224</v>
      </c>
      <c r="I638" s="22">
        <v>7168</v>
      </c>
      <c r="J638" s="24" t="s">
        <v>261</v>
      </c>
      <c r="K638" s="22">
        <f>SUM(G638,H638,I638)</f>
        <v>36562</v>
      </c>
      <c r="L638" s="23" t="s">
        <v>755</v>
      </c>
      <c r="M638" s="23" t="str">
        <f>VLOOKUP(L638,スキル!B:C,2,FALSE)</f>
        <v>遠に強く打に弱いX字型攻撃[特大]</v>
      </c>
      <c r="N638" s="23" t="s">
        <v>18</v>
      </c>
      <c r="O638" s="23" t="str">
        <f>VLOOKUP(N638,スキル!B:C,2,FALSE)</f>
        <v>　</v>
      </c>
      <c r="P638" s="23" t="s">
        <v>399</v>
      </c>
      <c r="Q638" s="23" t="str">
        <f>VLOOKUP(P638,タクティクス!B:C,2,FALSE)</f>
        <v>パーティ全体のスキル発動率が特大UP(3分間)</v>
      </c>
      <c r="R638" s="23" t="s">
        <v>298</v>
      </c>
      <c r="S638" s="23" t="str">
        <f>VLOOKUP(R638,タクティクス!B:C,2,FALSE)</f>
        <v>城の強度Lvが中UP(3分間)</v>
      </c>
      <c r="T638" s="23" t="s">
        <v>18</v>
      </c>
      <c r="U638" s="23" t="s">
        <v>18</v>
      </c>
      <c r="V638" s="20" t="s">
        <v>1823</v>
      </c>
    </row>
    <row r="639" spans="1:22" ht="21.75" customHeight="1" x14ac:dyDescent="0.15">
      <c r="A639" s="20" t="str">
        <f>B639&amp;".jpg"</f>
        <v>2039.jpg</v>
      </c>
      <c r="B639" s="46">
        <v>2039</v>
      </c>
      <c r="C639" s="24" t="s">
        <v>417</v>
      </c>
      <c r="D639" s="24" t="s">
        <v>150</v>
      </c>
      <c r="E639" s="24">
        <v>14</v>
      </c>
      <c r="F639" s="24" t="s">
        <v>34</v>
      </c>
      <c r="G639" s="22">
        <v>22559</v>
      </c>
      <c r="H639" s="22">
        <v>7007</v>
      </c>
      <c r="I639" s="22">
        <v>8874</v>
      </c>
      <c r="J639" s="24" t="s">
        <v>17</v>
      </c>
      <c r="K639" s="22">
        <f>SUM(G639,H639,I639)</f>
        <v>38440</v>
      </c>
      <c r="L639" s="24" t="s">
        <v>691</v>
      </c>
      <c r="M639" s="23" t="str">
        <f>VLOOKUP(L639,スキル!B:C,2,FALSE)</f>
        <v>横一列に攻撃[特大]</v>
      </c>
      <c r="N639" s="23" t="s">
        <v>18</v>
      </c>
      <c r="O639" s="23" t="str">
        <f>VLOOKUP(N639,スキル!B:C,2,FALSE)</f>
        <v>　</v>
      </c>
      <c r="P639" s="23" t="s">
        <v>376</v>
      </c>
      <c r="Q639" s="23" t="str">
        <f>VLOOKUP(P639,タクティクス!B:C,2,FALSE)</f>
        <v>キリ番キャッスルブレイク時の獲得ポイントUP(3回)</v>
      </c>
      <c r="R639" s="23" t="s">
        <v>18</v>
      </c>
      <c r="S639" s="23" t="str">
        <f>VLOOKUP(R639,タクティクス!B:C,2,FALSE)</f>
        <v>　</v>
      </c>
      <c r="T639" s="23" t="s">
        <v>18</v>
      </c>
      <c r="U639" s="23" t="s">
        <v>18</v>
      </c>
      <c r="V639" s="20" t="s">
        <v>1823</v>
      </c>
    </row>
    <row r="640" spans="1:22" ht="21.75" customHeight="1" x14ac:dyDescent="0.15">
      <c r="A640" s="20" t="str">
        <f>B640&amp;".jpg"</f>
        <v>2041.jpg</v>
      </c>
      <c r="B640" s="46">
        <v>2041</v>
      </c>
      <c r="C640" s="24" t="s">
        <v>33</v>
      </c>
      <c r="D640" s="24" t="s">
        <v>150</v>
      </c>
      <c r="E640" s="24">
        <v>15</v>
      </c>
      <c r="F640" s="24" t="s">
        <v>34</v>
      </c>
      <c r="G640" s="22">
        <v>26928</v>
      </c>
      <c r="H640" s="22">
        <v>7267</v>
      </c>
      <c r="I640" s="22">
        <v>10632</v>
      </c>
      <c r="J640" s="24" t="s">
        <v>151</v>
      </c>
      <c r="K640" s="22">
        <f>SUM(G640,H640,I640)</f>
        <v>44827</v>
      </c>
      <c r="L640" s="23" t="s">
        <v>797</v>
      </c>
      <c r="M640" s="23" t="str">
        <f>VLOOKUP(L640,スキル!B:C,2,FALSE)</f>
        <v>横一列攻撃[特大]自分の攻撃力UP[特大]</v>
      </c>
      <c r="N640" s="23" t="s">
        <v>18</v>
      </c>
      <c r="O640" s="23" t="str">
        <f>VLOOKUP(N640,スキル!B:C,2,FALSE)</f>
        <v>　</v>
      </c>
      <c r="P640" s="23" t="s">
        <v>357</v>
      </c>
      <c r="Q640" s="23" t="str">
        <f>VLOOKUP(P640,タクティクス!B:C,2,FALSE)</f>
        <v>パーティ全体の防御力が特大UP(3分間)</v>
      </c>
      <c r="R640" s="23" t="s">
        <v>287</v>
      </c>
      <c r="S640" s="23" t="str">
        <f>VLOOKUP(R640,タクティクス!B:C,2,FALSE)</f>
        <v>騎士団全体の攻・防が中UP(3分間)</v>
      </c>
      <c r="T640" s="23" t="s">
        <v>18</v>
      </c>
      <c r="U640" s="23" t="s">
        <v>18</v>
      </c>
      <c r="V640" s="20" t="s">
        <v>1878</v>
      </c>
    </row>
    <row r="641" spans="1:22" ht="21.75" customHeight="1" x14ac:dyDescent="0.15">
      <c r="A641" s="20" t="str">
        <f>B641&amp;".jpg"</f>
        <v>2042.jpg</v>
      </c>
      <c r="B641" s="46">
        <v>2042</v>
      </c>
      <c r="C641" s="24" t="s">
        <v>80</v>
      </c>
      <c r="D641" s="24" t="s">
        <v>150</v>
      </c>
      <c r="E641" s="24">
        <v>15</v>
      </c>
      <c r="F641" s="24" t="s">
        <v>25</v>
      </c>
      <c r="G641" s="22">
        <v>23128</v>
      </c>
      <c r="H641" s="22">
        <v>6572</v>
      </c>
      <c r="I641" s="22">
        <v>8347</v>
      </c>
      <c r="J641" s="24" t="s">
        <v>356</v>
      </c>
      <c r="K641" s="22">
        <f>SUM(G641,H641,I641)</f>
        <v>38047</v>
      </c>
      <c r="L641" s="23" t="s">
        <v>851</v>
      </c>
      <c r="M641" s="23" t="str">
        <f>VLOOKUP(L641,スキル!B:C,2,FALSE)</f>
        <v>遠に強く打に弱い縦一列攻撃[特大]</v>
      </c>
      <c r="N641" s="23" t="s">
        <v>967</v>
      </c>
      <c r="O641" s="23" t="str">
        <f>VLOOKUP(N641,スキル!B:C,2,FALSE)</f>
        <v>通常攻撃の威力がアップ[極大]</v>
      </c>
      <c r="P641" s="23" t="s">
        <v>395</v>
      </c>
      <c r="Q641" s="23" t="str">
        <f>VLOOKUP(P641,タクティクス!B:C,2,FALSE)</f>
        <v>騎士団全体の強襲率大DOWN・防御力大UP(3分間)</v>
      </c>
      <c r="R641" s="23" t="s">
        <v>178</v>
      </c>
      <c r="S641" s="23" t="str">
        <f>VLOOKUP(R641,タクティクス!B:C,2,FALSE)</f>
        <v>パーティ全体の攻撃力が大UP(3分間)</v>
      </c>
      <c r="T641" s="23" t="s">
        <v>18</v>
      </c>
      <c r="U641" s="23" t="s">
        <v>18</v>
      </c>
      <c r="V641" s="20" t="s">
        <v>1823</v>
      </c>
    </row>
    <row r="642" spans="1:22" ht="21.75" customHeight="1" x14ac:dyDescent="0.15">
      <c r="A642" s="20" t="str">
        <f>B642&amp;".jpg"</f>
        <v>2043.jpg</v>
      </c>
      <c r="B642" s="46">
        <v>2043</v>
      </c>
      <c r="C642" s="24" t="s">
        <v>237</v>
      </c>
      <c r="D642" s="24" t="s">
        <v>15</v>
      </c>
      <c r="E642" s="24">
        <v>12</v>
      </c>
      <c r="F642" s="24" t="s">
        <v>16</v>
      </c>
      <c r="G642" s="22">
        <v>16043</v>
      </c>
      <c r="H642" s="22">
        <v>6424</v>
      </c>
      <c r="I642" s="22">
        <v>4964</v>
      </c>
      <c r="J642" s="24" t="s">
        <v>17</v>
      </c>
      <c r="K642" s="22">
        <f>SUM(G642,H642,I642)</f>
        <v>27431</v>
      </c>
      <c r="L642" s="23" t="s">
        <v>521</v>
      </c>
      <c r="M642" s="23" t="str">
        <f>VLOOKUP(L642,スキル!B:C,2,FALSE)</f>
        <v>十字型に攻撃[大]</v>
      </c>
      <c r="N642" s="23" t="s">
        <v>18</v>
      </c>
      <c r="O642" s="23" t="str">
        <f>VLOOKUP(N642,スキル!B:C,2,FALSE)</f>
        <v>　</v>
      </c>
      <c r="P642" s="23" t="s">
        <v>23</v>
      </c>
      <c r="Q642" s="23" t="str">
        <f>VLOOKUP(P642,タクティクス!B:C,2,FALSE)</f>
        <v>パーティ全体の攻撃力が中UP(3分間)</v>
      </c>
      <c r="R642" s="23" t="s">
        <v>18</v>
      </c>
      <c r="S642" s="23" t="str">
        <f>VLOOKUP(R642,タクティクス!B:C,2,FALSE)</f>
        <v>　</v>
      </c>
      <c r="T642" s="23" t="s">
        <v>18</v>
      </c>
      <c r="U642" s="23" t="s">
        <v>18</v>
      </c>
      <c r="V642" s="20" t="s">
        <v>1852</v>
      </c>
    </row>
    <row r="643" spans="1:22" ht="21.75" customHeight="1" x14ac:dyDescent="0.15">
      <c r="A643" s="20" t="str">
        <f>B643&amp;".jpg"</f>
        <v>2044.jpg</v>
      </c>
      <c r="B643" s="46">
        <v>2044</v>
      </c>
      <c r="C643" s="24" t="s">
        <v>237</v>
      </c>
      <c r="D643" s="24" t="s">
        <v>15</v>
      </c>
      <c r="E643" s="24">
        <v>13</v>
      </c>
      <c r="F643" s="24" t="s">
        <v>16</v>
      </c>
      <c r="G643" s="22">
        <v>17301</v>
      </c>
      <c r="H643" s="22">
        <v>7582</v>
      </c>
      <c r="I643" s="22">
        <v>5973</v>
      </c>
      <c r="J643" s="24" t="s">
        <v>17</v>
      </c>
      <c r="K643" s="22">
        <f>SUM(G643,H643,I643)</f>
        <v>30856</v>
      </c>
      <c r="L643" s="23" t="s">
        <v>521</v>
      </c>
      <c r="M643" s="23" t="str">
        <f>VLOOKUP(L643,スキル!B:C,2,FALSE)</f>
        <v>十字型に攻撃[大]</v>
      </c>
      <c r="N643" s="23" t="s">
        <v>18</v>
      </c>
      <c r="O643" s="23" t="str">
        <f>VLOOKUP(N643,スキル!B:C,2,FALSE)</f>
        <v>　</v>
      </c>
      <c r="P643" s="23" t="s">
        <v>23</v>
      </c>
      <c r="Q643" s="23" t="str">
        <f>VLOOKUP(P643,タクティクス!B:C,2,FALSE)</f>
        <v>パーティ全体の攻撃力が中UP(3分間)</v>
      </c>
      <c r="R643" s="23" t="s">
        <v>18</v>
      </c>
      <c r="S643" s="23" t="str">
        <f>VLOOKUP(R643,タクティクス!B:C,2,FALSE)</f>
        <v>　</v>
      </c>
      <c r="T643" s="23" t="s">
        <v>18</v>
      </c>
      <c r="U643" s="23" t="s">
        <v>18</v>
      </c>
      <c r="V643" s="20" t="s">
        <v>1852</v>
      </c>
    </row>
    <row r="644" spans="1:22" ht="21.75" customHeight="1" x14ac:dyDescent="0.15">
      <c r="A644" s="20" t="str">
        <f>B644&amp;".jpg"</f>
        <v>2045.jpg</v>
      </c>
      <c r="B644" s="46">
        <v>2045</v>
      </c>
      <c r="C644" s="24" t="s">
        <v>237</v>
      </c>
      <c r="D644" s="24" t="s">
        <v>150</v>
      </c>
      <c r="E644" s="24">
        <v>14</v>
      </c>
      <c r="F644" s="24" t="s">
        <v>16</v>
      </c>
      <c r="G644" s="22">
        <v>18875</v>
      </c>
      <c r="H644" s="22">
        <v>8206</v>
      </c>
      <c r="I644" s="22">
        <v>6934</v>
      </c>
      <c r="J644" s="24" t="s">
        <v>26</v>
      </c>
      <c r="K644" s="22">
        <f>SUM(G644,H644,I644)</f>
        <v>34015</v>
      </c>
      <c r="L644" s="23" t="s">
        <v>701</v>
      </c>
      <c r="M644" s="23" t="str">
        <f>VLOOKUP(L644,スキル!B:C,2,FALSE)</f>
        <v>十字型に攻撃[特大]</v>
      </c>
      <c r="N644" s="23" t="s">
        <v>18</v>
      </c>
      <c r="O644" s="23" t="str">
        <f>VLOOKUP(N644,スキル!B:C,2,FALSE)</f>
        <v>　</v>
      </c>
      <c r="P644" s="23" t="s">
        <v>178</v>
      </c>
      <c r="Q644" s="23" t="str">
        <f>VLOOKUP(P644,タクティクス!B:C,2,FALSE)</f>
        <v>パーティ全体の攻撃力が大UP(3分間)</v>
      </c>
      <c r="R644" s="23" t="s">
        <v>18</v>
      </c>
      <c r="S644" s="23" t="str">
        <f>VLOOKUP(R644,タクティクス!B:C,2,FALSE)</f>
        <v>　</v>
      </c>
      <c r="T644" s="23" t="s">
        <v>18</v>
      </c>
      <c r="U644" s="23" t="s">
        <v>18</v>
      </c>
      <c r="V644" s="20" t="s">
        <v>1852</v>
      </c>
    </row>
    <row r="645" spans="1:22" ht="21.75" customHeight="1" x14ac:dyDescent="0.15">
      <c r="A645" s="20" t="str">
        <f>B645&amp;".jpg"</f>
        <v>2046.jpg</v>
      </c>
      <c r="B645" s="46">
        <v>2046</v>
      </c>
      <c r="C645" s="24" t="s">
        <v>237</v>
      </c>
      <c r="D645" s="24" t="s">
        <v>150</v>
      </c>
      <c r="E645" s="24">
        <v>15</v>
      </c>
      <c r="F645" s="24" t="s">
        <v>16</v>
      </c>
      <c r="G645" s="22">
        <v>21021</v>
      </c>
      <c r="H645" s="22">
        <v>9256</v>
      </c>
      <c r="I645" s="22">
        <v>7592</v>
      </c>
      <c r="J645" s="24" t="s">
        <v>26</v>
      </c>
      <c r="K645" s="22">
        <f>SUM(G645,H645,I645)</f>
        <v>37869</v>
      </c>
      <c r="L645" s="23" t="s">
        <v>701</v>
      </c>
      <c r="M645" s="23" t="str">
        <f>VLOOKUP(L645,スキル!B:C,2,FALSE)</f>
        <v>十字型に攻撃[特大]</v>
      </c>
      <c r="N645" s="23" t="s">
        <v>18</v>
      </c>
      <c r="O645" s="23" t="str">
        <f>VLOOKUP(N645,スキル!B:C,2,FALSE)</f>
        <v>　</v>
      </c>
      <c r="P645" s="23" t="s">
        <v>361</v>
      </c>
      <c r="Q645" s="23" t="str">
        <f>VLOOKUP(P645,タクティクス!B:C,2,FALSE)</f>
        <v>パーティ全体の攻撃力が特大UP(3分間)</v>
      </c>
      <c r="R645" s="23" t="s">
        <v>181</v>
      </c>
      <c r="S645" s="23" t="str">
        <f>VLOOKUP(R645,タクティクス!B:C,2,FALSE)</f>
        <v>騎士団全体の強襲CB率が小UP(3分間)</v>
      </c>
      <c r="T645" s="23" t="s">
        <v>18</v>
      </c>
      <c r="U645" s="23" t="s">
        <v>18</v>
      </c>
      <c r="V645" s="20" t="s">
        <v>1852</v>
      </c>
    </row>
    <row r="646" spans="1:22" ht="21.75" customHeight="1" x14ac:dyDescent="0.15">
      <c r="A646" s="20" t="str">
        <f>B646&amp;".jpg"</f>
        <v>2051.jpg</v>
      </c>
      <c r="B646" s="46">
        <v>2051</v>
      </c>
      <c r="C646" s="24" t="s">
        <v>94</v>
      </c>
      <c r="D646" s="24" t="s">
        <v>15</v>
      </c>
      <c r="E646" s="24">
        <v>13</v>
      </c>
      <c r="F646" s="24" t="s">
        <v>16</v>
      </c>
      <c r="G646" s="22">
        <v>16649</v>
      </c>
      <c r="H646" s="22">
        <v>7930</v>
      </c>
      <c r="I646" s="22">
        <v>5093</v>
      </c>
      <c r="J646" s="24" t="s">
        <v>17</v>
      </c>
      <c r="K646" s="22">
        <f>SUM(G646,H646,I646)</f>
        <v>29672</v>
      </c>
      <c r="L646" s="23" t="s">
        <v>635</v>
      </c>
      <c r="M646" s="23" t="str">
        <f>VLOOKUP(L646,スキル!B:C,2,FALSE)</f>
        <v>単体攻撃（宝箱優先／追加ダメージ）[大]</v>
      </c>
      <c r="N646" s="23" t="s">
        <v>18</v>
      </c>
      <c r="O646" s="23" t="str">
        <f>VLOOKUP(N646,スキル!B:C,2,FALSE)</f>
        <v>　</v>
      </c>
      <c r="P646" s="23" t="s">
        <v>47</v>
      </c>
      <c r="Q646" s="23" t="str">
        <f>VLOOKUP(P646,タクティクス!B:C,2,FALSE)</f>
        <v>斬属性の生存ユニットのHPを高確率で全回復</v>
      </c>
      <c r="R646" s="23" t="s">
        <v>18</v>
      </c>
      <c r="S646" s="23" t="str">
        <f>VLOOKUP(R646,タクティクス!B:C,2,FALSE)</f>
        <v>　</v>
      </c>
      <c r="T646" s="23" t="s">
        <v>18</v>
      </c>
      <c r="U646" s="23" t="s">
        <v>18</v>
      </c>
      <c r="V646" s="20" t="s">
        <v>1909</v>
      </c>
    </row>
    <row r="647" spans="1:22" ht="21.75" customHeight="1" x14ac:dyDescent="0.15">
      <c r="A647" s="20" t="str">
        <f>B647&amp;".jpg"</f>
        <v>2052.jpg</v>
      </c>
      <c r="B647" s="46">
        <v>2052</v>
      </c>
      <c r="C647" s="24" t="s">
        <v>418</v>
      </c>
      <c r="D647" s="24" t="s">
        <v>150</v>
      </c>
      <c r="E647" s="24">
        <v>14</v>
      </c>
      <c r="F647" s="24" t="s">
        <v>34</v>
      </c>
      <c r="G647" s="22">
        <v>23743</v>
      </c>
      <c r="H647" s="22">
        <v>6979</v>
      </c>
      <c r="I647" s="22">
        <v>9584</v>
      </c>
      <c r="J647" s="24" t="s">
        <v>17</v>
      </c>
      <c r="K647" s="22">
        <f>SUM(G647,H647,I647)</f>
        <v>40306</v>
      </c>
      <c r="L647" s="23" t="s">
        <v>885</v>
      </c>
      <c r="M647" s="23" t="str">
        <f>VLOOKUP(L647,スキル!B:C,2,FALSE)</f>
        <v>自分の防御力をUP[極大]</v>
      </c>
      <c r="N647" s="23" t="s">
        <v>18</v>
      </c>
      <c r="O647" s="23" t="str">
        <f>VLOOKUP(N647,スキル!B:C,2,FALSE)</f>
        <v>　</v>
      </c>
      <c r="P647" s="23" t="s">
        <v>251</v>
      </c>
      <c r="Q647" s="23" t="str">
        <f>VLOOKUP(P647,タクティクス!B:C,2,FALSE)</f>
        <v>パーティ全体の速度が大UP(3分間)</v>
      </c>
      <c r="R647" s="23" t="s">
        <v>18</v>
      </c>
      <c r="S647" s="23" t="str">
        <f>VLOOKUP(R647,タクティクス!B:C,2,FALSE)</f>
        <v>　</v>
      </c>
      <c r="T647" s="23" t="s">
        <v>18</v>
      </c>
      <c r="U647" s="23" t="s">
        <v>18</v>
      </c>
      <c r="V647" s="20" t="s">
        <v>1905</v>
      </c>
    </row>
    <row r="648" spans="1:22" ht="21.75" customHeight="1" x14ac:dyDescent="0.15">
      <c r="A648" s="20" t="str">
        <f>B648&amp;".jpg"</f>
        <v>2053.jpg</v>
      </c>
      <c r="B648" s="46">
        <v>2053</v>
      </c>
      <c r="C648" s="24" t="s">
        <v>419</v>
      </c>
      <c r="D648" s="24" t="s">
        <v>150</v>
      </c>
      <c r="E648" s="24">
        <v>14</v>
      </c>
      <c r="F648" s="24" t="s">
        <v>16</v>
      </c>
      <c r="G648" s="22">
        <v>16865</v>
      </c>
      <c r="H648" s="22">
        <v>8492</v>
      </c>
      <c r="I648" s="22">
        <v>6335</v>
      </c>
      <c r="J648" s="24" t="s">
        <v>151</v>
      </c>
      <c r="K648" s="22">
        <f>SUM(G648,H648,I648)</f>
        <v>31692</v>
      </c>
      <c r="L648" s="23" t="s">
        <v>664</v>
      </c>
      <c r="M648" s="23" t="str">
        <f>VLOOKUP(L648,スキル!B:C,2,FALSE)</f>
        <v>縦一列に攻撃[特大]</v>
      </c>
      <c r="N648" s="23" t="s">
        <v>18</v>
      </c>
      <c r="O648" s="23" t="str">
        <f>VLOOKUP(N648,スキル!B:C,2,FALSE)</f>
        <v>　</v>
      </c>
      <c r="P648" s="23" t="s">
        <v>226</v>
      </c>
      <c r="Q648" s="23" t="str">
        <f>VLOOKUP(P648,タクティクス!B:C,2,FALSE)</f>
        <v>バトルで獲得する騎士団戦スコアが大アップ(3分間)</v>
      </c>
      <c r="R648" s="23" t="s">
        <v>18</v>
      </c>
      <c r="S648" s="23" t="str">
        <f>VLOOKUP(R648,タクティクス!B:C,2,FALSE)</f>
        <v>　</v>
      </c>
      <c r="T648" s="23" t="s">
        <v>18</v>
      </c>
      <c r="U648" s="23" t="s">
        <v>18</v>
      </c>
      <c r="V648" s="20" t="s">
        <v>1825</v>
      </c>
    </row>
    <row r="649" spans="1:22" ht="21.75" customHeight="1" x14ac:dyDescent="0.15">
      <c r="A649" s="20" t="str">
        <f>B649&amp;".jpg"</f>
        <v>2055.jpg</v>
      </c>
      <c r="B649" s="46">
        <v>2055</v>
      </c>
      <c r="C649" s="24" t="s">
        <v>24</v>
      </c>
      <c r="D649" s="24" t="s">
        <v>150</v>
      </c>
      <c r="E649" s="24">
        <v>15</v>
      </c>
      <c r="F649" s="24" t="s">
        <v>25</v>
      </c>
      <c r="G649" s="22">
        <v>23741</v>
      </c>
      <c r="H649" s="22">
        <v>6523</v>
      </c>
      <c r="I649" s="22">
        <v>8393</v>
      </c>
      <c r="J649" s="24" t="s">
        <v>356</v>
      </c>
      <c r="K649" s="22">
        <f>SUM(G649,H649,I649)</f>
        <v>38657</v>
      </c>
      <c r="L649" s="23" t="s">
        <v>664</v>
      </c>
      <c r="M649" s="23" t="str">
        <f>VLOOKUP(L649,スキル!B:C,2,FALSE)</f>
        <v>縦一列に攻撃[特大]</v>
      </c>
      <c r="N649" s="23" t="s">
        <v>18</v>
      </c>
      <c r="O649" s="23" t="str">
        <f>VLOOKUP(N649,スキル!B:C,2,FALSE)</f>
        <v>　</v>
      </c>
      <c r="P649" s="23" t="s">
        <v>378</v>
      </c>
      <c r="Q649" s="23" t="str">
        <f>VLOOKUP(P649,タクティクス!B:C,2,FALSE)</f>
        <v>パーティ全体の攻撃力・速度が大UP(3分間)</v>
      </c>
      <c r="R649" s="23" t="s">
        <v>226</v>
      </c>
      <c r="S649" s="23" t="str">
        <f>VLOOKUP(R649,タクティクス!B:C,2,FALSE)</f>
        <v>バトルで獲得する騎士団戦スコアが大アップ(3分間)</v>
      </c>
      <c r="T649" s="23" t="s">
        <v>18</v>
      </c>
      <c r="U649" s="23" t="s">
        <v>18</v>
      </c>
      <c r="V649" s="20" t="s">
        <v>1899</v>
      </c>
    </row>
    <row r="650" spans="1:22" ht="21.75" customHeight="1" x14ac:dyDescent="0.15">
      <c r="A650" s="20" t="str">
        <f>B650&amp;".jpg"</f>
        <v>2057.jpg</v>
      </c>
      <c r="B650" s="46">
        <v>2057</v>
      </c>
      <c r="C650" s="24" t="s">
        <v>70</v>
      </c>
      <c r="D650" s="24" t="s">
        <v>150</v>
      </c>
      <c r="E650" s="24">
        <v>15</v>
      </c>
      <c r="F650" s="24" t="s">
        <v>34</v>
      </c>
      <c r="G650" s="22">
        <v>26875</v>
      </c>
      <c r="H650" s="22">
        <v>7323</v>
      </c>
      <c r="I650" s="22">
        <v>10411</v>
      </c>
      <c r="J650" s="24" t="s">
        <v>151</v>
      </c>
      <c r="K650" s="22">
        <f>SUM(G650,H650,I650)</f>
        <v>44609</v>
      </c>
      <c r="L650" s="24" t="s">
        <v>729</v>
      </c>
      <c r="M650" s="23" t="str">
        <f>VLOOKUP(L650,スキル!B:C,2,FALSE)</f>
        <v>X字型に攻撃[特大]</v>
      </c>
      <c r="N650" s="23" t="s">
        <v>18</v>
      </c>
      <c r="O650" s="23" t="str">
        <f>VLOOKUP(N650,スキル!B:C,2,FALSE)</f>
        <v>　</v>
      </c>
      <c r="P650" s="23" t="s">
        <v>361</v>
      </c>
      <c r="Q650" s="23" t="str">
        <f>VLOOKUP(P650,タクティクス!B:C,2,FALSE)</f>
        <v>パーティ全体の攻撃力が特大UP(3分間)</v>
      </c>
      <c r="R650" s="23" t="s">
        <v>293</v>
      </c>
      <c r="S650" s="23" t="str">
        <f>VLOOKUP(R650,タクティクス!B:C,2,FALSE)</f>
        <v>騎士団全体の防御力が中UP(3分間)</v>
      </c>
      <c r="T650" s="23" t="s">
        <v>18</v>
      </c>
      <c r="U650" s="23" t="s">
        <v>18</v>
      </c>
      <c r="V650" s="20" t="s">
        <v>1899</v>
      </c>
    </row>
    <row r="651" spans="1:22" ht="21.75" customHeight="1" x14ac:dyDescent="0.15">
      <c r="A651" s="20" t="str">
        <f>B651&amp;".jpg"</f>
        <v>2058.jpg</v>
      </c>
      <c r="B651" s="46">
        <v>2058</v>
      </c>
      <c r="C651" s="24" t="s">
        <v>420</v>
      </c>
      <c r="D651" s="24" t="s">
        <v>150</v>
      </c>
      <c r="E651" s="24">
        <v>15</v>
      </c>
      <c r="F651" s="24" t="s">
        <v>41</v>
      </c>
      <c r="G651" s="22">
        <v>22964</v>
      </c>
      <c r="H651" s="22">
        <v>7362</v>
      </c>
      <c r="I651" s="22">
        <v>7227</v>
      </c>
      <c r="J651" s="24" t="s">
        <v>261</v>
      </c>
      <c r="K651" s="22">
        <f>SUM(G651,H651,I651)</f>
        <v>37553</v>
      </c>
      <c r="L651" s="23" t="s">
        <v>745</v>
      </c>
      <c r="M651" s="23" t="str">
        <f>VLOOKUP(L651,スキル!B:C,2,FALSE)</f>
        <v>一定確率で敵を暗闇状態にする[超高確率]</v>
      </c>
      <c r="N651" s="23" t="s">
        <v>18</v>
      </c>
      <c r="O651" s="23" t="str">
        <f>VLOOKUP(N651,スキル!B:C,2,FALSE)</f>
        <v>　</v>
      </c>
      <c r="P651" s="23" t="s">
        <v>421</v>
      </c>
      <c r="Q651" s="23" t="str">
        <f>VLOOKUP(P651,タクティクス!B:C,2,FALSE)</f>
        <v>キリ番キャッスルブレイク時の獲得ポイント特大UP(3回)</v>
      </c>
      <c r="R651" s="23" t="s">
        <v>281</v>
      </c>
      <c r="S651" s="23" t="str">
        <f>VLOOKUP(R651,タクティクス!B:C,2,FALSE)</f>
        <v>CB時に獲得ポイント大UP＆BPが大回復(3回)</v>
      </c>
      <c r="T651" s="23" t="s">
        <v>18</v>
      </c>
      <c r="U651" s="23" t="s">
        <v>18</v>
      </c>
      <c r="V651" s="20" t="s">
        <v>1882</v>
      </c>
    </row>
    <row r="652" spans="1:22" ht="21.75" customHeight="1" x14ac:dyDescent="0.15">
      <c r="A652" s="20" t="str">
        <f>B652&amp;".jpg"</f>
        <v>2059.jpg</v>
      </c>
      <c r="B652" s="46">
        <v>2059</v>
      </c>
      <c r="C652" s="24" t="s">
        <v>396</v>
      </c>
      <c r="D652" s="24" t="s">
        <v>150</v>
      </c>
      <c r="E652" s="24">
        <v>15</v>
      </c>
      <c r="F652" s="24" t="s">
        <v>41</v>
      </c>
      <c r="G652" s="22">
        <v>27019</v>
      </c>
      <c r="H652" s="22">
        <v>8319</v>
      </c>
      <c r="I652" s="22">
        <v>7843</v>
      </c>
      <c r="J652" s="24" t="s">
        <v>261</v>
      </c>
      <c r="K652" s="22">
        <f>SUM(G652,H652,I652)</f>
        <v>43181</v>
      </c>
      <c r="L652" s="23" t="s">
        <v>865</v>
      </c>
      <c r="M652" s="23" t="str">
        <f>VLOOKUP(L652,スキル!B:C,2,FALSE)</f>
        <v>敵全体に攻撃[極大]</v>
      </c>
      <c r="N652" s="23" t="s">
        <v>969</v>
      </c>
      <c r="O652" s="23" t="str">
        <f>VLOOKUP(N652,スキル!B:C,2,FALSE)</f>
        <v>敵全体攻撃[極大]ランダムで状態異常付加</v>
      </c>
      <c r="P652" s="26" t="s">
        <v>397</v>
      </c>
      <c r="Q652" s="23" t="str">
        <f>VLOOKUP(P652,タクティクス!B:C,2,FALSE)</f>
        <v>バトルで獲得する騎士団戦スコアが特大アップ(3分間)</v>
      </c>
      <c r="R652" s="23" t="s">
        <v>308</v>
      </c>
      <c r="S652" s="23" t="str">
        <f>VLOOKUP(R652,タクティクス!B:C,2,FALSE)</f>
        <v>騎士団全体の攻撃力が中UP(3分間)</v>
      </c>
      <c r="T652" s="23" t="s">
        <v>18</v>
      </c>
      <c r="U652" s="23" t="s">
        <v>18</v>
      </c>
      <c r="V652" s="20" t="s">
        <v>1899</v>
      </c>
    </row>
    <row r="653" spans="1:22" ht="21.75" customHeight="1" x14ac:dyDescent="0.15">
      <c r="A653" s="20" t="str">
        <f>B653&amp;".jpg"</f>
        <v>2060.jpg</v>
      </c>
      <c r="B653" s="46">
        <v>2060</v>
      </c>
      <c r="C653" s="24" t="s">
        <v>422</v>
      </c>
      <c r="D653" s="24" t="s">
        <v>150</v>
      </c>
      <c r="E653" s="24">
        <v>15</v>
      </c>
      <c r="F653" s="24" t="s">
        <v>16</v>
      </c>
      <c r="G653" s="22">
        <v>21064</v>
      </c>
      <c r="H653" s="22">
        <v>9292</v>
      </c>
      <c r="I653" s="22">
        <v>7356</v>
      </c>
      <c r="J653" s="24" t="s">
        <v>26</v>
      </c>
      <c r="K653" s="22">
        <f>SUM(G653,H653,I653)</f>
        <v>37712</v>
      </c>
      <c r="L653" s="24" t="s">
        <v>691</v>
      </c>
      <c r="M653" s="23" t="str">
        <f>VLOOKUP(L653,スキル!B:C,2,FALSE)</f>
        <v>横一列に攻撃[特大]</v>
      </c>
      <c r="N653" s="23" t="s">
        <v>18</v>
      </c>
      <c r="O653" s="23" t="str">
        <f>VLOOKUP(N653,スキル!B:C,2,FALSE)</f>
        <v>　</v>
      </c>
      <c r="P653" s="23" t="s">
        <v>423</v>
      </c>
      <c r="Q653" s="23" t="str">
        <f>VLOOKUP(P653,タクティクス!B:C,2,FALSE)</f>
        <v>強襲CBの発生確率・強襲時獲得ポイント中UP(3分間)</v>
      </c>
      <c r="R653" s="23" t="s">
        <v>178</v>
      </c>
      <c r="S653" s="23" t="str">
        <f>VLOOKUP(R653,タクティクス!B:C,2,FALSE)</f>
        <v>パーティ全体の攻撃力が大UP(3分間)</v>
      </c>
      <c r="T653" s="23" t="s">
        <v>18</v>
      </c>
      <c r="U653" s="23" t="s">
        <v>18</v>
      </c>
      <c r="V653" s="20" t="s">
        <v>1904</v>
      </c>
    </row>
    <row r="654" spans="1:22" ht="21.75" customHeight="1" x14ac:dyDescent="0.15">
      <c r="A654" s="20" t="str">
        <f>B654&amp;".jpg"</f>
        <v>2062.jpg</v>
      </c>
      <c r="B654" s="46">
        <v>2062</v>
      </c>
      <c r="C654" s="24" t="s">
        <v>424</v>
      </c>
      <c r="D654" s="24" t="s">
        <v>150</v>
      </c>
      <c r="E654" s="24">
        <v>14</v>
      </c>
      <c r="F654" s="24" t="s">
        <v>16</v>
      </c>
      <c r="G654" s="22">
        <v>18199</v>
      </c>
      <c r="H654" s="22">
        <v>8574</v>
      </c>
      <c r="I654" s="22">
        <v>6793</v>
      </c>
      <c r="J654" s="24" t="s">
        <v>151</v>
      </c>
      <c r="K654" s="22">
        <f>SUM(G654,H654,I654)</f>
        <v>33566</v>
      </c>
      <c r="L654" s="23" t="s">
        <v>774</v>
      </c>
      <c r="M654" s="23" t="str">
        <f>VLOOKUP(L654,スキル!B:C,2,FALSE)</f>
        <v>味方斬属性の防御力をUP[特大]</v>
      </c>
      <c r="N654" s="23" t="s">
        <v>18</v>
      </c>
      <c r="O654" s="23" t="str">
        <f>VLOOKUP(N654,スキル!B:C,2,FALSE)</f>
        <v>　</v>
      </c>
      <c r="P654" s="23" t="s">
        <v>311</v>
      </c>
      <c r="Q654" s="23" t="str">
        <f>VLOOKUP(P654,タクティクス!B:C,2,FALSE)</f>
        <v>対戦騎士団全体の防御力が中DOWN(3分間)</v>
      </c>
      <c r="R654" s="23" t="s">
        <v>18</v>
      </c>
      <c r="S654" s="23" t="str">
        <f>VLOOKUP(R654,タクティクス!B:C,2,FALSE)</f>
        <v>　</v>
      </c>
      <c r="T654" s="23" t="s">
        <v>18</v>
      </c>
      <c r="U654" s="23" t="s">
        <v>18</v>
      </c>
      <c r="V654" s="20" t="s">
        <v>1823</v>
      </c>
    </row>
    <row r="655" spans="1:22" ht="21.75" customHeight="1" x14ac:dyDescent="0.15">
      <c r="A655" s="20" t="str">
        <f>B655&amp;".jpg"</f>
        <v>2064.jpg</v>
      </c>
      <c r="B655" s="46">
        <v>2064</v>
      </c>
      <c r="C655" s="24" t="s">
        <v>304</v>
      </c>
      <c r="D655" s="24" t="s">
        <v>150</v>
      </c>
      <c r="E655" s="24">
        <v>15</v>
      </c>
      <c r="F655" s="24" t="s">
        <v>25</v>
      </c>
      <c r="G655" s="22">
        <v>22799</v>
      </c>
      <c r="H655" s="22">
        <v>6404</v>
      </c>
      <c r="I655" s="22">
        <v>8406</v>
      </c>
      <c r="J655" s="24" t="s">
        <v>356</v>
      </c>
      <c r="K655" s="22">
        <f>SUM(G655,H655,I655)</f>
        <v>37609</v>
      </c>
      <c r="L655" s="23" t="s">
        <v>707</v>
      </c>
      <c r="M655" s="23" t="str">
        <f>VLOOKUP(L655,スキル!B:C,2,FALSE)</f>
        <v>一定確率で敵を範囲不可にする[超高確率]</v>
      </c>
      <c r="N655" s="23" t="s">
        <v>18</v>
      </c>
      <c r="O655" s="23" t="str">
        <f>VLOOKUP(N655,スキル!B:C,2,FALSE)</f>
        <v>　</v>
      </c>
      <c r="P655" s="23" t="s">
        <v>398</v>
      </c>
      <c r="Q655" s="23" t="str">
        <f>VLOOKUP(P655,タクティクス!B:C,2,FALSE)</f>
        <v>バトルで敵を全滅するとBPが大回復(3分間)</v>
      </c>
      <c r="R655" s="23" t="s">
        <v>298</v>
      </c>
      <c r="S655" s="23" t="str">
        <f>VLOOKUP(R655,タクティクス!B:C,2,FALSE)</f>
        <v>城の強度Lvが中UP(3分間)</v>
      </c>
      <c r="T655" s="23" t="s">
        <v>18</v>
      </c>
      <c r="U655" s="23" t="s">
        <v>18</v>
      </c>
      <c r="V655" s="20" t="s">
        <v>1823</v>
      </c>
    </row>
    <row r="656" spans="1:22" ht="21.75" customHeight="1" x14ac:dyDescent="0.15">
      <c r="A656" s="20" t="str">
        <f>B656&amp;".jpg"</f>
        <v>2066.jpg</v>
      </c>
      <c r="B656" s="46">
        <v>2066</v>
      </c>
      <c r="C656" s="24" t="s">
        <v>89</v>
      </c>
      <c r="D656" s="24" t="s">
        <v>150</v>
      </c>
      <c r="E656" s="24">
        <v>15</v>
      </c>
      <c r="F656" s="24" t="s">
        <v>34</v>
      </c>
      <c r="G656" s="22">
        <v>28466</v>
      </c>
      <c r="H656" s="22">
        <v>7551</v>
      </c>
      <c r="I656" s="22">
        <v>10675</v>
      </c>
      <c r="J656" s="24" t="s">
        <v>151</v>
      </c>
      <c r="K656" s="22">
        <f>SUM(G656,H656,I656)</f>
        <v>46692</v>
      </c>
      <c r="L656" s="23" t="s">
        <v>846</v>
      </c>
      <c r="M656" s="23" t="str">
        <f>VLOOKUP(L656,スキル!B:C,2,FALSE)</f>
        <v>縦一列攻撃[特大]自分の攻撃力UP[特大]</v>
      </c>
      <c r="N656" s="23" t="s">
        <v>18</v>
      </c>
      <c r="O656" s="23" t="str">
        <f>VLOOKUP(N656,スキル!B:C,2,FALSE)</f>
        <v>　</v>
      </c>
      <c r="P656" s="23" t="s">
        <v>410</v>
      </c>
      <c r="Q656" s="23" t="str">
        <f>VLOOKUP(P656,タクティクス!B:C,2,FALSE)</f>
        <v>パーティ全体の攻撃力特大UP・速度大DOWN(3分間)</v>
      </c>
      <c r="R656" s="23" t="s">
        <v>325</v>
      </c>
      <c r="S656" s="23" t="str">
        <f>VLOOKUP(R656,タクティクス!B:C,2,FALSE)</f>
        <v>強襲CBの発生確率・強襲時獲得ポイントUP(3分間)</v>
      </c>
      <c r="T656" s="23" t="s">
        <v>18</v>
      </c>
      <c r="U656" s="23" t="s">
        <v>18</v>
      </c>
      <c r="V656" s="20" t="s">
        <v>1899</v>
      </c>
    </row>
    <row r="657" spans="1:22" ht="21.75" customHeight="1" x14ac:dyDescent="0.15">
      <c r="A657" s="20" t="str">
        <f>B657&amp;".jpg"</f>
        <v>2068.jpg</v>
      </c>
      <c r="B657" s="46">
        <v>2068</v>
      </c>
      <c r="C657" s="24" t="s">
        <v>43</v>
      </c>
      <c r="D657" s="24" t="s">
        <v>150</v>
      </c>
      <c r="E657" s="24">
        <v>15</v>
      </c>
      <c r="F657" s="24" t="s">
        <v>41</v>
      </c>
      <c r="G657" s="22">
        <v>22618</v>
      </c>
      <c r="H657" s="22">
        <v>7372</v>
      </c>
      <c r="I657" s="22">
        <v>7342</v>
      </c>
      <c r="J657" s="24" t="s">
        <v>261</v>
      </c>
      <c r="K657" s="22">
        <f>SUM(G657,H657,I657)</f>
        <v>37332</v>
      </c>
      <c r="L657" s="23" t="s">
        <v>887</v>
      </c>
      <c r="M657" s="23" t="str">
        <f>VLOOKUP(L657,スキル!B:C,2,FALSE)</f>
        <v>味方遠属性の攻撃力をUP[極大]</v>
      </c>
      <c r="N657" s="23" t="s">
        <v>18</v>
      </c>
      <c r="O657" s="23" t="str">
        <f>VLOOKUP(N657,スキル!B:C,2,FALSE)</f>
        <v>　</v>
      </c>
      <c r="P657" s="23" t="s">
        <v>238</v>
      </c>
      <c r="Q657" s="23" t="str">
        <f>VLOOKUP(P657,タクティクス!B:C,2,FALSE)</f>
        <v>騎士団全員のBPを大回復</v>
      </c>
      <c r="R657" s="23" t="s">
        <v>195</v>
      </c>
      <c r="S657" s="23" t="str">
        <f>VLOOKUP(R657,タクティクス!B:C,2,FALSE)</f>
        <v>パーティ全体のスキル発動率が大UP(3分間)</v>
      </c>
      <c r="T657" s="23" t="s">
        <v>18</v>
      </c>
      <c r="U657" s="23" t="s">
        <v>18</v>
      </c>
      <c r="V657" s="20" t="s">
        <v>1899</v>
      </c>
    </row>
    <row r="658" spans="1:22" ht="21.75" customHeight="1" x14ac:dyDescent="0.15">
      <c r="A658" s="20" t="str">
        <f>B658&amp;".jpg"</f>
        <v>2069.jpg</v>
      </c>
      <c r="B658" s="46">
        <v>2069</v>
      </c>
      <c r="C658" s="24" t="s">
        <v>80</v>
      </c>
      <c r="D658" s="24" t="s">
        <v>150</v>
      </c>
      <c r="E658" s="24">
        <v>15</v>
      </c>
      <c r="F658" s="24" t="s">
        <v>25</v>
      </c>
      <c r="G658" s="22">
        <v>22972</v>
      </c>
      <c r="H658" s="22">
        <v>6517</v>
      </c>
      <c r="I658" s="22">
        <v>8478</v>
      </c>
      <c r="J658" s="24" t="s">
        <v>425</v>
      </c>
      <c r="K658" s="22">
        <f>SUM(G658,H658,I658)</f>
        <v>37967</v>
      </c>
      <c r="L658" s="23" t="s">
        <v>889</v>
      </c>
      <c r="M658" s="23" t="str">
        <f>VLOOKUP(L658,スキル!B:C,2,FALSE)</f>
        <v>敵全体に攻撃[極大]</v>
      </c>
      <c r="N658" s="23" t="s">
        <v>18</v>
      </c>
      <c r="O658" s="23" t="str">
        <f>VLOOKUP(N658,スキル!B:C,2,FALSE)</f>
        <v>　</v>
      </c>
      <c r="P658" s="23" t="s">
        <v>361</v>
      </c>
      <c r="Q658" s="23" t="str">
        <f>VLOOKUP(P658,タクティクス!B:C,2,FALSE)</f>
        <v>パーティ全体の攻撃力が特大UP(3分間)</v>
      </c>
      <c r="R658" s="23" t="s">
        <v>287</v>
      </c>
      <c r="S658" s="23" t="str">
        <f>VLOOKUP(R658,タクティクス!B:C,2,FALSE)</f>
        <v>騎士団全体の攻・防が中UP(3分間)</v>
      </c>
      <c r="T658" s="23" t="s">
        <v>18</v>
      </c>
      <c r="U658" s="23" t="s">
        <v>18</v>
      </c>
      <c r="V658" s="20" t="s">
        <v>1899</v>
      </c>
    </row>
    <row r="659" spans="1:22" ht="21.75" customHeight="1" x14ac:dyDescent="0.15">
      <c r="A659" s="20" t="str">
        <f>B659&amp;".jpg"</f>
        <v>2070.jpg</v>
      </c>
      <c r="B659" s="46">
        <v>2070</v>
      </c>
      <c r="C659" s="24" t="s">
        <v>426</v>
      </c>
      <c r="D659" s="24" t="s">
        <v>150</v>
      </c>
      <c r="E659" s="24">
        <v>14</v>
      </c>
      <c r="F659" s="24" t="s">
        <v>41</v>
      </c>
      <c r="G659" s="22">
        <v>19638</v>
      </c>
      <c r="H659" s="22">
        <v>6746</v>
      </c>
      <c r="I659" s="22">
        <v>5768</v>
      </c>
      <c r="J659" s="24" t="s">
        <v>55</v>
      </c>
      <c r="K659" s="22">
        <f>SUM(G659,H659,I659)</f>
        <v>32152</v>
      </c>
      <c r="L659" s="23" t="s">
        <v>803</v>
      </c>
      <c r="M659" s="23" t="str">
        <f>VLOOKUP(L659,スキル!B:C,2,FALSE)</f>
        <v>遠に強く打に弱い縦一列攻撃[大]</v>
      </c>
      <c r="N659" s="23" t="s">
        <v>18</v>
      </c>
      <c r="O659" s="23" t="str">
        <f>VLOOKUP(N659,スキル!B:C,2,FALSE)</f>
        <v>　</v>
      </c>
      <c r="P659" s="23" t="s">
        <v>251</v>
      </c>
      <c r="Q659" s="23" t="str">
        <f>VLOOKUP(P659,タクティクス!B:C,2,FALSE)</f>
        <v>パーティ全体の速度が大UP(3分間)</v>
      </c>
      <c r="R659" s="23" t="s">
        <v>18</v>
      </c>
      <c r="S659" s="23" t="str">
        <f>VLOOKUP(R659,タクティクス!B:C,2,FALSE)</f>
        <v>　</v>
      </c>
      <c r="T659" s="23" t="s">
        <v>18</v>
      </c>
      <c r="U659" s="23" t="s">
        <v>18</v>
      </c>
      <c r="V659" s="20" t="s">
        <v>1877</v>
      </c>
    </row>
    <row r="660" spans="1:22" ht="21.75" customHeight="1" x14ac:dyDescent="0.15">
      <c r="A660" s="20" t="str">
        <f>B660&amp;".jpg"</f>
        <v>2072.jpg</v>
      </c>
      <c r="B660" s="46">
        <v>2072</v>
      </c>
      <c r="C660" s="24" t="s">
        <v>112</v>
      </c>
      <c r="D660" s="24" t="s">
        <v>150</v>
      </c>
      <c r="E660" s="24">
        <v>15</v>
      </c>
      <c r="F660" s="24" t="s">
        <v>16</v>
      </c>
      <c r="G660" s="22">
        <v>20938</v>
      </c>
      <c r="H660" s="22">
        <v>9391</v>
      </c>
      <c r="I660" s="22">
        <v>7487</v>
      </c>
      <c r="J660" s="24" t="s">
        <v>26</v>
      </c>
      <c r="K660" s="22">
        <f>SUM(G660,H660,I660)</f>
        <v>37816</v>
      </c>
      <c r="L660" s="23" t="s">
        <v>890</v>
      </c>
      <c r="M660" s="23" t="str">
        <f>VLOOKUP(L660,スキル!B:C,2,FALSE)</f>
        <v>味方斬属性の攻撃力と防御力をUP[特大]</v>
      </c>
      <c r="N660" s="23" t="s">
        <v>18</v>
      </c>
      <c r="O660" s="23" t="str">
        <f>VLOOKUP(N660,スキル!B:C,2,FALSE)</f>
        <v>　</v>
      </c>
      <c r="P660" s="23" t="s">
        <v>397</v>
      </c>
      <c r="Q660" s="23" t="str">
        <f>VLOOKUP(P660,タクティクス!B:C,2,FALSE)</f>
        <v>バトルで獲得する騎士団戦スコアが特大アップ(3分間)</v>
      </c>
      <c r="R660" s="23" t="s">
        <v>293</v>
      </c>
      <c r="S660" s="23" t="str">
        <f>VLOOKUP(R660,タクティクス!B:C,2,FALSE)</f>
        <v>騎士団全体の防御力が中UP(3分間)</v>
      </c>
      <c r="T660" s="23" t="s">
        <v>18</v>
      </c>
      <c r="U660" s="23" t="s">
        <v>18</v>
      </c>
      <c r="V660" s="20" t="s">
        <v>1899</v>
      </c>
    </row>
    <row r="661" spans="1:22" ht="21.75" customHeight="1" x14ac:dyDescent="0.15">
      <c r="A661" s="20" t="str">
        <f>B661&amp;".jpg"</f>
        <v>2074.jpg</v>
      </c>
      <c r="B661" s="46">
        <v>2074</v>
      </c>
      <c r="C661" s="24" t="s">
        <v>138</v>
      </c>
      <c r="D661" s="24" t="s">
        <v>150</v>
      </c>
      <c r="E661" s="24">
        <v>15</v>
      </c>
      <c r="F661" s="24" t="s">
        <v>25</v>
      </c>
      <c r="G661" s="22">
        <v>24790</v>
      </c>
      <c r="H661" s="22">
        <v>6648</v>
      </c>
      <c r="I661" s="22">
        <v>8479</v>
      </c>
      <c r="J661" s="24" t="s">
        <v>356</v>
      </c>
      <c r="K661" s="22">
        <f>SUM(G661,H661,I661)</f>
        <v>39917</v>
      </c>
      <c r="L661" s="23" t="s">
        <v>786</v>
      </c>
      <c r="M661" s="23" t="str">
        <f>VLOOKUP(L661,スキル!B:C,2,FALSE)</f>
        <v>ランダムで6連続攻撃[中]</v>
      </c>
      <c r="N661" s="23" t="s">
        <v>18</v>
      </c>
      <c r="O661" s="23" t="str">
        <f>VLOOKUP(N661,スキル!B:C,2,FALSE)</f>
        <v>　</v>
      </c>
      <c r="P661" s="23" t="s">
        <v>441</v>
      </c>
      <c r="Q661" s="23" t="str">
        <f>VLOOKUP(P661,タクティクス!B:C,2,FALSE)</f>
        <v>強襲無効、攻撃力・スキル発動率特大UP(3分間)</v>
      </c>
      <c r="R661" s="23" t="s">
        <v>226</v>
      </c>
      <c r="S661" s="23" t="str">
        <f>VLOOKUP(R661,タクティクス!B:C,2,FALSE)</f>
        <v>バトルで獲得する騎士団戦スコアが大アップ(3分間)</v>
      </c>
      <c r="T661" s="23" t="s">
        <v>18</v>
      </c>
      <c r="U661" s="23" t="s">
        <v>18</v>
      </c>
      <c r="V661" s="20" t="s">
        <v>1899</v>
      </c>
    </row>
    <row r="662" spans="1:22" ht="21.75" customHeight="1" x14ac:dyDescent="0.15">
      <c r="A662" s="20" t="str">
        <f>B662&amp;".jpg"</f>
        <v>2080.jpg</v>
      </c>
      <c r="B662" s="46">
        <v>2080</v>
      </c>
      <c r="C662" s="24" t="s">
        <v>28</v>
      </c>
      <c r="D662" s="24" t="s">
        <v>150</v>
      </c>
      <c r="E662" s="24">
        <v>15</v>
      </c>
      <c r="F662" s="24" t="s">
        <v>25</v>
      </c>
      <c r="G662" s="22">
        <v>24197</v>
      </c>
      <c r="H662" s="22">
        <v>6748</v>
      </c>
      <c r="I662" s="22">
        <v>8122</v>
      </c>
      <c r="J662" s="24" t="s">
        <v>356</v>
      </c>
      <c r="K662" s="22">
        <f>SUM(G662,H662,I662)</f>
        <v>39067</v>
      </c>
      <c r="L662" s="23" t="s">
        <v>892</v>
      </c>
      <c r="M662" s="23" t="str">
        <f>VLOOKUP(L662,スキル!B:C,2,FALSE)</f>
        <v>味方突属性の攻撃力をUP[極大]</v>
      </c>
      <c r="N662" s="23" t="s">
        <v>18</v>
      </c>
      <c r="O662" s="23" t="str">
        <f>VLOOKUP(N662,スキル!B:C,2,FALSE)</f>
        <v>　</v>
      </c>
      <c r="P662" s="23" t="s">
        <v>361</v>
      </c>
      <c r="Q662" s="23" t="str">
        <f>VLOOKUP(P662,タクティクス!B:C,2,FALSE)</f>
        <v>パーティ全体の攻撃力が特大UP(3分間)</v>
      </c>
      <c r="R662" s="23" t="s">
        <v>287</v>
      </c>
      <c r="S662" s="23" t="str">
        <f>VLOOKUP(R662,タクティクス!B:C,2,FALSE)</f>
        <v>騎士団全体の攻・防が中UP(3分間)</v>
      </c>
      <c r="T662" s="23" t="s">
        <v>18</v>
      </c>
      <c r="U662" s="23" t="s">
        <v>18</v>
      </c>
      <c r="V662" s="20" t="s">
        <v>1899</v>
      </c>
    </row>
    <row r="663" spans="1:22" ht="21.75" customHeight="1" x14ac:dyDescent="0.15">
      <c r="A663" s="20" t="str">
        <f>B663&amp;".jpg"</f>
        <v>2082.jpg</v>
      </c>
      <c r="B663" s="46">
        <v>2082</v>
      </c>
      <c r="C663" s="24" t="s">
        <v>107</v>
      </c>
      <c r="D663" s="24" t="s">
        <v>150</v>
      </c>
      <c r="E663" s="24">
        <v>15</v>
      </c>
      <c r="F663" s="24" t="s">
        <v>34</v>
      </c>
      <c r="G663" s="22">
        <v>27942</v>
      </c>
      <c r="H663" s="22">
        <v>7418</v>
      </c>
      <c r="I663" s="22">
        <v>10892</v>
      </c>
      <c r="J663" s="24" t="s">
        <v>151</v>
      </c>
      <c r="K663" s="22">
        <f>SUM(G663,H663,I663)</f>
        <v>46252</v>
      </c>
      <c r="L663" s="23" t="s">
        <v>799</v>
      </c>
      <c r="M663" s="23" t="str">
        <f>VLOOKUP(L663,スキル!B:C,2,FALSE)</f>
        <v>X字型攻撃[特大]自分の防御力UP[特大]</v>
      </c>
      <c r="N663" s="23" t="s">
        <v>18</v>
      </c>
      <c r="O663" s="23" t="str">
        <f>VLOOKUP(N663,スキル!B:C,2,FALSE)</f>
        <v>　</v>
      </c>
      <c r="P663" s="23" t="s">
        <v>427</v>
      </c>
      <c r="Q663" s="23" t="str">
        <f>VLOOKUP(P663,タクティクス!B:C,2,FALSE)</f>
        <v>キリ番CB時の獲得ポイント特大UP(3分間)</v>
      </c>
      <c r="R663" s="23" t="s">
        <v>152</v>
      </c>
      <c r="S663" s="23" t="str">
        <f>VLOOKUP(R663,タクティクス!B:C,2,FALSE)</f>
        <v>パーティ全体の攻・防が大UP(3分間)</v>
      </c>
      <c r="T663" s="23" t="s">
        <v>18</v>
      </c>
      <c r="U663" s="23" t="s">
        <v>18</v>
      </c>
      <c r="V663" s="20" t="s">
        <v>1899</v>
      </c>
    </row>
    <row r="664" spans="1:22" ht="21.75" customHeight="1" x14ac:dyDescent="0.15">
      <c r="A664" s="20" t="str">
        <f>B664&amp;".jpg"</f>
        <v>2083.jpg</v>
      </c>
      <c r="B664" s="46">
        <v>2083</v>
      </c>
      <c r="C664" s="24" t="s">
        <v>428</v>
      </c>
      <c r="D664" s="24" t="s">
        <v>15</v>
      </c>
      <c r="E664" s="24">
        <v>13</v>
      </c>
      <c r="F664" s="24" t="s">
        <v>34</v>
      </c>
      <c r="G664" s="22">
        <v>19367</v>
      </c>
      <c r="H664" s="22">
        <v>6270</v>
      </c>
      <c r="I664" s="22">
        <v>6918</v>
      </c>
      <c r="J664" s="24" t="s">
        <v>42</v>
      </c>
      <c r="K664" s="22">
        <f>SUM(G664,H664,I664)</f>
        <v>32555</v>
      </c>
      <c r="L664" s="23" t="s">
        <v>521</v>
      </c>
      <c r="M664" s="23" t="str">
        <f>VLOOKUP(L664,スキル!B:C,2,FALSE)</f>
        <v>十字型に攻撃[大]</v>
      </c>
      <c r="N664" s="23" t="s">
        <v>18</v>
      </c>
      <c r="O664" s="23" t="str">
        <f>VLOOKUP(N664,スキル!B:C,2,FALSE)</f>
        <v>　</v>
      </c>
      <c r="P664" s="23" t="s">
        <v>51</v>
      </c>
      <c r="Q664" s="23" t="str">
        <f>VLOOKUP(P664,タクティクス!B:C,2,FALSE)</f>
        <v>獲得する騎士団戦スコアが中アップ(バトル3回)</v>
      </c>
      <c r="R664" s="23" t="s">
        <v>18</v>
      </c>
      <c r="S664" s="23" t="str">
        <f>VLOOKUP(R664,タクティクス!B:C,2,FALSE)</f>
        <v>　</v>
      </c>
      <c r="T664" s="23" t="s">
        <v>18</v>
      </c>
      <c r="U664" s="23" t="s">
        <v>18</v>
      </c>
      <c r="V664" s="20" t="s">
        <v>1906</v>
      </c>
    </row>
    <row r="665" spans="1:22" ht="21.75" customHeight="1" x14ac:dyDescent="0.15">
      <c r="A665" s="20" t="str">
        <f>B665&amp;".jpg"</f>
        <v>2087.jpg</v>
      </c>
      <c r="B665" s="46">
        <v>2087</v>
      </c>
      <c r="C665" s="24" t="s">
        <v>429</v>
      </c>
      <c r="D665" s="24" t="s">
        <v>15</v>
      </c>
      <c r="E665" s="24">
        <v>13</v>
      </c>
      <c r="F665" s="24" t="s">
        <v>34</v>
      </c>
      <c r="G665" s="22">
        <v>20983</v>
      </c>
      <c r="H665" s="22">
        <v>5860</v>
      </c>
      <c r="I665" s="22">
        <v>7913</v>
      </c>
      <c r="J665" s="24" t="s">
        <v>35</v>
      </c>
      <c r="K665" s="22">
        <f>SUM(G665,H665,I665)</f>
        <v>34756</v>
      </c>
      <c r="L665" s="24" t="s">
        <v>537</v>
      </c>
      <c r="M665" s="23" t="str">
        <f>VLOOKUP(L665,スキル!B:C,2,FALSE)</f>
        <v>X字型に攻撃[大]</v>
      </c>
      <c r="N665" s="23" t="s">
        <v>18</v>
      </c>
      <c r="O665" s="23" t="str">
        <f>VLOOKUP(N665,スキル!B:C,2,FALSE)</f>
        <v>　</v>
      </c>
      <c r="P665" s="23" t="s">
        <v>232</v>
      </c>
      <c r="Q665" s="23" t="str">
        <f>VLOOKUP(P665,タクティクス!B:C,2,FALSE)</f>
        <v>騎士団全員のBPを中回復</v>
      </c>
      <c r="R665" s="23" t="s">
        <v>18</v>
      </c>
      <c r="S665" s="23" t="str">
        <f>VLOOKUP(R665,タクティクス!B:C,2,FALSE)</f>
        <v>　</v>
      </c>
      <c r="T665" s="23" t="s">
        <v>18</v>
      </c>
      <c r="U665" s="23" t="s">
        <v>18</v>
      </c>
      <c r="V665" s="20" t="s">
        <v>1901</v>
      </c>
    </row>
    <row r="666" spans="1:22" ht="21.75" customHeight="1" x14ac:dyDescent="0.15">
      <c r="A666" s="20" t="str">
        <f>B666&amp;".jpg"</f>
        <v>2088.jpg</v>
      </c>
      <c r="B666" s="46">
        <v>2088</v>
      </c>
      <c r="C666" s="24" t="s">
        <v>430</v>
      </c>
      <c r="D666" s="24" t="s">
        <v>150</v>
      </c>
      <c r="E666" s="24">
        <v>15</v>
      </c>
      <c r="F666" s="24" t="s">
        <v>41</v>
      </c>
      <c r="G666" s="22">
        <v>20978</v>
      </c>
      <c r="H666" s="22">
        <v>7056</v>
      </c>
      <c r="I666" s="22">
        <v>7036</v>
      </c>
      <c r="J666" s="24" t="s">
        <v>261</v>
      </c>
      <c r="K666" s="22">
        <f>SUM(G666,H666,I666)</f>
        <v>35070</v>
      </c>
      <c r="L666" s="23" t="s">
        <v>747</v>
      </c>
      <c r="M666" s="23" t="str">
        <f>VLOOKUP(L666,スキル!B:C,2,FALSE)</f>
        <v>打に強く遠に弱い横一列攻撃[特大]</v>
      </c>
      <c r="N666" s="23" t="s">
        <v>18</v>
      </c>
      <c r="O666" s="23" t="str">
        <f>VLOOKUP(N666,スキル!B:C,2,FALSE)</f>
        <v>　</v>
      </c>
      <c r="P666" s="23" t="s">
        <v>431</v>
      </c>
      <c r="Q666" s="23" t="str">
        <f>VLOOKUP(P666,タクティクス!B:C,2,FALSE)</f>
        <v>CB時に獲得ポイント特大UP＆BPが特大回復(3回)</v>
      </c>
      <c r="R666" s="23" t="s">
        <v>178</v>
      </c>
      <c r="S666" s="23" t="str">
        <f>VLOOKUP(R666,タクティクス!B:C,2,FALSE)</f>
        <v>パーティ全体の攻撃力が大UP(3分間)</v>
      </c>
      <c r="T666" s="23" t="s">
        <v>18</v>
      </c>
      <c r="U666" s="23" t="s">
        <v>18</v>
      </c>
      <c r="V666" s="20" t="s">
        <v>1895</v>
      </c>
    </row>
    <row r="667" spans="1:22" ht="21.75" customHeight="1" x14ac:dyDescent="0.15">
      <c r="A667" s="20" t="str">
        <f>B667&amp;".jpg"</f>
        <v>2090.jpg</v>
      </c>
      <c r="B667" s="46">
        <v>2090</v>
      </c>
      <c r="C667" s="24" t="s">
        <v>432</v>
      </c>
      <c r="D667" s="24" t="s">
        <v>150</v>
      </c>
      <c r="E667" s="24">
        <v>14</v>
      </c>
      <c r="F667" s="24" t="s">
        <v>16</v>
      </c>
      <c r="G667" s="22">
        <v>18495</v>
      </c>
      <c r="H667" s="22">
        <v>8637</v>
      </c>
      <c r="I667" s="22">
        <v>6536</v>
      </c>
      <c r="J667" s="24" t="s">
        <v>151</v>
      </c>
      <c r="K667" s="22">
        <f>SUM(G667,H667,I667)</f>
        <v>33668</v>
      </c>
      <c r="L667" s="23" t="s">
        <v>691</v>
      </c>
      <c r="M667" s="23" t="str">
        <f>VLOOKUP(L667,スキル!B:C,2,FALSE)</f>
        <v>横一列に攻撃[特大]</v>
      </c>
      <c r="N667" s="23" t="s">
        <v>18</v>
      </c>
      <c r="O667" s="23" t="str">
        <f>VLOOKUP(N667,スキル!B:C,2,FALSE)</f>
        <v>　</v>
      </c>
      <c r="P667" s="23" t="s">
        <v>341</v>
      </c>
      <c r="Q667" s="23" t="str">
        <f>VLOOKUP(P667,タクティクス!B:C,2,FALSE)</f>
        <v>キリ番CB時の獲得ポイント大UP(3分間)</v>
      </c>
      <c r="R667" s="23" t="s">
        <v>18</v>
      </c>
      <c r="S667" s="23" t="str">
        <f>VLOOKUP(R667,タクティクス!B:C,2,FALSE)</f>
        <v>　</v>
      </c>
      <c r="T667" s="23" t="s">
        <v>18</v>
      </c>
      <c r="U667" s="23" t="s">
        <v>18</v>
      </c>
      <c r="V667" s="20" t="s">
        <v>1823</v>
      </c>
    </row>
    <row r="668" spans="1:22" ht="21.75" customHeight="1" x14ac:dyDescent="0.15">
      <c r="A668" s="20" t="str">
        <f>B668&amp;".jpg"</f>
        <v>2092.jpg</v>
      </c>
      <c r="B668" s="46">
        <v>2092</v>
      </c>
      <c r="C668" s="24" t="s">
        <v>433</v>
      </c>
      <c r="D668" s="24" t="s">
        <v>150</v>
      </c>
      <c r="E668" s="24">
        <v>15</v>
      </c>
      <c r="F668" s="24" t="s">
        <v>41</v>
      </c>
      <c r="G668" s="22">
        <v>22881</v>
      </c>
      <c r="H668" s="22">
        <v>7336</v>
      </c>
      <c r="I668" s="22">
        <v>7010</v>
      </c>
      <c r="J668" s="24" t="s">
        <v>261</v>
      </c>
      <c r="K668" s="22">
        <f>SUM(G668,H668,I668)</f>
        <v>37227</v>
      </c>
      <c r="L668" s="23" t="s">
        <v>767</v>
      </c>
      <c r="M668" s="23" t="str">
        <f>VLOOKUP(L668,スキル!B:C,2,FALSE)</f>
        <v>味方全員のHPを回復[大]</v>
      </c>
      <c r="N668" s="23" t="s">
        <v>18</v>
      </c>
      <c r="O668" s="23" t="str">
        <f>VLOOKUP(N668,スキル!B:C,2,FALSE)</f>
        <v>　</v>
      </c>
      <c r="P668" s="23" t="s">
        <v>374</v>
      </c>
      <c r="Q668" s="23" t="str">
        <f>VLOOKUP(P668,タクティクス!B:C,2,FALSE)</f>
        <v>パーティ全体の攻・防が特大UP(3分間)</v>
      </c>
      <c r="R668" s="23" t="s">
        <v>434</v>
      </c>
      <c r="S668" s="23" t="str">
        <f>VLOOKUP(R668,タクティクス!B:C,2,FALSE)</f>
        <v>中確率でパーティ全員を復帰(全滅時のみ使用可)</v>
      </c>
      <c r="T668" s="23" t="s">
        <v>18</v>
      </c>
      <c r="U668" s="23" t="s">
        <v>18</v>
      </c>
      <c r="V668" s="20" t="s">
        <v>1823</v>
      </c>
    </row>
    <row r="669" spans="1:22" ht="21.75" customHeight="1" x14ac:dyDescent="0.15">
      <c r="A669" s="20" t="str">
        <f>B669&amp;".jpg"</f>
        <v>2093.jpg</v>
      </c>
      <c r="B669" s="46">
        <v>2093</v>
      </c>
      <c r="C669" s="24" t="s">
        <v>220</v>
      </c>
      <c r="D669" s="24" t="s">
        <v>150</v>
      </c>
      <c r="E669" s="24">
        <v>0</v>
      </c>
      <c r="F669" s="24" t="s">
        <v>25</v>
      </c>
      <c r="G669" s="22">
        <v>21818</v>
      </c>
      <c r="H669" s="22">
        <v>6025</v>
      </c>
      <c r="I669" s="22">
        <v>7356</v>
      </c>
      <c r="J669" s="24" t="s">
        <v>177</v>
      </c>
      <c r="K669" s="22">
        <f>SUM(G669,H669,I669)</f>
        <v>35199</v>
      </c>
      <c r="L669" s="23" t="s">
        <v>736</v>
      </c>
      <c r="M669" s="23" t="str">
        <f>VLOOKUP(L669,スキル!B:C,2,FALSE)</f>
        <v>敵全体に攻撃[特大]</v>
      </c>
      <c r="N669" s="23" t="s">
        <v>18</v>
      </c>
      <c r="O669" s="23" t="str">
        <f>VLOOKUP(N669,スキル!B:C,2,FALSE)</f>
        <v>　</v>
      </c>
      <c r="P669" s="26" t="s">
        <v>435</v>
      </c>
      <c r="Q669" s="23" t="str">
        <f>VLOOKUP(P669,タクティクス!B:C,2,FALSE)</f>
        <v>騎士団員のTPを小アップ(自分を除く)</v>
      </c>
      <c r="R669" s="23" t="s">
        <v>18</v>
      </c>
      <c r="S669" s="23" t="str">
        <f>VLOOKUP(R669,タクティクス!B:C,2,FALSE)</f>
        <v>　</v>
      </c>
      <c r="T669" s="23" t="s">
        <v>18</v>
      </c>
      <c r="U669" s="23" t="s">
        <v>18</v>
      </c>
      <c r="V669" s="20" t="s">
        <v>1884</v>
      </c>
    </row>
    <row r="670" spans="1:22" ht="21.75" customHeight="1" x14ac:dyDescent="0.15">
      <c r="A670" s="20" t="str">
        <f>B670&amp;".jpg"</f>
        <v>2094.jpg</v>
      </c>
      <c r="B670" s="46">
        <v>2094</v>
      </c>
      <c r="C670" s="24" t="s">
        <v>116</v>
      </c>
      <c r="D670" s="24" t="s">
        <v>150</v>
      </c>
      <c r="E670" s="24">
        <v>15</v>
      </c>
      <c r="F670" s="24" t="s">
        <v>16</v>
      </c>
      <c r="G670" s="22">
        <v>21076</v>
      </c>
      <c r="H670" s="22">
        <v>9615</v>
      </c>
      <c r="I670" s="22">
        <v>7249</v>
      </c>
      <c r="J670" s="24" t="s">
        <v>26</v>
      </c>
      <c r="K670" s="22">
        <f>SUM(G670,H670,I670)</f>
        <v>37940</v>
      </c>
      <c r="L670" s="23" t="s">
        <v>855</v>
      </c>
      <c r="M670" s="23" t="str">
        <f>VLOOKUP(L670,スキル!B:C,2,FALSE)</f>
        <v>十字型攻撃[特大]自分の攻撃力UP[特大]</v>
      </c>
      <c r="N670" s="23" t="s">
        <v>18</v>
      </c>
      <c r="O670" s="23" t="str">
        <f>VLOOKUP(N670,スキル!B:C,2,FALSE)</f>
        <v>　</v>
      </c>
      <c r="P670" s="23" t="s">
        <v>413</v>
      </c>
      <c r="Q670" s="23" t="str">
        <f>VLOOKUP(P670,タクティクス!B:C,2,FALSE)</f>
        <v>攻撃回数が多いほどバトル獲得スコアが大UP(3分間)</v>
      </c>
      <c r="R670" s="23" t="s">
        <v>251</v>
      </c>
      <c r="S670" s="23" t="str">
        <f>VLOOKUP(R670,タクティクス!B:C,2,FALSE)</f>
        <v>パーティ全体の速度が大UP(3分間)</v>
      </c>
      <c r="T670" s="23" t="s">
        <v>18</v>
      </c>
      <c r="U670" s="23" t="s">
        <v>18</v>
      </c>
      <c r="V670" s="20" t="s">
        <v>1899</v>
      </c>
    </row>
    <row r="671" spans="1:22" ht="21.75" customHeight="1" x14ac:dyDescent="0.15">
      <c r="A671" s="20" t="str">
        <f>B671&amp;".jpg"</f>
        <v>2096.jpg</v>
      </c>
      <c r="B671" s="46">
        <v>2096</v>
      </c>
      <c r="C671" s="24" t="s">
        <v>67</v>
      </c>
      <c r="D671" s="24" t="s">
        <v>150</v>
      </c>
      <c r="E671" s="24">
        <v>15</v>
      </c>
      <c r="F671" s="24" t="s">
        <v>25</v>
      </c>
      <c r="G671" s="22">
        <v>23815</v>
      </c>
      <c r="H671" s="22">
        <v>6616</v>
      </c>
      <c r="I671" s="22">
        <v>9012</v>
      </c>
      <c r="J671" s="24" t="s">
        <v>356</v>
      </c>
      <c r="K671" s="22">
        <f>SUM(G671,H671,I671)</f>
        <v>39443</v>
      </c>
      <c r="L671" s="24" t="s">
        <v>691</v>
      </c>
      <c r="M671" s="23" t="str">
        <f>VLOOKUP(L671,スキル!B:C,2,FALSE)</f>
        <v>横一列に攻撃[特大]</v>
      </c>
      <c r="N671" s="23" t="s">
        <v>18</v>
      </c>
      <c r="O671" s="23" t="str">
        <f>VLOOKUP(N671,スキル!B:C,2,FALSE)</f>
        <v>　</v>
      </c>
      <c r="P671" s="23" t="s">
        <v>393</v>
      </c>
      <c r="Q671" s="23" t="str">
        <f>VLOOKUP(P671,タクティクス!B:C,2,FALSE)</f>
        <v>強襲が発生無効、バトル時に攻・防大UP(3分間)</v>
      </c>
      <c r="R671" s="23" t="s">
        <v>226</v>
      </c>
      <c r="S671" s="23" t="str">
        <f>VLOOKUP(R671,タクティクス!B:C,2,FALSE)</f>
        <v>バトルで獲得する騎士団戦スコアが大アップ(3分間)</v>
      </c>
      <c r="T671" s="23" t="s">
        <v>18</v>
      </c>
      <c r="U671" s="23" t="s">
        <v>18</v>
      </c>
      <c r="V671" s="20" t="s">
        <v>1878</v>
      </c>
    </row>
    <row r="672" spans="1:22" ht="21.75" customHeight="1" x14ac:dyDescent="0.15">
      <c r="A672" s="20" t="str">
        <f>B672&amp;".jpg"</f>
        <v>2097.jpg</v>
      </c>
      <c r="B672" s="46">
        <v>2097</v>
      </c>
      <c r="C672" s="24" t="s">
        <v>220</v>
      </c>
      <c r="D672" s="24" t="s">
        <v>15</v>
      </c>
      <c r="E672" s="24">
        <v>12</v>
      </c>
      <c r="F672" s="24" t="s">
        <v>25</v>
      </c>
      <c r="G672" s="22">
        <v>17251</v>
      </c>
      <c r="H672" s="22">
        <v>5136</v>
      </c>
      <c r="I672" s="22">
        <v>5377</v>
      </c>
      <c r="J672" s="24" t="s">
        <v>26</v>
      </c>
      <c r="K672" s="22">
        <f>SUM(G672,H672,I672)</f>
        <v>27764</v>
      </c>
      <c r="L672" s="23" t="s">
        <v>568</v>
      </c>
      <c r="M672" s="23" t="str">
        <f>VLOOKUP(L672,スキル!B:C,2,FALSE)</f>
        <v>縦一列に攻撃[大]</v>
      </c>
      <c r="N672" s="23" t="s">
        <v>18</v>
      </c>
      <c r="O672" s="23" t="str">
        <f>VLOOKUP(N672,スキル!B:C,2,FALSE)</f>
        <v>　</v>
      </c>
      <c r="P672" s="23" t="s">
        <v>161</v>
      </c>
      <c r="Q672" s="23" t="str">
        <f>VLOOKUP(P672,タクティクス!B:C,2,FALSE)</f>
        <v>バトルで獲得する騎士団戦スコアが中アップ(3分間)</v>
      </c>
      <c r="R672" s="23" t="s">
        <v>18</v>
      </c>
      <c r="S672" s="23" t="str">
        <f>VLOOKUP(R672,タクティクス!B:C,2,FALSE)</f>
        <v>　</v>
      </c>
      <c r="T672" s="23" t="s">
        <v>18</v>
      </c>
      <c r="U672" s="23" t="s">
        <v>18</v>
      </c>
      <c r="V672" s="20" t="s">
        <v>1853</v>
      </c>
    </row>
    <row r="673" spans="1:22" ht="21.75" customHeight="1" x14ac:dyDescent="0.15">
      <c r="A673" s="20" t="str">
        <f>B673&amp;".jpg"</f>
        <v>2098.jpg</v>
      </c>
      <c r="B673" s="46">
        <v>2098</v>
      </c>
      <c r="C673" s="24" t="s">
        <v>220</v>
      </c>
      <c r="D673" s="24" t="s">
        <v>15</v>
      </c>
      <c r="E673" s="24">
        <v>13</v>
      </c>
      <c r="F673" s="24" t="s">
        <v>25</v>
      </c>
      <c r="G673" s="22">
        <v>18498</v>
      </c>
      <c r="H673" s="22">
        <v>5423</v>
      </c>
      <c r="I673" s="22">
        <v>5617</v>
      </c>
      <c r="J673" s="24" t="s">
        <v>26</v>
      </c>
      <c r="K673" s="22">
        <f>SUM(G673,H673,I673)</f>
        <v>29538</v>
      </c>
      <c r="L673" s="23" t="s">
        <v>568</v>
      </c>
      <c r="M673" s="23" t="str">
        <f>VLOOKUP(L673,スキル!B:C,2,FALSE)</f>
        <v>縦一列に攻撃[大]</v>
      </c>
      <c r="N673" s="23" t="s">
        <v>18</v>
      </c>
      <c r="O673" s="23" t="str">
        <f>VLOOKUP(N673,スキル!B:C,2,FALSE)</f>
        <v>　</v>
      </c>
      <c r="P673" s="23" t="s">
        <v>161</v>
      </c>
      <c r="Q673" s="23" t="str">
        <f>VLOOKUP(P673,タクティクス!B:C,2,FALSE)</f>
        <v>バトルで獲得する騎士団戦スコアが中アップ(3分間)</v>
      </c>
      <c r="R673" s="23" t="s">
        <v>18</v>
      </c>
      <c r="S673" s="23" t="str">
        <f>VLOOKUP(R673,タクティクス!B:C,2,FALSE)</f>
        <v>　</v>
      </c>
      <c r="T673" s="23" t="s">
        <v>18</v>
      </c>
      <c r="U673" s="23" t="s">
        <v>18</v>
      </c>
      <c r="V673" s="20" t="s">
        <v>1853</v>
      </c>
    </row>
    <row r="674" spans="1:22" ht="21.75" customHeight="1" x14ac:dyDescent="0.15">
      <c r="A674" s="20" t="str">
        <f>B674&amp;".jpg"</f>
        <v>2099.jpg</v>
      </c>
      <c r="B674" s="46">
        <v>2099</v>
      </c>
      <c r="C674" s="24" t="s">
        <v>220</v>
      </c>
      <c r="D674" s="24" t="s">
        <v>150</v>
      </c>
      <c r="E674" s="24">
        <v>14</v>
      </c>
      <c r="F674" s="24" t="s">
        <v>25</v>
      </c>
      <c r="G674" s="22">
        <v>22121</v>
      </c>
      <c r="H674" s="22">
        <v>6127</v>
      </c>
      <c r="I674" s="22">
        <v>7464</v>
      </c>
      <c r="J674" s="24" t="s">
        <v>177</v>
      </c>
      <c r="K674" s="22">
        <f>SUM(G674,H674,I674)</f>
        <v>35712</v>
      </c>
      <c r="L674" s="23" t="s">
        <v>736</v>
      </c>
      <c r="M674" s="23" t="str">
        <f>VLOOKUP(L674,スキル!B:C,2,FALSE)</f>
        <v>敵全体に攻撃[特大]</v>
      </c>
      <c r="N674" s="23" t="s">
        <v>18</v>
      </c>
      <c r="O674" s="23" t="str">
        <f>VLOOKUP(N674,スキル!B:C,2,FALSE)</f>
        <v>　</v>
      </c>
      <c r="P674" s="23" t="s">
        <v>226</v>
      </c>
      <c r="Q674" s="23" t="str">
        <f>VLOOKUP(P674,タクティクス!B:C,2,FALSE)</f>
        <v>バトルで獲得する騎士団戦スコアが大アップ(3分間)</v>
      </c>
      <c r="R674" s="23" t="s">
        <v>18</v>
      </c>
      <c r="S674" s="23" t="str">
        <f>VLOOKUP(R674,タクティクス!B:C,2,FALSE)</f>
        <v>　</v>
      </c>
      <c r="T674" s="23" t="s">
        <v>18</v>
      </c>
      <c r="U674" s="23" t="s">
        <v>18</v>
      </c>
      <c r="V674" s="20" t="s">
        <v>1853</v>
      </c>
    </row>
    <row r="675" spans="1:22" ht="21.75" customHeight="1" x14ac:dyDescent="0.15">
      <c r="A675" s="20" t="str">
        <f>B675&amp;".jpg"</f>
        <v>2100.jpg</v>
      </c>
      <c r="B675" s="46">
        <v>2100</v>
      </c>
      <c r="C675" s="24" t="s">
        <v>220</v>
      </c>
      <c r="D675" s="24" t="s">
        <v>150</v>
      </c>
      <c r="E675" s="24">
        <v>15</v>
      </c>
      <c r="F675" s="24" t="s">
        <v>25</v>
      </c>
      <c r="G675" s="22">
        <v>24218</v>
      </c>
      <c r="H675" s="22">
        <v>6579</v>
      </c>
      <c r="I675" s="22">
        <v>8735</v>
      </c>
      <c r="J675" s="24" t="s">
        <v>356</v>
      </c>
      <c r="K675" s="22">
        <f>SUM(G675,H675,I675)</f>
        <v>39532</v>
      </c>
      <c r="L675" s="23" t="s">
        <v>736</v>
      </c>
      <c r="M675" s="23" t="str">
        <f>VLOOKUP(L675,スキル!B:C,2,FALSE)</f>
        <v>敵全体に攻撃[特大]</v>
      </c>
      <c r="N675" s="23" t="s">
        <v>18</v>
      </c>
      <c r="O675" s="23" t="str">
        <f>VLOOKUP(N675,スキル!B:C,2,FALSE)</f>
        <v>　</v>
      </c>
      <c r="P675" s="23" t="s">
        <v>397</v>
      </c>
      <c r="Q675" s="23" t="str">
        <f>VLOOKUP(P675,タクティクス!B:C,2,FALSE)</f>
        <v>バトルで獲得する騎士団戦スコアが特大アップ(3分間)</v>
      </c>
      <c r="R675" s="23" t="s">
        <v>409</v>
      </c>
      <c r="S675" s="23" t="str">
        <f>VLOOKUP(R675,タクティクス!B:C,2,FALSE)</f>
        <v>パーティ全体の攻撃力大UP・速度大DOWN(3分間)</v>
      </c>
      <c r="T675" s="23" t="s">
        <v>18</v>
      </c>
      <c r="U675" s="23" t="s">
        <v>18</v>
      </c>
      <c r="V675" s="20" t="s">
        <v>1853</v>
      </c>
    </row>
    <row r="676" spans="1:22" ht="21.75" customHeight="1" x14ac:dyDescent="0.15">
      <c r="A676" s="20" t="str">
        <f>B676&amp;".jpg"</f>
        <v>2101.jpg</v>
      </c>
      <c r="B676" s="46">
        <v>2101</v>
      </c>
      <c r="C676" s="24" t="s">
        <v>119</v>
      </c>
      <c r="D676" s="24" t="s">
        <v>150</v>
      </c>
      <c r="E676" s="24">
        <v>15</v>
      </c>
      <c r="F676" s="24" t="s">
        <v>25</v>
      </c>
      <c r="G676" s="22">
        <v>21634</v>
      </c>
      <c r="H676" s="22">
        <v>6287</v>
      </c>
      <c r="I676" s="22">
        <v>7945</v>
      </c>
      <c r="J676" s="24" t="s">
        <v>356</v>
      </c>
      <c r="K676" s="22">
        <f>SUM(G676,H676,I676)</f>
        <v>35866</v>
      </c>
      <c r="L676" s="24" t="s">
        <v>691</v>
      </c>
      <c r="M676" s="23" t="str">
        <f>VLOOKUP(L676,スキル!B:C,2,FALSE)</f>
        <v>横一列に攻撃[特大]</v>
      </c>
      <c r="N676" s="23" t="s">
        <v>18</v>
      </c>
      <c r="O676" s="23" t="str">
        <f>VLOOKUP(N676,スキル!B:C,2,FALSE)</f>
        <v>　</v>
      </c>
      <c r="P676" s="23" t="s">
        <v>361</v>
      </c>
      <c r="Q676" s="23" t="str">
        <f>VLOOKUP(P676,タクティクス!B:C,2,FALSE)</f>
        <v>パーティ全体の攻撃力が特大UP(3分間)</v>
      </c>
      <c r="R676" s="23" t="s">
        <v>188</v>
      </c>
      <c r="S676" s="23" t="str">
        <f>VLOOKUP(R676,タクティクス!B:C,2,FALSE)</f>
        <v>バトルで敵を全滅するとBPが大回復(バトル3回)</v>
      </c>
      <c r="T676" s="23" t="s">
        <v>18</v>
      </c>
      <c r="U676" s="23" t="s">
        <v>18</v>
      </c>
      <c r="V676" s="20" t="s">
        <v>1903</v>
      </c>
    </row>
    <row r="677" spans="1:22" ht="21.75" customHeight="1" x14ac:dyDescent="0.15">
      <c r="A677" s="20" t="str">
        <f>B677&amp;".jpg"</f>
        <v>2103.jpg</v>
      </c>
      <c r="B677" s="46">
        <v>2103</v>
      </c>
      <c r="C677" s="24" t="s">
        <v>436</v>
      </c>
      <c r="D677" s="24" t="s">
        <v>150</v>
      </c>
      <c r="E677" s="24">
        <v>15</v>
      </c>
      <c r="F677" s="24" t="s">
        <v>16</v>
      </c>
      <c r="G677" s="22">
        <v>20471</v>
      </c>
      <c r="H677" s="22">
        <v>9374</v>
      </c>
      <c r="I677" s="22">
        <v>6977</v>
      </c>
      <c r="J677" s="24" t="s">
        <v>26</v>
      </c>
      <c r="K677" s="22">
        <f>SUM(G677,H677,I677)</f>
        <v>36822</v>
      </c>
      <c r="L677" s="23" t="s">
        <v>664</v>
      </c>
      <c r="M677" s="23" t="str">
        <f>VLOOKUP(L677,スキル!B:C,2,FALSE)</f>
        <v>縦一列に攻撃[特大]</v>
      </c>
      <c r="N677" s="23" t="s">
        <v>18</v>
      </c>
      <c r="O677" s="23" t="str">
        <f>VLOOKUP(N677,スキル!B:C,2,FALSE)</f>
        <v>　</v>
      </c>
      <c r="P677" s="23" t="s">
        <v>410</v>
      </c>
      <c r="Q677" s="23" t="str">
        <f>VLOOKUP(P677,タクティクス!B:C,2,FALSE)</f>
        <v>パーティ全体の攻撃力特大UP・速度大DOWN(3分間)</v>
      </c>
      <c r="R677" s="23" t="s">
        <v>180</v>
      </c>
      <c r="S677" s="23" t="str">
        <f>VLOOKUP(R677,タクティクス!B:C,2,FALSE)</f>
        <v>獲得する騎士団戦スコアが大アップ(バトル3回)</v>
      </c>
      <c r="T677" s="23" t="s">
        <v>18</v>
      </c>
      <c r="U677" s="23" t="s">
        <v>18</v>
      </c>
      <c r="V677" s="20" t="s">
        <v>1823</v>
      </c>
    </row>
    <row r="678" spans="1:22" ht="21.75" customHeight="1" x14ac:dyDescent="0.15">
      <c r="A678" s="20" t="str">
        <f>B678&amp;".jpg"</f>
        <v>2105.jpg</v>
      </c>
      <c r="B678" s="46">
        <v>2105</v>
      </c>
      <c r="C678" s="24" t="s">
        <v>437</v>
      </c>
      <c r="D678" s="24" t="s">
        <v>150</v>
      </c>
      <c r="E678" s="24">
        <v>15</v>
      </c>
      <c r="F678" s="24" t="s">
        <v>41</v>
      </c>
      <c r="G678" s="22">
        <v>22917</v>
      </c>
      <c r="H678" s="22">
        <v>7395</v>
      </c>
      <c r="I678" s="22">
        <v>7286</v>
      </c>
      <c r="J678" s="24" t="s">
        <v>261</v>
      </c>
      <c r="K678" s="22">
        <f>SUM(G678,H678,I678)</f>
        <v>37598</v>
      </c>
      <c r="L678" s="23" t="s">
        <v>847</v>
      </c>
      <c r="M678" s="23" t="str">
        <f>VLOOKUP(L678,スキル!B:C,2,FALSE)</f>
        <v>味方全体の防御力をUP[特大]</v>
      </c>
      <c r="N678" s="23" t="s">
        <v>18</v>
      </c>
      <c r="O678" s="23" t="str">
        <f>VLOOKUP(N678,スキル!B:C,2,FALSE)</f>
        <v>　</v>
      </c>
      <c r="P678" s="23" t="s">
        <v>374</v>
      </c>
      <c r="Q678" s="23" t="str">
        <f>VLOOKUP(P678,タクティクス!B:C,2,FALSE)</f>
        <v>パーティ全体の攻・防が特大UP(3分間)</v>
      </c>
      <c r="R678" s="23" t="s">
        <v>274</v>
      </c>
      <c r="S678" s="23" t="str">
        <f>VLOOKUP(R678,タクティクス!B:C,2,FALSE)</f>
        <v>パーティ全体の攻撃力・速度が中UP(3分間)</v>
      </c>
      <c r="T678" s="23" t="s">
        <v>18</v>
      </c>
      <c r="U678" s="23" t="s">
        <v>18</v>
      </c>
      <c r="V678" s="20" t="s">
        <v>1823</v>
      </c>
    </row>
    <row r="679" spans="1:22" ht="21.75" customHeight="1" x14ac:dyDescent="0.15">
      <c r="A679" s="20" t="str">
        <f>B679&amp;".jpg"</f>
        <v>2106.jpg</v>
      </c>
      <c r="B679" s="46">
        <v>2106</v>
      </c>
      <c r="C679" s="24" t="s">
        <v>438</v>
      </c>
      <c r="D679" s="24" t="s">
        <v>150</v>
      </c>
      <c r="E679" s="24">
        <v>15</v>
      </c>
      <c r="F679" s="24" t="s">
        <v>25</v>
      </c>
      <c r="G679" s="22">
        <v>23181</v>
      </c>
      <c r="H679" s="22">
        <v>6542</v>
      </c>
      <c r="I679" s="22">
        <v>8419</v>
      </c>
      <c r="J679" s="24" t="s">
        <v>356</v>
      </c>
      <c r="K679" s="22">
        <f>SUM(G679,H679,I679)</f>
        <v>38142</v>
      </c>
      <c r="L679" s="23" t="s">
        <v>715</v>
      </c>
      <c r="M679" s="23" t="str">
        <f>VLOOKUP(L679,スキル!B:C,2,FALSE)</f>
        <v>打に強く遠に弱い縦一列攻撃[特大]</v>
      </c>
      <c r="N679" s="23" t="s">
        <v>18</v>
      </c>
      <c r="O679" s="23" t="str">
        <f>VLOOKUP(N679,スキル!B:C,2,FALSE)</f>
        <v>　</v>
      </c>
      <c r="P679" s="23" t="s">
        <v>395</v>
      </c>
      <c r="Q679" s="23" t="str">
        <f>VLOOKUP(P679,タクティクス!B:C,2,FALSE)</f>
        <v>騎士団全体の強襲率大DOWN・防御力大UP(3分間)</v>
      </c>
      <c r="R679" s="23" t="s">
        <v>251</v>
      </c>
      <c r="S679" s="23" t="str">
        <f>VLOOKUP(R679,タクティクス!B:C,2,FALSE)</f>
        <v>パーティ全体の速度が大UP(3分間)</v>
      </c>
      <c r="T679" s="23" t="s">
        <v>18</v>
      </c>
      <c r="U679" s="23" t="s">
        <v>18</v>
      </c>
      <c r="V679" s="20" t="s">
        <v>1827</v>
      </c>
    </row>
    <row r="680" spans="1:22" ht="21.75" customHeight="1" x14ac:dyDescent="0.15">
      <c r="A680" s="20" t="str">
        <f>B680&amp;".jpg"</f>
        <v>2108.jpg</v>
      </c>
      <c r="B680" s="46">
        <v>2108</v>
      </c>
      <c r="C680" s="24" t="s">
        <v>317</v>
      </c>
      <c r="D680" s="24" t="s">
        <v>150</v>
      </c>
      <c r="E680" s="24">
        <v>15</v>
      </c>
      <c r="F680" s="24" t="s">
        <v>16</v>
      </c>
      <c r="G680" s="22">
        <v>21735</v>
      </c>
      <c r="H680" s="22">
        <v>9321</v>
      </c>
      <c r="I680" s="22">
        <v>7767</v>
      </c>
      <c r="J680" s="24" t="s">
        <v>26</v>
      </c>
      <c r="K680" s="22">
        <f>SUM(G680,H680,I680)</f>
        <v>38823</v>
      </c>
      <c r="L680" s="23" t="s">
        <v>691</v>
      </c>
      <c r="M680" s="23" t="str">
        <f>VLOOKUP(L680,スキル!B:C,2,FALSE)</f>
        <v>横一列に攻撃[特大]</v>
      </c>
      <c r="N680" s="23" t="s">
        <v>18</v>
      </c>
      <c r="O680" s="23" t="str">
        <f>VLOOKUP(N680,スキル!B:C,2,FALSE)</f>
        <v>　</v>
      </c>
      <c r="P680" s="23" t="s">
        <v>393</v>
      </c>
      <c r="Q680" s="23" t="str">
        <f>VLOOKUP(P680,タクティクス!B:C,2,FALSE)</f>
        <v>強襲が発生無効、バトル時に攻・防大UP(3分間)</v>
      </c>
      <c r="R680" s="23" t="s">
        <v>308</v>
      </c>
      <c r="S680" s="23" t="str">
        <f>VLOOKUP(R680,タクティクス!B:C,2,FALSE)</f>
        <v>騎士団全体の攻撃力が中UP(3分間)</v>
      </c>
      <c r="T680" s="23" t="s">
        <v>18</v>
      </c>
      <c r="U680" s="23" t="s">
        <v>18</v>
      </c>
      <c r="V680" s="20" t="s">
        <v>1899</v>
      </c>
    </row>
    <row r="681" spans="1:22" ht="21.75" customHeight="1" x14ac:dyDescent="0.15">
      <c r="A681" s="20" t="str">
        <f>B681&amp;".jpg"</f>
        <v>2110.jpg</v>
      </c>
      <c r="B681" s="46">
        <v>2110</v>
      </c>
      <c r="C681" s="24" t="s">
        <v>65</v>
      </c>
      <c r="D681" s="24" t="s">
        <v>150</v>
      </c>
      <c r="E681" s="24">
        <v>15</v>
      </c>
      <c r="F681" s="24" t="s">
        <v>41</v>
      </c>
      <c r="G681" s="22">
        <v>23474</v>
      </c>
      <c r="H681" s="22">
        <v>7537</v>
      </c>
      <c r="I681" s="22">
        <v>7053</v>
      </c>
      <c r="J681" s="24" t="s">
        <v>261</v>
      </c>
      <c r="K681" s="22">
        <f>SUM(G681,H681,I681)</f>
        <v>38064</v>
      </c>
      <c r="L681" s="23" t="s">
        <v>832</v>
      </c>
      <c r="M681" s="23" t="str">
        <f>VLOOKUP(L681,スキル!B:C,2,FALSE)</f>
        <v>ランダムで6連続攻撃[中]</v>
      </c>
      <c r="N681" s="23" t="s">
        <v>18</v>
      </c>
      <c r="O681" s="23" t="str">
        <f>VLOOKUP(N681,スキル!B:C,2,FALSE)</f>
        <v>　</v>
      </c>
      <c r="P681" s="23" t="s">
        <v>439</v>
      </c>
      <c r="Q681" s="23" t="str">
        <f>VLOOKUP(P681,タクティクス!B:C,2,FALSE)</f>
        <v>騎士団スコア特大UP・キリ番CB最大値UP(3回)</v>
      </c>
      <c r="R681" s="23" t="s">
        <v>195</v>
      </c>
      <c r="S681" s="23" t="str">
        <f>VLOOKUP(R681,タクティクス!B:C,2,FALSE)</f>
        <v>パーティ全体のスキル発動率が大UP(3分間)</v>
      </c>
      <c r="T681" s="23" t="s">
        <v>18</v>
      </c>
      <c r="U681" s="23" t="s">
        <v>18</v>
      </c>
      <c r="V681" s="20" t="s">
        <v>1899</v>
      </c>
    </row>
    <row r="682" spans="1:22" ht="21.75" customHeight="1" x14ac:dyDescent="0.15">
      <c r="A682" s="20" t="str">
        <f>B682&amp;".jpg"</f>
        <v>2112.jpg</v>
      </c>
      <c r="B682" s="46">
        <v>2112</v>
      </c>
      <c r="C682" s="24" t="s">
        <v>440</v>
      </c>
      <c r="D682" s="24" t="s">
        <v>150</v>
      </c>
      <c r="E682" s="24">
        <v>15</v>
      </c>
      <c r="F682" s="24" t="s">
        <v>41</v>
      </c>
      <c r="G682" s="22">
        <v>23994</v>
      </c>
      <c r="H682" s="22">
        <v>7021</v>
      </c>
      <c r="I682" s="22">
        <v>7012</v>
      </c>
      <c r="J682" s="24" t="s">
        <v>356</v>
      </c>
      <c r="K682" s="22">
        <f>SUM(G682,H682,I682)</f>
        <v>38027</v>
      </c>
      <c r="L682" s="23" t="s">
        <v>894</v>
      </c>
      <c r="M682" s="23" t="str">
        <f>VLOOKUP(L682,スキル!B:C,2,FALSE)</f>
        <v>味方全体の攻撃力と防御力をUP[特大]</v>
      </c>
      <c r="N682" s="23" t="s">
        <v>18</v>
      </c>
      <c r="O682" s="23" t="str">
        <f>VLOOKUP(N682,スキル!B:C,2,FALSE)</f>
        <v>　</v>
      </c>
      <c r="P682" s="23" t="s">
        <v>441</v>
      </c>
      <c r="Q682" s="23" t="str">
        <f>VLOOKUP(P682,タクティクス!B:C,2,FALSE)</f>
        <v>強襲無効、攻撃力・スキル発動率特大UP(3分間)</v>
      </c>
      <c r="R682" s="23" t="s">
        <v>232</v>
      </c>
      <c r="S682" s="23" t="str">
        <f>VLOOKUP(R682,タクティクス!B:C,2,FALSE)</f>
        <v>騎士団全員のBPを中回復</v>
      </c>
      <c r="T682" s="23" t="s">
        <v>18</v>
      </c>
      <c r="U682" s="23" t="s">
        <v>18</v>
      </c>
      <c r="V682" s="20" t="s">
        <v>1899</v>
      </c>
    </row>
    <row r="683" spans="1:22" ht="21.75" customHeight="1" x14ac:dyDescent="0.15">
      <c r="A683" s="20" t="str">
        <f>B683&amp;".jpg"</f>
        <v>2113.jpg</v>
      </c>
      <c r="B683" s="46">
        <v>2113</v>
      </c>
      <c r="C683" s="24" t="s">
        <v>442</v>
      </c>
      <c r="D683" s="24" t="s">
        <v>150</v>
      </c>
      <c r="E683" s="24">
        <v>15</v>
      </c>
      <c r="F683" s="24" t="s">
        <v>16</v>
      </c>
      <c r="G683" s="22">
        <v>20043</v>
      </c>
      <c r="H683" s="22">
        <v>9183</v>
      </c>
      <c r="I683" s="22">
        <v>6924</v>
      </c>
      <c r="J683" s="24" t="s">
        <v>26</v>
      </c>
      <c r="K683" s="22">
        <f>SUM(G683,H683,I683)</f>
        <v>36150</v>
      </c>
      <c r="L683" s="23" t="s">
        <v>833</v>
      </c>
      <c r="M683" s="23" t="str">
        <f>VLOOKUP(L683,スキル!B:C,2,FALSE)</f>
        <v>次の攻撃でダメージが上昇する[大]</v>
      </c>
      <c r="N683" s="23" t="s">
        <v>18</v>
      </c>
      <c r="O683" s="23" t="str">
        <f>VLOOKUP(N683,スキル!B:C,2,FALSE)</f>
        <v>　</v>
      </c>
      <c r="P683" s="23" t="s">
        <v>361</v>
      </c>
      <c r="Q683" s="23" t="str">
        <f>VLOOKUP(P683,タクティクス!B:C,2,FALSE)</f>
        <v>パーティ全体の攻撃力が特大UP(3分間)</v>
      </c>
      <c r="R683" s="23" t="s">
        <v>188</v>
      </c>
      <c r="S683" s="23" t="str">
        <f>VLOOKUP(R683,タクティクス!B:C,2,FALSE)</f>
        <v>バトルで敵を全滅するとBPが大回復(バトル3回)</v>
      </c>
      <c r="T683" s="23" t="s">
        <v>18</v>
      </c>
      <c r="U683" s="23" t="s">
        <v>18</v>
      </c>
      <c r="V683" s="20" t="s">
        <v>1825</v>
      </c>
    </row>
    <row r="684" spans="1:22" ht="21.75" customHeight="1" x14ac:dyDescent="0.15">
      <c r="A684" s="20" t="str">
        <f>B684&amp;".jpg"</f>
        <v>2114.jpg</v>
      </c>
      <c r="B684" s="46">
        <v>2114</v>
      </c>
      <c r="C684" s="24" t="s">
        <v>241</v>
      </c>
      <c r="D684" s="24" t="s">
        <v>150</v>
      </c>
      <c r="E684" s="24">
        <v>15</v>
      </c>
      <c r="F684" s="24" t="s">
        <v>34</v>
      </c>
      <c r="G684" s="22">
        <v>27205</v>
      </c>
      <c r="H684" s="22">
        <v>7385</v>
      </c>
      <c r="I684" s="22">
        <v>10642</v>
      </c>
      <c r="J684" s="24" t="s">
        <v>151</v>
      </c>
      <c r="K684" s="22">
        <f>SUM(G684,H684,I684)</f>
        <v>45232</v>
      </c>
      <c r="L684" s="23" t="s">
        <v>896</v>
      </c>
      <c r="M684" s="23" t="str">
        <f>VLOOKUP(L684,スキル!B:C,2,FALSE)</f>
        <v>ランダムで3～6連撃。攻撃毎に与ダメ2倍[低確率]</v>
      </c>
      <c r="N684" s="23" t="s">
        <v>18</v>
      </c>
      <c r="O684" s="23" t="str">
        <f>VLOOKUP(N684,スキル!B:C,2,FALSE)</f>
        <v>　</v>
      </c>
      <c r="P684" s="23" t="s">
        <v>410</v>
      </c>
      <c r="Q684" s="23" t="str">
        <f>VLOOKUP(P684,タクティクス!B:C,2,FALSE)</f>
        <v>パーティ全体の攻撃力特大UP・速度大DOWN(3分間)</v>
      </c>
      <c r="R684" s="23" t="s">
        <v>311</v>
      </c>
      <c r="S684" s="23" t="str">
        <f>VLOOKUP(R684,タクティクス!B:C,2,FALSE)</f>
        <v>対戦騎士団全体の防御力が中DOWN(3分間)</v>
      </c>
      <c r="T684" s="23" t="s">
        <v>18</v>
      </c>
      <c r="U684" s="23" t="s">
        <v>18</v>
      </c>
      <c r="V684" s="20" t="s">
        <v>1899</v>
      </c>
    </row>
    <row r="685" spans="1:22" ht="21.75" customHeight="1" x14ac:dyDescent="0.15">
      <c r="A685" s="20" t="str">
        <f>B685&amp;".jpg"</f>
        <v>2115.jpg</v>
      </c>
      <c r="B685" s="46">
        <v>2115</v>
      </c>
      <c r="C685" s="24" t="s">
        <v>443</v>
      </c>
      <c r="D685" s="24" t="s">
        <v>150</v>
      </c>
      <c r="E685" s="24">
        <v>14</v>
      </c>
      <c r="F685" s="24" t="s">
        <v>25</v>
      </c>
      <c r="G685" s="22">
        <v>20471</v>
      </c>
      <c r="H685" s="22">
        <v>6147</v>
      </c>
      <c r="I685" s="22">
        <v>7066</v>
      </c>
      <c r="J685" s="24" t="s">
        <v>177</v>
      </c>
      <c r="K685" s="22">
        <f>SUM(G685,H685,I685)</f>
        <v>33684</v>
      </c>
      <c r="L685" s="23" t="s">
        <v>793</v>
      </c>
      <c r="M685" s="23" t="str">
        <f>VLOOKUP(L685,スキル!B:C,2,FALSE)</f>
        <v>味方突属性の防御力をUP[特大]</v>
      </c>
      <c r="N685" s="23" t="s">
        <v>18</v>
      </c>
      <c r="O685" s="23" t="str">
        <f>VLOOKUP(N685,スキル!B:C,2,FALSE)</f>
        <v>　</v>
      </c>
      <c r="P685" s="23" t="s">
        <v>311</v>
      </c>
      <c r="Q685" s="23" t="str">
        <f>VLOOKUP(P685,タクティクス!B:C,2,FALSE)</f>
        <v>対戦騎士団全体の防御力が中DOWN(3分間)</v>
      </c>
      <c r="R685" s="23" t="s">
        <v>18</v>
      </c>
      <c r="S685" s="23" t="str">
        <f>VLOOKUP(R685,タクティクス!B:C,2,FALSE)</f>
        <v>　</v>
      </c>
      <c r="T685" s="23" t="s">
        <v>18</v>
      </c>
      <c r="U685" s="23" t="s">
        <v>18</v>
      </c>
      <c r="V685" s="20" t="s">
        <v>1905</v>
      </c>
    </row>
    <row r="686" spans="1:22" ht="21.75" customHeight="1" x14ac:dyDescent="0.15">
      <c r="A686" s="20" t="str">
        <f>B686&amp;".jpg"</f>
        <v>2117.jpg</v>
      </c>
      <c r="B686" s="46">
        <v>2117</v>
      </c>
      <c r="C686" s="24" t="s">
        <v>444</v>
      </c>
      <c r="D686" s="24" t="s">
        <v>150</v>
      </c>
      <c r="E686" s="24">
        <v>15</v>
      </c>
      <c r="F686" s="24" t="s">
        <v>16</v>
      </c>
      <c r="G686" s="22">
        <v>20188</v>
      </c>
      <c r="H686" s="22">
        <v>9279</v>
      </c>
      <c r="I686" s="22">
        <v>7293</v>
      </c>
      <c r="J686" s="24" t="s">
        <v>26</v>
      </c>
      <c r="K686" s="22">
        <f>SUM(G686,H686,I686)</f>
        <v>36760</v>
      </c>
      <c r="L686" s="23" t="s">
        <v>721</v>
      </c>
      <c r="M686" s="23" t="str">
        <f>VLOOKUP(L686,スキル!B:C,2,FALSE)</f>
        <v>突に強く斬に弱い横一列攻撃[特大]</v>
      </c>
      <c r="N686" s="23" t="s">
        <v>18</v>
      </c>
      <c r="O686" s="23" t="str">
        <f>VLOOKUP(N686,スキル!B:C,2,FALSE)</f>
        <v>　</v>
      </c>
      <c r="P686" s="23" t="s">
        <v>361</v>
      </c>
      <c r="Q686" s="23" t="str">
        <f>VLOOKUP(P686,タクティクス!B:C,2,FALSE)</f>
        <v>パーティ全体の攻撃力が特大UP(3分間)</v>
      </c>
      <c r="R686" s="23" t="s">
        <v>281</v>
      </c>
      <c r="S686" s="23" t="str">
        <f>VLOOKUP(R686,タクティクス!B:C,2,FALSE)</f>
        <v>CB時に獲得ポイント大UP＆BPが大回復(3回)</v>
      </c>
      <c r="T686" s="23" t="s">
        <v>18</v>
      </c>
      <c r="U686" s="23" t="s">
        <v>18</v>
      </c>
      <c r="V686" s="20" t="s">
        <v>1823</v>
      </c>
    </row>
    <row r="687" spans="1:22" ht="21.75" customHeight="1" x14ac:dyDescent="0.15">
      <c r="A687" s="20" t="str">
        <f>B687&amp;".jpg"</f>
        <v>2119.jpg</v>
      </c>
      <c r="B687" s="46">
        <v>2119</v>
      </c>
      <c r="C687" s="24" t="s">
        <v>445</v>
      </c>
      <c r="D687" s="24" t="s">
        <v>150</v>
      </c>
      <c r="E687" s="24">
        <v>15</v>
      </c>
      <c r="F687" s="24" t="s">
        <v>34</v>
      </c>
      <c r="G687" s="22">
        <v>25275</v>
      </c>
      <c r="H687" s="22">
        <v>7194</v>
      </c>
      <c r="I687" s="22">
        <v>10616</v>
      </c>
      <c r="J687" s="24" t="s">
        <v>151</v>
      </c>
      <c r="K687" s="22">
        <f>SUM(G687,H687,I687)</f>
        <v>43085</v>
      </c>
      <c r="L687" s="23" t="s">
        <v>885</v>
      </c>
      <c r="M687" s="23" t="str">
        <f>VLOOKUP(L687,スキル!B:C,2,FALSE)</f>
        <v>自分の防御力をUP[極大]</v>
      </c>
      <c r="N687" s="23" t="s">
        <v>18</v>
      </c>
      <c r="O687" s="23" t="str">
        <f>VLOOKUP(N687,スキル!B:C,2,FALSE)</f>
        <v>　</v>
      </c>
      <c r="P687" s="23" t="s">
        <v>421</v>
      </c>
      <c r="Q687" s="23" t="str">
        <f>VLOOKUP(P687,タクティクス!B:C,2,FALSE)</f>
        <v>キリ番キャッスルブレイク時の獲得ポイント特大UP(3回)</v>
      </c>
      <c r="R687" s="23" t="s">
        <v>180</v>
      </c>
      <c r="S687" s="23" t="str">
        <f>VLOOKUP(R687,タクティクス!B:C,2,FALSE)</f>
        <v>獲得する騎士団戦スコアが大アップ(バトル3回)</v>
      </c>
      <c r="T687" s="23" t="s">
        <v>18</v>
      </c>
      <c r="U687" s="23" t="s">
        <v>18</v>
      </c>
      <c r="V687" s="20" t="s">
        <v>1823</v>
      </c>
    </row>
    <row r="688" spans="1:22" ht="21.75" customHeight="1" x14ac:dyDescent="0.15">
      <c r="A688" s="20" t="str">
        <f>B688&amp;".jpg"</f>
        <v>2120.jpg</v>
      </c>
      <c r="B688" s="46">
        <v>2120</v>
      </c>
      <c r="C688" s="24" t="s">
        <v>446</v>
      </c>
      <c r="D688" s="24" t="s">
        <v>150</v>
      </c>
      <c r="E688" s="24">
        <v>15</v>
      </c>
      <c r="F688" s="24" t="s">
        <v>34</v>
      </c>
      <c r="G688" s="22">
        <v>26632</v>
      </c>
      <c r="H688" s="22">
        <v>7286</v>
      </c>
      <c r="I688" s="22">
        <v>10467</v>
      </c>
      <c r="J688" s="24" t="s">
        <v>151</v>
      </c>
      <c r="K688" s="22">
        <f>SUM(G688,H688,I688)</f>
        <v>44385</v>
      </c>
      <c r="L688" s="24" t="s">
        <v>729</v>
      </c>
      <c r="M688" s="23" t="str">
        <f>VLOOKUP(L688,スキル!B:C,2,FALSE)</f>
        <v>X字型に攻撃[特大]</v>
      </c>
      <c r="N688" s="23" t="s">
        <v>18</v>
      </c>
      <c r="O688" s="23" t="str">
        <f>VLOOKUP(N688,スキル!B:C,2,FALSE)</f>
        <v>　</v>
      </c>
      <c r="P688" s="26" t="s">
        <v>357</v>
      </c>
      <c r="Q688" s="23" t="str">
        <f>VLOOKUP(P688,タクティクス!B:C,2,FALSE)</f>
        <v>パーティ全体の防御力が特大UP(3分間)</v>
      </c>
      <c r="R688" s="23" t="s">
        <v>298</v>
      </c>
      <c r="S688" s="23" t="str">
        <f>VLOOKUP(R688,タクティクス!B:C,2,FALSE)</f>
        <v>城の強度Lvが中UP(3分間)</v>
      </c>
      <c r="T688" s="23" t="s">
        <v>18</v>
      </c>
      <c r="U688" s="23" t="s">
        <v>18</v>
      </c>
      <c r="V688" s="20" t="s">
        <v>1877</v>
      </c>
    </row>
    <row r="689" spans="1:22" ht="21.75" customHeight="1" x14ac:dyDescent="0.15">
      <c r="A689" s="20" t="str">
        <f>B689&amp;".jpg"</f>
        <v>2122.jpg</v>
      </c>
      <c r="B689" s="46">
        <v>2122</v>
      </c>
      <c r="C689" s="24" t="s">
        <v>175</v>
      </c>
      <c r="D689" s="24" t="s">
        <v>150</v>
      </c>
      <c r="E689" s="24">
        <v>15</v>
      </c>
      <c r="F689" s="24" t="s">
        <v>16</v>
      </c>
      <c r="G689" s="22">
        <v>21271</v>
      </c>
      <c r="H689" s="22">
        <v>9377</v>
      </c>
      <c r="I689" s="22">
        <v>7438</v>
      </c>
      <c r="J689" s="24" t="s">
        <v>26</v>
      </c>
      <c r="K689" s="22">
        <f>SUM(G689,H689,I689)</f>
        <v>38086</v>
      </c>
      <c r="L689" s="23" t="s">
        <v>715</v>
      </c>
      <c r="M689" s="23" t="str">
        <f>VLOOKUP(L689,スキル!B:C,2,FALSE)</f>
        <v>打に強く遠に弱い縦一列攻撃[特大]</v>
      </c>
      <c r="N689" s="23" t="s">
        <v>18</v>
      </c>
      <c r="O689" s="23" t="str">
        <f>VLOOKUP(N689,スキル!B:C,2,FALSE)</f>
        <v>　</v>
      </c>
      <c r="P689" s="23" t="s">
        <v>361</v>
      </c>
      <c r="Q689" s="23" t="str">
        <f>VLOOKUP(P689,タクティクス!B:C,2,FALSE)</f>
        <v>パーティ全体の攻撃力が特大UP(3分間)</v>
      </c>
      <c r="R689" s="23" t="s">
        <v>311</v>
      </c>
      <c r="S689" s="23" t="str">
        <f>VLOOKUP(R689,タクティクス!B:C,2,FALSE)</f>
        <v>対戦騎士団全体の防御力が中DOWN(3分間)</v>
      </c>
      <c r="T689" s="23" t="s">
        <v>18</v>
      </c>
      <c r="U689" s="23" t="s">
        <v>18</v>
      </c>
      <c r="V689" s="20" t="s">
        <v>1899</v>
      </c>
    </row>
    <row r="690" spans="1:22" ht="21.75" customHeight="1" x14ac:dyDescent="0.15">
      <c r="A690" s="20" t="str">
        <f>B690&amp;".jpg"</f>
        <v>2124.jpg</v>
      </c>
      <c r="B690" s="46">
        <v>2124</v>
      </c>
      <c r="C690" s="24" t="s">
        <v>106</v>
      </c>
      <c r="D690" s="24" t="s">
        <v>150</v>
      </c>
      <c r="E690" s="24">
        <v>15</v>
      </c>
      <c r="F690" s="24" t="s">
        <v>34</v>
      </c>
      <c r="G690" s="22">
        <v>27165</v>
      </c>
      <c r="H690" s="22">
        <v>7454</v>
      </c>
      <c r="I690" s="22">
        <v>10671</v>
      </c>
      <c r="J690" s="24" t="s">
        <v>151</v>
      </c>
      <c r="K690" s="22">
        <f>SUM(G690,H690,I690)</f>
        <v>45290</v>
      </c>
      <c r="L690" s="23" t="s">
        <v>799</v>
      </c>
      <c r="M690" s="23" t="str">
        <f>VLOOKUP(L690,スキル!B:C,2,FALSE)</f>
        <v>X字型攻撃[特大]自分の防御力UP[特大]</v>
      </c>
      <c r="N690" s="23" t="s">
        <v>18</v>
      </c>
      <c r="O690" s="23" t="str">
        <f>VLOOKUP(N690,スキル!B:C,2,FALSE)</f>
        <v>　</v>
      </c>
      <c r="P690" s="23" t="s">
        <v>427</v>
      </c>
      <c r="Q690" s="23" t="str">
        <f>VLOOKUP(P690,タクティクス!B:C,2,FALSE)</f>
        <v>キリ番CB時の獲得ポイント特大UP(3分間)</v>
      </c>
      <c r="R690" s="23" t="s">
        <v>376</v>
      </c>
      <c r="S690" s="23" t="str">
        <f>VLOOKUP(R690,タクティクス!B:C,2,FALSE)</f>
        <v>キリ番キャッスルブレイク時の獲得ポイントUP(3回)</v>
      </c>
      <c r="T690" s="23" t="s">
        <v>18</v>
      </c>
      <c r="U690" s="23" t="s">
        <v>18</v>
      </c>
      <c r="V690" s="20" t="s">
        <v>1899</v>
      </c>
    </row>
    <row r="691" spans="1:22" ht="21.75" customHeight="1" x14ac:dyDescent="0.15">
      <c r="A691" s="20" t="str">
        <f>B691&amp;".jpg"</f>
        <v>2125.jpg</v>
      </c>
      <c r="B691" s="46">
        <v>2125</v>
      </c>
      <c r="C691" s="24" t="s">
        <v>52</v>
      </c>
      <c r="D691" s="24" t="s">
        <v>150</v>
      </c>
      <c r="E691" s="24">
        <v>15</v>
      </c>
      <c r="F691" s="24" t="s">
        <v>41</v>
      </c>
      <c r="G691" s="22">
        <v>21788</v>
      </c>
      <c r="H691" s="22">
        <v>7109</v>
      </c>
      <c r="I691" s="22">
        <v>7329</v>
      </c>
      <c r="J691" s="24" t="s">
        <v>261</v>
      </c>
      <c r="K691" s="22">
        <f>SUM(G691,H691,I691)</f>
        <v>36226</v>
      </c>
      <c r="L691" s="23" t="s">
        <v>870</v>
      </c>
      <c r="M691" s="23" t="str">
        <f>VLOOKUP(L691,スキル!B:C,2,FALSE)</f>
        <v>味方遠属性の防御力をUP[極大]</v>
      </c>
      <c r="N691" s="23" t="s">
        <v>18</v>
      </c>
      <c r="O691" s="23" t="str">
        <f>VLOOKUP(N691,スキル!B:C,2,FALSE)</f>
        <v>　</v>
      </c>
      <c r="P691" s="23" t="s">
        <v>399</v>
      </c>
      <c r="Q691" s="23" t="str">
        <f>VLOOKUP(P691,タクティクス!B:C,2,FALSE)</f>
        <v>パーティ全体のスキル発動率が特大UP(3分間)</v>
      </c>
      <c r="R691" s="23" t="s">
        <v>192</v>
      </c>
      <c r="S691" s="23" t="str">
        <f>VLOOKUP(R691,タクティクス!B:C,2,FALSE)</f>
        <v>パーティ全体の防御力が大UP(3分間)</v>
      </c>
      <c r="T691" s="23" t="s">
        <v>18</v>
      </c>
      <c r="U691" s="23" t="s">
        <v>18</v>
      </c>
      <c r="V691" s="20" t="s">
        <v>1879</v>
      </c>
    </row>
    <row r="692" spans="1:22" ht="21.75" customHeight="1" x14ac:dyDescent="0.15">
      <c r="A692" s="20" t="str">
        <f>B692&amp;".jpg"</f>
        <v>2126.jpg</v>
      </c>
      <c r="B692" s="46">
        <v>2126</v>
      </c>
      <c r="C692" s="24" t="s">
        <v>144</v>
      </c>
      <c r="D692" s="24" t="s">
        <v>150</v>
      </c>
      <c r="E692" s="24">
        <v>15</v>
      </c>
      <c r="F692" s="24" t="s">
        <v>25</v>
      </c>
      <c r="G692" s="22">
        <v>21935</v>
      </c>
      <c r="H692" s="22">
        <v>6613</v>
      </c>
      <c r="I692" s="22">
        <v>8067</v>
      </c>
      <c r="J692" s="24" t="s">
        <v>425</v>
      </c>
      <c r="K692" s="22">
        <f>SUM(G692,H692,I692)</f>
        <v>36615</v>
      </c>
      <c r="L692" s="23" t="s">
        <v>857</v>
      </c>
      <c r="M692" s="23" t="str">
        <f>VLOOKUP(L692,スキル!B:C,2,FALSE)</f>
        <v>ランダム6連続攻撃[中]自分の攻撃力UP[中]</v>
      </c>
      <c r="N692" s="23" t="s">
        <v>18</v>
      </c>
      <c r="O692" s="23" t="str">
        <f>VLOOKUP(N692,スキル!B:C,2,FALSE)</f>
        <v>　</v>
      </c>
      <c r="P692" s="23" t="s">
        <v>397</v>
      </c>
      <c r="Q692" s="23" t="str">
        <f>VLOOKUP(P692,タクティクス!B:C,2,FALSE)</f>
        <v>バトルで獲得する騎士団戦スコアが特大アップ(3分間)</v>
      </c>
      <c r="R692" s="23" t="s">
        <v>308</v>
      </c>
      <c r="S692" s="23" t="str">
        <f>VLOOKUP(R692,タクティクス!B:C,2,FALSE)</f>
        <v>騎士団全体の攻撃力が中UP(3分間)</v>
      </c>
      <c r="T692" s="23" t="s">
        <v>18</v>
      </c>
      <c r="U692" s="23" t="s">
        <v>18</v>
      </c>
      <c r="V692" s="20" t="s">
        <v>1899</v>
      </c>
    </row>
    <row r="693" spans="1:22" ht="21.75" customHeight="1" x14ac:dyDescent="0.15">
      <c r="A693" s="20" t="str">
        <f>B693&amp;".jpg"</f>
        <v>2128.jpg</v>
      </c>
      <c r="B693" s="46">
        <v>2128</v>
      </c>
      <c r="C693" s="24" t="s">
        <v>447</v>
      </c>
      <c r="D693" s="24" t="s">
        <v>150</v>
      </c>
      <c r="E693" s="24">
        <v>15</v>
      </c>
      <c r="F693" s="24" t="s">
        <v>34</v>
      </c>
      <c r="G693" s="22">
        <v>24475</v>
      </c>
      <c r="H693" s="22">
        <v>7273</v>
      </c>
      <c r="I693" s="22">
        <v>10517</v>
      </c>
      <c r="J693" s="24" t="s">
        <v>151</v>
      </c>
      <c r="K693" s="22">
        <f>SUM(G693,H693,I693)</f>
        <v>42265</v>
      </c>
      <c r="L693" s="24" t="s">
        <v>691</v>
      </c>
      <c r="M693" s="23" t="str">
        <f>VLOOKUP(L693,スキル!B:C,2,FALSE)</f>
        <v>横一列に攻撃[特大]</v>
      </c>
      <c r="N693" s="23" t="s">
        <v>18</v>
      </c>
      <c r="O693" s="23" t="str">
        <f>VLOOKUP(N693,スキル!B:C,2,FALSE)</f>
        <v>　</v>
      </c>
      <c r="P693" s="23" t="s">
        <v>395</v>
      </c>
      <c r="Q693" s="23" t="str">
        <f>VLOOKUP(P693,タクティクス!B:C,2,FALSE)</f>
        <v>騎士団全体の強襲率大DOWN・防御力大UP(3分間)</v>
      </c>
      <c r="R693" s="23" t="s">
        <v>180</v>
      </c>
      <c r="S693" s="23" t="str">
        <f>VLOOKUP(R693,タクティクス!B:C,2,FALSE)</f>
        <v>獲得する騎士団戦スコアが大アップ(バトル3回)</v>
      </c>
      <c r="T693" s="23" t="s">
        <v>18</v>
      </c>
      <c r="U693" s="23" t="s">
        <v>18</v>
      </c>
      <c r="V693" s="20" t="s">
        <v>1823</v>
      </c>
    </row>
    <row r="694" spans="1:22" ht="21.75" customHeight="1" x14ac:dyDescent="0.15">
      <c r="A694" s="20" t="str">
        <f>B694&amp;".jpg"</f>
        <v>2130.jpg</v>
      </c>
      <c r="B694" s="46">
        <v>2130</v>
      </c>
      <c r="C694" s="24" t="s">
        <v>448</v>
      </c>
      <c r="D694" s="24" t="s">
        <v>150</v>
      </c>
      <c r="E694" s="24">
        <v>15</v>
      </c>
      <c r="F694" s="24" t="s">
        <v>25</v>
      </c>
      <c r="G694" s="22">
        <v>23062</v>
      </c>
      <c r="H694" s="22">
        <v>6328</v>
      </c>
      <c r="I694" s="22">
        <v>8581</v>
      </c>
      <c r="J694" s="24" t="s">
        <v>356</v>
      </c>
      <c r="K694" s="22">
        <f>SUM(G694,H694,I694)</f>
        <v>37971</v>
      </c>
      <c r="L694" s="23" t="s">
        <v>707</v>
      </c>
      <c r="M694" s="23" t="str">
        <f>VLOOKUP(L694,スキル!B:C,2,FALSE)</f>
        <v>一定確率で敵を範囲不可にする[超高確率]</v>
      </c>
      <c r="N694" s="23" t="s">
        <v>18</v>
      </c>
      <c r="O694" s="23" t="str">
        <f>VLOOKUP(N694,スキル!B:C,2,FALSE)</f>
        <v>　</v>
      </c>
      <c r="P694" s="23" t="s">
        <v>357</v>
      </c>
      <c r="Q694" s="23" t="str">
        <f>VLOOKUP(P694,タクティクス!B:C,2,FALSE)</f>
        <v>パーティ全体の防御力が特大UP(3分間)</v>
      </c>
      <c r="R694" s="23" t="s">
        <v>226</v>
      </c>
      <c r="S694" s="23" t="str">
        <f>VLOOKUP(R694,タクティクス!B:C,2,FALSE)</f>
        <v>バトルで獲得する騎士団戦スコアが大アップ(3分間)</v>
      </c>
      <c r="T694" s="23" t="s">
        <v>18</v>
      </c>
      <c r="U694" s="23" t="s">
        <v>18</v>
      </c>
      <c r="V694" s="20" t="s">
        <v>1823</v>
      </c>
    </row>
    <row r="695" spans="1:22" ht="21.75" customHeight="1" x14ac:dyDescent="0.15">
      <c r="A695" s="20" t="str">
        <f>B695&amp;".jpg"</f>
        <v>2131.jpg</v>
      </c>
      <c r="B695" s="46">
        <v>2131</v>
      </c>
      <c r="C695" s="24" t="s">
        <v>449</v>
      </c>
      <c r="D695" s="24" t="s">
        <v>150</v>
      </c>
      <c r="E695" s="24">
        <v>15</v>
      </c>
      <c r="F695" s="24" t="s">
        <v>34</v>
      </c>
      <c r="G695" s="22">
        <v>27280</v>
      </c>
      <c r="H695" s="22">
        <v>7477</v>
      </c>
      <c r="I695" s="22">
        <v>10434</v>
      </c>
      <c r="J695" s="24" t="s">
        <v>151</v>
      </c>
      <c r="K695" s="22">
        <f>SUM(G695,H695,I695)</f>
        <v>45191</v>
      </c>
      <c r="L695" s="24" t="s">
        <v>729</v>
      </c>
      <c r="M695" s="23" t="str">
        <f>VLOOKUP(L695,スキル!B:C,2,FALSE)</f>
        <v>X字型に攻撃[特大]</v>
      </c>
      <c r="N695" s="23" t="s">
        <v>18</v>
      </c>
      <c r="O695" s="23" t="str">
        <f>VLOOKUP(N695,スキル!B:C,2,FALSE)</f>
        <v>　</v>
      </c>
      <c r="P695" s="23" t="s">
        <v>441</v>
      </c>
      <c r="Q695" s="23" t="str">
        <f>VLOOKUP(P695,タクティクス!B:C,2,FALSE)</f>
        <v>強襲無効、攻撃力・スキル発動率特大UP(3分間)</v>
      </c>
      <c r="R695" s="23" t="s">
        <v>287</v>
      </c>
      <c r="S695" s="23" t="str">
        <f>VLOOKUP(R695,タクティクス!B:C,2,FALSE)</f>
        <v>騎士団全体の攻・防が中UP(3分間)</v>
      </c>
      <c r="T695" s="23" t="s">
        <v>18</v>
      </c>
      <c r="U695" s="23" t="s">
        <v>18</v>
      </c>
      <c r="V695" s="20" t="s">
        <v>1904</v>
      </c>
    </row>
    <row r="696" spans="1:22" ht="21.75" customHeight="1" x14ac:dyDescent="0.15">
      <c r="A696" s="20" t="str">
        <f>B696&amp;".jpg"</f>
        <v>2133.jpg</v>
      </c>
      <c r="B696" s="46">
        <v>2133</v>
      </c>
      <c r="C696" s="24" t="s">
        <v>187</v>
      </c>
      <c r="D696" s="24" t="s">
        <v>150</v>
      </c>
      <c r="E696" s="24">
        <v>15</v>
      </c>
      <c r="F696" s="24" t="s">
        <v>25</v>
      </c>
      <c r="G696" s="22">
        <v>24241</v>
      </c>
      <c r="H696" s="22">
        <v>6681</v>
      </c>
      <c r="I696" s="22">
        <v>8719</v>
      </c>
      <c r="J696" s="24" t="s">
        <v>356</v>
      </c>
      <c r="K696" s="22">
        <f>SUM(G696,H696,I696)</f>
        <v>39641</v>
      </c>
      <c r="L696" s="23" t="s">
        <v>786</v>
      </c>
      <c r="M696" s="23" t="str">
        <f>VLOOKUP(L696,スキル!B:C,2,FALSE)</f>
        <v>ランダムで6連続攻撃[中]</v>
      </c>
      <c r="N696" s="23" t="s">
        <v>18</v>
      </c>
      <c r="O696" s="23" t="str">
        <f>VLOOKUP(N696,スキル!B:C,2,FALSE)</f>
        <v>　</v>
      </c>
      <c r="P696" s="23" t="s">
        <v>238</v>
      </c>
      <c r="Q696" s="23" t="str">
        <f>VLOOKUP(P696,タクティクス!B:C,2,FALSE)</f>
        <v>騎士団全員のBPを大回復</v>
      </c>
      <c r="R696" s="23" t="s">
        <v>226</v>
      </c>
      <c r="S696" s="23" t="str">
        <f>VLOOKUP(R696,タクティクス!B:C,2,FALSE)</f>
        <v>バトルで獲得する騎士団戦スコアが大アップ(3分間)</v>
      </c>
      <c r="T696" s="23" t="s">
        <v>18</v>
      </c>
      <c r="U696" s="23" t="s">
        <v>18</v>
      </c>
      <c r="V696" s="20" t="s">
        <v>1899</v>
      </c>
    </row>
    <row r="697" spans="1:22" ht="21.75" customHeight="1" x14ac:dyDescent="0.15">
      <c r="A697" s="20" t="str">
        <f>B697&amp;".jpg"</f>
        <v>2135.jpg</v>
      </c>
      <c r="B697" s="46">
        <v>2135</v>
      </c>
      <c r="C697" s="24" t="s">
        <v>141</v>
      </c>
      <c r="D697" s="24" t="s">
        <v>150</v>
      </c>
      <c r="E697" s="24">
        <v>15</v>
      </c>
      <c r="F697" s="24" t="s">
        <v>41</v>
      </c>
      <c r="G697" s="22">
        <v>23984</v>
      </c>
      <c r="H697" s="22">
        <v>7586</v>
      </c>
      <c r="I697" s="22">
        <v>7398</v>
      </c>
      <c r="J697" s="24" t="s">
        <v>261</v>
      </c>
      <c r="K697" s="22">
        <f>SUM(G697,H697,I697)</f>
        <v>38968</v>
      </c>
      <c r="L697" s="23" t="s">
        <v>816</v>
      </c>
      <c r="M697" s="23" t="str">
        <f>VLOOKUP(L697,スキル!B:C,2,FALSE)</f>
        <v>斬に強く突に弱い横一列攻撃[特大]</v>
      </c>
      <c r="N697" s="23" t="s">
        <v>18</v>
      </c>
      <c r="O697" s="23" t="str">
        <f>VLOOKUP(N697,スキル!B:C,2,FALSE)</f>
        <v>　</v>
      </c>
      <c r="P697" s="23" t="s">
        <v>423</v>
      </c>
      <c r="Q697" s="23" t="str">
        <f>VLOOKUP(P697,タクティクス!B:C,2,FALSE)</f>
        <v>強襲CBの発生確率・強襲時獲得ポイント中UP(3分間)</v>
      </c>
      <c r="R697" s="23" t="s">
        <v>181</v>
      </c>
      <c r="S697" s="23" t="str">
        <f>VLOOKUP(R697,タクティクス!B:C,2,FALSE)</f>
        <v>騎士団全体の強襲CB率が小UP(3分間)</v>
      </c>
      <c r="T697" s="23" t="s">
        <v>18</v>
      </c>
      <c r="U697" s="23" t="s">
        <v>18</v>
      </c>
      <c r="V697" s="20" t="s">
        <v>1899</v>
      </c>
    </row>
    <row r="698" spans="1:22" ht="21.75" customHeight="1" x14ac:dyDescent="0.15">
      <c r="A698" s="20" t="str">
        <f>B698&amp;".jpg"</f>
        <v>2136.jpg</v>
      </c>
      <c r="B698" s="46">
        <v>2136</v>
      </c>
      <c r="C698" s="24" t="s">
        <v>279</v>
      </c>
      <c r="D698" s="24" t="s">
        <v>150</v>
      </c>
      <c r="E698" s="24">
        <v>15</v>
      </c>
      <c r="F698" s="24" t="s">
        <v>16</v>
      </c>
      <c r="G698" s="22">
        <v>20998</v>
      </c>
      <c r="H698" s="22">
        <v>9213</v>
      </c>
      <c r="I698" s="22">
        <v>7194</v>
      </c>
      <c r="J698" s="24" t="s">
        <v>26</v>
      </c>
      <c r="K698" s="22">
        <f>SUM(G698,H698,I698)</f>
        <v>37405</v>
      </c>
      <c r="L698" s="23" t="s">
        <v>885</v>
      </c>
      <c r="M698" s="23" t="str">
        <f>VLOOKUP(L698,スキル!B:C,2,FALSE)</f>
        <v>自分の防御力をUP[極大]</v>
      </c>
      <c r="N698" s="23" t="s">
        <v>18</v>
      </c>
      <c r="O698" s="23" t="str">
        <f>VLOOKUP(N698,スキル!B:C,2,FALSE)</f>
        <v>　</v>
      </c>
      <c r="P698" s="23" t="s">
        <v>361</v>
      </c>
      <c r="Q698" s="23" t="str">
        <f>VLOOKUP(P698,タクティクス!B:C,2,FALSE)</f>
        <v>パーティ全体の攻撃力が特大UP(3分間)</v>
      </c>
      <c r="R698" s="23" t="s">
        <v>152</v>
      </c>
      <c r="S698" s="23" t="str">
        <f>VLOOKUP(R698,タクティクス!B:C,2,FALSE)</f>
        <v>パーティ全体の攻・防が大UP(3分間)</v>
      </c>
      <c r="T698" s="23" t="s">
        <v>18</v>
      </c>
      <c r="U698" s="23" t="s">
        <v>18</v>
      </c>
      <c r="V698" s="20" t="s">
        <v>1825</v>
      </c>
    </row>
    <row r="699" spans="1:22" ht="21.75" customHeight="1" x14ac:dyDescent="0.15">
      <c r="A699" s="20" t="str">
        <f>B699&amp;".jpg"</f>
        <v>2137.jpg</v>
      </c>
      <c r="B699" s="46">
        <v>2137</v>
      </c>
      <c r="C699" s="24" t="s">
        <v>71</v>
      </c>
      <c r="D699" s="24" t="s">
        <v>150</v>
      </c>
      <c r="E699" s="24">
        <v>15</v>
      </c>
      <c r="F699" s="24" t="s">
        <v>16</v>
      </c>
      <c r="G699" s="22">
        <v>20123</v>
      </c>
      <c r="H699" s="22">
        <v>9305</v>
      </c>
      <c r="I699" s="22">
        <v>7419</v>
      </c>
      <c r="J699" s="24" t="s">
        <v>31</v>
      </c>
      <c r="K699" s="22">
        <f>SUM(G699,H699,I699)</f>
        <v>36847</v>
      </c>
      <c r="L699" s="23" t="s">
        <v>897</v>
      </c>
      <c r="M699" s="23" t="str">
        <f>VLOOKUP(L699,スキル!B:C,2,FALSE)</f>
        <v>十字型攻撃[特大]自分の攻撃力UP[特大]</v>
      </c>
      <c r="N699" s="23" t="s">
        <v>18</v>
      </c>
      <c r="O699" s="23" t="str">
        <f>VLOOKUP(N699,スキル!B:C,2,FALSE)</f>
        <v>　</v>
      </c>
      <c r="P699" s="23" t="s">
        <v>397</v>
      </c>
      <c r="Q699" s="23" t="str">
        <f>VLOOKUP(P699,タクティクス!B:C,2,FALSE)</f>
        <v>バトルで獲得する騎士団戦スコアが特大アップ(3分間)</v>
      </c>
      <c r="R699" s="23" t="s">
        <v>311</v>
      </c>
      <c r="S699" s="23" t="str">
        <f>VLOOKUP(R699,タクティクス!B:C,2,FALSE)</f>
        <v>対戦騎士団全体の防御力が中DOWN(3分間)</v>
      </c>
      <c r="T699" s="23" t="s">
        <v>18</v>
      </c>
      <c r="U699" s="23" t="s">
        <v>18</v>
      </c>
      <c r="V699" s="20" t="s">
        <v>1899</v>
      </c>
    </row>
    <row r="700" spans="1:22" ht="21.75" customHeight="1" x14ac:dyDescent="0.15">
      <c r="A700" s="20" t="str">
        <f>B700&amp;".jpg"</f>
        <v>2139.jpg</v>
      </c>
      <c r="B700" s="46">
        <v>2139</v>
      </c>
      <c r="C700" s="24" t="s">
        <v>273</v>
      </c>
      <c r="D700" s="24" t="s">
        <v>150</v>
      </c>
      <c r="E700" s="24">
        <v>15</v>
      </c>
      <c r="F700" s="24" t="s">
        <v>25</v>
      </c>
      <c r="G700" s="22">
        <v>23596</v>
      </c>
      <c r="H700" s="22">
        <v>6936</v>
      </c>
      <c r="I700" s="22">
        <v>8206</v>
      </c>
      <c r="J700" s="24" t="s">
        <v>356</v>
      </c>
      <c r="K700" s="22">
        <f>SUM(G700,H700,I700)</f>
        <v>38738</v>
      </c>
      <c r="L700" s="23" t="s">
        <v>872</v>
      </c>
      <c r="M700" s="23" t="str">
        <f>VLOOKUP(L700,スキル!B:C,2,FALSE)</f>
        <v>敵全体の攻撃力をDOWN[極大]</v>
      </c>
      <c r="N700" s="23" t="s">
        <v>18</v>
      </c>
      <c r="O700" s="23" t="str">
        <f>VLOOKUP(N700,スキル!B:C,2,FALSE)</f>
        <v>　</v>
      </c>
      <c r="P700" s="23" t="s">
        <v>378</v>
      </c>
      <c r="Q700" s="23" t="str">
        <f>VLOOKUP(P700,タクティクス!B:C,2,FALSE)</f>
        <v>パーティ全体の攻撃力・速度が大UP(3分間)</v>
      </c>
      <c r="R700" s="23" t="s">
        <v>311</v>
      </c>
      <c r="S700" s="23" t="str">
        <f>VLOOKUP(R700,タクティクス!B:C,2,FALSE)</f>
        <v>対戦騎士団全体の防御力が中DOWN(3分間)</v>
      </c>
      <c r="T700" s="23" t="s">
        <v>18</v>
      </c>
      <c r="U700" s="23" t="s">
        <v>18</v>
      </c>
      <c r="V700" s="20" t="s">
        <v>1899</v>
      </c>
    </row>
    <row r="701" spans="1:22" ht="21.75" customHeight="1" x14ac:dyDescent="0.15">
      <c r="A701" s="20" t="str">
        <f>B701&amp;".jpg"</f>
        <v>2141.jpg</v>
      </c>
      <c r="B701" s="46">
        <v>2141</v>
      </c>
      <c r="C701" s="24" t="s">
        <v>59</v>
      </c>
      <c r="D701" s="24" t="s">
        <v>150</v>
      </c>
      <c r="E701" s="24">
        <v>15</v>
      </c>
      <c r="F701" s="24" t="s">
        <v>34</v>
      </c>
      <c r="G701" s="22">
        <v>26909</v>
      </c>
      <c r="H701" s="22">
        <v>7674</v>
      </c>
      <c r="I701" s="22">
        <v>10598</v>
      </c>
      <c r="J701" s="24" t="s">
        <v>151</v>
      </c>
      <c r="K701" s="22">
        <f>SUM(G701,H701,I701)</f>
        <v>45181</v>
      </c>
      <c r="L701" s="23" t="s">
        <v>697</v>
      </c>
      <c r="M701" s="23" t="str">
        <f>VLOOKUP(L701,スキル!B:C,2,FALSE)</f>
        <v>X字型攻撃[特大]自分の攻撃力UP[特大]</v>
      </c>
      <c r="N701" s="23" t="s">
        <v>18</v>
      </c>
      <c r="O701" s="23" t="str">
        <f>VLOOKUP(N701,スキル!B:C,2,FALSE)</f>
        <v>　</v>
      </c>
      <c r="P701" s="23" t="s">
        <v>427</v>
      </c>
      <c r="Q701" s="23" t="str">
        <f>VLOOKUP(P701,タクティクス!B:C,2,FALSE)</f>
        <v>キリ番CB時の獲得ポイント特大UP(3分間)</v>
      </c>
      <c r="R701" s="23" t="s">
        <v>178</v>
      </c>
      <c r="S701" s="23" t="str">
        <f>VLOOKUP(R701,タクティクス!B:C,2,FALSE)</f>
        <v>パーティ全体の攻撃力が大UP(3分間)</v>
      </c>
      <c r="T701" s="23" t="s">
        <v>18</v>
      </c>
      <c r="U701" s="23" t="s">
        <v>18</v>
      </c>
      <c r="V701" s="20" t="s">
        <v>1899</v>
      </c>
    </row>
    <row r="702" spans="1:22" ht="21.75" customHeight="1" x14ac:dyDescent="0.15">
      <c r="A702" s="20" t="str">
        <f>B702&amp;".jpg"</f>
        <v>2143.jpg</v>
      </c>
      <c r="B702" s="46">
        <v>2143</v>
      </c>
      <c r="C702" s="24" t="s">
        <v>339</v>
      </c>
      <c r="D702" s="24" t="s">
        <v>150</v>
      </c>
      <c r="E702" s="24">
        <v>15</v>
      </c>
      <c r="F702" s="24" t="s">
        <v>41</v>
      </c>
      <c r="G702" s="22">
        <v>23579</v>
      </c>
      <c r="H702" s="22">
        <v>7520</v>
      </c>
      <c r="I702" s="22">
        <v>7859</v>
      </c>
      <c r="J702" s="24" t="s">
        <v>261</v>
      </c>
      <c r="K702" s="22">
        <f>SUM(G702,H702,I702)</f>
        <v>38958</v>
      </c>
      <c r="L702" s="23" t="s">
        <v>797</v>
      </c>
      <c r="M702" s="23" t="str">
        <f>VLOOKUP(L702,スキル!B:C,2,FALSE)</f>
        <v>横一列攻撃[特大]自分の攻撃力UP[特大]</v>
      </c>
      <c r="N702" s="23" t="s">
        <v>18</v>
      </c>
      <c r="O702" s="23" t="str">
        <f>VLOOKUP(N702,スキル!B:C,2,FALSE)</f>
        <v>　</v>
      </c>
      <c r="P702" s="23" t="s">
        <v>397</v>
      </c>
      <c r="Q702" s="23" t="str">
        <f>VLOOKUP(P702,タクティクス!B:C,2,FALSE)</f>
        <v>バトルで獲得する騎士団戦スコアが特大アップ(3分間)</v>
      </c>
      <c r="R702" s="23" t="s">
        <v>226</v>
      </c>
      <c r="S702" s="23" t="str">
        <f>VLOOKUP(R702,タクティクス!B:C,2,FALSE)</f>
        <v>バトルで獲得する騎士団戦スコアが大アップ(3分間)</v>
      </c>
      <c r="T702" s="23" t="s">
        <v>18</v>
      </c>
      <c r="U702" s="23" t="s">
        <v>18</v>
      </c>
      <c r="V702" s="20" t="s">
        <v>1899</v>
      </c>
    </row>
    <row r="703" spans="1:22" ht="21.75" customHeight="1" x14ac:dyDescent="0.15">
      <c r="A703" s="20" t="str">
        <f>B703&amp;".jpg"</f>
        <v>2145.jpg</v>
      </c>
      <c r="B703" s="46">
        <v>2145</v>
      </c>
      <c r="C703" s="24" t="s">
        <v>165</v>
      </c>
      <c r="D703" s="24" t="s">
        <v>150</v>
      </c>
      <c r="E703" s="24">
        <v>15</v>
      </c>
      <c r="F703" s="24" t="s">
        <v>34</v>
      </c>
      <c r="G703" s="22">
        <v>28637</v>
      </c>
      <c r="H703" s="22">
        <v>7527</v>
      </c>
      <c r="I703" s="22">
        <v>10928</v>
      </c>
      <c r="J703" s="24" t="s">
        <v>151</v>
      </c>
      <c r="K703" s="22">
        <f>SUM(G703,H703,I703)</f>
        <v>47092</v>
      </c>
      <c r="L703" s="23" t="s">
        <v>664</v>
      </c>
      <c r="M703" s="23" t="str">
        <f>VLOOKUP(L703,スキル!B:C,2,FALSE)</f>
        <v>縦一列に攻撃[特大]</v>
      </c>
      <c r="N703" s="23" t="s">
        <v>18</v>
      </c>
      <c r="O703" s="23" t="str">
        <f>VLOOKUP(N703,スキル!B:C,2,FALSE)</f>
        <v>　</v>
      </c>
      <c r="P703" s="23" t="s">
        <v>441</v>
      </c>
      <c r="Q703" s="23" t="str">
        <f>VLOOKUP(P703,タクティクス!B:C,2,FALSE)</f>
        <v>強襲無効、攻撃力・スキル発動率特大UP(3分間)</v>
      </c>
      <c r="R703" s="23" t="s">
        <v>308</v>
      </c>
      <c r="S703" s="23" t="str">
        <f>VLOOKUP(R703,タクティクス!B:C,2,FALSE)</f>
        <v>騎士団全体の攻撃力が中UP(3分間)</v>
      </c>
      <c r="T703" s="23" t="s">
        <v>18</v>
      </c>
      <c r="U703" s="23" t="s">
        <v>18</v>
      </c>
      <c r="V703" s="20" t="s">
        <v>1878</v>
      </c>
    </row>
    <row r="704" spans="1:22" ht="21.75" customHeight="1" x14ac:dyDescent="0.15">
      <c r="A704" s="20" t="str">
        <f>B704&amp;".jpg"</f>
        <v>2147.jpg</v>
      </c>
      <c r="B704" s="46">
        <v>2147</v>
      </c>
      <c r="C704" s="24" t="s">
        <v>450</v>
      </c>
      <c r="D704" s="24" t="s">
        <v>150</v>
      </c>
      <c r="E704" s="24">
        <v>15</v>
      </c>
      <c r="F704" s="24" t="s">
        <v>16</v>
      </c>
      <c r="G704" s="22">
        <v>21093</v>
      </c>
      <c r="H704" s="22">
        <v>9285</v>
      </c>
      <c r="I704" s="22">
        <v>7119</v>
      </c>
      <c r="J704" s="24" t="s">
        <v>26</v>
      </c>
      <c r="K704" s="22">
        <f>SUM(G704,H704,I704)</f>
        <v>37497</v>
      </c>
      <c r="L704" s="23" t="s">
        <v>664</v>
      </c>
      <c r="M704" s="23" t="str">
        <f>VLOOKUP(L704,スキル!B:C,2,FALSE)</f>
        <v>縦一列に攻撃[特大]</v>
      </c>
      <c r="N704" s="23" t="s">
        <v>18</v>
      </c>
      <c r="O704" s="23" t="str">
        <f>VLOOKUP(N704,スキル!B:C,2,FALSE)</f>
        <v>　</v>
      </c>
      <c r="P704" s="23" t="s">
        <v>393</v>
      </c>
      <c r="Q704" s="23" t="str">
        <f>VLOOKUP(P704,タクティクス!B:C,2,FALSE)</f>
        <v>強襲が発生無効、バトル時に攻・防大UP(3分間)</v>
      </c>
      <c r="R704" s="23" t="s">
        <v>192</v>
      </c>
      <c r="S704" s="23" t="str">
        <f>VLOOKUP(R704,タクティクス!B:C,2,FALSE)</f>
        <v>パーティ全体の防御力が大UP(3分間)</v>
      </c>
      <c r="T704" s="23" t="s">
        <v>18</v>
      </c>
      <c r="U704" s="23" t="s">
        <v>18</v>
      </c>
      <c r="V704" s="20" t="s">
        <v>1823</v>
      </c>
    </row>
    <row r="705" spans="1:22" ht="21.75" customHeight="1" x14ac:dyDescent="0.15">
      <c r="A705" s="20" t="str">
        <f>B705&amp;".jpg"</f>
        <v>2149.jpg</v>
      </c>
      <c r="B705" s="46">
        <v>2149</v>
      </c>
      <c r="C705" s="24" t="s">
        <v>451</v>
      </c>
      <c r="D705" s="24" t="s">
        <v>150</v>
      </c>
      <c r="E705" s="24">
        <v>15</v>
      </c>
      <c r="F705" s="24" t="s">
        <v>41</v>
      </c>
      <c r="G705" s="22">
        <v>22812</v>
      </c>
      <c r="H705" s="22">
        <v>7125</v>
      </c>
      <c r="I705" s="22">
        <v>7092</v>
      </c>
      <c r="J705" s="24" t="s">
        <v>261</v>
      </c>
      <c r="K705" s="22">
        <f>SUM(G705,H705,I705)</f>
        <v>37029</v>
      </c>
      <c r="L705" s="23" t="s">
        <v>715</v>
      </c>
      <c r="M705" s="23" t="str">
        <f>VLOOKUP(L705,スキル!B:C,2,FALSE)</f>
        <v>打に強く遠に弱い縦一列攻撃[特大]</v>
      </c>
      <c r="N705" s="23" t="s">
        <v>18</v>
      </c>
      <c r="O705" s="23" t="str">
        <f>VLOOKUP(N705,スキル!B:C,2,FALSE)</f>
        <v>　</v>
      </c>
      <c r="P705" s="23" t="s">
        <v>374</v>
      </c>
      <c r="Q705" s="23" t="str">
        <f>VLOOKUP(P705,タクティクス!B:C,2,FALSE)</f>
        <v>パーティ全体の攻・防が特大UP(3分間)</v>
      </c>
      <c r="R705" s="23" t="s">
        <v>330</v>
      </c>
      <c r="S705" s="23" t="str">
        <f>VLOOKUP(R705,タクティクス!B:C,2,FALSE)</f>
        <v>騎士団全体のスキル発動率が中UP(3分間)</v>
      </c>
      <c r="T705" s="23" t="s">
        <v>18</v>
      </c>
      <c r="U705" s="23" t="s">
        <v>18</v>
      </c>
      <c r="V705" s="20" t="s">
        <v>1823</v>
      </c>
    </row>
    <row r="706" spans="1:22" ht="21.75" customHeight="1" x14ac:dyDescent="0.15">
      <c r="A706" s="20" t="str">
        <f>B706&amp;".jpg"</f>
        <v>2150.jpg</v>
      </c>
      <c r="B706" s="46">
        <v>2150</v>
      </c>
      <c r="C706" s="24" t="s">
        <v>452</v>
      </c>
      <c r="D706" s="24" t="s">
        <v>15</v>
      </c>
      <c r="E706" s="24">
        <v>13</v>
      </c>
      <c r="F706" s="24" t="s">
        <v>41</v>
      </c>
      <c r="G706" s="22">
        <v>18518</v>
      </c>
      <c r="H706" s="22">
        <v>6628</v>
      </c>
      <c r="I706" s="22">
        <v>5640</v>
      </c>
      <c r="J706" s="24" t="s">
        <v>42</v>
      </c>
      <c r="K706" s="22">
        <f>SUM(G706,H706,I706)</f>
        <v>30786</v>
      </c>
      <c r="L706" s="23" t="s">
        <v>597</v>
      </c>
      <c r="M706" s="23" t="str">
        <f>VLOOKUP(L706,スキル!B:C,2,FALSE)</f>
        <v>一定確率で敵を暗闇状態にする[高確率]</v>
      </c>
      <c r="N706" s="23" t="s">
        <v>18</v>
      </c>
      <c r="O706" s="23" t="str">
        <f>VLOOKUP(N706,スキル!B:C,2,FALSE)</f>
        <v>　</v>
      </c>
      <c r="P706" s="23" t="s">
        <v>23</v>
      </c>
      <c r="Q706" s="23" t="str">
        <f>VLOOKUP(P706,タクティクス!B:C,2,FALSE)</f>
        <v>パーティ全体の攻撃力が中UP(3分間)</v>
      </c>
      <c r="R706" s="23" t="s">
        <v>18</v>
      </c>
      <c r="S706" s="23" t="str">
        <f>VLOOKUP(R706,タクティクス!B:C,2,FALSE)</f>
        <v>　</v>
      </c>
      <c r="T706" s="23" t="s">
        <v>18</v>
      </c>
      <c r="U706" s="23" t="s">
        <v>18</v>
      </c>
      <c r="V706" s="20" t="s">
        <v>1854</v>
      </c>
    </row>
    <row r="707" spans="1:22" ht="21.75" customHeight="1" x14ac:dyDescent="0.15">
      <c r="A707" s="20" t="str">
        <f>B707&amp;".jpg"</f>
        <v>2151.jpg</v>
      </c>
      <c r="B707" s="46">
        <v>2151</v>
      </c>
      <c r="C707" s="24" t="s">
        <v>452</v>
      </c>
      <c r="D707" s="24" t="s">
        <v>150</v>
      </c>
      <c r="E707" s="24">
        <v>14</v>
      </c>
      <c r="F707" s="24" t="s">
        <v>41</v>
      </c>
      <c r="G707" s="22">
        <v>20049</v>
      </c>
      <c r="H707" s="22">
        <v>7066</v>
      </c>
      <c r="I707" s="22">
        <v>6039</v>
      </c>
      <c r="J707" s="24" t="s">
        <v>55</v>
      </c>
      <c r="K707" s="22">
        <f>SUM(G707,H707,I707)</f>
        <v>33154</v>
      </c>
      <c r="L707" s="23" t="s">
        <v>745</v>
      </c>
      <c r="M707" s="23" t="str">
        <f>VLOOKUP(L707,スキル!B:C,2,FALSE)</f>
        <v>一定確率で敵を暗闇状態にする[超高確率]</v>
      </c>
      <c r="N707" s="23" t="s">
        <v>18</v>
      </c>
      <c r="O707" s="23" t="str">
        <f>VLOOKUP(N707,スキル!B:C,2,FALSE)</f>
        <v>　</v>
      </c>
      <c r="P707" s="23" t="s">
        <v>178</v>
      </c>
      <c r="Q707" s="23" t="str">
        <f>VLOOKUP(P707,タクティクス!B:C,2,FALSE)</f>
        <v>パーティ全体の攻撃力が大UP(3分間)</v>
      </c>
      <c r="R707" s="23" t="s">
        <v>18</v>
      </c>
      <c r="S707" s="23" t="str">
        <f>VLOOKUP(R707,タクティクス!B:C,2,FALSE)</f>
        <v>　</v>
      </c>
      <c r="T707" s="23" t="s">
        <v>18</v>
      </c>
      <c r="U707" s="23" t="s">
        <v>18</v>
      </c>
      <c r="V707" s="20" t="s">
        <v>1854</v>
      </c>
    </row>
    <row r="708" spans="1:22" ht="21.75" customHeight="1" x14ac:dyDescent="0.15">
      <c r="A708" s="20" t="str">
        <f>B708&amp;".jpg"</f>
        <v>2152.jpg</v>
      </c>
      <c r="B708" s="46">
        <v>2152</v>
      </c>
      <c r="C708" s="24" t="s">
        <v>452</v>
      </c>
      <c r="D708" s="24" t="s">
        <v>150</v>
      </c>
      <c r="E708" s="24">
        <v>15</v>
      </c>
      <c r="F708" s="24" t="s">
        <v>41</v>
      </c>
      <c r="G708" s="22">
        <v>23727</v>
      </c>
      <c r="H708" s="22">
        <v>7306</v>
      </c>
      <c r="I708" s="22">
        <v>7392</v>
      </c>
      <c r="J708" s="24" t="s">
        <v>261</v>
      </c>
      <c r="K708" s="22">
        <f>SUM(G708,H708,I708)</f>
        <v>38425</v>
      </c>
      <c r="L708" s="23" t="s">
        <v>745</v>
      </c>
      <c r="M708" s="23" t="str">
        <f>VLOOKUP(L708,スキル!B:C,2,FALSE)</f>
        <v>一定確率で敵を暗闇状態にする[超高確率]</v>
      </c>
      <c r="N708" s="23" t="s">
        <v>18</v>
      </c>
      <c r="O708" s="23" t="str">
        <f>VLOOKUP(N708,スキル!B:C,2,FALSE)</f>
        <v>　</v>
      </c>
      <c r="P708" s="23" t="s">
        <v>361</v>
      </c>
      <c r="Q708" s="23" t="str">
        <f>VLOOKUP(P708,タクティクス!B:C,2,FALSE)</f>
        <v>パーティ全体の攻撃力が特大UP(3分間)</v>
      </c>
      <c r="R708" s="23" t="s">
        <v>192</v>
      </c>
      <c r="S708" s="23" t="str">
        <f>VLOOKUP(R708,タクティクス!B:C,2,FALSE)</f>
        <v>パーティ全体の防御力が大UP(3分間)</v>
      </c>
      <c r="T708" s="23" t="s">
        <v>18</v>
      </c>
      <c r="U708" s="23" t="s">
        <v>18</v>
      </c>
      <c r="V708" s="20" t="s">
        <v>1854</v>
      </c>
    </row>
    <row r="709" spans="1:22" ht="21.75" customHeight="1" x14ac:dyDescent="0.15">
      <c r="A709" s="20" t="str">
        <f>B709&amp;".jpg"</f>
        <v>2153.jpg</v>
      </c>
      <c r="B709" s="46">
        <v>2153</v>
      </c>
      <c r="C709" s="24" t="s">
        <v>452</v>
      </c>
      <c r="D709" s="24" t="s">
        <v>150</v>
      </c>
      <c r="E709" s="24">
        <v>16</v>
      </c>
      <c r="F709" s="24" t="s">
        <v>41</v>
      </c>
      <c r="G709" s="22">
        <v>25003</v>
      </c>
      <c r="H709" s="22">
        <v>8458</v>
      </c>
      <c r="I709" s="22">
        <v>8138</v>
      </c>
      <c r="J709" s="24" t="s">
        <v>31</v>
      </c>
      <c r="K709" s="22">
        <f>SUM(G709,H709,I709)</f>
        <v>41599</v>
      </c>
      <c r="L709" s="23" t="s">
        <v>898</v>
      </c>
      <c r="M709" s="23" t="str">
        <f>VLOOKUP(L709,スキル!B:C,2,FALSE)</f>
        <v>一定確率で敵を暗闇状態にする[超超高確率]</v>
      </c>
      <c r="N709" s="23" t="s">
        <v>971</v>
      </c>
      <c r="O709" s="23" t="str">
        <f>VLOOKUP(N709,スキル!B:C,2,FALSE)</f>
        <v>最大2回攻撃[特大]状態異常付加</v>
      </c>
      <c r="P709" s="23" t="s">
        <v>453</v>
      </c>
      <c r="Q709" s="23" t="str">
        <f>VLOOKUP(P709,タクティクス!B:C,2,FALSE)</f>
        <v>パーティ全体の攻撃力が極大UP＆ユニット1体をタレント状態にする(3分間)</v>
      </c>
      <c r="R709" s="23" t="s">
        <v>357</v>
      </c>
      <c r="S709" s="23" t="str">
        <f>VLOOKUP(R709,タクティクス!B:C,2,FALSE)</f>
        <v>パーティ全体の防御力が特大UP(3分間)</v>
      </c>
      <c r="T709" s="23" t="s">
        <v>454</v>
      </c>
      <c r="U709" s="23" t="s">
        <v>18</v>
      </c>
      <c r="V709" s="20" t="s">
        <v>1854</v>
      </c>
    </row>
    <row r="710" spans="1:22" ht="21.75" customHeight="1" x14ac:dyDescent="0.15">
      <c r="A710" s="20" t="str">
        <f>B710&amp;".jpg"</f>
        <v>2154.jpg</v>
      </c>
      <c r="B710" s="46">
        <v>2154</v>
      </c>
      <c r="C710" s="24" t="s">
        <v>372</v>
      </c>
      <c r="D710" s="24" t="s">
        <v>150</v>
      </c>
      <c r="E710" s="24">
        <v>15</v>
      </c>
      <c r="F710" s="24" t="s">
        <v>41</v>
      </c>
      <c r="G710" s="22">
        <v>22535</v>
      </c>
      <c r="H710" s="22">
        <v>7389</v>
      </c>
      <c r="I710" s="22">
        <v>7165</v>
      </c>
      <c r="J710" s="24" t="s">
        <v>261</v>
      </c>
      <c r="K710" s="22">
        <f>SUM(G710,H710,I710)</f>
        <v>37089</v>
      </c>
      <c r="L710" s="23" t="s">
        <v>869</v>
      </c>
      <c r="M710" s="23" t="str">
        <f>VLOOKUP(L710,スキル!B:C,2,FALSE)</f>
        <v>ランダムで6連続攻撃[中]</v>
      </c>
      <c r="N710" s="23" t="s">
        <v>18</v>
      </c>
      <c r="O710" s="23" t="str">
        <f>VLOOKUP(N710,スキル!B:C,2,FALSE)</f>
        <v>　</v>
      </c>
      <c r="P710" s="23" t="s">
        <v>374</v>
      </c>
      <c r="Q710" s="23" t="str">
        <f>VLOOKUP(P710,タクティクス!B:C,2,FALSE)</f>
        <v>パーティ全体の攻・防が特大UP(3分間)</v>
      </c>
      <c r="R710" s="23" t="s">
        <v>232</v>
      </c>
      <c r="S710" s="23" t="str">
        <f>VLOOKUP(R710,タクティクス!B:C,2,FALSE)</f>
        <v>騎士団全員のBPを中回復</v>
      </c>
      <c r="T710" s="23" t="s">
        <v>18</v>
      </c>
      <c r="U710" s="23" t="s">
        <v>18</v>
      </c>
      <c r="V710" s="20" t="s">
        <v>1907</v>
      </c>
    </row>
    <row r="711" spans="1:22" ht="21.75" customHeight="1" x14ac:dyDescent="0.15">
      <c r="A711" s="20" t="str">
        <f>B711&amp;".jpg"</f>
        <v>2156.jpg</v>
      </c>
      <c r="B711" s="46">
        <v>2156</v>
      </c>
      <c r="C711" s="24" t="s">
        <v>71</v>
      </c>
      <c r="D711" s="24" t="s">
        <v>150</v>
      </c>
      <c r="E711" s="24">
        <v>16</v>
      </c>
      <c r="F711" s="24" t="s">
        <v>16</v>
      </c>
      <c r="G711" s="22">
        <v>22424</v>
      </c>
      <c r="H711" s="22">
        <v>10249</v>
      </c>
      <c r="I711" s="22">
        <v>8496</v>
      </c>
      <c r="J711" s="24" t="s">
        <v>177</v>
      </c>
      <c r="K711" s="22">
        <f>SUM(G711,H711,I711)</f>
        <v>41169</v>
      </c>
      <c r="L711" s="23" t="s">
        <v>900</v>
      </c>
      <c r="M711" s="23" t="str">
        <f>VLOOKUP(L711,スキル!B:C,2,FALSE)</f>
        <v>味方斬属性の攻撃力をUP[超極大]</v>
      </c>
      <c r="N711" s="23" t="s">
        <v>18</v>
      </c>
      <c r="O711" s="23" t="str">
        <f>VLOOKUP(N711,スキル!B:C,2,FALSE)</f>
        <v>　</v>
      </c>
      <c r="P711" s="23" t="s">
        <v>453</v>
      </c>
      <c r="Q711" s="23" t="str">
        <f>VLOOKUP(P711,タクティクス!B:C,2,FALSE)</f>
        <v>パーティ全体の攻撃力が極大UP＆ユニット1体をタレント状態にする(3分間)</v>
      </c>
      <c r="R711" s="23" t="s">
        <v>354</v>
      </c>
      <c r="S711" s="23" t="str">
        <f>VLOOKUP(R711,タクティクス!B:C,2,FALSE)</f>
        <v>バトル時の強襲CB率が大UP(3分間)</v>
      </c>
      <c r="T711" s="23" t="s">
        <v>455</v>
      </c>
      <c r="U711" s="23" t="s">
        <v>18</v>
      </c>
      <c r="V711" s="20" t="s">
        <v>1885</v>
      </c>
    </row>
    <row r="712" spans="1:22" ht="21.75" customHeight="1" x14ac:dyDescent="0.15">
      <c r="A712" s="20" t="str">
        <f>B712&amp;".jpg"</f>
        <v>2158.jpg</v>
      </c>
      <c r="B712" s="46">
        <v>2158</v>
      </c>
      <c r="C712" s="24" t="s">
        <v>98</v>
      </c>
      <c r="D712" s="24" t="s">
        <v>150</v>
      </c>
      <c r="E712" s="24">
        <v>15</v>
      </c>
      <c r="F712" s="24" t="s">
        <v>34</v>
      </c>
      <c r="G712" s="22">
        <v>29687</v>
      </c>
      <c r="H712" s="22">
        <v>7619</v>
      </c>
      <c r="I712" s="22">
        <v>11317</v>
      </c>
      <c r="J712" s="24" t="s">
        <v>151</v>
      </c>
      <c r="K712" s="22">
        <f>SUM(G712,H712,I712)</f>
        <v>48623</v>
      </c>
      <c r="L712" s="24" t="s">
        <v>729</v>
      </c>
      <c r="M712" s="23" t="str">
        <f>VLOOKUP(L712,スキル!B:C,2,FALSE)</f>
        <v>X字型に攻撃[特大]</v>
      </c>
      <c r="N712" s="23" t="s">
        <v>18</v>
      </c>
      <c r="O712" s="23" t="str">
        <f>VLOOKUP(N712,スキル!B:C,2,FALSE)</f>
        <v>　</v>
      </c>
      <c r="P712" s="23" t="s">
        <v>393</v>
      </c>
      <c r="Q712" s="23" t="str">
        <f>VLOOKUP(P712,タクティクス!B:C,2,FALSE)</f>
        <v>強襲が発生無効、バトル時に攻・防大UP(3分間)</v>
      </c>
      <c r="R712" s="23" t="s">
        <v>311</v>
      </c>
      <c r="S712" s="23" t="str">
        <f>VLOOKUP(R712,タクティクス!B:C,2,FALSE)</f>
        <v>対戦騎士団全体の防御力が中DOWN(3分間)</v>
      </c>
      <c r="T712" s="23" t="s">
        <v>18</v>
      </c>
      <c r="U712" s="23" t="s">
        <v>18</v>
      </c>
      <c r="V712" s="20" t="s">
        <v>1885</v>
      </c>
    </row>
    <row r="713" spans="1:22" ht="21.75" customHeight="1" x14ac:dyDescent="0.15">
      <c r="A713" s="20" t="str">
        <f>B713&amp;".jpg"</f>
        <v>2160.jpg</v>
      </c>
      <c r="B713" s="46">
        <v>2160</v>
      </c>
      <c r="C713" s="24" t="s">
        <v>84</v>
      </c>
      <c r="D713" s="24" t="s">
        <v>150</v>
      </c>
      <c r="E713" s="24">
        <v>15</v>
      </c>
      <c r="F713" s="24" t="s">
        <v>41</v>
      </c>
      <c r="G713" s="22">
        <v>24198</v>
      </c>
      <c r="H713" s="22">
        <v>7596</v>
      </c>
      <c r="I713" s="22">
        <v>7734</v>
      </c>
      <c r="J713" s="24" t="s">
        <v>261</v>
      </c>
      <c r="K713" s="22">
        <f>SUM(G713,H713,I713)</f>
        <v>39528</v>
      </c>
      <c r="L713" s="23" t="s">
        <v>832</v>
      </c>
      <c r="M713" s="23" t="str">
        <f>VLOOKUP(L713,スキル!B:C,2,FALSE)</f>
        <v>ランダムで6連続攻撃[中]</v>
      </c>
      <c r="N713" s="23" t="s">
        <v>18</v>
      </c>
      <c r="O713" s="23" t="str">
        <f>VLOOKUP(N713,スキル!B:C,2,FALSE)</f>
        <v>　</v>
      </c>
      <c r="P713" s="23" t="s">
        <v>378</v>
      </c>
      <c r="Q713" s="23" t="str">
        <f>VLOOKUP(P713,タクティクス!B:C,2,FALSE)</f>
        <v>パーティ全体の攻撃力・速度が大UP(3分間)</v>
      </c>
      <c r="R713" s="23" t="s">
        <v>287</v>
      </c>
      <c r="S713" s="23" t="str">
        <f>VLOOKUP(R713,タクティクス!B:C,2,FALSE)</f>
        <v>騎士団全体の攻・防が中UP(3分間)</v>
      </c>
      <c r="T713" s="23" t="s">
        <v>18</v>
      </c>
      <c r="U713" s="23" t="s">
        <v>18</v>
      </c>
      <c r="V713" s="20" t="s">
        <v>1885</v>
      </c>
    </row>
    <row r="714" spans="1:22" ht="21.75" customHeight="1" x14ac:dyDescent="0.15">
      <c r="A714" s="20" t="str">
        <f>B714&amp;".jpg"</f>
        <v>2161.jpg</v>
      </c>
      <c r="B714" s="46">
        <v>2161</v>
      </c>
      <c r="C714" s="24" t="s">
        <v>80</v>
      </c>
      <c r="D714" s="24" t="s">
        <v>150</v>
      </c>
      <c r="E714" s="24">
        <v>16</v>
      </c>
      <c r="F714" s="24" t="s">
        <v>25</v>
      </c>
      <c r="G714" s="22">
        <v>27167</v>
      </c>
      <c r="H714" s="22">
        <v>7849</v>
      </c>
      <c r="I714" s="22">
        <v>10496</v>
      </c>
      <c r="J714" s="24" t="s">
        <v>456</v>
      </c>
      <c r="K714" s="22">
        <f>SUM(G714,H714,I714)</f>
        <v>45512</v>
      </c>
      <c r="L714" s="23" t="s">
        <v>902</v>
      </c>
      <c r="M714" s="23" t="str">
        <f>VLOOKUP(L714,スキル!B:C,2,FALSE)</f>
        <v>縦一列に攻撃[極大]</v>
      </c>
      <c r="N714" s="23" t="s">
        <v>973</v>
      </c>
      <c r="O714" s="23" t="str">
        <f>VLOOKUP(N714,スキル!B:C,2,FALSE)</f>
        <v>同じ縦一列に3回攻撃[極大]</v>
      </c>
      <c r="P714" s="23" t="s">
        <v>457</v>
      </c>
      <c r="Q714" s="23" t="str">
        <f>VLOOKUP(P714,タクティクス!B:C,2,FALSE)</f>
        <v>パーティ全体の攻・防が極大UP＆ユニット1体をタレント状態にする(3分間)</v>
      </c>
      <c r="R714" s="23" t="s">
        <v>361</v>
      </c>
      <c r="S714" s="23" t="str">
        <f>VLOOKUP(R714,タクティクス!B:C,2,FALSE)</f>
        <v>パーティ全体の攻撃力が特大UP(3分間)</v>
      </c>
      <c r="T714" s="23" t="s">
        <v>458</v>
      </c>
      <c r="U714" s="23" t="s">
        <v>18</v>
      </c>
      <c r="V714" s="20" t="s">
        <v>1890</v>
      </c>
    </row>
    <row r="715" spans="1:22" ht="21.75" customHeight="1" x14ac:dyDescent="0.15">
      <c r="A715" s="20" t="str">
        <f>B715&amp;".jpg"</f>
        <v>2163.jpg</v>
      </c>
      <c r="B715" s="46">
        <v>2163</v>
      </c>
      <c r="C715" s="24" t="s">
        <v>219</v>
      </c>
      <c r="D715" s="24" t="s">
        <v>150</v>
      </c>
      <c r="E715" s="24">
        <v>15</v>
      </c>
      <c r="F715" s="24" t="s">
        <v>16</v>
      </c>
      <c r="G715" s="22">
        <v>19918</v>
      </c>
      <c r="H715" s="22">
        <v>9424</v>
      </c>
      <c r="I715" s="22">
        <v>6374</v>
      </c>
      <c r="J715" s="24" t="s">
        <v>26</v>
      </c>
      <c r="K715" s="22">
        <f>SUM(G715,H715,I715)</f>
        <v>35716</v>
      </c>
      <c r="L715" s="23" t="s">
        <v>735</v>
      </c>
      <c r="M715" s="23" t="str">
        <f>VLOOKUP(L715,スキル!B:C,2,FALSE)</f>
        <v>X字型攻撃[特大]自分の攻撃力UP[特大]</v>
      </c>
      <c r="N715" s="23" t="s">
        <v>18</v>
      </c>
      <c r="O715" s="23" t="str">
        <f>VLOOKUP(N715,スキル!B:C,2,FALSE)</f>
        <v>　</v>
      </c>
      <c r="P715" s="23" t="s">
        <v>410</v>
      </c>
      <c r="Q715" s="23" t="str">
        <f>VLOOKUP(P715,タクティクス!B:C,2,FALSE)</f>
        <v>パーティ全体の攻撃力特大UP・速度大DOWN(3分間)</v>
      </c>
      <c r="R715" s="23" t="s">
        <v>281</v>
      </c>
      <c r="S715" s="23" t="str">
        <f>VLOOKUP(R715,タクティクス!B:C,2,FALSE)</f>
        <v>CB時に獲得ポイント大UP＆BPが大回復(3回)</v>
      </c>
      <c r="T715" s="23" t="s">
        <v>18</v>
      </c>
      <c r="U715" s="23" t="s">
        <v>18</v>
      </c>
      <c r="V715" s="20" t="s">
        <v>1916</v>
      </c>
    </row>
    <row r="716" spans="1:22" ht="21.75" customHeight="1" x14ac:dyDescent="0.15">
      <c r="A716" s="20" t="str">
        <f>B716&amp;".jpg"</f>
        <v>2164.jpg</v>
      </c>
      <c r="B716" s="46">
        <v>2164</v>
      </c>
      <c r="C716" s="24" t="s">
        <v>459</v>
      </c>
      <c r="D716" s="24" t="s">
        <v>15</v>
      </c>
      <c r="E716" s="24">
        <v>14</v>
      </c>
      <c r="F716" s="24" t="s">
        <v>25</v>
      </c>
      <c r="G716" s="22">
        <v>19028</v>
      </c>
      <c r="H716" s="22">
        <v>6037</v>
      </c>
      <c r="I716" s="22">
        <v>6391</v>
      </c>
      <c r="J716" s="24" t="s">
        <v>177</v>
      </c>
      <c r="K716" s="22">
        <f>SUM(G716,H716,I716)</f>
        <v>31456</v>
      </c>
      <c r="L716" s="23" t="s">
        <v>707</v>
      </c>
      <c r="M716" s="23" t="str">
        <f>VLOOKUP(L716,スキル!B:C,2,FALSE)</f>
        <v>一定確率で敵を範囲不可にする[超高確率]</v>
      </c>
      <c r="N716" s="23" t="s">
        <v>18</v>
      </c>
      <c r="O716" s="23" t="str">
        <f>VLOOKUP(N716,スキル!B:C,2,FALSE)</f>
        <v>　</v>
      </c>
      <c r="P716" s="23" t="s">
        <v>178</v>
      </c>
      <c r="Q716" s="23" t="str">
        <f>VLOOKUP(P716,タクティクス!B:C,2,FALSE)</f>
        <v>パーティ全体の攻撃力が大UP(3分間)</v>
      </c>
      <c r="R716" s="23" t="s">
        <v>18</v>
      </c>
      <c r="S716" s="23" t="str">
        <f>VLOOKUP(R716,タクティクス!B:C,2,FALSE)</f>
        <v>　</v>
      </c>
      <c r="T716" s="23" t="s">
        <v>18</v>
      </c>
      <c r="U716" s="23" t="s">
        <v>460</v>
      </c>
      <c r="V716" s="20" t="s">
        <v>1901</v>
      </c>
    </row>
    <row r="717" spans="1:22" ht="21.75" customHeight="1" x14ac:dyDescent="0.15">
      <c r="A717" s="20" t="str">
        <f>B717&amp;".jpg"</f>
        <v>2165.jpg</v>
      </c>
      <c r="B717" s="46">
        <v>2165</v>
      </c>
      <c r="C717" s="24" t="s">
        <v>74</v>
      </c>
      <c r="D717" s="24" t="s">
        <v>150</v>
      </c>
      <c r="E717" s="24">
        <v>16</v>
      </c>
      <c r="F717" s="24" t="s">
        <v>25</v>
      </c>
      <c r="G717" s="22">
        <v>26283</v>
      </c>
      <c r="H717" s="22">
        <v>7605</v>
      </c>
      <c r="I717" s="22">
        <v>10612</v>
      </c>
      <c r="J717" s="24" t="s">
        <v>456</v>
      </c>
      <c r="K717" s="22">
        <f>SUM(G717,H717,I717)</f>
        <v>44500</v>
      </c>
      <c r="L717" s="24" t="s">
        <v>904</v>
      </c>
      <c r="M717" s="23" t="str">
        <f>VLOOKUP(L717,スキル!B:C,2,FALSE)</f>
        <v>横一列に攻撃[極大]</v>
      </c>
      <c r="N717" s="23" t="s">
        <v>18</v>
      </c>
      <c r="O717" s="23" t="str">
        <f>VLOOKUP(N717,スキル!B:C,2,FALSE)</f>
        <v>　</v>
      </c>
      <c r="P717" s="23" t="s">
        <v>461</v>
      </c>
      <c r="Q717" s="23" t="str">
        <f>VLOOKUP(P717,タクティクス!B:C,2,FALSE)</f>
        <v>パーティ全体の防御力が極大UP＆ユニット1体をタレント状態にする(3分間)</v>
      </c>
      <c r="R717" s="23" t="s">
        <v>441</v>
      </c>
      <c r="S717" s="23" t="str">
        <f>VLOOKUP(R717,タクティクス!B:C,2,FALSE)</f>
        <v>強襲無効、攻撃力・スキル発動率特大UP(3分間)</v>
      </c>
      <c r="T717" s="23" t="s">
        <v>18</v>
      </c>
      <c r="U717" s="23" t="s">
        <v>462</v>
      </c>
      <c r="V717" s="20" t="s">
        <v>1899</v>
      </c>
    </row>
    <row r="718" spans="1:22" ht="21.75" customHeight="1" x14ac:dyDescent="0.15">
      <c r="A718" s="20" t="str">
        <f>B718&amp;".jpg"</f>
        <v>2166.jpg</v>
      </c>
      <c r="B718" s="46">
        <v>2166</v>
      </c>
      <c r="C718" s="24" t="s">
        <v>72</v>
      </c>
      <c r="D718" s="24" t="s">
        <v>150</v>
      </c>
      <c r="E718" s="24">
        <v>15</v>
      </c>
      <c r="F718" s="24" t="s">
        <v>41</v>
      </c>
      <c r="G718" s="22">
        <v>23971</v>
      </c>
      <c r="H718" s="22">
        <v>7612</v>
      </c>
      <c r="I718" s="22">
        <v>7306</v>
      </c>
      <c r="J718" s="24" t="s">
        <v>261</v>
      </c>
      <c r="K718" s="22">
        <f>SUM(G718,H718,I718)</f>
        <v>38889</v>
      </c>
      <c r="L718" s="23" t="s">
        <v>887</v>
      </c>
      <c r="M718" s="23" t="str">
        <f>VLOOKUP(L718,スキル!B:C,2,FALSE)</f>
        <v>味方遠属性の攻撃力をUP[極大]</v>
      </c>
      <c r="N718" s="23" t="s">
        <v>18</v>
      </c>
      <c r="O718" s="23" t="str">
        <f>VLOOKUP(N718,スキル!B:C,2,FALSE)</f>
        <v>　</v>
      </c>
      <c r="P718" s="23" t="s">
        <v>463</v>
      </c>
      <c r="Q718" s="23" t="str">
        <f>VLOOKUP(P718,タクティクス!B:C,2,FALSE)</f>
        <v>騎士団全体の攻撃力が大UP(3分間)</v>
      </c>
      <c r="R718" s="23" t="s">
        <v>226</v>
      </c>
      <c r="S718" s="23" t="str">
        <f>VLOOKUP(R718,タクティクス!B:C,2,FALSE)</f>
        <v>バトルで獲得する騎士団戦スコアが大アップ(3分間)</v>
      </c>
      <c r="T718" s="23" t="s">
        <v>18</v>
      </c>
      <c r="U718" s="23" t="s">
        <v>18</v>
      </c>
      <c r="V718" s="20" t="s">
        <v>1899</v>
      </c>
    </row>
    <row r="719" spans="1:22" ht="21.75" customHeight="1" x14ac:dyDescent="0.15">
      <c r="A719" s="20" t="str">
        <f>B719&amp;".jpg"</f>
        <v>2168.jpg</v>
      </c>
      <c r="B719" s="46">
        <v>2168</v>
      </c>
      <c r="C719" s="24" t="s">
        <v>464</v>
      </c>
      <c r="D719" s="24" t="s">
        <v>150</v>
      </c>
      <c r="E719" s="24">
        <v>15</v>
      </c>
      <c r="F719" s="24" t="s">
        <v>16</v>
      </c>
      <c r="G719" s="22">
        <v>20879</v>
      </c>
      <c r="H719" s="22">
        <v>9262</v>
      </c>
      <c r="I719" s="22">
        <v>7303</v>
      </c>
      <c r="J719" s="24" t="s">
        <v>26</v>
      </c>
      <c r="K719" s="22">
        <f>SUM(G719,H719,I719)</f>
        <v>37444</v>
      </c>
      <c r="L719" s="23" t="s">
        <v>906</v>
      </c>
      <c r="M719" s="23" t="str">
        <f>VLOOKUP(L719,スキル!B:C,2,FALSE)</f>
        <v>遠に強く打に弱い横一列攻撃[特大]</v>
      </c>
      <c r="N719" s="23" t="s">
        <v>18</v>
      </c>
      <c r="O719" s="23" t="str">
        <f>VLOOKUP(N719,スキル!B:C,2,FALSE)</f>
        <v>　</v>
      </c>
      <c r="P719" s="23" t="s">
        <v>374</v>
      </c>
      <c r="Q719" s="23" t="str">
        <f>VLOOKUP(P719,タクティクス!B:C,2,FALSE)</f>
        <v>パーティ全体の攻・防が特大UP(3分間)</v>
      </c>
      <c r="R719" s="23" t="s">
        <v>251</v>
      </c>
      <c r="S719" s="23" t="str">
        <f>VLOOKUP(R719,タクティクス!B:C,2,FALSE)</f>
        <v>パーティ全体の速度が大UP(3分間)</v>
      </c>
      <c r="T719" s="23" t="s">
        <v>18</v>
      </c>
      <c r="U719" s="23" t="s">
        <v>18</v>
      </c>
      <c r="V719" s="20" t="s">
        <v>1823</v>
      </c>
    </row>
    <row r="720" spans="1:22" ht="21.75" customHeight="1" x14ac:dyDescent="0.15">
      <c r="A720" s="20" t="str">
        <f>B720&amp;".jpg"</f>
        <v>2170.jpg</v>
      </c>
      <c r="B720" s="46">
        <v>2170</v>
      </c>
      <c r="C720" s="24" t="s">
        <v>465</v>
      </c>
      <c r="D720" s="24" t="s">
        <v>150</v>
      </c>
      <c r="E720" s="24">
        <v>15</v>
      </c>
      <c r="F720" s="24" t="s">
        <v>34</v>
      </c>
      <c r="G720" s="22">
        <v>26846</v>
      </c>
      <c r="H720" s="22">
        <v>7329</v>
      </c>
      <c r="I720" s="22">
        <v>10616</v>
      </c>
      <c r="J720" s="24" t="s">
        <v>151</v>
      </c>
      <c r="K720" s="22">
        <f>SUM(G720,H720,I720)</f>
        <v>44791</v>
      </c>
      <c r="L720" s="24" t="s">
        <v>721</v>
      </c>
      <c r="M720" s="23" t="str">
        <f>VLOOKUP(L720,スキル!B:C,2,FALSE)</f>
        <v>突に強く斬に弱い横一列攻撃[特大]</v>
      </c>
      <c r="N720" s="23" t="s">
        <v>18</v>
      </c>
      <c r="O720" s="23" t="str">
        <f>VLOOKUP(N720,スキル!B:C,2,FALSE)</f>
        <v>　</v>
      </c>
      <c r="P720" s="23" t="s">
        <v>431</v>
      </c>
      <c r="Q720" s="23" t="str">
        <f>VLOOKUP(P720,タクティクス!B:C,2,FALSE)</f>
        <v>CB時に獲得ポイント特大UP＆BPが特大回復(3回)</v>
      </c>
      <c r="R720" s="23" t="s">
        <v>178</v>
      </c>
      <c r="S720" s="23" t="str">
        <f>VLOOKUP(R720,タクティクス!B:C,2,FALSE)</f>
        <v>パーティ全体の攻撃力が大UP(3分間)</v>
      </c>
      <c r="T720" s="23" t="s">
        <v>18</v>
      </c>
      <c r="U720" s="23" t="s">
        <v>18</v>
      </c>
      <c r="V720" s="20" t="s">
        <v>1823</v>
      </c>
    </row>
    <row r="721" spans="1:22" ht="21.75" customHeight="1" x14ac:dyDescent="0.15">
      <c r="A721" s="20" t="str">
        <f>B721&amp;".jpg"</f>
        <v>2171.jpg</v>
      </c>
      <c r="B721" s="46">
        <v>2171</v>
      </c>
      <c r="C721" s="24" t="s">
        <v>84</v>
      </c>
      <c r="D721" s="24" t="s">
        <v>15</v>
      </c>
      <c r="E721" s="24">
        <v>14</v>
      </c>
      <c r="F721" s="24" t="s">
        <v>41</v>
      </c>
      <c r="G721" s="22">
        <v>20488</v>
      </c>
      <c r="H721" s="22">
        <v>6788</v>
      </c>
      <c r="I721" s="22">
        <v>6248</v>
      </c>
      <c r="J721" s="24" t="s">
        <v>55</v>
      </c>
      <c r="K721" s="22">
        <f>SUM(G721,H721,I721)</f>
        <v>33524</v>
      </c>
      <c r="L721" s="23" t="s">
        <v>767</v>
      </c>
      <c r="M721" s="23" t="str">
        <f>VLOOKUP(L721,スキル!B:C,2,FALSE)</f>
        <v>味方全員のHPを回復[大]</v>
      </c>
      <c r="N721" s="23" t="s">
        <v>18</v>
      </c>
      <c r="O721" s="23" t="str">
        <f>VLOOKUP(N721,スキル!B:C,2,FALSE)</f>
        <v>　</v>
      </c>
      <c r="P721" s="23" t="s">
        <v>251</v>
      </c>
      <c r="Q721" s="23" t="str">
        <f>VLOOKUP(P721,タクティクス!B:C,2,FALSE)</f>
        <v>パーティ全体の速度が大UP(3分間)</v>
      </c>
      <c r="R721" s="23" t="s">
        <v>18</v>
      </c>
      <c r="S721" s="23" t="str">
        <f>VLOOKUP(R721,タクティクス!B:C,2,FALSE)</f>
        <v>　</v>
      </c>
      <c r="T721" s="23" t="s">
        <v>18</v>
      </c>
      <c r="U721" s="23" t="s">
        <v>466</v>
      </c>
      <c r="V721" s="20" t="s">
        <v>1891</v>
      </c>
    </row>
    <row r="722" spans="1:22" ht="21.75" customHeight="1" x14ac:dyDescent="0.15">
      <c r="A722" s="20" t="str">
        <f>B722&amp;".jpg"</f>
        <v>2172.jpg</v>
      </c>
      <c r="B722" s="46">
        <v>2172</v>
      </c>
      <c r="C722" s="24" t="s">
        <v>14</v>
      </c>
      <c r="D722" s="24" t="s">
        <v>150</v>
      </c>
      <c r="E722" s="24">
        <v>16</v>
      </c>
      <c r="F722" s="24" t="s">
        <v>16</v>
      </c>
      <c r="G722" s="22">
        <v>22835</v>
      </c>
      <c r="H722" s="22">
        <v>10566</v>
      </c>
      <c r="I722" s="22">
        <v>8286</v>
      </c>
      <c r="J722" s="24" t="s">
        <v>177</v>
      </c>
      <c r="K722" s="22">
        <f>SUM(G722,H722,I722)</f>
        <v>41687</v>
      </c>
      <c r="L722" s="23" t="s">
        <v>908</v>
      </c>
      <c r="M722" s="23" t="str">
        <f>VLOOKUP(L722,スキル!B:C,2,FALSE)</f>
        <v>十字型に攻撃[極大]</v>
      </c>
      <c r="N722" s="23" t="s">
        <v>18</v>
      </c>
      <c r="O722" s="23" t="str">
        <f>VLOOKUP(N722,スキル!B:C,2,FALSE)</f>
        <v>　</v>
      </c>
      <c r="P722" s="23" t="s">
        <v>461</v>
      </c>
      <c r="Q722" s="23" t="str">
        <f>VLOOKUP(P722,タクティクス!B:C,2,FALSE)</f>
        <v>パーティ全体の防御力が極大UP＆ユニット1体をタレント状態にする(3分間)</v>
      </c>
      <c r="R722" s="23" t="s">
        <v>413</v>
      </c>
      <c r="S722" s="23" t="str">
        <f>VLOOKUP(R722,タクティクス!B:C,2,FALSE)</f>
        <v>攻撃回数が多いほどバトル獲得スコアが大UP(3分間)</v>
      </c>
      <c r="T722" s="23" t="s">
        <v>467</v>
      </c>
      <c r="U722" s="23" t="s">
        <v>18</v>
      </c>
      <c r="V722" s="20" t="s">
        <v>1890</v>
      </c>
    </row>
    <row r="723" spans="1:22" ht="21.75" customHeight="1" x14ac:dyDescent="0.15">
      <c r="A723" s="20" t="str">
        <f>B723&amp;".jpg"</f>
        <v>2174.jpg</v>
      </c>
      <c r="B723" s="46">
        <v>2174</v>
      </c>
      <c r="C723" s="24" t="s">
        <v>468</v>
      </c>
      <c r="D723" s="24" t="s">
        <v>150</v>
      </c>
      <c r="E723" s="24">
        <v>16</v>
      </c>
      <c r="F723" s="24" t="s">
        <v>16</v>
      </c>
      <c r="G723" s="22">
        <v>21574</v>
      </c>
      <c r="H723" s="22">
        <v>10714</v>
      </c>
      <c r="I723" s="22">
        <v>7920</v>
      </c>
      <c r="J723" s="24" t="s">
        <v>177</v>
      </c>
      <c r="K723" s="22">
        <f>SUM(G723,H723,I723)</f>
        <v>40208</v>
      </c>
      <c r="L723" s="23" t="s">
        <v>902</v>
      </c>
      <c r="M723" s="23" t="str">
        <f>VLOOKUP(L723,スキル!B:C,2,FALSE)</f>
        <v>縦一列に攻撃[極大]</v>
      </c>
      <c r="N723" s="23" t="s">
        <v>975</v>
      </c>
      <c r="O723" s="23" t="str">
        <f>VLOOKUP(N723,スキル!B:C,2,FALSE)</f>
        <v>ランダムで7連続攻撃[大]</v>
      </c>
      <c r="P723" s="23" t="s">
        <v>453</v>
      </c>
      <c r="Q723" s="23" t="str">
        <f>VLOOKUP(P723,タクティクス!B:C,2,FALSE)</f>
        <v>パーティ全体の攻撃力が極大UP＆ユニット1体をタレント状態にする(3分間)</v>
      </c>
      <c r="R723" s="23" t="s">
        <v>427</v>
      </c>
      <c r="S723" s="23" t="str">
        <f>VLOOKUP(R723,タクティクス!B:C,2,FALSE)</f>
        <v>キリ番CB時の獲得ポイント特大UP(3分間)</v>
      </c>
      <c r="T723" s="23" t="s">
        <v>469</v>
      </c>
      <c r="U723" s="23" t="s">
        <v>18</v>
      </c>
      <c r="V723" s="20" t="s">
        <v>1855</v>
      </c>
    </row>
    <row r="724" spans="1:22" ht="21.75" customHeight="1" x14ac:dyDescent="0.15">
      <c r="A724" s="20" t="str">
        <f>B724&amp;".jpg"</f>
        <v>2175.jpg</v>
      </c>
      <c r="B724" s="46">
        <v>2175</v>
      </c>
      <c r="C724" s="24" t="s">
        <v>468</v>
      </c>
      <c r="D724" s="24" t="s">
        <v>150</v>
      </c>
      <c r="E724" s="24">
        <v>15</v>
      </c>
      <c r="F724" s="24" t="s">
        <v>16</v>
      </c>
      <c r="G724" s="22">
        <v>20991</v>
      </c>
      <c r="H724" s="22">
        <v>9275</v>
      </c>
      <c r="I724" s="22">
        <v>7527</v>
      </c>
      <c r="J724" s="24" t="s">
        <v>26</v>
      </c>
      <c r="K724" s="22">
        <f>SUM(G724,H724,I724)</f>
        <v>37793</v>
      </c>
      <c r="L724" s="23" t="s">
        <v>664</v>
      </c>
      <c r="M724" s="23" t="str">
        <f>VLOOKUP(L724,スキル!B:C,2,FALSE)</f>
        <v>縦一列に攻撃[特大]</v>
      </c>
      <c r="N724" s="23" t="s">
        <v>18</v>
      </c>
      <c r="O724" s="23" t="str">
        <f>VLOOKUP(N724,スキル!B:C,2,FALSE)</f>
        <v>　</v>
      </c>
      <c r="P724" s="23" t="s">
        <v>361</v>
      </c>
      <c r="Q724" s="23" t="str">
        <f>VLOOKUP(P724,タクティクス!B:C,2,FALSE)</f>
        <v>パーティ全体の攻撃力が特大UP(3分間)</v>
      </c>
      <c r="R724" s="23" t="s">
        <v>152</v>
      </c>
      <c r="S724" s="23" t="str">
        <f>VLOOKUP(R724,タクティクス!B:C,2,FALSE)</f>
        <v>パーティ全体の攻・防が大UP(3分間)</v>
      </c>
      <c r="T724" s="23" t="s">
        <v>18</v>
      </c>
      <c r="U724" s="23" t="s">
        <v>18</v>
      </c>
      <c r="V724" s="20" t="s">
        <v>1856</v>
      </c>
    </row>
    <row r="725" spans="1:22" ht="21.75" customHeight="1" x14ac:dyDescent="0.15">
      <c r="A725" s="20" t="str">
        <f>B725&amp;".jpg"</f>
        <v>2177.jpg</v>
      </c>
      <c r="B725" s="46">
        <v>2177</v>
      </c>
      <c r="C725" s="24" t="s">
        <v>470</v>
      </c>
      <c r="D725" s="24" t="s">
        <v>150</v>
      </c>
      <c r="E725" s="24">
        <v>16</v>
      </c>
      <c r="F725" s="24" t="s">
        <v>41</v>
      </c>
      <c r="G725" s="22">
        <v>24671</v>
      </c>
      <c r="H725" s="22">
        <v>8511</v>
      </c>
      <c r="I725" s="22">
        <v>8550</v>
      </c>
      <c r="J725" s="24" t="s">
        <v>31</v>
      </c>
      <c r="K725" s="22">
        <f>SUM(G725,H725,I725)</f>
        <v>41732</v>
      </c>
      <c r="L725" s="23" t="s">
        <v>910</v>
      </c>
      <c r="M725" s="23" t="str">
        <f>VLOOKUP(L725,スキル!B:C,2,FALSE)</f>
        <v>単体固定ﾀﾞﾒｰｼﾞ[特大]+味方ｽﾃｰﾀｽDOWN解除</v>
      </c>
      <c r="N725" s="23" t="s">
        <v>18</v>
      </c>
      <c r="O725" s="23" t="str">
        <f>VLOOKUP(N725,スキル!B:C,2,FALSE)</f>
        <v>　</v>
      </c>
      <c r="P725" s="23" t="s">
        <v>471</v>
      </c>
      <c r="Q725" s="23" t="str">
        <f>VLOOKUP(P725,タクティクス!B:C,2,FALSE)</f>
        <v>パーティ全体の速度が大UP＆ユニット1体をタレント状態にする(5分間)</v>
      </c>
      <c r="R725" s="23" t="s">
        <v>374</v>
      </c>
      <c r="S725" s="23" t="str">
        <f>VLOOKUP(R725,タクティクス!B:C,2,FALSE)</f>
        <v>パーティ全体の攻・防が特大UP(3分間)</v>
      </c>
      <c r="T725" s="23" t="s">
        <v>472</v>
      </c>
      <c r="U725" s="23" t="s">
        <v>18</v>
      </c>
      <c r="V725" s="20" t="s">
        <v>1855</v>
      </c>
    </row>
    <row r="726" spans="1:22" ht="21.75" customHeight="1" x14ac:dyDescent="0.15">
      <c r="A726" s="20" t="str">
        <f>B726&amp;".jpg"</f>
        <v>2179.jpg</v>
      </c>
      <c r="B726" s="46">
        <v>2179</v>
      </c>
      <c r="C726" s="24" t="s">
        <v>473</v>
      </c>
      <c r="D726" s="24" t="s">
        <v>150</v>
      </c>
      <c r="E726" s="24">
        <v>16</v>
      </c>
      <c r="F726" s="24" t="s">
        <v>41</v>
      </c>
      <c r="G726" s="22">
        <v>24894</v>
      </c>
      <c r="H726" s="22">
        <v>8576</v>
      </c>
      <c r="I726" s="22">
        <v>8279</v>
      </c>
      <c r="J726" s="24" t="s">
        <v>31</v>
      </c>
      <c r="K726" s="22">
        <f>SUM(G726,H726,I726)</f>
        <v>41749</v>
      </c>
      <c r="L726" s="23" t="s">
        <v>912</v>
      </c>
      <c r="M726" s="23" t="str">
        <f>VLOOKUP(L726,スキル!B:C,2,FALSE)</f>
        <v>ランダムで6連続攻撃[大]</v>
      </c>
      <c r="N726" s="23" t="s">
        <v>18</v>
      </c>
      <c r="O726" s="23" t="str">
        <f>VLOOKUP(N726,スキル!B:C,2,FALSE)</f>
        <v>　</v>
      </c>
      <c r="P726" s="23" t="s">
        <v>461</v>
      </c>
      <c r="Q726" s="23" t="str">
        <f>VLOOKUP(P726,タクティクス!B:C,2,FALSE)</f>
        <v>パーティ全体の防御力が極大UP＆ユニット1体をタレント状態にする(3分間)</v>
      </c>
      <c r="R726" s="23" t="s">
        <v>238</v>
      </c>
      <c r="S726" s="23" t="str">
        <f>VLOOKUP(R726,タクティクス!B:C,2,FALSE)</f>
        <v>騎士団全員のBPを大回復</v>
      </c>
      <c r="T726" s="23" t="s">
        <v>474</v>
      </c>
      <c r="U726" s="23" t="s">
        <v>18</v>
      </c>
      <c r="V726" s="20" t="s">
        <v>1857</v>
      </c>
    </row>
    <row r="727" spans="1:22" ht="21.75" customHeight="1" x14ac:dyDescent="0.15">
      <c r="A727" s="20" t="str">
        <f>B727&amp;".jpg"</f>
        <v>2181.jpg</v>
      </c>
      <c r="B727" s="46">
        <v>2181</v>
      </c>
      <c r="C727" s="24" t="s">
        <v>475</v>
      </c>
      <c r="D727" s="24" t="s">
        <v>150</v>
      </c>
      <c r="E727" s="24">
        <v>15</v>
      </c>
      <c r="F727" s="24" t="s">
        <v>34</v>
      </c>
      <c r="G727" s="22">
        <v>29194</v>
      </c>
      <c r="H727" s="22">
        <v>7537</v>
      </c>
      <c r="I727" s="22">
        <v>10853</v>
      </c>
      <c r="J727" s="24" t="s">
        <v>151</v>
      </c>
      <c r="K727" s="22">
        <f>SUM(G727,H727,I727)</f>
        <v>47584</v>
      </c>
      <c r="L727" s="24" t="s">
        <v>729</v>
      </c>
      <c r="M727" s="23" t="str">
        <f>VLOOKUP(L727,スキル!B:C,2,FALSE)</f>
        <v>X字型に攻撃[特大]</v>
      </c>
      <c r="N727" s="23" t="s">
        <v>18</v>
      </c>
      <c r="O727" s="23" t="str">
        <f>VLOOKUP(N727,スキル!B:C,2,FALSE)</f>
        <v>　</v>
      </c>
      <c r="P727" s="23" t="s">
        <v>476</v>
      </c>
      <c r="Q727" s="23" t="str">
        <f>VLOOKUP(P727,タクティクス!B:C,2,FALSE)</f>
        <v>騎士団全体の攻・防が大UP(3分間)</v>
      </c>
      <c r="R727" s="23" t="s">
        <v>477</v>
      </c>
      <c r="S727" s="23" t="str">
        <f>VLOOKUP(R727,タクティクス!B:C,2,FALSE)</f>
        <v>騎士団全体のスキル発動率が中UP(3分間)</v>
      </c>
      <c r="T727" s="23" t="s">
        <v>18</v>
      </c>
      <c r="U727" s="23" t="s">
        <v>18</v>
      </c>
      <c r="V727" s="20" t="s">
        <v>1857</v>
      </c>
    </row>
    <row r="728" spans="1:22" ht="21.75" customHeight="1" x14ac:dyDescent="0.15">
      <c r="A728" s="20" t="str">
        <f>B728&amp;".jpg"</f>
        <v>2183.jpg</v>
      </c>
      <c r="B728" s="46">
        <v>2183</v>
      </c>
      <c r="C728" s="24" t="s">
        <v>478</v>
      </c>
      <c r="D728" s="24" t="s">
        <v>150</v>
      </c>
      <c r="E728" s="24">
        <v>16</v>
      </c>
      <c r="F728" s="24" t="s">
        <v>16</v>
      </c>
      <c r="G728" s="22">
        <v>21795</v>
      </c>
      <c r="H728" s="22">
        <v>10196</v>
      </c>
      <c r="I728" s="22">
        <v>8350</v>
      </c>
      <c r="J728" s="24" t="s">
        <v>55</v>
      </c>
      <c r="K728" s="22">
        <f>SUM(G728,H728,I728)</f>
        <v>40341</v>
      </c>
      <c r="L728" s="23" t="s">
        <v>914</v>
      </c>
      <c r="M728" s="23" t="str">
        <f>VLOOKUP(L728,スキル!B:C,2,FALSE)</f>
        <v>遠に強く打に弱い縦一列攻撃[極大]</v>
      </c>
      <c r="N728" s="23" t="s">
        <v>18</v>
      </c>
      <c r="O728" s="23" t="str">
        <f>VLOOKUP(N728,スキル!B:C,2,FALSE)</f>
        <v>　</v>
      </c>
      <c r="P728" s="23" t="s">
        <v>453</v>
      </c>
      <c r="Q728" s="23" t="str">
        <f>VLOOKUP(P728,タクティクス!B:C,2,FALSE)</f>
        <v>パーティ全体の攻撃力が極大UP＆ユニット1体をタレント状態にする(3分間)</v>
      </c>
      <c r="R728" s="23" t="s">
        <v>399</v>
      </c>
      <c r="S728" s="23" t="str">
        <f>VLOOKUP(R728,タクティクス!B:C,2,FALSE)</f>
        <v>パーティ全体のスキル発動率が特大UP(3分間)</v>
      </c>
      <c r="T728" s="23" t="s">
        <v>18</v>
      </c>
      <c r="U728" s="23" t="s">
        <v>479</v>
      </c>
      <c r="V728" s="20" t="s">
        <v>1857</v>
      </c>
    </row>
    <row r="729" spans="1:22" ht="21.75" customHeight="1" x14ac:dyDescent="0.15">
      <c r="A729" s="20" t="str">
        <f>B729&amp;".jpg"</f>
        <v>2185.jpg</v>
      </c>
      <c r="B729" s="46">
        <v>2185</v>
      </c>
      <c r="C729" s="24" t="s">
        <v>102</v>
      </c>
      <c r="D729" s="24" t="s">
        <v>15</v>
      </c>
      <c r="E729" s="24">
        <v>14</v>
      </c>
      <c r="F729" s="24" t="s">
        <v>16</v>
      </c>
      <c r="G729" s="22">
        <v>18204</v>
      </c>
      <c r="H729" s="22">
        <v>8331</v>
      </c>
      <c r="I729" s="22">
        <v>6329</v>
      </c>
      <c r="J729" s="24" t="s">
        <v>151</v>
      </c>
      <c r="K729" s="22">
        <f>SUM(G729,H729,I729)</f>
        <v>32864</v>
      </c>
      <c r="L729" s="23" t="s">
        <v>664</v>
      </c>
      <c r="M729" s="23" t="str">
        <f>VLOOKUP(L729,スキル!B:C,2,FALSE)</f>
        <v>縦一列に攻撃[特大]</v>
      </c>
      <c r="N729" s="23" t="s">
        <v>18</v>
      </c>
      <c r="O729" s="23" t="str">
        <f>VLOOKUP(N729,スキル!B:C,2,FALSE)</f>
        <v>　</v>
      </c>
      <c r="P729" s="23" t="s">
        <v>135</v>
      </c>
      <c r="Q729" s="23" t="str">
        <f>VLOOKUP(P729,タクティクス!B:C,2,FALSE)</f>
        <v>高確率で戦闘不能ユニットを復帰</v>
      </c>
      <c r="R729" s="23" t="s">
        <v>18</v>
      </c>
      <c r="S729" s="23" t="str">
        <f>VLOOKUP(R729,タクティクス!B:C,2,FALSE)</f>
        <v>　</v>
      </c>
      <c r="T729" s="23" t="s">
        <v>18</v>
      </c>
      <c r="U729" s="23" t="s">
        <v>479</v>
      </c>
      <c r="V729" s="20" t="s">
        <v>1886</v>
      </c>
    </row>
    <row r="730" spans="1:22" ht="21.75" customHeight="1" x14ac:dyDescent="0.15">
      <c r="A730" s="20" t="str">
        <f>B730&amp;".jpg"</f>
        <v>2187.jpg</v>
      </c>
      <c r="B730" s="46">
        <v>2187</v>
      </c>
      <c r="C730" s="24" t="s">
        <v>117</v>
      </c>
      <c r="D730" s="24" t="s">
        <v>150</v>
      </c>
      <c r="E730" s="24">
        <v>16</v>
      </c>
      <c r="F730" s="24" t="s">
        <v>25</v>
      </c>
      <c r="G730" s="22">
        <v>26448</v>
      </c>
      <c r="H730" s="22">
        <v>7730</v>
      </c>
      <c r="I730" s="22">
        <v>10275</v>
      </c>
      <c r="J730" s="24" t="s">
        <v>456</v>
      </c>
      <c r="K730" s="22">
        <f>SUM(G730,H730,I730)</f>
        <v>44453</v>
      </c>
      <c r="L730" s="23" t="s">
        <v>916</v>
      </c>
      <c r="M730" s="23" t="str">
        <f>VLOOKUP(L730,スキル!B:C,2,FALSE)</f>
        <v>敵全体の攻撃力と防御力をDOWN[極大]</v>
      </c>
      <c r="N730" s="23" t="s">
        <v>18</v>
      </c>
      <c r="O730" s="23" t="str">
        <f>VLOOKUP(N730,スキル!B:C,2,FALSE)</f>
        <v>　</v>
      </c>
      <c r="P730" s="26" t="s">
        <v>457</v>
      </c>
      <c r="Q730" s="23" t="str">
        <f>VLOOKUP(P730,タクティクス!B:C,2,FALSE)</f>
        <v>パーティ全体の攻・防が極大UP＆ユニット1体をタレント状態にする(3分間)</v>
      </c>
      <c r="R730" s="23" t="s">
        <v>399</v>
      </c>
      <c r="S730" s="23" t="str">
        <f>VLOOKUP(R730,タクティクス!B:C,2,FALSE)</f>
        <v>パーティ全体のスキル発動率が特大UP(3分間)</v>
      </c>
      <c r="T730" s="23" t="s">
        <v>18</v>
      </c>
      <c r="U730" s="23" t="s">
        <v>462</v>
      </c>
      <c r="V730" s="20" t="s">
        <v>1886</v>
      </c>
    </row>
    <row r="731" spans="1:22" ht="21.75" customHeight="1" x14ac:dyDescent="0.15">
      <c r="A731" s="20" t="str">
        <f>B731&amp;".jpg"</f>
        <v>2189.jpg</v>
      </c>
      <c r="B731" s="46">
        <v>2189</v>
      </c>
      <c r="C731" s="24" t="s">
        <v>428</v>
      </c>
      <c r="D731" s="24" t="s">
        <v>150</v>
      </c>
      <c r="E731" s="24">
        <v>16</v>
      </c>
      <c r="F731" s="24" t="s">
        <v>34</v>
      </c>
      <c r="G731" s="22">
        <v>30077</v>
      </c>
      <c r="H731" s="22">
        <v>8603</v>
      </c>
      <c r="I731" s="22">
        <v>12148</v>
      </c>
      <c r="J731" s="24" t="s">
        <v>26</v>
      </c>
      <c r="K731" s="22">
        <f>SUM(G731,H731,I731)</f>
        <v>50828</v>
      </c>
      <c r="L731" s="23" t="s">
        <v>918</v>
      </c>
      <c r="M731" s="23" t="str">
        <f>VLOOKUP(L731,スキル!B:C,2,FALSE)</f>
        <v>X字型に攻撃[極大]</v>
      </c>
      <c r="N731" s="23" t="s">
        <v>18</v>
      </c>
      <c r="O731" s="23" t="str">
        <f>VLOOKUP(N731,スキル!B:C,2,FALSE)</f>
        <v>　</v>
      </c>
      <c r="P731" s="23" t="s">
        <v>480</v>
      </c>
      <c r="Q731" s="23" t="str">
        <f>VLOOKUP(P731,タクティクス!B:C,2,FALSE)</f>
        <v>パーティ全体の攻撃力が極大UP＆ユニット1体をタレント状態にする(3分間)</v>
      </c>
      <c r="R731" s="23" t="s">
        <v>439</v>
      </c>
      <c r="S731" s="23" t="str">
        <f>VLOOKUP(R731,タクティクス!B:C,2,FALSE)</f>
        <v>騎士団スコア特大UP・キリ番CB最大値UP(3回)</v>
      </c>
      <c r="T731" s="23" t="s">
        <v>481</v>
      </c>
      <c r="U731" s="23" t="s">
        <v>18</v>
      </c>
      <c r="V731" s="20" t="s">
        <v>1886</v>
      </c>
    </row>
    <row r="732" spans="1:22" ht="21.75" customHeight="1" x14ac:dyDescent="0.15">
      <c r="A732" s="20" t="str">
        <f>B732&amp;".jpg"</f>
        <v>2191.jpg</v>
      </c>
      <c r="B732" s="46">
        <v>2191</v>
      </c>
      <c r="C732" s="24" t="s">
        <v>250</v>
      </c>
      <c r="D732" s="24" t="s">
        <v>150</v>
      </c>
      <c r="E732" s="24">
        <v>15</v>
      </c>
      <c r="F732" s="24" t="s">
        <v>41</v>
      </c>
      <c r="G732" s="22">
        <v>23731</v>
      </c>
      <c r="H732" s="22">
        <v>7642</v>
      </c>
      <c r="I732" s="22">
        <v>7672</v>
      </c>
      <c r="J732" s="24" t="s">
        <v>261</v>
      </c>
      <c r="K732" s="22">
        <f>SUM(G732,H732,I732)</f>
        <v>39045</v>
      </c>
      <c r="L732" s="23" t="s">
        <v>832</v>
      </c>
      <c r="M732" s="23" t="str">
        <f>VLOOKUP(L732,スキル!B:C,2,FALSE)</f>
        <v>ランダムで6連続攻撃[中]</v>
      </c>
      <c r="N732" s="23" t="s">
        <v>18</v>
      </c>
      <c r="O732" s="23" t="str">
        <f>VLOOKUP(N732,スキル!B:C,2,FALSE)</f>
        <v>　</v>
      </c>
      <c r="P732" s="23" t="s">
        <v>476</v>
      </c>
      <c r="Q732" s="23" t="str">
        <f>VLOOKUP(P732,タクティクス!B:C,2,FALSE)</f>
        <v>騎士団全体の攻・防が大UP(3分間)</v>
      </c>
      <c r="R732" s="23" t="s">
        <v>226</v>
      </c>
      <c r="S732" s="23" t="str">
        <f>VLOOKUP(R732,タクティクス!B:C,2,FALSE)</f>
        <v>バトルで獲得する騎士団戦スコアが大アップ(3分間)</v>
      </c>
      <c r="T732" s="23" t="s">
        <v>18</v>
      </c>
      <c r="U732" s="23" t="s">
        <v>18</v>
      </c>
      <c r="V732" s="20" t="s">
        <v>1886</v>
      </c>
    </row>
    <row r="733" spans="1:22" ht="21.75" customHeight="1" x14ac:dyDescent="0.15">
      <c r="A733" s="20" t="str">
        <f>B733&amp;".jpg"</f>
        <v>2192.jpg</v>
      </c>
      <c r="B733" s="46">
        <v>2192</v>
      </c>
      <c r="C733" s="24" t="s">
        <v>256</v>
      </c>
      <c r="D733" s="24" t="s">
        <v>150</v>
      </c>
      <c r="E733" s="24">
        <v>16</v>
      </c>
      <c r="F733" s="24" t="s">
        <v>41</v>
      </c>
      <c r="G733" s="22">
        <v>26458</v>
      </c>
      <c r="H733" s="22">
        <v>8847</v>
      </c>
      <c r="I733" s="22">
        <v>8216</v>
      </c>
      <c r="J733" s="24" t="s">
        <v>31</v>
      </c>
      <c r="K733" s="22">
        <f>SUM(G733,H733,I733)</f>
        <v>43521</v>
      </c>
      <c r="L733" s="23" t="s">
        <v>920</v>
      </c>
      <c r="M733" s="23" t="str">
        <f>VLOOKUP(L733,スキル!B:C,2,FALSE)</f>
        <v>ﾗﾝﾀﾞﾑ6連続攻撃[大][低確率]でﾀﾞﾒｰｼﾞ2倍</v>
      </c>
      <c r="N733" s="23" t="s">
        <v>18</v>
      </c>
      <c r="O733" s="23" t="str">
        <f>VLOOKUP(N733,スキル!B:C,2,FALSE)</f>
        <v>　</v>
      </c>
      <c r="P733" s="26" t="s">
        <v>482</v>
      </c>
      <c r="Q733" s="23" t="str">
        <f>VLOOKUP(P733,タクティクス!B:C,2,FALSE)</f>
        <v>バトルで獲得する騎士団戦スコアが極大アップ＆ユニット1体をタレント状態にする(3分間)</v>
      </c>
      <c r="R733" s="23" t="s">
        <v>374</v>
      </c>
      <c r="S733" s="23" t="str">
        <f>VLOOKUP(R733,タクティクス!B:C,2,FALSE)</f>
        <v>パーティ全体の攻・防が特大UP(3分間)</v>
      </c>
      <c r="T733" s="23" t="s">
        <v>483</v>
      </c>
      <c r="U733" s="23" t="s">
        <v>18</v>
      </c>
      <c r="V733" s="20" t="s">
        <v>1886</v>
      </c>
    </row>
    <row r="734" spans="1:22" ht="21.75" customHeight="1" x14ac:dyDescent="0.15">
      <c r="A734" s="20" t="str">
        <f>B734&amp;".jpg"</f>
        <v>2194.jpg</v>
      </c>
      <c r="B734" s="46">
        <v>2194</v>
      </c>
      <c r="C734" s="24" t="s">
        <v>484</v>
      </c>
      <c r="D734" s="24" t="s">
        <v>150</v>
      </c>
      <c r="E734" s="24">
        <v>16</v>
      </c>
      <c r="F734" s="24" t="s">
        <v>25</v>
      </c>
      <c r="G734" s="22">
        <v>25141</v>
      </c>
      <c r="H734" s="22">
        <v>7569</v>
      </c>
      <c r="I734" s="22">
        <v>9975</v>
      </c>
      <c r="J734" s="24" t="s">
        <v>456</v>
      </c>
      <c r="K734" s="22">
        <f>SUM(G734,H734,I734)</f>
        <v>42685</v>
      </c>
      <c r="L734" s="23" t="s">
        <v>922</v>
      </c>
      <c r="M734" s="23" t="str">
        <f>VLOOKUP(L734,スキル!B:C,2,FALSE)</f>
        <v>打に強く遠に弱い横一列攻撃[極大]</v>
      </c>
      <c r="N734" s="23" t="s">
        <v>18</v>
      </c>
      <c r="O734" s="23" t="str">
        <f>VLOOKUP(N734,スキル!B:C,2,FALSE)</f>
        <v>　</v>
      </c>
      <c r="P734" s="23" t="s">
        <v>485</v>
      </c>
      <c r="Q734" s="23" t="str">
        <f>VLOOKUP(P734,タクティクス!B:C,2,FALSE)</f>
        <v>獲得する騎士団戦スコアが極大アップ(バトル5回)</v>
      </c>
      <c r="R734" s="23" t="s">
        <v>361</v>
      </c>
      <c r="S734" s="23" t="str">
        <f>VLOOKUP(R734,タクティクス!B:C,2,FALSE)</f>
        <v>パーティ全体の攻撃力が特大UP(3分間)</v>
      </c>
      <c r="T734" s="23" t="s">
        <v>455</v>
      </c>
      <c r="U734" s="23" t="s">
        <v>18</v>
      </c>
      <c r="V734" s="20" t="s">
        <v>1823</v>
      </c>
    </row>
    <row r="735" spans="1:22" ht="21.75" customHeight="1" x14ac:dyDescent="0.15">
      <c r="A735" s="20" t="str">
        <f>B735&amp;".jpg"</f>
        <v>2196.jpg</v>
      </c>
      <c r="B735" s="46">
        <v>2196</v>
      </c>
      <c r="C735" s="24" t="s">
        <v>486</v>
      </c>
      <c r="D735" s="24" t="s">
        <v>150</v>
      </c>
      <c r="E735" s="24">
        <v>16</v>
      </c>
      <c r="F735" s="24" t="s">
        <v>34</v>
      </c>
      <c r="G735" s="22">
        <v>29267</v>
      </c>
      <c r="H735" s="22">
        <v>8527</v>
      </c>
      <c r="I735" s="22">
        <v>11348</v>
      </c>
      <c r="J735" s="24" t="s">
        <v>26</v>
      </c>
      <c r="K735" s="22">
        <f>SUM(G735,H735,I735)</f>
        <v>49142</v>
      </c>
      <c r="L735" s="24" t="s">
        <v>924</v>
      </c>
      <c r="M735" s="23" t="str">
        <f>VLOOKUP(L735,スキル!B:C,2,FALSE)</f>
        <v>突に強く斬に弱い縦一列攻撃[極大]</v>
      </c>
      <c r="N735" s="23" t="s">
        <v>18</v>
      </c>
      <c r="O735" s="23" t="str">
        <f>VLOOKUP(N735,スキル!B:C,2,FALSE)</f>
        <v>　</v>
      </c>
      <c r="P735" s="23" t="s">
        <v>461</v>
      </c>
      <c r="Q735" s="23" t="str">
        <f>VLOOKUP(P735,タクティクス!B:C,2,FALSE)</f>
        <v>パーティ全体の防御力が極大UP＆ユニット1体をタレント状態にする(3分間)</v>
      </c>
      <c r="R735" s="23" t="s">
        <v>399</v>
      </c>
      <c r="S735" s="23" t="str">
        <f>VLOOKUP(R735,タクティクス!B:C,2,FALSE)</f>
        <v>パーティ全体のスキル発動率が特大UP(3分間)</v>
      </c>
      <c r="T735" s="23" t="s">
        <v>458</v>
      </c>
      <c r="U735" s="23" t="s">
        <v>18</v>
      </c>
      <c r="V735" s="20" t="s">
        <v>1823</v>
      </c>
    </row>
    <row r="736" spans="1:22" ht="21.75" customHeight="1" x14ac:dyDescent="0.15">
      <c r="A736" s="20" t="str">
        <f>B736&amp;".jpg"</f>
        <v>2198.jpg</v>
      </c>
      <c r="B736" s="46">
        <v>2198</v>
      </c>
      <c r="C736" s="24" t="s">
        <v>203</v>
      </c>
      <c r="D736" s="24" t="s">
        <v>15</v>
      </c>
      <c r="E736" s="24">
        <v>14</v>
      </c>
      <c r="F736" s="24" t="s">
        <v>16</v>
      </c>
      <c r="G736" s="22">
        <v>17985</v>
      </c>
      <c r="H736" s="22">
        <v>8157</v>
      </c>
      <c r="I736" s="22">
        <v>6545</v>
      </c>
      <c r="J736" s="24" t="s">
        <v>151</v>
      </c>
      <c r="K736" s="22">
        <f>SUM(G736,H736,I736)</f>
        <v>32687</v>
      </c>
      <c r="L736" s="23" t="s">
        <v>776</v>
      </c>
      <c r="M736" s="23" t="str">
        <f>VLOOKUP(L736,スキル!B:C,2,FALSE)</f>
        <v>味方斬属性の攻撃力をUP[特大]</v>
      </c>
      <c r="N736" s="23" t="s">
        <v>18</v>
      </c>
      <c r="O736" s="23" t="str">
        <f>VLOOKUP(N736,スキル!B:C,2,FALSE)</f>
        <v>　</v>
      </c>
      <c r="P736" s="23" t="s">
        <v>410</v>
      </c>
      <c r="Q736" s="23" t="str">
        <f>VLOOKUP(P736,タクティクス!B:C,2,FALSE)</f>
        <v>パーティ全体の攻撃力特大UP・速度大DOWN(3分間)</v>
      </c>
      <c r="R736" s="23" t="s">
        <v>18</v>
      </c>
      <c r="S736" s="23" t="str">
        <f>VLOOKUP(R736,タクティクス!B:C,2,FALSE)</f>
        <v>　</v>
      </c>
      <c r="T736" s="23" t="s">
        <v>18</v>
      </c>
      <c r="U736" s="23" t="s">
        <v>479</v>
      </c>
      <c r="V736" s="20" t="s">
        <v>1887</v>
      </c>
    </row>
    <row r="737" spans="1:22" ht="21.75" customHeight="1" x14ac:dyDescent="0.15">
      <c r="A737" s="20" t="str">
        <f>B737&amp;".jpg"</f>
        <v>2200.jpg</v>
      </c>
      <c r="B737" s="46">
        <v>2200</v>
      </c>
      <c r="C737" s="24" t="s">
        <v>236</v>
      </c>
      <c r="D737" s="24" t="s">
        <v>150</v>
      </c>
      <c r="E737" s="24">
        <v>15</v>
      </c>
      <c r="F737" s="24" t="s">
        <v>25</v>
      </c>
      <c r="G737" s="22">
        <v>22611</v>
      </c>
      <c r="H737" s="22">
        <v>6606</v>
      </c>
      <c r="I737" s="22">
        <v>8307</v>
      </c>
      <c r="J737" s="24" t="s">
        <v>425</v>
      </c>
      <c r="K737" s="22">
        <f>SUM(G737,H737,I737)</f>
        <v>37524</v>
      </c>
      <c r="L737" s="23" t="s">
        <v>889</v>
      </c>
      <c r="M737" s="23" t="str">
        <f>VLOOKUP(L737,スキル!B:C,2,FALSE)</f>
        <v>敵全体に攻撃[極大]</v>
      </c>
      <c r="N737" s="23" t="s">
        <v>18</v>
      </c>
      <c r="O737" s="23" t="str">
        <f>VLOOKUP(N737,スキル!B:C,2,FALSE)</f>
        <v>　</v>
      </c>
      <c r="P737" s="23" t="s">
        <v>463</v>
      </c>
      <c r="Q737" s="23" t="str">
        <f>VLOOKUP(P737,タクティクス!B:C,2,FALSE)</f>
        <v>騎士団全体の攻撃力が大UP(3分間)</v>
      </c>
      <c r="R737" s="23" t="s">
        <v>477</v>
      </c>
      <c r="S737" s="23" t="str">
        <f>VLOOKUP(R737,タクティクス!B:C,2,FALSE)</f>
        <v>騎士団全体のスキル発動率が中UP(3分間)</v>
      </c>
      <c r="T737" s="23" t="s">
        <v>18</v>
      </c>
      <c r="U737" s="23" t="s">
        <v>18</v>
      </c>
      <c r="V737" s="20" t="s">
        <v>1887</v>
      </c>
    </row>
    <row r="738" spans="1:22" ht="21.75" customHeight="1" x14ac:dyDescent="0.15">
      <c r="A738" s="20" t="str">
        <f>B738&amp;".jpg"</f>
        <v>2202.jpg</v>
      </c>
      <c r="B738" s="46">
        <v>2202</v>
      </c>
      <c r="C738" s="24" t="s">
        <v>82</v>
      </c>
      <c r="D738" s="24" t="s">
        <v>150</v>
      </c>
      <c r="E738" s="24">
        <v>16</v>
      </c>
      <c r="F738" s="24" t="s">
        <v>34</v>
      </c>
      <c r="G738" s="22">
        <v>30290</v>
      </c>
      <c r="H738" s="22">
        <v>8814</v>
      </c>
      <c r="I738" s="22">
        <v>12491</v>
      </c>
      <c r="J738" s="24" t="s">
        <v>26</v>
      </c>
      <c r="K738" s="22">
        <f>SUM(G738,H738,I738)</f>
        <v>51595</v>
      </c>
      <c r="L738" s="23" t="s">
        <v>918</v>
      </c>
      <c r="M738" s="23" t="str">
        <f>VLOOKUP(L738,スキル!B:C,2,FALSE)</f>
        <v>X字型に攻撃[極大]</v>
      </c>
      <c r="N738" s="23" t="s">
        <v>18</v>
      </c>
      <c r="O738" s="23" t="str">
        <f>VLOOKUP(N738,スキル!B:C,2,FALSE)</f>
        <v>　</v>
      </c>
      <c r="P738" s="23" t="s">
        <v>487</v>
      </c>
      <c r="Q738" s="23" t="str">
        <f>VLOOKUP(P738,タクティクス!B:C,2,FALSE)</f>
        <v>パーティの攻撃力大UP・最大TP小UP&amp;ユニット1体をタレント状態にする(5分間)</v>
      </c>
      <c r="R738" s="23" t="s">
        <v>361</v>
      </c>
      <c r="S738" s="23" t="str">
        <f>VLOOKUP(R738,タクティクス!B:C,2,FALSE)</f>
        <v>パーティ全体の攻撃力が特大UP(3分間)</v>
      </c>
      <c r="T738" s="23" t="s">
        <v>454</v>
      </c>
      <c r="U738" s="23" t="s">
        <v>18</v>
      </c>
      <c r="V738" s="20" t="s">
        <v>1887</v>
      </c>
    </row>
    <row r="739" spans="1:22" ht="21.75" customHeight="1" x14ac:dyDescent="0.15">
      <c r="A739" s="20" t="str">
        <f>B739&amp;".jpg"</f>
        <v>2204.jpg</v>
      </c>
      <c r="B739" s="46">
        <v>2204</v>
      </c>
      <c r="C739" s="24" t="s">
        <v>115</v>
      </c>
      <c r="D739" s="24" t="s">
        <v>150</v>
      </c>
      <c r="E739" s="24">
        <v>16</v>
      </c>
      <c r="F739" s="24" t="s">
        <v>41</v>
      </c>
      <c r="G739" s="22">
        <v>26104</v>
      </c>
      <c r="H739" s="22">
        <v>8729</v>
      </c>
      <c r="I739" s="22">
        <v>8737</v>
      </c>
      <c r="J739" s="24" t="s">
        <v>31</v>
      </c>
      <c r="K739" s="22">
        <f>SUM(G739,H739,I739)</f>
        <v>43570</v>
      </c>
      <c r="L739" s="23" t="s">
        <v>926</v>
      </c>
      <c r="M739" s="23" t="str">
        <f>VLOOKUP(L739,スキル!B:C,2,FALSE)</f>
        <v>ランダムで6連続攻撃[大]</v>
      </c>
      <c r="N739" s="23" t="s">
        <v>18</v>
      </c>
      <c r="O739" s="23" t="str">
        <f>VLOOKUP(N739,スキル!B:C,2,FALSE)</f>
        <v>　</v>
      </c>
      <c r="P739" s="26" t="s">
        <v>488</v>
      </c>
      <c r="Q739" s="23" t="str">
        <f>VLOOKUP(P739,タクティクス!B:C,2,FALSE)</f>
        <v>パーティ全体のスキル発動率が特大UP＆ユニット1体をタレント状態にする(5分間)</v>
      </c>
      <c r="R739" s="23" t="s">
        <v>397</v>
      </c>
      <c r="S739" s="23" t="str">
        <f>VLOOKUP(R739,タクティクス!B:C,2,FALSE)</f>
        <v>バトルで獲得する騎士団戦スコアが特大アップ(3分間)</v>
      </c>
      <c r="T739" s="23" t="s">
        <v>18</v>
      </c>
      <c r="U739" s="23" t="s">
        <v>489</v>
      </c>
      <c r="V739" s="20" t="s">
        <v>1887</v>
      </c>
    </row>
    <row r="740" spans="1:22" ht="21.75" customHeight="1" x14ac:dyDescent="0.15">
      <c r="A740" s="20" t="str">
        <f>B740&amp;".jpg"</f>
        <v>2205.jpg</v>
      </c>
      <c r="B740" s="46">
        <v>2205</v>
      </c>
      <c r="C740" s="24" t="s">
        <v>490</v>
      </c>
      <c r="D740" s="24" t="s">
        <v>15</v>
      </c>
      <c r="E740" s="24">
        <v>14</v>
      </c>
      <c r="F740" s="24" t="s">
        <v>25</v>
      </c>
      <c r="G740" s="22">
        <v>18961</v>
      </c>
      <c r="H740" s="22">
        <v>6013</v>
      </c>
      <c r="I740" s="22">
        <v>6431</v>
      </c>
      <c r="J740" s="24" t="s">
        <v>177</v>
      </c>
      <c r="K740" s="22">
        <f>SUM(G740,H740,I740)</f>
        <v>31405</v>
      </c>
      <c r="L740" s="24" t="s">
        <v>691</v>
      </c>
      <c r="M740" s="23" t="str">
        <f>VLOOKUP(L740,スキル!B:C,2,FALSE)</f>
        <v>横一列に攻撃[特大]</v>
      </c>
      <c r="N740" s="23" t="s">
        <v>18</v>
      </c>
      <c r="O740" s="23" t="str">
        <f>VLOOKUP(N740,スキル!B:C,2,FALSE)</f>
        <v>　</v>
      </c>
      <c r="P740" s="23" t="s">
        <v>274</v>
      </c>
      <c r="Q740" s="23" t="str">
        <f>VLOOKUP(P740,タクティクス!B:C,2,FALSE)</f>
        <v>パーティ全体の攻撃力・速度が中UP(3分間)</v>
      </c>
      <c r="R740" s="23" t="s">
        <v>18</v>
      </c>
      <c r="S740" s="23" t="str">
        <f>VLOOKUP(R740,タクティクス!B:C,2,FALSE)</f>
        <v>　</v>
      </c>
      <c r="T740" s="23" t="s">
        <v>18</v>
      </c>
      <c r="U740" s="23" t="s">
        <v>460</v>
      </c>
      <c r="V740" s="20" t="s">
        <v>1825</v>
      </c>
    </row>
    <row r="741" spans="1:22" ht="21.75" customHeight="1" x14ac:dyDescent="0.15">
      <c r="A741" s="20" t="str">
        <f>B741&amp;".jpg"</f>
        <v>2206.jpg</v>
      </c>
      <c r="B741" s="46">
        <v>2206</v>
      </c>
      <c r="C741" s="24" t="s">
        <v>289</v>
      </c>
      <c r="D741" s="24" t="s">
        <v>150</v>
      </c>
      <c r="E741" s="24">
        <v>16</v>
      </c>
      <c r="F741" s="24" t="s">
        <v>25</v>
      </c>
      <c r="G741" s="22">
        <v>25378</v>
      </c>
      <c r="H741" s="22">
        <v>7593</v>
      </c>
      <c r="I741" s="22">
        <v>10134</v>
      </c>
      <c r="J741" s="24" t="s">
        <v>491</v>
      </c>
      <c r="K741" s="22">
        <f>SUM(G741,H741,I741)</f>
        <v>43105</v>
      </c>
      <c r="L741" s="23" t="s">
        <v>927</v>
      </c>
      <c r="M741" s="23" t="str">
        <f>VLOOKUP(L741,スキル!B:C,2,FALSE)</f>
        <v>ランダムで6連続攻撃[大]</v>
      </c>
      <c r="N741" s="23" t="s">
        <v>18</v>
      </c>
      <c r="O741" s="23" t="str">
        <f>VLOOKUP(N741,スキル!B:C,2,FALSE)</f>
        <v>　</v>
      </c>
      <c r="P741" s="26" t="s">
        <v>492</v>
      </c>
      <c r="Q741" s="23" t="str">
        <f>VLOOKUP(P741,タクティクス!B:C,2,FALSE)</f>
        <v>強襲が発生無効、バトル時に攻・防特大UP＆ユニット1体をタレント状態にする(3分間)</v>
      </c>
      <c r="R741" s="23" t="s">
        <v>374</v>
      </c>
      <c r="S741" s="23" t="str">
        <f>VLOOKUP(R741,タクティクス!B:C,2,FALSE)</f>
        <v>パーティ全体の攻・防が特大UP(3分間)</v>
      </c>
      <c r="T741" s="23" t="s">
        <v>493</v>
      </c>
      <c r="U741" s="23" t="s">
        <v>18</v>
      </c>
      <c r="V741" s="20" t="s">
        <v>1890</v>
      </c>
    </row>
    <row r="742" spans="1:22" ht="21.75" customHeight="1" x14ac:dyDescent="0.15">
      <c r="A742" s="20" t="str">
        <f>B742&amp;".jpg"</f>
        <v>2207.jpg</v>
      </c>
      <c r="B742" s="46">
        <v>2207</v>
      </c>
      <c r="C742" s="24" t="s">
        <v>494</v>
      </c>
      <c r="D742" s="24" t="s">
        <v>150</v>
      </c>
      <c r="E742" s="24">
        <v>16</v>
      </c>
      <c r="F742" s="24" t="s">
        <v>41</v>
      </c>
      <c r="G742" s="22">
        <v>23969</v>
      </c>
      <c r="H742" s="22">
        <v>8527</v>
      </c>
      <c r="I742" s="22">
        <v>8025</v>
      </c>
      <c r="J742" s="24" t="s">
        <v>31</v>
      </c>
      <c r="K742" s="22">
        <f>SUM(G742,H742,I742)</f>
        <v>40521</v>
      </c>
      <c r="L742" s="24" t="s">
        <v>924</v>
      </c>
      <c r="M742" s="23" t="str">
        <f>VLOOKUP(L742,スキル!B:C,2,FALSE)</f>
        <v>突に強く斬に弱い縦一列攻撃[極大]</v>
      </c>
      <c r="N742" s="23" t="s">
        <v>18</v>
      </c>
      <c r="O742" s="23" t="str">
        <f>VLOOKUP(N742,スキル!B:C,2,FALSE)</f>
        <v>　</v>
      </c>
      <c r="P742" s="23" t="s">
        <v>480</v>
      </c>
      <c r="Q742" s="23" t="str">
        <f>VLOOKUP(P742,タクティクス!B:C,2,FALSE)</f>
        <v>パーティ全体の攻撃力が極大UP＆ユニット1体をタレント状態にする(3分間)</v>
      </c>
      <c r="R742" s="23" t="s">
        <v>388</v>
      </c>
      <c r="S742" s="23" t="str">
        <f>VLOOKUP(R742,タクティクス!B:C,2,FALSE)</f>
        <v>獲得する騎士団戦スコアが特大アップ(バトル3回)</v>
      </c>
      <c r="T742" s="23" t="s">
        <v>458</v>
      </c>
      <c r="U742" s="23" t="s">
        <v>18</v>
      </c>
      <c r="V742" s="20" t="s">
        <v>1904</v>
      </c>
    </row>
    <row r="743" spans="1:22" ht="21.75" customHeight="1" x14ac:dyDescent="0.15">
      <c r="A743" s="20" t="str">
        <f>B743&amp;".jpg"</f>
        <v>2208.jpg</v>
      </c>
      <c r="B743" s="46">
        <v>2208</v>
      </c>
      <c r="C743" s="24" t="s">
        <v>112</v>
      </c>
      <c r="D743" s="24" t="s">
        <v>150</v>
      </c>
      <c r="E743" s="24">
        <v>16</v>
      </c>
      <c r="F743" s="24" t="s">
        <v>16</v>
      </c>
      <c r="G743" s="22">
        <v>21407</v>
      </c>
      <c r="H743" s="22">
        <v>10065</v>
      </c>
      <c r="I743" s="22">
        <v>8052</v>
      </c>
      <c r="J743" s="24" t="s">
        <v>177</v>
      </c>
      <c r="K743" s="22">
        <f>SUM(G743,H743,I743)</f>
        <v>39524</v>
      </c>
      <c r="L743" s="23" t="s">
        <v>928</v>
      </c>
      <c r="M743" s="23" t="str">
        <f>VLOOKUP(L743,スキル!B:C,2,FALSE)</f>
        <v>遠に強く打に弱い横一列攻撃[極大]</v>
      </c>
      <c r="N743" s="23" t="s">
        <v>18</v>
      </c>
      <c r="O743" s="23" t="str">
        <f>VLOOKUP(N743,スキル!B:C,2,FALSE)</f>
        <v>　</v>
      </c>
      <c r="P743" s="23" t="s">
        <v>453</v>
      </c>
      <c r="Q743" s="23" t="str">
        <f>VLOOKUP(P743,タクティクス!B:C,2,FALSE)</f>
        <v>パーティ全体の攻撃力が極大UP＆ユニット1体をタレント状態にする(3分間)</v>
      </c>
      <c r="R743" s="23" t="s">
        <v>495</v>
      </c>
      <c r="S743" s="23" t="str">
        <f>VLOOKUP(R743,タクティクス!B:C,2,FALSE)</f>
        <v>バトルで敵を全滅するとBPが大回復(バトル3回)</v>
      </c>
      <c r="T743" s="23" t="s">
        <v>455</v>
      </c>
      <c r="U743" s="23" t="s">
        <v>18</v>
      </c>
      <c r="V743" s="20" t="s">
        <v>1914</v>
      </c>
    </row>
    <row r="744" spans="1:22" ht="21.75" customHeight="1" x14ac:dyDescent="0.15">
      <c r="A744" s="20" t="str">
        <f>B744&amp;".jpg"</f>
        <v>2209.jpg</v>
      </c>
      <c r="B744" s="46">
        <v>2209</v>
      </c>
      <c r="C744" s="24" t="s">
        <v>496</v>
      </c>
      <c r="D744" s="24" t="s">
        <v>15</v>
      </c>
      <c r="E744" s="24">
        <v>14</v>
      </c>
      <c r="F744" s="24" t="s">
        <v>34</v>
      </c>
      <c r="G744" s="22">
        <v>22497</v>
      </c>
      <c r="H744" s="22">
        <v>6414</v>
      </c>
      <c r="I744" s="22">
        <v>7719</v>
      </c>
      <c r="J744" s="24" t="s">
        <v>17</v>
      </c>
      <c r="K744" s="22">
        <f>SUM(G744,H744,I744)</f>
        <v>36630</v>
      </c>
      <c r="L744" s="24" t="s">
        <v>729</v>
      </c>
      <c r="M744" s="23" t="str">
        <f>VLOOKUP(L744,スキル!B:C,2,FALSE)</f>
        <v>X字型に攻撃[特大]</v>
      </c>
      <c r="N744" s="23" t="s">
        <v>18</v>
      </c>
      <c r="O744" s="23" t="str">
        <f>VLOOKUP(N744,スキル!B:C,2,FALSE)</f>
        <v>　</v>
      </c>
      <c r="P744" s="23" t="s">
        <v>325</v>
      </c>
      <c r="Q744" s="23" t="str">
        <f>VLOOKUP(P744,タクティクス!B:C,2,FALSE)</f>
        <v>強襲CBの発生確率・強襲時獲得ポイントUP(3分間)</v>
      </c>
      <c r="R744" s="23" t="s">
        <v>18</v>
      </c>
      <c r="S744" s="23" t="str">
        <f>VLOOKUP(R744,タクティクス!B:C,2,FALSE)</f>
        <v>　</v>
      </c>
      <c r="T744" s="23" t="s">
        <v>18</v>
      </c>
      <c r="U744" s="23" t="s">
        <v>497</v>
      </c>
      <c r="V744" s="20" t="s">
        <v>1877</v>
      </c>
    </row>
    <row r="745" spans="1:22" ht="21.75" customHeight="1" x14ac:dyDescent="0.15">
      <c r="A745" s="20" t="str">
        <f>B745&amp;".jpg"</f>
        <v>2211.jpg</v>
      </c>
      <c r="B745" s="46">
        <v>2211</v>
      </c>
      <c r="C745" s="24" t="s">
        <v>219</v>
      </c>
      <c r="D745" s="24" t="s">
        <v>150</v>
      </c>
      <c r="E745" s="24">
        <v>16</v>
      </c>
      <c r="F745" s="24" t="s">
        <v>16</v>
      </c>
      <c r="G745" s="22">
        <v>22049</v>
      </c>
      <c r="H745" s="22">
        <v>11038</v>
      </c>
      <c r="I745" s="22">
        <v>7988</v>
      </c>
      <c r="J745" s="24" t="s">
        <v>177</v>
      </c>
      <c r="K745" s="22">
        <f>SUM(G745,H745,I745)</f>
        <v>41075</v>
      </c>
      <c r="L745" s="23" t="s">
        <v>930</v>
      </c>
      <c r="M745" s="23" t="str">
        <f>VLOOKUP(L745,スキル!B:C,2,FALSE)</f>
        <v>単体攻撃（宝箱優先／追加ダメージ）[極大]</v>
      </c>
      <c r="N745" s="23" t="s">
        <v>18</v>
      </c>
      <c r="O745" s="23" t="str">
        <f>VLOOKUP(N745,スキル!B:C,2,FALSE)</f>
        <v>　</v>
      </c>
      <c r="P745" s="23" t="s">
        <v>453</v>
      </c>
      <c r="Q745" s="23" t="str">
        <f>VLOOKUP(P745,タクティクス!B:C,2,FALSE)</f>
        <v>パーティ全体の攻撃力が極大UP＆ユニット1体をタレント状態にする(3分間)</v>
      </c>
      <c r="R745" s="23" t="s">
        <v>439</v>
      </c>
      <c r="S745" s="23" t="str">
        <f>VLOOKUP(R745,タクティクス!B:C,2,FALSE)</f>
        <v>騎士団スコア特大UP・キリ番CB最大値UP(3回)</v>
      </c>
      <c r="T745" s="23" t="s">
        <v>483</v>
      </c>
      <c r="U745" s="23" t="s">
        <v>18</v>
      </c>
      <c r="V745" s="20" t="s">
        <v>1899</v>
      </c>
    </row>
    <row r="746" spans="1:22" ht="21.75" customHeight="1" x14ac:dyDescent="0.15">
      <c r="A746" s="20" t="str">
        <f>B746&amp;".jpg"</f>
        <v>2213.jpg</v>
      </c>
      <c r="B746" s="46">
        <v>2213</v>
      </c>
      <c r="C746" s="24" t="s">
        <v>257</v>
      </c>
      <c r="D746" s="24" t="s">
        <v>15</v>
      </c>
      <c r="E746" s="24">
        <v>14</v>
      </c>
      <c r="F746" s="24" t="s">
        <v>34</v>
      </c>
      <c r="G746" s="22">
        <v>23053</v>
      </c>
      <c r="H746" s="22">
        <v>6574</v>
      </c>
      <c r="I746" s="22">
        <v>7637</v>
      </c>
      <c r="J746" s="24" t="s">
        <v>17</v>
      </c>
      <c r="K746" s="22">
        <f>SUM(G746,H746,I746)</f>
        <v>37264</v>
      </c>
      <c r="L746" s="23" t="s">
        <v>697</v>
      </c>
      <c r="M746" s="23" t="str">
        <f>VLOOKUP(L746,スキル!B:C,2,FALSE)</f>
        <v>X字型攻撃[特大]自分の攻撃力UP[特大]</v>
      </c>
      <c r="N746" s="23" t="s">
        <v>18</v>
      </c>
      <c r="O746" s="23" t="str">
        <f>VLOOKUP(N746,スキル!B:C,2,FALSE)</f>
        <v>　</v>
      </c>
      <c r="P746" s="23" t="s">
        <v>226</v>
      </c>
      <c r="Q746" s="23" t="str">
        <f>VLOOKUP(P746,タクティクス!B:C,2,FALSE)</f>
        <v>バトルで獲得する騎士団戦スコアが大アップ(3分間)</v>
      </c>
      <c r="R746" s="23" t="s">
        <v>18</v>
      </c>
      <c r="S746" s="23" t="str">
        <f>VLOOKUP(R746,タクティクス!B:C,2,FALSE)</f>
        <v>　</v>
      </c>
      <c r="T746" s="23" t="s">
        <v>18</v>
      </c>
      <c r="U746" s="23" t="s">
        <v>498</v>
      </c>
      <c r="V746" s="20" t="s">
        <v>1899</v>
      </c>
    </row>
    <row r="747" spans="1:22" ht="21.75" customHeight="1" x14ac:dyDescent="0.15">
      <c r="A747" s="20" t="str">
        <f>B747&amp;".jpg"</f>
        <v>2215.jpg</v>
      </c>
      <c r="B747" s="46">
        <v>2215</v>
      </c>
      <c r="C747" s="24" t="s">
        <v>339</v>
      </c>
      <c r="D747" s="24" t="s">
        <v>150</v>
      </c>
      <c r="E747" s="24">
        <v>16</v>
      </c>
      <c r="F747" s="24" t="s">
        <v>41</v>
      </c>
      <c r="G747" s="22">
        <v>27150</v>
      </c>
      <c r="H747" s="22">
        <v>8794</v>
      </c>
      <c r="I747" s="22">
        <v>9076</v>
      </c>
      <c r="J747" s="24" t="s">
        <v>31</v>
      </c>
      <c r="K747" s="22">
        <f>SUM(G747,H747,I747)</f>
        <v>45020</v>
      </c>
      <c r="L747" s="23" t="s">
        <v>932</v>
      </c>
      <c r="M747" s="23" t="str">
        <f>VLOOKUP(L747,スキル!B:C,2,FALSE)</f>
        <v>ランダム6連続攻撃[大]自分の防御力UP[大]</v>
      </c>
      <c r="N747" s="23" t="s">
        <v>18</v>
      </c>
      <c r="O747" s="23" t="str">
        <f>VLOOKUP(N747,スキル!B:C,2,FALSE)</f>
        <v>　</v>
      </c>
      <c r="P747" s="23" t="s">
        <v>499</v>
      </c>
      <c r="Q747" s="23" t="str">
        <f>VLOOKUP(P747,タクティクス!B:C,2,FALSE)</f>
        <v>パーティ全体の攻・防が極大UP＆ユニット1体をタレント状態にする(3分間)</v>
      </c>
      <c r="R747" s="23" t="s">
        <v>397</v>
      </c>
      <c r="S747" s="23" t="str">
        <f>VLOOKUP(R747,タクティクス!B:C,2,FALSE)</f>
        <v>バトルで獲得する騎士団戦スコアが特大アップ(3分間)</v>
      </c>
      <c r="T747" s="23" t="s">
        <v>467</v>
      </c>
      <c r="U747" s="23" t="s">
        <v>18</v>
      </c>
      <c r="V747" s="20" t="s">
        <v>1899</v>
      </c>
    </row>
    <row r="748" spans="1:22" ht="21.75" customHeight="1" x14ac:dyDescent="0.15">
      <c r="A748" s="20" t="str">
        <f>B748&amp;".jpg"</f>
        <v>2217.jpg</v>
      </c>
      <c r="B748" s="46">
        <v>2217</v>
      </c>
      <c r="C748" s="24" t="s">
        <v>500</v>
      </c>
      <c r="D748" s="24" t="s">
        <v>150</v>
      </c>
      <c r="E748" s="24">
        <v>16</v>
      </c>
      <c r="F748" s="24" t="s">
        <v>25</v>
      </c>
      <c r="G748" s="22">
        <v>25157</v>
      </c>
      <c r="H748" s="22">
        <v>7582</v>
      </c>
      <c r="I748" s="22">
        <v>10107</v>
      </c>
      <c r="J748" s="24" t="s">
        <v>456</v>
      </c>
      <c r="K748" s="22">
        <f>SUM(G748,H748,I748)</f>
        <v>42846</v>
      </c>
      <c r="L748" s="23" t="s">
        <v>934</v>
      </c>
      <c r="M748" s="23" t="str">
        <f>VLOOKUP(L748,スキル!B:C,2,FALSE)</f>
        <v>斬に強く突に弱い縦一列攻撃[極大]</v>
      </c>
      <c r="N748" s="23" t="s">
        <v>18</v>
      </c>
      <c r="O748" s="23" t="str">
        <f>VLOOKUP(N748,スキル!B:C,2,FALSE)</f>
        <v>　</v>
      </c>
      <c r="P748" s="23" t="s">
        <v>485</v>
      </c>
      <c r="Q748" s="23" t="str">
        <f>VLOOKUP(P748,タクティクス!B:C,2,FALSE)</f>
        <v>獲得する騎士団戦スコアが極大アップ(バトル5回)</v>
      </c>
      <c r="R748" s="23" t="s">
        <v>399</v>
      </c>
      <c r="S748" s="23" t="str">
        <f>VLOOKUP(R748,タクティクス!B:C,2,FALSE)</f>
        <v>パーティ全体のスキル発動率が特大UP(3分間)</v>
      </c>
      <c r="T748" s="23" t="s">
        <v>458</v>
      </c>
      <c r="U748" s="23" t="s">
        <v>18</v>
      </c>
      <c r="V748" s="20" t="s">
        <v>1823</v>
      </c>
    </row>
    <row r="749" spans="1:22" ht="21.75" customHeight="1" x14ac:dyDescent="0.15">
      <c r="A749" s="20" t="str">
        <f>B749&amp;".jpg"</f>
        <v>2219.jpg</v>
      </c>
      <c r="B749" s="46">
        <v>2219</v>
      </c>
      <c r="C749" s="24" t="s">
        <v>501</v>
      </c>
      <c r="D749" s="24" t="s">
        <v>150</v>
      </c>
      <c r="E749" s="24">
        <v>16</v>
      </c>
      <c r="F749" s="24" t="s">
        <v>41</v>
      </c>
      <c r="G749" s="22">
        <v>23998</v>
      </c>
      <c r="H749" s="22">
        <v>8692</v>
      </c>
      <c r="I749" s="22">
        <v>8006</v>
      </c>
      <c r="J749" s="24" t="s">
        <v>31</v>
      </c>
      <c r="K749" s="22">
        <f>SUM(G749,H749,I749)</f>
        <v>40696</v>
      </c>
      <c r="L749" s="23" t="s">
        <v>936</v>
      </c>
      <c r="M749" s="23" t="str">
        <f>VLOOKUP(L749,スキル!B:C,2,FALSE)</f>
        <v>味方全員のHPを回復[特大]</v>
      </c>
      <c r="N749" s="23" t="s">
        <v>18</v>
      </c>
      <c r="O749" s="23" t="str">
        <f>VLOOKUP(N749,スキル!B:C,2,FALSE)</f>
        <v>　</v>
      </c>
      <c r="P749" s="23" t="s">
        <v>461</v>
      </c>
      <c r="Q749" s="23" t="str">
        <f>VLOOKUP(P749,タクティクス!B:C,2,FALSE)</f>
        <v>パーティ全体の防御力が極大UP＆ユニット1体をタレント状態にする(3分間)</v>
      </c>
      <c r="R749" s="23" t="s">
        <v>427</v>
      </c>
      <c r="S749" s="23" t="str">
        <f>VLOOKUP(R749,タクティクス!B:C,2,FALSE)</f>
        <v>キリ番CB時の獲得ポイント特大UP(3分間)</v>
      </c>
      <c r="T749" s="23" t="s">
        <v>455</v>
      </c>
      <c r="U749" s="23" t="s">
        <v>18</v>
      </c>
      <c r="V749" s="20" t="s">
        <v>1823</v>
      </c>
    </row>
    <row r="750" spans="1:22" ht="21.75" customHeight="1" x14ac:dyDescent="0.15">
      <c r="A750" s="20" t="str">
        <f>B750&amp;".jpg"</f>
        <v>2221.jpg</v>
      </c>
      <c r="B750" s="46">
        <v>2221</v>
      </c>
      <c r="C750" s="24" t="s">
        <v>502</v>
      </c>
      <c r="D750" s="24" t="s">
        <v>150</v>
      </c>
      <c r="E750" s="24">
        <v>16</v>
      </c>
      <c r="F750" s="24" t="s">
        <v>34</v>
      </c>
      <c r="G750" s="22">
        <v>30001</v>
      </c>
      <c r="H750" s="22">
        <v>8803</v>
      </c>
      <c r="I750" s="22">
        <v>12820</v>
      </c>
      <c r="J750" s="24" t="s">
        <v>26</v>
      </c>
      <c r="K750" s="22">
        <f>SUM(G750,H750,I750)</f>
        <v>51624</v>
      </c>
      <c r="L750" s="24" t="s">
        <v>904</v>
      </c>
      <c r="M750" s="23" t="str">
        <f>VLOOKUP(L750,スキル!B:C,2,FALSE)</f>
        <v>横一列に攻撃[極大]</v>
      </c>
      <c r="N750" s="23" t="s">
        <v>18</v>
      </c>
      <c r="O750" s="23" t="str">
        <f>VLOOKUP(N750,スキル!B:C,2,FALSE)</f>
        <v>　</v>
      </c>
      <c r="P750" s="23" t="s">
        <v>471</v>
      </c>
      <c r="Q750" s="23" t="str">
        <f>VLOOKUP(P750,タクティクス!B:C,2,FALSE)</f>
        <v>パーティ全体の速度が大UP＆ユニット1体をタレント状態にする(5分間)</v>
      </c>
      <c r="R750" s="23" t="s">
        <v>374</v>
      </c>
      <c r="S750" s="23" t="str">
        <f>VLOOKUP(R750,タクティクス!B:C,2,FALSE)</f>
        <v>パーティ全体の攻・防が特大UP(3分間)</v>
      </c>
      <c r="T750" s="23" t="s">
        <v>18</v>
      </c>
      <c r="U750" s="23" t="s">
        <v>498</v>
      </c>
      <c r="V750" s="20" t="s">
        <v>1878</v>
      </c>
    </row>
    <row r="751" spans="1:22" ht="21.75" customHeight="1" x14ac:dyDescent="0.15">
      <c r="A751" s="20" t="str">
        <f>B751&amp;".jpg"</f>
        <v>2222.jpg</v>
      </c>
      <c r="B751" s="46">
        <v>2222</v>
      </c>
      <c r="C751" s="24" t="s">
        <v>436</v>
      </c>
      <c r="D751" s="24" t="s">
        <v>15</v>
      </c>
      <c r="E751" s="24">
        <v>13</v>
      </c>
      <c r="F751" s="24" t="s">
        <v>16</v>
      </c>
      <c r="G751" s="22">
        <v>17247</v>
      </c>
      <c r="H751" s="22">
        <v>7757</v>
      </c>
      <c r="I751" s="22">
        <v>5429</v>
      </c>
      <c r="J751" s="24" t="s">
        <v>17</v>
      </c>
      <c r="K751" s="22">
        <f>SUM(G751,H751,I751)</f>
        <v>30433</v>
      </c>
      <c r="L751" s="23" t="s">
        <v>637</v>
      </c>
      <c r="M751" s="23" t="str">
        <f>VLOOKUP(L751,スキル!B:C,2,FALSE)</f>
        <v>打に強く遠に弱い縦一列攻撃[大]</v>
      </c>
      <c r="N751" s="23" t="s">
        <v>18</v>
      </c>
      <c r="O751" s="23" t="str">
        <f>VLOOKUP(N751,スキル!B:C,2,FALSE)</f>
        <v>　</v>
      </c>
      <c r="P751" s="23" t="s">
        <v>409</v>
      </c>
      <c r="Q751" s="23" t="str">
        <f>VLOOKUP(P751,タクティクス!B:C,2,FALSE)</f>
        <v>パーティ全体の攻撃力大UP・速度大DOWN(3分間)</v>
      </c>
      <c r="R751" s="23" t="s">
        <v>18</v>
      </c>
      <c r="S751" s="23" t="str">
        <f>VLOOKUP(R751,タクティクス!B:C,2,FALSE)</f>
        <v>　</v>
      </c>
      <c r="T751" s="23" t="s">
        <v>18</v>
      </c>
      <c r="U751" s="23" t="s">
        <v>18</v>
      </c>
      <c r="V751" s="20" t="s">
        <v>1858</v>
      </c>
    </row>
    <row r="752" spans="1:22" ht="21.75" customHeight="1" x14ac:dyDescent="0.15">
      <c r="A752" s="20" t="str">
        <f>B752&amp;".jpg"</f>
        <v>2223.jpg</v>
      </c>
      <c r="B752" s="46">
        <v>2223</v>
      </c>
      <c r="C752" s="24" t="s">
        <v>436</v>
      </c>
      <c r="D752" s="24" t="s">
        <v>150</v>
      </c>
      <c r="E752" s="24">
        <v>14</v>
      </c>
      <c r="F752" s="24" t="s">
        <v>16</v>
      </c>
      <c r="G752" s="22">
        <v>19098</v>
      </c>
      <c r="H752" s="22">
        <v>8755</v>
      </c>
      <c r="I752" s="22">
        <v>6355</v>
      </c>
      <c r="J752" s="24" t="s">
        <v>151</v>
      </c>
      <c r="K752" s="22">
        <f>SUM(G752,H752,I752)</f>
        <v>34208</v>
      </c>
      <c r="L752" s="23" t="s">
        <v>715</v>
      </c>
      <c r="M752" s="23" t="str">
        <f>VLOOKUP(L752,スキル!B:C,2,FALSE)</f>
        <v>打に強く遠に弱い縦一列攻撃[特大]</v>
      </c>
      <c r="N752" s="23" t="s">
        <v>18</v>
      </c>
      <c r="O752" s="23" t="str">
        <f>VLOOKUP(N752,スキル!B:C,2,FALSE)</f>
        <v>　</v>
      </c>
      <c r="P752" s="23" t="s">
        <v>410</v>
      </c>
      <c r="Q752" s="23" t="str">
        <f>VLOOKUP(P752,タクティクス!B:C,2,FALSE)</f>
        <v>パーティ全体の攻撃力特大UP・速度大DOWN(3分間)</v>
      </c>
      <c r="R752" s="23" t="s">
        <v>18</v>
      </c>
      <c r="S752" s="23" t="str">
        <f>VLOOKUP(R752,タクティクス!B:C,2,FALSE)</f>
        <v>　</v>
      </c>
      <c r="T752" s="23" t="s">
        <v>18</v>
      </c>
      <c r="U752" s="23" t="s">
        <v>18</v>
      </c>
      <c r="V752" s="20" t="s">
        <v>1858</v>
      </c>
    </row>
    <row r="753" spans="1:22" ht="21.75" customHeight="1" x14ac:dyDescent="0.15">
      <c r="A753" s="20" t="str">
        <f>B753&amp;".jpg"</f>
        <v>2224.jpg</v>
      </c>
      <c r="B753" s="46">
        <v>2224</v>
      </c>
      <c r="C753" s="24" t="s">
        <v>436</v>
      </c>
      <c r="D753" s="24" t="s">
        <v>150</v>
      </c>
      <c r="E753" s="24">
        <v>15</v>
      </c>
      <c r="F753" s="24" t="s">
        <v>16</v>
      </c>
      <c r="G753" s="22">
        <v>21054</v>
      </c>
      <c r="H753" s="22">
        <v>9282</v>
      </c>
      <c r="I753" s="22">
        <v>7570</v>
      </c>
      <c r="J753" s="24" t="s">
        <v>26</v>
      </c>
      <c r="K753" s="22">
        <f>SUM(G753,H753,I753)</f>
        <v>37906</v>
      </c>
      <c r="L753" s="23" t="s">
        <v>715</v>
      </c>
      <c r="M753" s="23" t="str">
        <f>VLOOKUP(L753,スキル!B:C,2,FALSE)</f>
        <v>打に強く遠に弱い縦一列攻撃[特大]</v>
      </c>
      <c r="N753" s="23" t="s">
        <v>18</v>
      </c>
      <c r="O753" s="23" t="str">
        <f>VLOOKUP(N753,スキル!B:C,2,FALSE)</f>
        <v>　</v>
      </c>
      <c r="P753" s="23" t="s">
        <v>410</v>
      </c>
      <c r="Q753" s="23" t="str">
        <f>VLOOKUP(P753,タクティクス!B:C,2,FALSE)</f>
        <v>パーティ全体の攻撃力特大UP・速度大DOWN(3分間)</v>
      </c>
      <c r="R753" s="23" t="s">
        <v>178</v>
      </c>
      <c r="S753" s="23" t="str">
        <f>VLOOKUP(R753,タクティクス!B:C,2,FALSE)</f>
        <v>パーティ全体の攻撃力が大UP(3分間)</v>
      </c>
      <c r="T753" s="23" t="s">
        <v>18</v>
      </c>
      <c r="U753" s="23" t="s">
        <v>18</v>
      </c>
      <c r="V753" s="20" t="s">
        <v>1858</v>
      </c>
    </row>
    <row r="754" spans="1:22" ht="21.75" customHeight="1" x14ac:dyDescent="0.15">
      <c r="A754" s="20" t="str">
        <f>B754&amp;".jpg"</f>
        <v>2225.jpg</v>
      </c>
      <c r="B754" s="46">
        <v>2225</v>
      </c>
      <c r="C754" s="24" t="s">
        <v>436</v>
      </c>
      <c r="D754" s="24" t="s">
        <v>150</v>
      </c>
      <c r="E754" s="24">
        <v>16</v>
      </c>
      <c r="F754" s="24" t="s">
        <v>16</v>
      </c>
      <c r="G754" s="22">
        <v>22053</v>
      </c>
      <c r="H754" s="22">
        <v>10331</v>
      </c>
      <c r="I754" s="22">
        <v>8447</v>
      </c>
      <c r="J754" s="24" t="s">
        <v>177</v>
      </c>
      <c r="K754" s="22">
        <f>SUM(G754,H754,I754)</f>
        <v>40831</v>
      </c>
      <c r="L754" s="23" t="s">
        <v>938</v>
      </c>
      <c r="M754" s="23" t="str">
        <f>VLOOKUP(L754,スキル!B:C,2,FALSE)</f>
        <v>打に強く遠に弱い縦一列攻撃[極大]</v>
      </c>
      <c r="N754" s="23" t="s">
        <v>1651</v>
      </c>
      <c r="O754" s="23" t="str">
        <f>VLOOKUP(N754,スキル!B:C,2,FALSE)</f>
        <v>自分の攻撃力と防御力をUP[極大]</v>
      </c>
      <c r="P754" s="23" t="s">
        <v>503</v>
      </c>
      <c r="Q754" s="23" t="str">
        <f>VLOOKUP(P754,タクティクス!B:C,2,FALSE)</f>
        <v>パーティ全体の攻撃力極大UP・速度大DOWN＆ユニット1体をタレント状態にする(3分間)</v>
      </c>
      <c r="R754" s="23" t="s">
        <v>361</v>
      </c>
      <c r="S754" s="23" t="str">
        <f>VLOOKUP(R754,タクティクス!B:C,2,FALSE)</f>
        <v>パーティ全体の攻撃力が特大UP(3分間)</v>
      </c>
      <c r="T754" s="23" t="s">
        <v>1653</v>
      </c>
      <c r="U754" s="23" t="s">
        <v>1654</v>
      </c>
      <c r="V754" s="20" t="s">
        <v>1858</v>
      </c>
    </row>
    <row r="755" spans="1:22" ht="21.75" customHeight="1" x14ac:dyDescent="0.15">
      <c r="A755" s="20" t="str">
        <f>B755&amp;".jpg"</f>
        <v>2227.jpg</v>
      </c>
      <c r="B755" s="46">
        <v>2227</v>
      </c>
      <c r="C755" s="24" t="s">
        <v>116</v>
      </c>
      <c r="D755" s="24" t="s">
        <v>15</v>
      </c>
      <c r="E755" s="24">
        <v>14</v>
      </c>
      <c r="F755" s="24" t="s">
        <v>16</v>
      </c>
      <c r="G755" s="22">
        <v>17429</v>
      </c>
      <c r="H755" s="22">
        <v>8243</v>
      </c>
      <c r="I755" s="22">
        <v>6649</v>
      </c>
      <c r="J755" s="24" t="s">
        <v>151</v>
      </c>
      <c r="K755" s="22">
        <f>SUM(G755,H755,I755)</f>
        <v>32321</v>
      </c>
      <c r="L755" s="24" t="s">
        <v>691</v>
      </c>
      <c r="M755" s="23" t="str">
        <f>VLOOKUP(L755,スキル!B:C,2,FALSE)</f>
        <v>横一列に攻撃[特大]</v>
      </c>
      <c r="N755" s="23" t="s">
        <v>18</v>
      </c>
      <c r="O755" s="23" t="str">
        <f>VLOOKUP(N755,スキル!B:C,2,FALSE)</f>
        <v>　</v>
      </c>
      <c r="P755" s="23" t="s">
        <v>357</v>
      </c>
      <c r="Q755" s="23" t="str">
        <f>VLOOKUP(P755,タクティクス!B:C,2,FALSE)</f>
        <v>パーティ全体の防御力が特大UP(3分間)</v>
      </c>
      <c r="R755" s="23" t="s">
        <v>18</v>
      </c>
      <c r="S755" s="23" t="str">
        <f>VLOOKUP(R755,タクティクス!B:C,2,FALSE)</f>
        <v>　</v>
      </c>
      <c r="T755" s="23" t="s">
        <v>18</v>
      </c>
      <c r="U755" s="23" t="s">
        <v>479</v>
      </c>
      <c r="V755" s="20" t="s">
        <v>1899</v>
      </c>
    </row>
    <row r="756" spans="1:22" ht="21.75" customHeight="1" x14ac:dyDescent="0.15">
      <c r="A756" s="20" t="str">
        <f>B756&amp;".jpg"</f>
        <v>2229.jpg</v>
      </c>
      <c r="B756" s="46">
        <v>2229</v>
      </c>
      <c r="C756" s="24" t="s">
        <v>88</v>
      </c>
      <c r="D756" s="24" t="s">
        <v>150</v>
      </c>
      <c r="E756" s="24">
        <v>16</v>
      </c>
      <c r="F756" s="24" t="s">
        <v>25</v>
      </c>
      <c r="G756" s="22">
        <v>26926</v>
      </c>
      <c r="H756" s="22">
        <v>7720</v>
      </c>
      <c r="I756" s="22">
        <v>10123</v>
      </c>
      <c r="J756" s="24" t="s">
        <v>456</v>
      </c>
      <c r="K756" s="22">
        <f>SUM(G756,H756,I756)</f>
        <v>44769</v>
      </c>
      <c r="L756" s="23" t="s">
        <v>940</v>
      </c>
      <c r="M756" s="23" t="str">
        <f>VLOOKUP(L756,スキル!B:C,2,FALSE)</f>
        <v>ランダム5連続攻撃[大]自分の攻撃力UP[大]</v>
      </c>
      <c r="N756" s="23" t="s">
        <v>18</v>
      </c>
      <c r="O756" s="23" t="str">
        <f>VLOOKUP(N756,スキル!B:C,2,FALSE)</f>
        <v>　</v>
      </c>
      <c r="P756" s="23" t="s">
        <v>482</v>
      </c>
      <c r="Q756" s="23" t="str">
        <f>VLOOKUP(P756,タクティクス!B:C,2,FALSE)</f>
        <v>バトルで獲得する騎士団戦スコアが極大アップ＆ユニット1体をタレント状態にする(3分間)</v>
      </c>
      <c r="R756" s="23" t="s">
        <v>357</v>
      </c>
      <c r="S756" s="23" t="str">
        <f>VLOOKUP(R756,タクティクス!B:C,2,FALSE)</f>
        <v>パーティ全体の防御力が特大UP(3分間)</v>
      </c>
      <c r="T756" s="23" t="s">
        <v>504</v>
      </c>
      <c r="U756" s="23" t="s">
        <v>18</v>
      </c>
      <c r="V756" s="20" t="s">
        <v>1899</v>
      </c>
    </row>
    <row r="757" spans="1:22" ht="21.75" customHeight="1" x14ac:dyDescent="0.15">
      <c r="A757" s="20" t="str">
        <f>B757&amp;".jpg"</f>
        <v>2231.jpg</v>
      </c>
      <c r="B757" s="46">
        <v>2231</v>
      </c>
      <c r="C757" s="24" t="s">
        <v>69</v>
      </c>
      <c r="D757" s="24" t="s">
        <v>150</v>
      </c>
      <c r="E757" s="24">
        <v>16</v>
      </c>
      <c r="F757" s="24" t="s">
        <v>41</v>
      </c>
      <c r="G757" s="22">
        <v>26866</v>
      </c>
      <c r="H757" s="22">
        <v>9083</v>
      </c>
      <c r="I757" s="22">
        <v>8526</v>
      </c>
      <c r="J757" s="24" t="s">
        <v>31</v>
      </c>
      <c r="K757" s="22">
        <f>SUM(G757,H757,I757)</f>
        <v>44475</v>
      </c>
      <c r="L757" s="23" t="s">
        <v>942</v>
      </c>
      <c r="M757" s="23" t="str">
        <f>VLOOKUP(L757,スキル!B:C,2,FALSE)</f>
        <v>ランダム4連続攻撃[大]自分の防御力UP[大]</v>
      </c>
      <c r="N757" s="23" t="s">
        <v>18</v>
      </c>
      <c r="O757" s="23" t="str">
        <f>VLOOKUP(N757,スキル!B:C,2,FALSE)</f>
        <v>　</v>
      </c>
      <c r="P757" s="26" t="s">
        <v>505</v>
      </c>
      <c r="Q757" s="23" t="str">
        <f>VLOOKUP(P757,タクティクス!B:C,2,FALSE)</f>
        <v>強襲CBの発生確率・強襲時獲得ポイント特大UP＆ユニット1体をタレント状態にする(3分間)</v>
      </c>
      <c r="R757" s="23" t="s">
        <v>410</v>
      </c>
      <c r="S757" s="23" t="str">
        <f>VLOOKUP(R757,タクティクス!B:C,2,FALSE)</f>
        <v>パーティ全体の攻撃力特大UP・速度大DOWN(3分間)</v>
      </c>
      <c r="T757" s="23" t="s">
        <v>472</v>
      </c>
      <c r="U757" s="23" t="s">
        <v>18</v>
      </c>
      <c r="V757" s="20" t="s">
        <v>1899</v>
      </c>
    </row>
    <row r="758" spans="1:22" ht="21.75" customHeight="1" x14ac:dyDescent="0.15">
      <c r="A758" s="20" t="str">
        <f>B758&amp;".jpg"</f>
        <v>2232.jpg</v>
      </c>
      <c r="B758" s="46">
        <v>2232</v>
      </c>
      <c r="C758" s="24" t="s">
        <v>111</v>
      </c>
      <c r="D758" s="24" t="s">
        <v>150</v>
      </c>
      <c r="E758" s="24">
        <v>16</v>
      </c>
      <c r="F758" s="24" t="s">
        <v>16</v>
      </c>
      <c r="G758" s="22">
        <v>21861</v>
      </c>
      <c r="H758" s="22">
        <v>10071</v>
      </c>
      <c r="I758" s="22">
        <v>7944</v>
      </c>
      <c r="J758" s="24" t="s">
        <v>177</v>
      </c>
      <c r="K758" s="22">
        <f>SUM(G758,H758,I758)</f>
        <v>39876</v>
      </c>
      <c r="L758" s="23" t="s">
        <v>902</v>
      </c>
      <c r="M758" s="23" t="str">
        <f>VLOOKUP(L758,スキル!B:C,2,FALSE)</f>
        <v>縦一列に攻撃[極大]</v>
      </c>
      <c r="N758" s="23" t="s">
        <v>18</v>
      </c>
      <c r="O758" s="23" t="str">
        <f>VLOOKUP(N758,スキル!B:C,2,FALSE)</f>
        <v>　</v>
      </c>
      <c r="P758" s="23" t="s">
        <v>457</v>
      </c>
      <c r="Q758" s="23" t="str">
        <f>VLOOKUP(P758,タクティクス!B:C,2,FALSE)</f>
        <v>パーティ全体の攻・防が極大UP＆ユニット1体をタレント状態にする(3分間)</v>
      </c>
      <c r="R758" s="23" t="s">
        <v>354</v>
      </c>
      <c r="S758" s="23" t="str">
        <f>VLOOKUP(R758,タクティクス!B:C,2,FALSE)</f>
        <v>バトル時の強襲CB率が大UP(3分間)</v>
      </c>
      <c r="T758" s="23" t="s">
        <v>18</v>
      </c>
      <c r="U758" s="23" t="s">
        <v>479</v>
      </c>
      <c r="V758" s="20" t="s">
        <v>1907</v>
      </c>
    </row>
    <row r="759" spans="1:22" ht="21.75" customHeight="1" x14ac:dyDescent="0.15">
      <c r="A759" s="20" t="str">
        <f>B759&amp;".jpg"</f>
        <v>2233.jpg</v>
      </c>
      <c r="B759" s="46">
        <v>2233</v>
      </c>
      <c r="C759" s="24" t="s">
        <v>61</v>
      </c>
      <c r="D759" s="24" t="s">
        <v>150</v>
      </c>
      <c r="E759" s="24">
        <v>16</v>
      </c>
      <c r="F759" s="24" t="s">
        <v>41</v>
      </c>
      <c r="G759" s="22">
        <v>25415</v>
      </c>
      <c r="H759" s="22">
        <v>8685</v>
      </c>
      <c r="I759" s="22">
        <v>8374</v>
      </c>
      <c r="J759" s="24" t="s">
        <v>31</v>
      </c>
      <c r="K759" s="22">
        <f>SUM(G759,H759,I759)</f>
        <v>42474</v>
      </c>
      <c r="L759" s="23" t="s">
        <v>944</v>
      </c>
      <c r="M759" s="23" t="str">
        <f>VLOOKUP(L759,スキル!B:C,2,FALSE)</f>
        <v>単体固定ﾀﾞﾒｰｼﾞ[極大]+味方ｽﾃｰﾀｽDOWN解除</v>
      </c>
      <c r="N759" s="23" t="s">
        <v>18</v>
      </c>
      <c r="O759" s="23" t="str">
        <f>VLOOKUP(N759,スキル!B:C,2,FALSE)</f>
        <v>　</v>
      </c>
      <c r="P759" s="23" t="s">
        <v>506</v>
      </c>
      <c r="Q759" s="23" t="str">
        <f>VLOOKUP(P759,タクティクス!B:C,2,FALSE)</f>
        <v>強襲無効、攻撃力・スキル発動率極大UP＆ユニット1体をタレント状態にする(5分間)</v>
      </c>
      <c r="R759" s="23" t="s">
        <v>374</v>
      </c>
      <c r="S759" s="23" t="str">
        <f>VLOOKUP(R759,タクティクス!B:C,2,FALSE)</f>
        <v>パーティ全体の攻・防が特大UP(3分間)</v>
      </c>
      <c r="T759" s="23" t="s">
        <v>507</v>
      </c>
      <c r="U759" s="23" t="s">
        <v>18</v>
      </c>
      <c r="V759" s="20" t="s">
        <v>1899</v>
      </c>
    </row>
    <row r="760" spans="1:22" ht="21.75" customHeight="1" x14ac:dyDescent="0.15">
      <c r="A760" s="20" t="str">
        <f>B760&amp;".jpg"</f>
        <v>2234.jpg</v>
      </c>
      <c r="B760" s="46">
        <v>2234</v>
      </c>
      <c r="C760" s="24" t="s">
        <v>508</v>
      </c>
      <c r="D760" s="24" t="s">
        <v>15</v>
      </c>
      <c r="E760" s="24">
        <v>14</v>
      </c>
      <c r="F760" s="24" t="s">
        <v>41</v>
      </c>
      <c r="G760" s="22">
        <v>19084</v>
      </c>
      <c r="H760" s="22">
        <v>6959</v>
      </c>
      <c r="I760" s="22">
        <v>6331</v>
      </c>
      <c r="J760" s="24" t="s">
        <v>55</v>
      </c>
      <c r="K760" s="22">
        <f>SUM(G760,H760,I760)</f>
        <v>32374</v>
      </c>
      <c r="L760" s="23" t="s">
        <v>835</v>
      </c>
      <c r="M760" s="23" t="str">
        <f>VLOOKUP(L760,スキル!B:C,2,FALSE)</f>
        <v>単体攻撃（宝箱優先／追加ダメージ）[特大]</v>
      </c>
      <c r="N760" s="23" t="s">
        <v>18</v>
      </c>
      <c r="O760" s="23" t="str">
        <f>VLOOKUP(N760,スキル!B:C,2,FALSE)</f>
        <v>　</v>
      </c>
      <c r="P760" s="23" t="s">
        <v>195</v>
      </c>
      <c r="Q760" s="23" t="str">
        <f>VLOOKUP(P760,タクティクス!B:C,2,FALSE)</f>
        <v>パーティ全体のスキル発動率が大UP(3分間)</v>
      </c>
      <c r="R760" s="23" t="s">
        <v>18</v>
      </c>
      <c r="S760" s="23" t="str">
        <f>VLOOKUP(R760,タクティクス!B:C,2,FALSE)</f>
        <v>　</v>
      </c>
      <c r="T760" s="23" t="s">
        <v>18</v>
      </c>
      <c r="U760" s="23" t="s">
        <v>509</v>
      </c>
      <c r="V760" s="20" t="s">
        <v>1917</v>
      </c>
    </row>
    <row r="761" spans="1:22" ht="21.75" customHeight="1" x14ac:dyDescent="0.15">
      <c r="A761" s="20" t="str">
        <f>B761&amp;".jpg"</f>
        <v>2236.jpg</v>
      </c>
      <c r="B761" s="46">
        <v>2236</v>
      </c>
      <c r="C761" s="24" t="s">
        <v>510</v>
      </c>
      <c r="D761" s="24" t="s">
        <v>150</v>
      </c>
      <c r="E761" s="24">
        <v>16</v>
      </c>
      <c r="F761" s="24" t="s">
        <v>16</v>
      </c>
      <c r="G761" s="22">
        <v>22009</v>
      </c>
      <c r="H761" s="22">
        <v>10443</v>
      </c>
      <c r="I761" s="22">
        <v>8500</v>
      </c>
      <c r="J761" s="24" t="s">
        <v>177</v>
      </c>
      <c r="K761" s="22">
        <f>SUM(G761,H761,I761)</f>
        <v>40952</v>
      </c>
      <c r="L761" s="23" t="s">
        <v>946</v>
      </c>
      <c r="M761" s="23" t="str">
        <f>VLOOKUP(L761,スキル!B:C,2,FALSE)</f>
        <v>突に強く斬に弱い横一列攻撃[極大]</v>
      </c>
      <c r="N761" s="23" t="s">
        <v>18</v>
      </c>
      <c r="O761" s="23" t="str">
        <f>VLOOKUP(N761,スキル!B:C,2,FALSE)</f>
        <v>　</v>
      </c>
      <c r="P761" s="23" t="s">
        <v>453</v>
      </c>
      <c r="Q761" s="23" t="str">
        <f>VLOOKUP(P761,タクティクス!B:C,2,FALSE)</f>
        <v>パーティ全体の攻撃力が極大UP＆ユニット1体をタレント状態にする(3分間)</v>
      </c>
      <c r="R761" s="23" t="s">
        <v>238</v>
      </c>
      <c r="S761" s="23" t="str">
        <f>VLOOKUP(R761,タクティクス!B:C,2,FALSE)</f>
        <v>騎士団全員のBPを大回復</v>
      </c>
      <c r="T761" s="23" t="s">
        <v>511</v>
      </c>
      <c r="U761" s="23" t="s">
        <v>18</v>
      </c>
      <c r="V761" s="20" t="s">
        <v>1899</v>
      </c>
    </row>
    <row r="762" spans="1:22" ht="21.75" customHeight="1" x14ac:dyDescent="0.15">
      <c r="A762" s="20" t="str">
        <f>B762&amp;".jpg"</f>
        <v>2238.jpg</v>
      </c>
      <c r="B762" s="46">
        <v>2238</v>
      </c>
      <c r="C762" s="24" t="s">
        <v>447</v>
      </c>
      <c r="D762" s="24" t="s">
        <v>150</v>
      </c>
      <c r="E762" s="24">
        <v>16</v>
      </c>
      <c r="F762" s="24" t="s">
        <v>34</v>
      </c>
      <c r="G762" s="22">
        <v>30815</v>
      </c>
      <c r="H762" s="22">
        <v>8833</v>
      </c>
      <c r="I762" s="22">
        <v>12138</v>
      </c>
      <c r="J762" s="24" t="s">
        <v>26</v>
      </c>
      <c r="K762" s="22">
        <f>SUM(G762,H762,I762)</f>
        <v>51786</v>
      </c>
      <c r="L762" s="23" t="s">
        <v>846</v>
      </c>
      <c r="M762" s="23" t="str">
        <f>VLOOKUP(L762,スキル!B:C,2,FALSE)</f>
        <v>縦一列攻撃[特大]自分の攻撃力UP[特大]</v>
      </c>
      <c r="N762" s="23" t="s">
        <v>18</v>
      </c>
      <c r="O762" s="23" t="str">
        <f>VLOOKUP(N762,スキル!B:C,2,FALSE)</f>
        <v>　</v>
      </c>
      <c r="P762" s="23" t="s">
        <v>453</v>
      </c>
      <c r="Q762" s="23" t="str">
        <f>VLOOKUP(P762,タクティクス!B:C,2,FALSE)</f>
        <v>パーティ全体の攻撃力が極大UP＆ユニット1体をタレント状態にする(3分間)</v>
      </c>
      <c r="R762" s="23" t="s">
        <v>397</v>
      </c>
      <c r="S762" s="23" t="str">
        <f>VLOOKUP(R762,タクティクス!B:C,2,FALSE)</f>
        <v>バトルで獲得する騎士団戦スコアが特大アップ(3分間)</v>
      </c>
      <c r="T762" s="23" t="s">
        <v>481</v>
      </c>
      <c r="U762" s="23" t="s">
        <v>18</v>
      </c>
      <c r="V762" s="20" t="s">
        <v>1899</v>
      </c>
    </row>
    <row r="763" spans="1:22" ht="21.75" customHeight="1" x14ac:dyDescent="0.15">
      <c r="A763" s="20" t="str">
        <f>B763&amp;".jpg"</f>
        <v>2240.jpg</v>
      </c>
      <c r="B763" s="46">
        <v>2240</v>
      </c>
      <c r="C763" s="24" t="s">
        <v>437</v>
      </c>
      <c r="D763" s="24" t="s">
        <v>15</v>
      </c>
      <c r="E763" s="24">
        <v>14</v>
      </c>
      <c r="F763" s="24" t="s">
        <v>41</v>
      </c>
      <c r="G763" s="22">
        <v>18521</v>
      </c>
      <c r="H763" s="22">
        <v>7015</v>
      </c>
      <c r="I763" s="22">
        <v>6312</v>
      </c>
      <c r="J763" s="24" t="s">
        <v>55</v>
      </c>
      <c r="K763" s="22">
        <f>SUM(G763,H763,I763)</f>
        <v>31848</v>
      </c>
      <c r="L763" s="23" t="s">
        <v>887</v>
      </c>
      <c r="M763" s="23" t="str">
        <f>VLOOKUP(L763,スキル!B:C,2,FALSE)</f>
        <v>味方遠属性の攻撃力をUP[極大]</v>
      </c>
      <c r="N763" s="23" t="s">
        <v>18</v>
      </c>
      <c r="O763" s="23" t="str">
        <f>VLOOKUP(N763,スキル!B:C,2,FALSE)</f>
        <v>　</v>
      </c>
      <c r="P763" s="23" t="s">
        <v>374</v>
      </c>
      <c r="Q763" s="23" t="str">
        <f>VLOOKUP(P763,タクティクス!B:C,2,FALSE)</f>
        <v>パーティ全体の攻・防が特大UP(3分間)</v>
      </c>
      <c r="R763" s="23" t="s">
        <v>18</v>
      </c>
      <c r="S763" s="23" t="str">
        <f>VLOOKUP(R763,タクティクス!B:C,2,FALSE)</f>
        <v>　</v>
      </c>
      <c r="T763" s="23" t="s">
        <v>18</v>
      </c>
      <c r="U763" s="23" t="s">
        <v>489</v>
      </c>
      <c r="V763" s="20" t="s">
        <v>1899</v>
      </c>
    </row>
    <row r="764" spans="1:22" ht="21.75" customHeight="1" x14ac:dyDescent="0.15">
      <c r="A764" s="20" t="str">
        <f>B764&amp;".jpg"</f>
        <v>2241.jpg</v>
      </c>
      <c r="B764" s="46">
        <v>2241</v>
      </c>
      <c r="C764" s="24" t="s">
        <v>512</v>
      </c>
      <c r="D764" s="24" t="s">
        <v>15</v>
      </c>
      <c r="E764" s="24">
        <v>14</v>
      </c>
      <c r="F764" s="24" t="s">
        <v>25</v>
      </c>
      <c r="G764" s="22">
        <v>19000</v>
      </c>
      <c r="H764" s="22">
        <v>6021</v>
      </c>
      <c r="I764" s="22">
        <v>6396</v>
      </c>
      <c r="J764" s="24" t="s">
        <v>177</v>
      </c>
      <c r="K764" s="22">
        <f>SUM(G764,H764,I764)</f>
        <v>31417</v>
      </c>
      <c r="L764" s="23" t="s">
        <v>664</v>
      </c>
      <c r="M764" s="23" t="str">
        <f>VLOOKUP(L764,スキル!B:C,2,FALSE)</f>
        <v>縦一列に攻撃[特大]</v>
      </c>
      <c r="N764" s="23" t="s">
        <v>18</v>
      </c>
      <c r="O764" s="23" t="str">
        <f>VLOOKUP(N764,スキル!B:C,2,FALSE)</f>
        <v>　</v>
      </c>
      <c r="P764" s="23" t="s">
        <v>361</v>
      </c>
      <c r="Q764" s="23" t="str">
        <f>VLOOKUP(P764,タクティクス!B:C,2,FALSE)</f>
        <v>パーティ全体の攻撃力が特大UP(3分間)</v>
      </c>
      <c r="R764" s="23" t="s">
        <v>18</v>
      </c>
      <c r="S764" s="23" t="str">
        <f>VLOOKUP(R764,タクティクス!B:C,2,FALSE)</f>
        <v>　</v>
      </c>
      <c r="T764" s="23" t="s">
        <v>18</v>
      </c>
      <c r="U764" s="23" t="s">
        <v>513</v>
      </c>
      <c r="V764" s="20" t="s">
        <v>1826</v>
      </c>
    </row>
    <row r="765" spans="1:22" ht="21.75" customHeight="1" x14ac:dyDescent="0.15">
      <c r="A765" s="20" t="str">
        <f>B765&amp;".jpg"</f>
        <v>2242.jpg</v>
      </c>
      <c r="B765" s="46">
        <v>2242</v>
      </c>
      <c r="C765" s="24" t="s">
        <v>67</v>
      </c>
      <c r="D765" s="24" t="s">
        <v>150</v>
      </c>
      <c r="E765" s="24">
        <v>16</v>
      </c>
      <c r="F765" s="24" t="s">
        <v>25</v>
      </c>
      <c r="G765" s="22">
        <v>26019</v>
      </c>
      <c r="H765" s="22">
        <v>7886</v>
      </c>
      <c r="I765" s="22">
        <v>10132</v>
      </c>
      <c r="J765" s="24" t="s">
        <v>491</v>
      </c>
      <c r="K765" s="22">
        <f>SUM(G765,H765,I765)</f>
        <v>44037</v>
      </c>
      <c r="L765" s="23" t="s">
        <v>948</v>
      </c>
      <c r="M765" s="23" t="str">
        <f>VLOOKUP(L765,スキル!B:C,2,FALSE)</f>
        <v>ﾗﾝﾀﾞﾑ6連続攻撃[大][低確率]でﾀﾞﾒｰｼﾞ2倍</v>
      </c>
      <c r="N765" s="23" t="s">
        <v>18</v>
      </c>
      <c r="O765" s="23" t="str">
        <f>VLOOKUP(N765,スキル!B:C,2,FALSE)</f>
        <v>　</v>
      </c>
      <c r="P765" s="26" t="s">
        <v>514</v>
      </c>
      <c r="Q765" s="23" t="str">
        <f>VLOOKUP(P765,タクティクス!B:C,2,FALSE)</f>
        <v>パーティ全体の攻撃力・速度が特大UP＆ユニット1体をタレント状態にする(5分間)</v>
      </c>
      <c r="R765" s="23" t="s">
        <v>515</v>
      </c>
      <c r="S765" s="23" t="str">
        <f>VLOOKUP(R765,タクティクス!B:C,2,FALSE)</f>
        <v>パーティ全体の速度が大UP(4分間)</v>
      </c>
      <c r="T765" s="23" t="s">
        <v>516</v>
      </c>
      <c r="U765" s="23" t="s">
        <v>18</v>
      </c>
      <c r="V765" s="20" t="s">
        <v>1899</v>
      </c>
    </row>
    <row r="766" spans="1:22" ht="21.75" customHeight="1" x14ac:dyDescent="0.15">
      <c r="A766" s="20" t="str">
        <f>B766&amp;".jpg"</f>
        <v>2244.jpg</v>
      </c>
      <c r="B766" s="21">
        <v>2244</v>
      </c>
      <c r="C766" s="20" t="s">
        <v>1131</v>
      </c>
      <c r="D766" s="20" t="s">
        <v>15</v>
      </c>
      <c r="E766" s="20">
        <v>14</v>
      </c>
      <c r="F766" s="20" t="s">
        <v>16</v>
      </c>
      <c r="G766" s="27">
        <v>18299</v>
      </c>
      <c r="H766" s="27">
        <v>8278</v>
      </c>
      <c r="I766" s="27">
        <v>6665</v>
      </c>
      <c r="J766" s="20" t="s">
        <v>151</v>
      </c>
      <c r="K766" s="22">
        <f>SUM(G766,H766,I766)</f>
        <v>33242</v>
      </c>
      <c r="L766" s="23" t="s">
        <v>1132</v>
      </c>
      <c r="M766" s="23" t="str">
        <f>VLOOKUP(L766,スキル!B:C,2,FALSE)</f>
        <v>味方斬属性の攻撃力をUP[極大]</v>
      </c>
      <c r="N766" s="20" t="s">
        <v>1141</v>
      </c>
      <c r="O766" s="23" t="str">
        <f>VLOOKUP(N766,スキル!B:C,2,FALSE)</f>
        <v>　</v>
      </c>
      <c r="P766" s="20" t="s">
        <v>477</v>
      </c>
      <c r="Q766" s="23" t="str">
        <f>VLOOKUP(P766,タクティクス!B:C,2,FALSE)</f>
        <v>騎士団全体のスキル発動率が中UP(3分間)</v>
      </c>
      <c r="R766" s="20" t="s">
        <v>1144</v>
      </c>
      <c r="S766" s="23" t="str">
        <f>VLOOKUP(R766,タクティクス!B:C,2,FALSE)</f>
        <v>　</v>
      </c>
      <c r="T766" s="20" t="s">
        <v>1141</v>
      </c>
      <c r="U766" s="20" t="s">
        <v>1149</v>
      </c>
      <c r="V766" s="20" t="s">
        <v>1899</v>
      </c>
    </row>
    <row r="767" spans="1:22" ht="21.75" customHeight="1" x14ac:dyDescent="0.15">
      <c r="A767" s="20" t="str">
        <f>B767&amp;".jpg"</f>
        <v>2246.jpg</v>
      </c>
      <c r="B767" s="21">
        <v>2246</v>
      </c>
      <c r="C767" s="20" t="s">
        <v>486</v>
      </c>
      <c r="D767" s="20" t="s">
        <v>150</v>
      </c>
      <c r="E767" s="20">
        <v>16</v>
      </c>
      <c r="F767" s="20" t="s">
        <v>34</v>
      </c>
      <c r="G767" s="27">
        <v>31018</v>
      </c>
      <c r="H767" s="27">
        <v>8780</v>
      </c>
      <c r="I767" s="27">
        <v>12856</v>
      </c>
      <c r="J767" s="20" t="s">
        <v>26</v>
      </c>
      <c r="K767" s="22">
        <f>SUM(G767,H767,I767)</f>
        <v>52654</v>
      </c>
      <c r="L767" s="23" t="s">
        <v>1134</v>
      </c>
      <c r="M767" s="23" t="str">
        <f>VLOOKUP(L767,スキル!B:C,2,FALSE)</f>
        <v>X字型攻撃[極大]自分の防御力UP[極大]</v>
      </c>
      <c r="N767" s="20" t="s">
        <v>1141</v>
      </c>
      <c r="O767" s="23" t="str">
        <f>VLOOKUP(N767,スキル!B:C,2,FALSE)</f>
        <v>　</v>
      </c>
      <c r="P767" s="20" t="s">
        <v>505</v>
      </c>
      <c r="Q767" s="23" t="str">
        <f>VLOOKUP(P767,タクティクス!B:C,2,FALSE)</f>
        <v>強襲CBの発生確率・強襲時獲得ポイント特大UP＆ユニット1体をタレント状態にする(3分間)</v>
      </c>
      <c r="R767" s="20" t="s">
        <v>1145</v>
      </c>
      <c r="S767" s="23" t="str">
        <f>VLOOKUP(R767,タクティクス!B:C,2,FALSE)</f>
        <v>対戦騎士団の城強度Lvが大DOWN(3分間)</v>
      </c>
      <c r="T767" s="20" t="s">
        <v>1150</v>
      </c>
      <c r="U767" s="20" t="s">
        <v>1011</v>
      </c>
      <c r="V767" s="20" t="s">
        <v>1899</v>
      </c>
    </row>
    <row r="768" spans="1:22" ht="21.75" customHeight="1" x14ac:dyDescent="0.15">
      <c r="A768" s="20" t="str">
        <f>B768&amp;".jpg"</f>
        <v>2248.jpg</v>
      </c>
      <c r="B768" s="21">
        <v>2248</v>
      </c>
      <c r="C768" s="20" t="s">
        <v>501</v>
      </c>
      <c r="D768" s="20" t="s">
        <v>150</v>
      </c>
      <c r="E768" s="20">
        <v>16</v>
      </c>
      <c r="F768" s="20" t="s">
        <v>41</v>
      </c>
      <c r="G768" s="27">
        <v>26797</v>
      </c>
      <c r="H768" s="27">
        <v>8833</v>
      </c>
      <c r="I768" s="27">
        <v>8207</v>
      </c>
      <c r="J768" s="20" t="s">
        <v>31</v>
      </c>
      <c r="K768" s="22">
        <f>SUM(G768,H768,I768)</f>
        <v>43837</v>
      </c>
      <c r="L768" s="23" t="s">
        <v>1136</v>
      </c>
      <c r="M768" s="23" t="str">
        <f>VLOOKUP(L768,スキル!B:C,2,FALSE)</f>
        <v>最もダメージが多い味方1人のHP回復[極大]</v>
      </c>
      <c r="N768" s="20" t="s">
        <v>1141</v>
      </c>
      <c r="O768" s="23" t="str">
        <f>VLOOKUP(N768,スキル!B:C,2,FALSE)</f>
        <v>　</v>
      </c>
      <c r="P768" s="20" t="s">
        <v>1142</v>
      </c>
      <c r="Q768" s="23" t="str">
        <f>VLOOKUP(P768,タクティクス!B:C,2,FALSE)</f>
        <v>パーティ全体の攻防大UP・最大TP小UP＆ユニット1体をタレント状態にする(5分間)</v>
      </c>
      <c r="R768" s="20" t="s">
        <v>1146</v>
      </c>
      <c r="S768" s="23" t="str">
        <f>VLOOKUP(R768,タクティクス!B:C,2,FALSE)</f>
        <v>強襲無効、攻撃力・スキル発動率特大UP(3分間)</v>
      </c>
      <c r="T768" s="20" t="s">
        <v>472</v>
      </c>
      <c r="U768" s="20" t="s">
        <v>1011</v>
      </c>
      <c r="V768" s="20" t="s">
        <v>1899</v>
      </c>
    </row>
    <row r="769" spans="1:22" ht="21.75" customHeight="1" x14ac:dyDescent="0.15">
      <c r="A769" s="20" t="str">
        <f>B769&amp;".jpg"</f>
        <v>2250.jpg</v>
      </c>
      <c r="B769" s="46">
        <v>2250</v>
      </c>
      <c r="C769" s="24" t="s">
        <v>517</v>
      </c>
      <c r="D769" s="24" t="s">
        <v>150</v>
      </c>
      <c r="E769" s="24">
        <v>16</v>
      </c>
      <c r="F769" s="24" t="s">
        <v>25</v>
      </c>
      <c r="G769" s="22">
        <v>25575</v>
      </c>
      <c r="H769" s="22">
        <v>7592</v>
      </c>
      <c r="I769" s="22">
        <v>10104</v>
      </c>
      <c r="J769" s="24" t="s">
        <v>456</v>
      </c>
      <c r="K769" s="22">
        <f>SUM(G769,H769,I769)</f>
        <v>43271</v>
      </c>
      <c r="L769" s="23" t="s">
        <v>938</v>
      </c>
      <c r="M769" s="23" t="str">
        <f>VLOOKUP(L769,スキル!B:C,2,FALSE)</f>
        <v>打に強く遠に弱い縦一列攻撃[極大]</v>
      </c>
      <c r="N769" s="23" t="s">
        <v>18</v>
      </c>
      <c r="O769" s="23" t="str">
        <f>VLOOKUP(N769,スキル!B:C,2,FALSE)</f>
        <v>　</v>
      </c>
      <c r="P769" s="26" t="s">
        <v>488</v>
      </c>
      <c r="Q769" s="23" t="str">
        <f>VLOOKUP(P769,タクティクス!B:C,2,FALSE)</f>
        <v>パーティ全体のスキル発動率が特大UP＆ユニット1体をタレント状態にする(5分間)</v>
      </c>
      <c r="R769" s="23" t="s">
        <v>354</v>
      </c>
      <c r="S769" s="23" t="str">
        <f>VLOOKUP(R769,タクティクス!B:C,2,FALSE)</f>
        <v>バトル時の強襲CB率が大UP(3分間)</v>
      </c>
      <c r="T769" s="23" t="s">
        <v>458</v>
      </c>
      <c r="U769" s="23" t="s">
        <v>18</v>
      </c>
      <c r="V769" s="20" t="s">
        <v>1823</v>
      </c>
    </row>
    <row r="770" spans="1:22" ht="21.75" customHeight="1" x14ac:dyDescent="0.15">
      <c r="A770" s="20" t="str">
        <f>B770&amp;".jpg"</f>
        <v>2252.jpg</v>
      </c>
      <c r="B770" s="46">
        <v>2252</v>
      </c>
      <c r="C770" s="24" t="s">
        <v>518</v>
      </c>
      <c r="D770" s="24" t="s">
        <v>150</v>
      </c>
      <c r="E770" s="24">
        <v>16</v>
      </c>
      <c r="F770" s="24" t="s">
        <v>34</v>
      </c>
      <c r="G770" s="22">
        <v>29293</v>
      </c>
      <c r="H770" s="22">
        <v>8517</v>
      </c>
      <c r="I770" s="22">
        <v>12000</v>
      </c>
      <c r="J770" s="24" t="s">
        <v>26</v>
      </c>
      <c r="K770" s="22">
        <f>SUM(G770,H770,I770)</f>
        <v>49810</v>
      </c>
      <c r="L770" s="23" t="s">
        <v>949</v>
      </c>
      <c r="M770" s="23" t="str">
        <f>VLOOKUP(L770,スキル!B:C,2,FALSE)</f>
        <v>味方打属性の攻撃力をUP[超極大]</v>
      </c>
      <c r="N770" s="23" t="s">
        <v>18</v>
      </c>
      <c r="O770" s="23" t="str">
        <f>VLOOKUP(N770,スキル!B:C,2,FALSE)</f>
        <v>　</v>
      </c>
      <c r="P770" s="23" t="s">
        <v>461</v>
      </c>
      <c r="Q770" s="23" t="str">
        <f>VLOOKUP(P770,タクティクス!B:C,2,FALSE)</f>
        <v>パーティ全体の防御力が極大UP＆ユニット1体をタレント状態にする(3分間)</v>
      </c>
      <c r="R770" s="23" t="s">
        <v>357</v>
      </c>
      <c r="S770" s="23" t="str">
        <f>VLOOKUP(R770,タクティクス!B:C,2,FALSE)</f>
        <v>パーティ全体の防御力が特大UP(3分間)</v>
      </c>
      <c r="T770" s="23" t="s">
        <v>455</v>
      </c>
      <c r="U770" s="23" t="s">
        <v>18</v>
      </c>
      <c r="V770" s="20" t="s">
        <v>1823</v>
      </c>
    </row>
    <row r="771" spans="1:22" ht="21.75" customHeight="1" x14ac:dyDescent="0.15">
      <c r="A771" s="20" t="str">
        <f>B771&amp;".jpg"</f>
        <v>2253.jpg</v>
      </c>
      <c r="B771" s="46">
        <v>2253</v>
      </c>
      <c r="C771" s="24" t="s">
        <v>519</v>
      </c>
      <c r="D771" s="24" t="s">
        <v>15</v>
      </c>
      <c r="E771" s="24">
        <v>14</v>
      </c>
      <c r="F771" s="24" t="s">
        <v>25</v>
      </c>
      <c r="G771" s="22">
        <v>19002</v>
      </c>
      <c r="H771" s="22">
        <v>6040</v>
      </c>
      <c r="I771" s="22">
        <v>6404</v>
      </c>
      <c r="J771" s="24" t="s">
        <v>177</v>
      </c>
      <c r="K771" s="22">
        <f>SUM(G771,H771,I771)</f>
        <v>31446</v>
      </c>
      <c r="L771" s="24" t="s">
        <v>691</v>
      </c>
      <c r="M771" s="23" t="str">
        <f>VLOOKUP(L771,スキル!B:C,2,FALSE)</f>
        <v>横一列に攻撃[特大]</v>
      </c>
      <c r="N771" s="23" t="s">
        <v>18</v>
      </c>
      <c r="O771" s="23" t="str">
        <f>VLOOKUP(N771,スキル!B:C,2,FALSE)</f>
        <v>　</v>
      </c>
      <c r="P771" s="23" t="s">
        <v>251</v>
      </c>
      <c r="Q771" s="23" t="str">
        <f>VLOOKUP(P771,タクティクス!B:C,2,FALSE)</f>
        <v>パーティ全体の速度が大UP(3分間)</v>
      </c>
      <c r="R771" s="23" t="s">
        <v>18</v>
      </c>
      <c r="S771" s="23" t="str">
        <f>VLOOKUP(R771,タクティクス!B:C,2,FALSE)</f>
        <v>　</v>
      </c>
      <c r="T771" s="23" t="s">
        <v>18</v>
      </c>
      <c r="U771" s="23" t="s">
        <v>460</v>
      </c>
      <c r="V771" s="20" t="s">
        <v>1877</v>
      </c>
    </row>
    <row r="772" spans="1:22" ht="21.75" customHeight="1" x14ac:dyDescent="0.15">
      <c r="A772" s="20" t="str">
        <f>B772&amp;".jpg"</f>
        <v>2254.jpg</v>
      </c>
      <c r="B772" s="21">
        <v>2254</v>
      </c>
      <c r="C772" s="20" t="s">
        <v>1384</v>
      </c>
      <c r="D772" s="20" t="s">
        <v>1386</v>
      </c>
      <c r="E772" s="20">
        <v>14</v>
      </c>
      <c r="F772" s="24" t="s">
        <v>41</v>
      </c>
      <c r="G772" s="27">
        <v>18815</v>
      </c>
      <c r="H772" s="27">
        <v>7120</v>
      </c>
      <c r="I772" s="27">
        <v>6215</v>
      </c>
      <c r="J772" s="20" t="s">
        <v>1428</v>
      </c>
      <c r="K772" s="22">
        <f>SUM(G772,H772,I772)</f>
        <v>32150</v>
      </c>
      <c r="L772" s="20" t="s">
        <v>1429</v>
      </c>
      <c r="M772" s="23" t="str">
        <f>VLOOKUP(L772,スキル!B:C,2,FALSE)</f>
        <v>縦一列に攻撃[特大]</v>
      </c>
      <c r="N772" s="20" t="s">
        <v>1397</v>
      </c>
      <c r="O772" s="23" t="str">
        <f>VLOOKUP(N772,スキル!B:C,2,FALSE)</f>
        <v>　</v>
      </c>
      <c r="P772" s="20" t="s">
        <v>1430</v>
      </c>
      <c r="Q772" s="23" t="str">
        <f>VLOOKUP(P772,タクティクス!B:C,2,FALSE)</f>
        <v>パーティ全体の攻・防が特大UP(3分間)</v>
      </c>
      <c r="R772" s="20" t="s">
        <v>1396</v>
      </c>
      <c r="S772" s="23" t="str">
        <f>VLOOKUP(R772,タクティクス!B:C,2,FALSE)</f>
        <v>　</v>
      </c>
      <c r="T772" s="20" t="s">
        <v>1431</v>
      </c>
      <c r="U772" s="20" t="s">
        <v>1434</v>
      </c>
      <c r="V772" s="20" t="s">
        <v>1904</v>
      </c>
    </row>
    <row r="773" spans="1:22" ht="21.75" customHeight="1" x14ac:dyDescent="0.15">
      <c r="A773" s="20" t="str">
        <f>B773&amp;".jpg"</f>
        <v>2255.jpg</v>
      </c>
      <c r="B773" s="21">
        <v>2255</v>
      </c>
      <c r="C773" s="20" t="s">
        <v>109</v>
      </c>
      <c r="D773" s="20" t="s">
        <v>150</v>
      </c>
      <c r="E773" s="20">
        <v>16</v>
      </c>
      <c r="F773" s="20" t="s">
        <v>34</v>
      </c>
      <c r="G773" s="27">
        <v>30318</v>
      </c>
      <c r="H773" s="27">
        <v>9014</v>
      </c>
      <c r="I773" s="27">
        <v>12036</v>
      </c>
      <c r="J773" s="20" t="s">
        <v>26</v>
      </c>
      <c r="K773" s="22">
        <f>SUM(G773,H773,I773)</f>
        <v>51368</v>
      </c>
      <c r="L773" s="20" t="s">
        <v>1158</v>
      </c>
      <c r="M773" s="23" t="str">
        <f>VLOOKUP(L773,スキル!B:C,2,FALSE)</f>
        <v>敵単体攻撃[極大]自分の防御力UP[極大]</v>
      </c>
      <c r="N773" s="20" t="s">
        <v>1161</v>
      </c>
      <c r="O773" s="23" t="str">
        <f>VLOOKUP(N773,スキル!B:C,2,FALSE)</f>
        <v>　</v>
      </c>
      <c r="P773" s="20" t="s">
        <v>1163</v>
      </c>
      <c r="Q773" s="23" t="str">
        <f>VLOOKUP(P773,タクティクス!B:C,2,FALSE)</f>
        <v>パーティ全体の攻撃力極大UP・速度大DOWN＆ユニット1体をタレント状態にする(3分間)</v>
      </c>
      <c r="R773" s="20" t="s">
        <v>1166</v>
      </c>
      <c r="S773" s="23" t="str">
        <f>VLOOKUP(R773,タクティクス!B:C,2,FALSE)</f>
        <v>騎士団スコア特大UP・キリ番CB最大値UP(3回)</v>
      </c>
      <c r="T773" s="20" t="s">
        <v>18</v>
      </c>
      <c r="U773" s="20" t="s">
        <v>1168</v>
      </c>
      <c r="V773" s="20" t="s">
        <v>1890</v>
      </c>
    </row>
    <row r="774" spans="1:22" ht="21.75" customHeight="1" x14ac:dyDescent="0.15">
      <c r="A774" s="20" t="str">
        <f>B774&amp;".jpg"</f>
        <v>2256.jpg</v>
      </c>
      <c r="B774" s="21">
        <v>2256</v>
      </c>
      <c r="C774" s="20" t="s">
        <v>157</v>
      </c>
      <c r="D774" s="20" t="s">
        <v>150</v>
      </c>
      <c r="E774" s="20">
        <v>16</v>
      </c>
      <c r="F774" s="20" t="s">
        <v>41</v>
      </c>
      <c r="G774" s="27">
        <v>26323</v>
      </c>
      <c r="H774" s="27">
        <v>8675</v>
      </c>
      <c r="I774" s="27">
        <v>8812</v>
      </c>
      <c r="J774" s="20" t="s">
        <v>31</v>
      </c>
      <c r="K774" s="22">
        <f>SUM(G774,H774,I774)</f>
        <v>43810</v>
      </c>
      <c r="L774" s="20" t="s">
        <v>1159</v>
      </c>
      <c r="M774" s="23" t="str">
        <f>VLOOKUP(L774,スキル!B:C,2,FALSE)</f>
        <v>単体固定ダメージ[特大]+味方状態異常解除</v>
      </c>
      <c r="N774" s="20" t="s">
        <v>1162</v>
      </c>
      <c r="O774" s="23" t="str">
        <f>VLOOKUP(N774,スキル!B:C,2,FALSE)</f>
        <v>　</v>
      </c>
      <c r="P774" s="20" t="s">
        <v>1164</v>
      </c>
      <c r="Q774" s="23" t="str">
        <f>VLOOKUP(P774,タクティクス!B:C,2,FALSE)</f>
        <v>強襲が発生無効、バトル時に攻・防特大UP＆ユニット1体をタレント状態にする(3分間)</v>
      </c>
      <c r="R774" s="20" t="s">
        <v>1167</v>
      </c>
      <c r="S774" s="23" t="str">
        <f>VLOOKUP(R774,タクティクス!B:C,2,FALSE)</f>
        <v>バトルで敵を全滅するとBPが特大回復・TPが中回復(3分間)</v>
      </c>
      <c r="T774" s="20" t="s">
        <v>483</v>
      </c>
      <c r="U774" s="20" t="s">
        <v>18</v>
      </c>
      <c r="V774" s="20" t="s">
        <v>1890</v>
      </c>
    </row>
    <row r="775" spans="1:22" ht="21.75" customHeight="1" x14ac:dyDescent="0.15">
      <c r="A775" s="20" t="str">
        <f>B775&amp;".jpg"</f>
        <v>2257.jpg</v>
      </c>
      <c r="B775" s="21">
        <v>2257</v>
      </c>
      <c r="C775" s="20" t="s">
        <v>1153</v>
      </c>
      <c r="D775" s="20" t="s">
        <v>15</v>
      </c>
      <c r="E775" s="20">
        <v>14</v>
      </c>
      <c r="F775" s="20" t="s">
        <v>34</v>
      </c>
      <c r="G775" s="27">
        <v>22173</v>
      </c>
      <c r="H775" s="27">
        <v>6129</v>
      </c>
      <c r="I775" s="27">
        <v>8103</v>
      </c>
      <c r="J775" s="20" t="s">
        <v>17</v>
      </c>
      <c r="K775" s="22">
        <f>SUM(G775,H775,I775)</f>
        <v>36405</v>
      </c>
      <c r="L775" s="20" t="s">
        <v>1160</v>
      </c>
      <c r="M775" s="23" t="str">
        <f>VLOOKUP(L775,スキル!B:C,2,FALSE)</f>
        <v>X字型に攻撃[特大]</v>
      </c>
      <c r="N775" s="20" t="s">
        <v>1161</v>
      </c>
      <c r="O775" s="23" t="str">
        <f>VLOOKUP(N775,スキル!B:C,2,FALSE)</f>
        <v>　</v>
      </c>
      <c r="P775" s="20" t="s">
        <v>1165</v>
      </c>
      <c r="Q775" s="23" t="str">
        <f>VLOOKUP(P775,タクティクス!B:C,2,FALSE)</f>
        <v>パーティ全体の攻撃力が特大UP(3分間)</v>
      </c>
      <c r="R775" s="20" t="s">
        <v>1161</v>
      </c>
      <c r="S775" s="23" t="str">
        <f>VLOOKUP(R775,タクティクス!B:C,2,FALSE)</f>
        <v>　</v>
      </c>
      <c r="T775" s="20" t="s">
        <v>18</v>
      </c>
      <c r="U775" s="20" t="s">
        <v>497</v>
      </c>
      <c r="V775" s="20" t="s">
        <v>1825</v>
      </c>
    </row>
    <row r="776" spans="1:22" ht="21.75" customHeight="1" x14ac:dyDescent="0.15">
      <c r="A776" s="20" t="str">
        <f>B776&amp;".jpg"</f>
        <v>2259.jpg</v>
      </c>
      <c r="B776" s="21">
        <v>2259</v>
      </c>
      <c r="C776" s="20" t="s">
        <v>1171</v>
      </c>
      <c r="D776" s="20" t="s">
        <v>1173</v>
      </c>
      <c r="E776" s="20">
        <v>16</v>
      </c>
      <c r="F776" s="20" t="s">
        <v>1175</v>
      </c>
      <c r="G776" s="27">
        <v>21312</v>
      </c>
      <c r="H776" s="27">
        <v>10091</v>
      </c>
      <c r="I776" s="27">
        <v>8430</v>
      </c>
      <c r="J776" s="20" t="s">
        <v>1177</v>
      </c>
      <c r="K776" s="22">
        <f>SUM(G776,H776,I776)</f>
        <v>39833</v>
      </c>
      <c r="L776" s="20" t="s">
        <v>1179</v>
      </c>
      <c r="M776" s="23" t="str">
        <f>VLOOKUP(L776,スキル!B:C,2,FALSE)</f>
        <v>味方斬属性の攻撃力をUP[超極大]</v>
      </c>
      <c r="N776" s="20" t="s">
        <v>1181</v>
      </c>
      <c r="O776" s="23" t="str">
        <f>VLOOKUP(N776,スキル!B:C,2,FALSE)</f>
        <v>　</v>
      </c>
      <c r="P776" s="20" t="s">
        <v>1182</v>
      </c>
      <c r="Q776" s="23" t="str">
        <f>VLOOKUP(P776,タクティクス!B:C,2,FALSE)</f>
        <v>パーティ全体の防御力が極大UP＆ユニット1体をタレント状態にする(3分間)</v>
      </c>
      <c r="R776" s="20" t="s">
        <v>1184</v>
      </c>
      <c r="S776" s="23" t="str">
        <f>VLOOKUP(R776,タクティクス!B:C,2,FALSE)</f>
        <v>獲得する騎士団戦スコアが特大アップ(バトル3回)</v>
      </c>
      <c r="T776" s="20" t="s">
        <v>1186</v>
      </c>
      <c r="U776" s="20" t="s">
        <v>1181</v>
      </c>
      <c r="V776" s="20" t="s">
        <v>1823</v>
      </c>
    </row>
    <row r="777" spans="1:22" ht="21.75" customHeight="1" x14ac:dyDescent="0.15">
      <c r="A777" s="20" t="str">
        <f>B777&amp;".jpg"</f>
        <v>2261.jpg</v>
      </c>
      <c r="B777" s="21">
        <v>2261</v>
      </c>
      <c r="C777" s="20" t="s">
        <v>1172</v>
      </c>
      <c r="D777" s="20" t="s">
        <v>1174</v>
      </c>
      <c r="E777" s="20">
        <v>16</v>
      </c>
      <c r="F777" s="20" t="s">
        <v>1176</v>
      </c>
      <c r="G777" s="27">
        <v>25361</v>
      </c>
      <c r="H777" s="27">
        <v>8421</v>
      </c>
      <c r="I777" s="27">
        <v>8039</v>
      </c>
      <c r="J777" s="20" t="s">
        <v>1178</v>
      </c>
      <c r="K777" s="22">
        <f>SUM(G777,H777,I777)</f>
        <v>41821</v>
      </c>
      <c r="L777" s="20" t="s">
        <v>1180</v>
      </c>
      <c r="M777" s="23" t="str">
        <f>VLOOKUP(L777,スキル!B:C,2,FALSE)</f>
        <v>突に強く斬に弱い横一列攻撃[極大]</v>
      </c>
      <c r="N777" s="20" t="s">
        <v>1181</v>
      </c>
      <c r="O777" s="23" t="str">
        <f>VLOOKUP(N777,スキル!B:C,2,FALSE)</f>
        <v>　</v>
      </c>
      <c r="P777" s="20" t="s">
        <v>1183</v>
      </c>
      <c r="Q777" s="23" t="str">
        <f>VLOOKUP(P777,タクティクス!B:C,2,FALSE)</f>
        <v>パーティ全体の攻撃力が極大UP＆ユニット1体をタレント状態にする(3分間)</v>
      </c>
      <c r="R777" s="20" t="s">
        <v>1185</v>
      </c>
      <c r="S777" s="23" t="str">
        <f>VLOOKUP(R777,タクティクス!B:C,2,FALSE)</f>
        <v>キリ番キャッスルブレイク時の獲得ポイント特大UP(3回)</v>
      </c>
      <c r="T777" s="20" t="s">
        <v>1187</v>
      </c>
      <c r="U777" s="20" t="s">
        <v>1181</v>
      </c>
      <c r="V777" s="20" t="s">
        <v>1823</v>
      </c>
    </row>
    <row r="778" spans="1:22" ht="21.75" customHeight="1" x14ac:dyDescent="0.15">
      <c r="A778" s="20" t="str">
        <f>B778&amp;".jpg"</f>
        <v>2263.jpg</v>
      </c>
      <c r="B778" s="21">
        <v>2263</v>
      </c>
      <c r="C778" s="20" t="s">
        <v>1583</v>
      </c>
      <c r="D778" s="20" t="s">
        <v>1173</v>
      </c>
      <c r="E778" s="20">
        <v>16</v>
      </c>
      <c r="F778" s="20" t="s">
        <v>1554</v>
      </c>
      <c r="G778" s="27">
        <v>22119</v>
      </c>
      <c r="H778" s="27">
        <v>10499</v>
      </c>
      <c r="I778" s="27">
        <v>8091</v>
      </c>
      <c r="J778" s="20" t="s">
        <v>1177</v>
      </c>
      <c r="K778" s="22">
        <f>SUM(G778,H778,I778)</f>
        <v>40709</v>
      </c>
      <c r="L778" s="20" t="s">
        <v>1623</v>
      </c>
      <c r="M778" s="23" t="str">
        <f>VLOOKUP(L778,スキル!B:C,2,FALSE)</f>
        <v>縦一列に攻撃[極大]</v>
      </c>
      <c r="N778" s="20" t="s">
        <v>1011</v>
      </c>
      <c r="O778" s="23" t="str">
        <f>VLOOKUP(N778,スキル!B:C,2,FALSE)</f>
        <v>　</v>
      </c>
      <c r="P778" s="20" t="s">
        <v>1624</v>
      </c>
      <c r="Q778" s="23" t="str">
        <f>VLOOKUP(P778,タクティクス!B:C,2,FALSE)</f>
        <v>強襲CBの発生確率・強襲時獲得ポイント特大UP＆ユニット1体をタレント状態にする(3分間)</v>
      </c>
      <c r="R778" s="20" t="s">
        <v>1625</v>
      </c>
      <c r="S778" s="23" t="str">
        <f>VLOOKUP(R778,タクティクス!B:C,2,FALSE)</f>
        <v>騎士団全体の攻撃力が大UP(3分間)</v>
      </c>
      <c r="T778" s="20" t="s">
        <v>1151</v>
      </c>
      <c r="U778" s="20" t="s">
        <v>1011</v>
      </c>
      <c r="V778" s="20" t="s">
        <v>1878</v>
      </c>
    </row>
    <row r="779" spans="1:22" ht="21.75" customHeight="1" x14ac:dyDescent="0.15">
      <c r="A779" s="20" t="str">
        <f>B779&amp;".jpg"</f>
        <v>2264.jpg</v>
      </c>
      <c r="B779" s="46">
        <v>2264</v>
      </c>
      <c r="C779" s="24" t="s">
        <v>450</v>
      </c>
      <c r="D779" s="24" t="s">
        <v>15</v>
      </c>
      <c r="E779" s="24">
        <v>13</v>
      </c>
      <c r="F779" s="24" t="s">
        <v>16</v>
      </c>
      <c r="G779" s="22">
        <v>16793</v>
      </c>
      <c r="H779" s="22">
        <v>7652</v>
      </c>
      <c r="I779" s="22">
        <v>5383</v>
      </c>
      <c r="J779" s="24" t="s">
        <v>17</v>
      </c>
      <c r="K779" s="22">
        <f>SUM(G779,H779,I779)</f>
        <v>29828</v>
      </c>
      <c r="L779" s="23" t="s">
        <v>803</v>
      </c>
      <c r="M779" s="23" t="str">
        <f>VLOOKUP(L779,スキル!B:C,2,FALSE)</f>
        <v>遠に強く打に弱い縦一列攻撃[大]</v>
      </c>
      <c r="N779" s="23" t="s">
        <v>18</v>
      </c>
      <c r="O779" s="23" t="str">
        <f>VLOOKUP(N779,スキル!B:C,2,FALSE)</f>
        <v>　</v>
      </c>
      <c r="P779" s="23" t="s">
        <v>23</v>
      </c>
      <c r="Q779" s="23" t="str">
        <f>VLOOKUP(P779,タクティクス!B:C,2,FALSE)</f>
        <v>パーティ全体の攻撃力が中UP(3分間)</v>
      </c>
      <c r="R779" s="23" t="s">
        <v>18</v>
      </c>
      <c r="S779" s="23" t="str">
        <f>VLOOKUP(R779,タクティクス!B:C,2,FALSE)</f>
        <v>　</v>
      </c>
      <c r="T779" s="23" t="s">
        <v>18</v>
      </c>
      <c r="U779" s="23" t="s">
        <v>18</v>
      </c>
      <c r="V779" s="20" t="s">
        <v>1859</v>
      </c>
    </row>
    <row r="780" spans="1:22" ht="21.75" customHeight="1" x14ac:dyDescent="0.15">
      <c r="A780" s="20" t="str">
        <f>B780&amp;".jpg"</f>
        <v>2265.jpg</v>
      </c>
      <c r="B780" s="46">
        <v>2265</v>
      </c>
      <c r="C780" s="24" t="s">
        <v>450</v>
      </c>
      <c r="D780" s="24" t="s">
        <v>150</v>
      </c>
      <c r="E780" s="24">
        <v>14</v>
      </c>
      <c r="F780" s="24" t="s">
        <v>16</v>
      </c>
      <c r="G780" s="22">
        <v>19180</v>
      </c>
      <c r="H780" s="22">
        <v>8660</v>
      </c>
      <c r="I780" s="22">
        <v>6318</v>
      </c>
      <c r="J780" s="24" t="s">
        <v>151</v>
      </c>
      <c r="K780" s="22">
        <f>SUM(G780,H780,I780)</f>
        <v>34158</v>
      </c>
      <c r="L780" s="23" t="s">
        <v>851</v>
      </c>
      <c r="M780" s="23" t="str">
        <f>VLOOKUP(L780,スキル!B:C,2,FALSE)</f>
        <v>遠に強く打に弱い縦一列攻撃[特大]</v>
      </c>
      <c r="N780" s="23" t="s">
        <v>18</v>
      </c>
      <c r="O780" s="23" t="str">
        <f>VLOOKUP(N780,スキル!B:C,2,FALSE)</f>
        <v>　</v>
      </c>
      <c r="P780" s="23" t="s">
        <v>178</v>
      </c>
      <c r="Q780" s="23" t="str">
        <f>VLOOKUP(P780,タクティクス!B:C,2,FALSE)</f>
        <v>パーティ全体の攻撃力が大UP(3分間)</v>
      </c>
      <c r="R780" s="23" t="s">
        <v>18</v>
      </c>
      <c r="S780" s="23" t="str">
        <f>VLOOKUP(R780,タクティクス!B:C,2,FALSE)</f>
        <v>　</v>
      </c>
      <c r="T780" s="23" t="s">
        <v>18</v>
      </c>
      <c r="U780" s="23" t="s">
        <v>18</v>
      </c>
      <c r="V780" s="20" t="s">
        <v>1859</v>
      </c>
    </row>
    <row r="781" spans="1:22" ht="21.75" customHeight="1" x14ac:dyDescent="0.15">
      <c r="A781" s="20" t="str">
        <f>B781&amp;".jpg"</f>
        <v>2266.jpg</v>
      </c>
      <c r="B781" s="46">
        <v>2266</v>
      </c>
      <c r="C781" s="24" t="s">
        <v>450</v>
      </c>
      <c r="D781" s="24" t="s">
        <v>150</v>
      </c>
      <c r="E781" s="24">
        <v>15</v>
      </c>
      <c r="F781" s="24" t="s">
        <v>16</v>
      </c>
      <c r="G781" s="22">
        <v>21337</v>
      </c>
      <c r="H781" s="22">
        <v>9252</v>
      </c>
      <c r="I781" s="22">
        <v>7474</v>
      </c>
      <c r="J781" s="24" t="s">
        <v>26</v>
      </c>
      <c r="K781" s="22">
        <f>SUM(G781,H781,I781)</f>
        <v>38063</v>
      </c>
      <c r="L781" s="23" t="s">
        <v>851</v>
      </c>
      <c r="M781" s="23" t="str">
        <f>VLOOKUP(L781,スキル!B:C,2,FALSE)</f>
        <v>遠に強く打に弱い縦一列攻撃[特大]</v>
      </c>
      <c r="N781" s="23" t="s">
        <v>18</v>
      </c>
      <c r="O781" s="23" t="str">
        <f>VLOOKUP(N781,スキル!B:C,2,FALSE)</f>
        <v>　</v>
      </c>
      <c r="P781" s="23" t="s">
        <v>361</v>
      </c>
      <c r="Q781" s="23" t="str">
        <f>VLOOKUP(P781,タクティクス!B:C,2,FALSE)</f>
        <v>パーティ全体の攻撃力が特大UP(3分間)</v>
      </c>
      <c r="R781" s="23" t="s">
        <v>520</v>
      </c>
      <c r="S781" s="23" t="str">
        <f>VLOOKUP(R781,タクティクス!B:C,2,FALSE)</f>
        <v>騎士団全体の攻・防が大UP(3分間)</v>
      </c>
      <c r="T781" s="23" t="s">
        <v>18</v>
      </c>
      <c r="U781" s="23" t="s">
        <v>18</v>
      </c>
      <c r="V781" s="20" t="s">
        <v>1859</v>
      </c>
    </row>
    <row r="782" spans="1:22" ht="21.75" customHeight="1" x14ac:dyDescent="0.15">
      <c r="A782" s="20" t="str">
        <f>B782&amp;".jpg"</f>
        <v>2267.jpg</v>
      </c>
      <c r="B782" s="46">
        <v>2267</v>
      </c>
      <c r="C782" s="24" t="s">
        <v>450</v>
      </c>
      <c r="D782" s="24" t="s">
        <v>150</v>
      </c>
      <c r="E782" s="24">
        <v>16</v>
      </c>
      <c r="F782" s="24" t="s">
        <v>16</v>
      </c>
      <c r="G782" s="22">
        <v>22181</v>
      </c>
      <c r="H782" s="22">
        <v>10279</v>
      </c>
      <c r="I782" s="22">
        <v>8345</v>
      </c>
      <c r="J782" s="24" t="s">
        <v>177</v>
      </c>
      <c r="K782" s="22">
        <f>SUM(G782,H782,I782)</f>
        <v>40805</v>
      </c>
      <c r="L782" s="23" t="s">
        <v>914</v>
      </c>
      <c r="M782" s="23" t="str">
        <f>VLOOKUP(L782,スキル!B:C,2,FALSE)</f>
        <v>遠に強く打に弱い縦一列攻撃[極大]</v>
      </c>
      <c r="N782" s="23" t="s">
        <v>18</v>
      </c>
      <c r="O782" s="23" t="str">
        <f>VLOOKUP(N782,スキル!B:C,2,FALSE)</f>
        <v>　</v>
      </c>
      <c r="P782" s="23" t="s">
        <v>453</v>
      </c>
      <c r="Q782" s="23" t="str">
        <f>VLOOKUP(P782,タクティクス!B:C,2,FALSE)</f>
        <v>パーティ全体の攻撃力が極大UP＆ユニット1体をタレント状態にする(3分間)</v>
      </c>
      <c r="R782" s="23" t="s">
        <v>413</v>
      </c>
      <c r="S782" s="23" t="str">
        <f>VLOOKUP(R782,タクティクス!B:C,2,FALSE)</f>
        <v>攻撃回数が多いほどバトル獲得スコアが大UP(3分間)</v>
      </c>
      <c r="T782" s="23" t="s">
        <v>1151</v>
      </c>
      <c r="U782" s="23" t="s">
        <v>18</v>
      </c>
      <c r="V782" s="20" t="s">
        <v>1859</v>
      </c>
    </row>
    <row r="783" spans="1:22" ht="21.75" customHeight="1" x14ac:dyDescent="0.15">
      <c r="A783" s="20" t="str">
        <f>B783&amp;".jpg"</f>
        <v>2269.jpg</v>
      </c>
      <c r="B783" s="21">
        <v>2269</v>
      </c>
      <c r="C783" s="20" t="s">
        <v>1262</v>
      </c>
      <c r="D783" s="20" t="s">
        <v>1265</v>
      </c>
      <c r="E783" s="20">
        <v>14</v>
      </c>
      <c r="F783" s="20" t="s">
        <v>1175</v>
      </c>
      <c r="G783" s="27">
        <v>17451</v>
      </c>
      <c r="H783" s="27">
        <v>8352</v>
      </c>
      <c r="I783" s="27">
        <v>6499</v>
      </c>
      <c r="J783" s="20" t="s">
        <v>1270</v>
      </c>
      <c r="K783" s="22">
        <f>SUM(G783,H783,I783)</f>
        <v>32302</v>
      </c>
      <c r="L783" s="20" t="s">
        <v>1281</v>
      </c>
      <c r="M783" s="23" t="str">
        <f>VLOOKUP(L783,スキル!B:C,2,FALSE)</f>
        <v>斬に強く突に弱い縦一列攻撃[特大]</v>
      </c>
      <c r="N783" s="20" t="s">
        <v>1279</v>
      </c>
      <c r="O783" s="23" t="str">
        <f>VLOOKUP(N783,スキル!B:C,2,FALSE)</f>
        <v>　</v>
      </c>
      <c r="P783" s="20" t="s">
        <v>1285</v>
      </c>
      <c r="Q783" s="23" t="str">
        <f>VLOOKUP(P783,タクティクス!B:C,2,FALSE)</f>
        <v>パーティ全体の攻撃力大UP・速度大DOWN(3分間)</v>
      </c>
      <c r="R783" s="20" t="s">
        <v>1279</v>
      </c>
      <c r="S783" s="23" t="str">
        <f>VLOOKUP(R783,タクティクス!B:C,2,FALSE)</f>
        <v>　</v>
      </c>
      <c r="T783" s="20" t="s">
        <v>1011</v>
      </c>
      <c r="U783" s="20" t="s">
        <v>1292</v>
      </c>
      <c r="V783" s="20" t="s">
        <v>1896</v>
      </c>
    </row>
    <row r="784" spans="1:22" ht="21.75" customHeight="1" x14ac:dyDescent="0.15">
      <c r="A784" s="20" t="str">
        <f>B784&amp;".jpg"</f>
        <v>2271.jpg</v>
      </c>
      <c r="B784" s="21">
        <v>2271</v>
      </c>
      <c r="C784" s="20" t="s">
        <v>1259</v>
      </c>
      <c r="D784" s="20" t="s">
        <v>1263</v>
      </c>
      <c r="E784" s="20">
        <v>16</v>
      </c>
      <c r="F784" s="20" t="s">
        <v>1266</v>
      </c>
      <c r="G784" s="27">
        <v>26004</v>
      </c>
      <c r="H784" s="27">
        <v>7648</v>
      </c>
      <c r="I784" s="27">
        <v>10196</v>
      </c>
      <c r="J784" s="20" t="s">
        <v>1268</v>
      </c>
      <c r="K784" s="22">
        <f>SUM(G784,H784,I784)</f>
        <v>43848</v>
      </c>
      <c r="L784" s="20" t="s">
        <v>1278</v>
      </c>
      <c r="M784" s="23" t="str">
        <f>VLOOKUP(L784,スキル!B:C,2,FALSE)</f>
        <v>一定確率でてきを範囲不可にする[超超高確率]</v>
      </c>
      <c r="N784" s="20" t="s">
        <v>1279</v>
      </c>
      <c r="O784" s="23" t="str">
        <f>VLOOKUP(N784,スキル!B:C,2,FALSE)</f>
        <v>　</v>
      </c>
      <c r="P784" s="20" t="s">
        <v>1282</v>
      </c>
      <c r="Q784" s="23" t="str">
        <f>VLOOKUP(P784,タクティクス!B:C,2,FALSE)</f>
        <v>パーティ全体の速度が大UP＆ユニット1体をタレント状態にする(5分間)</v>
      </c>
      <c r="R784" s="20" t="s">
        <v>1293</v>
      </c>
      <c r="S784" s="23" t="str">
        <f>VLOOKUP(R784,タクティクス!B:C,2,FALSE)</f>
        <v>パーティの攻撃力大UP・最大TP小UP(5分間)</v>
      </c>
      <c r="T784" s="20" t="s">
        <v>1288</v>
      </c>
      <c r="U784" s="20" t="s">
        <v>1279</v>
      </c>
      <c r="V784" s="20" t="s">
        <v>1896</v>
      </c>
    </row>
    <row r="785" spans="1:22" ht="21.75" customHeight="1" x14ac:dyDescent="0.15">
      <c r="A785" s="20" t="str">
        <f>B785&amp;".jpg"</f>
        <v>2273.jpg</v>
      </c>
      <c r="B785" s="21">
        <v>2273</v>
      </c>
      <c r="C785" s="20" t="s">
        <v>1260</v>
      </c>
      <c r="D785" s="20" t="s">
        <v>1264</v>
      </c>
      <c r="E785" s="20">
        <v>16</v>
      </c>
      <c r="F785" s="20" t="s">
        <v>1267</v>
      </c>
      <c r="G785" s="27">
        <v>30221</v>
      </c>
      <c r="H785" s="27">
        <v>8662</v>
      </c>
      <c r="I785" s="27">
        <v>12530</v>
      </c>
      <c r="J785" s="20" t="s">
        <v>1269</v>
      </c>
      <c r="K785" s="22">
        <f>SUM(G785,H785,I785)</f>
        <v>51413</v>
      </c>
      <c r="L785" s="20" t="s">
        <v>1280</v>
      </c>
      <c r="M785" s="23" t="str">
        <f>VLOOKUP(L785,スキル!B:C,2,FALSE)</f>
        <v>突に強く斬に弱い十字型攻撃[特大]</v>
      </c>
      <c r="N785" s="20" t="s">
        <v>1279</v>
      </c>
      <c r="O785" s="23" t="str">
        <f>VLOOKUP(N785,スキル!B:C,2,FALSE)</f>
        <v>　</v>
      </c>
      <c r="P785" s="20" t="s">
        <v>1283</v>
      </c>
      <c r="Q785" s="23" t="str">
        <f>VLOOKUP(P785,タクティクス!B:C,2,FALSE)</f>
        <v>バトルで獲得する騎士団戦スコアが極大アップ＆ユニット1体をタレント状態にする(3分間)</v>
      </c>
      <c r="R785" s="20" t="s">
        <v>1286</v>
      </c>
      <c r="S785" s="23" t="str">
        <f>VLOOKUP(R785,タクティクス!B:C,2,FALSE)</f>
        <v>強襲無効、攻撃力・スキル発動率特大UP(3分間)</v>
      </c>
      <c r="T785" s="20" t="s">
        <v>1290</v>
      </c>
      <c r="U785" s="20" t="s">
        <v>1279</v>
      </c>
      <c r="V785" s="20" t="s">
        <v>1896</v>
      </c>
    </row>
    <row r="786" spans="1:22" ht="21.75" customHeight="1" x14ac:dyDescent="0.15">
      <c r="A786" s="20" t="str">
        <f>B786&amp;".jpg"</f>
        <v>2275.jpg</v>
      </c>
      <c r="B786" s="21">
        <v>2275</v>
      </c>
      <c r="C786" s="20" t="s">
        <v>1261</v>
      </c>
      <c r="D786" s="20" t="s">
        <v>1263</v>
      </c>
      <c r="E786" s="20">
        <v>16</v>
      </c>
      <c r="F786" s="20" t="s">
        <v>1176</v>
      </c>
      <c r="G786" s="27">
        <v>27163</v>
      </c>
      <c r="H786" s="27">
        <v>8800</v>
      </c>
      <c r="I786" s="27">
        <v>9109</v>
      </c>
      <c r="J786" s="20" t="s">
        <v>1178</v>
      </c>
      <c r="K786" s="22">
        <f>SUM(G786,H786,I786)</f>
        <v>45072</v>
      </c>
      <c r="L786" s="20" t="s">
        <v>1272</v>
      </c>
      <c r="M786" s="23" t="str">
        <f>VLOOKUP(L786,スキル!B:C,2,FALSE)</f>
        <v>ランダム6連続攻撃[大]自分の防御力UP[大]</v>
      </c>
      <c r="N786" s="20" t="s">
        <v>1279</v>
      </c>
      <c r="O786" s="23" t="str">
        <f>VLOOKUP(N786,スキル!B:C,2,FALSE)</f>
        <v>　</v>
      </c>
      <c r="P786" s="20" t="s">
        <v>1284</v>
      </c>
      <c r="Q786" s="23" t="str">
        <f>VLOOKUP(P786,タクティクス!B:C,2,FALSE)</f>
        <v>パーティ全体の攻・防が極大UP＆ユニット1体をタレント状態にする(3分間)</v>
      </c>
      <c r="R786" s="20" t="s">
        <v>1287</v>
      </c>
      <c r="S786" s="23" t="str">
        <f>VLOOKUP(R786,タクティクス!B:C,2,FALSE)</f>
        <v>騎士団全体の防御力が大UP(3分間)</v>
      </c>
      <c r="T786" s="20" t="s">
        <v>1291</v>
      </c>
      <c r="U786" s="20" t="s">
        <v>1289</v>
      </c>
      <c r="V786" s="20" t="s">
        <v>1896</v>
      </c>
    </row>
    <row r="787" spans="1:22" ht="21.75" customHeight="1" x14ac:dyDescent="0.15">
      <c r="A787" s="20" t="str">
        <f>B787&amp;".jpg"</f>
        <v>2276.jpg</v>
      </c>
      <c r="B787" s="21">
        <v>2276</v>
      </c>
      <c r="C787" s="20" t="s">
        <v>1295</v>
      </c>
      <c r="D787" s="20" t="s">
        <v>1298</v>
      </c>
      <c r="E787" s="20">
        <v>16</v>
      </c>
      <c r="F787" s="20" t="s">
        <v>1266</v>
      </c>
      <c r="G787" s="27">
        <v>27264</v>
      </c>
      <c r="H787" s="27">
        <v>7651</v>
      </c>
      <c r="I787" s="27">
        <v>11101</v>
      </c>
      <c r="J787" s="20" t="s">
        <v>1201</v>
      </c>
      <c r="K787" s="22">
        <f>SUM(G787,H787,I787)</f>
        <v>46016</v>
      </c>
      <c r="L787" s="20" t="s">
        <v>1301</v>
      </c>
      <c r="M787" s="23" t="str">
        <f>VLOOKUP(L787,スキル!B:C,2,FALSE)</f>
        <v>ランダム7連続攻撃[大]自分の防御力UP[大]</v>
      </c>
      <c r="N787" s="20" t="s">
        <v>1315</v>
      </c>
      <c r="O787" s="23" t="str">
        <f>VLOOKUP(N787,スキル!B:C,2,FALSE)</f>
        <v>　</v>
      </c>
      <c r="P787" s="20" t="s">
        <v>1305</v>
      </c>
      <c r="Q787" s="23" t="str">
        <f>VLOOKUP(P787,タクティクス!B:C,2,FALSE)</f>
        <v>攻撃回数が多いほどバトル獲得スコアが特大UP＆ユニット1体をタレント状態にする(3分間)</v>
      </c>
      <c r="R787" s="20" t="s">
        <v>1312</v>
      </c>
      <c r="S787" s="23" t="str">
        <f>VLOOKUP(R787,タクティクス!B:C,2,FALSE)</f>
        <v>強襲が発生無効、バトル時に攻・防大UP(3分間)</v>
      </c>
      <c r="T787" s="20" t="s">
        <v>1317</v>
      </c>
      <c r="U787" s="20" t="s">
        <v>1011</v>
      </c>
      <c r="V787" s="20" t="s">
        <v>1890</v>
      </c>
    </row>
    <row r="788" spans="1:22" ht="21.75" customHeight="1" x14ac:dyDescent="0.15">
      <c r="A788" s="20" t="str">
        <f>B788&amp;".jpg"</f>
        <v>2277.jpg</v>
      </c>
      <c r="B788" s="21">
        <v>2277</v>
      </c>
      <c r="C788" s="20" t="s">
        <v>1297</v>
      </c>
      <c r="D788" s="20" t="s">
        <v>1300</v>
      </c>
      <c r="E788" s="20">
        <v>16</v>
      </c>
      <c r="F788" s="20" t="s">
        <v>1267</v>
      </c>
      <c r="G788" s="27">
        <v>27517</v>
      </c>
      <c r="H788" s="27">
        <v>7501</v>
      </c>
      <c r="I788" s="27">
        <v>10543</v>
      </c>
      <c r="J788" s="20" t="s">
        <v>1203</v>
      </c>
      <c r="K788" s="22">
        <f>SUM(G788,H788,I788)</f>
        <v>45561</v>
      </c>
      <c r="L788" s="20" t="s">
        <v>1307</v>
      </c>
      <c r="M788" s="23" t="str">
        <f>VLOOKUP(L788,スキル!B:C,2,FALSE)</f>
        <v>突に強く斬に弱い縦一列攻撃[極大]</v>
      </c>
      <c r="N788" s="20" t="s">
        <v>1308</v>
      </c>
      <c r="O788" s="23" t="str">
        <f>VLOOKUP(N788,スキル!B:C,2,FALSE)</f>
        <v>　</v>
      </c>
      <c r="P788" s="20" t="s">
        <v>1309</v>
      </c>
      <c r="Q788" s="23" t="str">
        <f>VLOOKUP(P788,タクティクス!B:C,2,FALSE)</f>
        <v>パーティ全体の防御力が極大UP＆ユニット1体をタレント状態にする(3分間)</v>
      </c>
      <c r="R788" s="20" t="s">
        <v>1310</v>
      </c>
      <c r="S788" s="23" t="str">
        <f>VLOOKUP(R788,タクティクス!B:C,2,FALSE)</f>
        <v>パーティ全体の攻撃力が特大UP(3分間)</v>
      </c>
      <c r="T788" s="20" t="s">
        <v>1318</v>
      </c>
      <c r="U788" s="20" t="s">
        <v>1313</v>
      </c>
      <c r="V788" s="20" t="s">
        <v>1827</v>
      </c>
    </row>
    <row r="789" spans="1:22" ht="21.75" customHeight="1" x14ac:dyDescent="0.15">
      <c r="A789" s="20" t="str">
        <f>B789&amp;".jpg"</f>
        <v>2278.jpg</v>
      </c>
      <c r="B789" s="21">
        <v>2278</v>
      </c>
      <c r="C789" s="20" t="s">
        <v>1296</v>
      </c>
      <c r="D789" s="20" t="s">
        <v>1299</v>
      </c>
      <c r="E789" s="20">
        <v>16</v>
      </c>
      <c r="F789" s="20" t="s">
        <v>1176</v>
      </c>
      <c r="G789" s="27">
        <v>25233</v>
      </c>
      <c r="H789" s="27">
        <v>8504</v>
      </c>
      <c r="I789" s="27">
        <v>8249</v>
      </c>
      <c r="J789" s="20" t="s">
        <v>1314</v>
      </c>
      <c r="K789" s="22">
        <f>SUM(G789,H789,I789)</f>
        <v>41986</v>
      </c>
      <c r="L789" s="20" t="s">
        <v>1303</v>
      </c>
      <c r="M789" s="23" t="str">
        <f>VLOOKUP(L789,スキル!B:C,2,FALSE)</f>
        <v>縦一列攻撃（宝箱優先／追加ダメージ）[極大]</v>
      </c>
      <c r="N789" s="20" t="s">
        <v>1308</v>
      </c>
      <c r="O789" s="23" t="str">
        <f>VLOOKUP(N789,スキル!B:C,2,FALSE)</f>
        <v>　</v>
      </c>
      <c r="P789" s="20" t="s">
        <v>1311</v>
      </c>
      <c r="Q789" s="23" t="str">
        <f>VLOOKUP(P789,タクティクス!B:C,2,FALSE)</f>
        <v>パーティの攻撃力大UP・最大TP小UP&amp;ユニット1体をタレント状態にする(5分間)</v>
      </c>
      <c r="R789" s="20" t="s">
        <v>1184</v>
      </c>
      <c r="S789" s="23" t="str">
        <f>VLOOKUP(R789,タクティクス!B:C,2,FALSE)</f>
        <v>獲得する騎士団戦スコアが特大アップ(バトル3回)</v>
      </c>
      <c r="T789" s="20" t="s">
        <v>1187</v>
      </c>
      <c r="U789" s="20" t="s">
        <v>1313</v>
      </c>
      <c r="V789" s="20" t="s">
        <v>1888</v>
      </c>
    </row>
    <row r="790" spans="1:22" ht="21.75" customHeight="1" x14ac:dyDescent="0.15">
      <c r="A790" s="20" t="str">
        <f>B790&amp;".jpg"</f>
        <v>2280.jpg</v>
      </c>
      <c r="B790" s="21">
        <v>2280</v>
      </c>
      <c r="C790" s="20" t="s">
        <v>1339</v>
      </c>
      <c r="D790" s="20" t="s">
        <v>1337</v>
      </c>
      <c r="E790" s="20">
        <v>16</v>
      </c>
      <c r="F790" s="20" t="s">
        <v>1266</v>
      </c>
      <c r="G790" s="27">
        <v>25015</v>
      </c>
      <c r="H790" s="27">
        <v>7612</v>
      </c>
      <c r="I790" s="27">
        <v>11032</v>
      </c>
      <c r="J790" s="20" t="s">
        <v>1355</v>
      </c>
      <c r="K790" s="22">
        <f>SUM(G790,H790,I790)</f>
        <v>43659</v>
      </c>
      <c r="L790" s="20" t="s">
        <v>1353</v>
      </c>
      <c r="M790" s="23" t="str">
        <f>VLOOKUP(L790,スキル!B:C,2,FALSE)</f>
        <v>斬に強く突に弱い横一列攻撃[極大]</v>
      </c>
      <c r="N790" s="20" t="s">
        <v>1346</v>
      </c>
      <c r="O790" s="23" t="str">
        <f>VLOOKUP(N790,スキル!B:C,2,FALSE)</f>
        <v>　</v>
      </c>
      <c r="P790" s="20" t="s">
        <v>1351</v>
      </c>
      <c r="Q790" s="23" t="str">
        <f>VLOOKUP(P790,タクティクス!B:C,2,FALSE)</f>
        <v>パーティ全体の攻撃力が極大UP＆ユニット1体をタレント状態にする(3分間)</v>
      </c>
      <c r="R790" s="20" t="s">
        <v>1184</v>
      </c>
      <c r="S790" s="23" t="str">
        <f>VLOOKUP(R790,タクティクス!B:C,2,FALSE)</f>
        <v>獲得する騎士団戦スコアが特大アップ(バトル3回)</v>
      </c>
      <c r="T790" s="20" t="s">
        <v>1187</v>
      </c>
      <c r="U790" s="20" t="s">
        <v>1350</v>
      </c>
      <c r="V790" s="20" t="s">
        <v>1823</v>
      </c>
    </row>
    <row r="791" spans="1:22" ht="21.75" customHeight="1" x14ac:dyDescent="0.15">
      <c r="A791" s="20" t="str">
        <f>B791&amp;".jpg"</f>
        <v>2282.jpg</v>
      </c>
      <c r="B791" s="21">
        <v>2282</v>
      </c>
      <c r="C791" s="20" t="s">
        <v>1340</v>
      </c>
      <c r="D791" s="20" t="s">
        <v>1337</v>
      </c>
      <c r="E791" s="20">
        <v>16</v>
      </c>
      <c r="F791" s="20" t="s">
        <v>1176</v>
      </c>
      <c r="G791" s="27">
        <v>25516</v>
      </c>
      <c r="H791" s="27">
        <v>8356</v>
      </c>
      <c r="I791" s="27">
        <v>8009</v>
      </c>
      <c r="J791" s="20" t="s">
        <v>1341</v>
      </c>
      <c r="K791" s="22">
        <f>SUM(G791,H791,I791)</f>
        <v>41881</v>
      </c>
      <c r="L791" s="20" t="s">
        <v>1343</v>
      </c>
      <c r="M791" s="23" t="str">
        <f>VLOOKUP(L791,スキル!B:C,2,FALSE)</f>
        <v>味方遠属性の攻撃力をUP[超極大]</v>
      </c>
      <c r="N791" s="20" t="s">
        <v>1011</v>
      </c>
      <c r="O791" s="23" t="str">
        <f>VLOOKUP(N791,スキル!B:C,2,FALSE)</f>
        <v>　</v>
      </c>
      <c r="P791" s="20" t="s">
        <v>1347</v>
      </c>
      <c r="Q791" s="23" t="str">
        <f>VLOOKUP(P791,タクティクス!B:C,2,FALSE)</f>
        <v>パーティ全体のスキル発動率が特大UP＆ユニット1体をタレント状態にする(5分間)</v>
      </c>
      <c r="R791" s="20" t="s">
        <v>1345</v>
      </c>
      <c r="S791" s="23" t="str">
        <f>VLOOKUP(R791,タクティクス!B:C,2,FALSE)</f>
        <v>キリ番キャッスルブレイク時の獲得ポイント特大UP(3回)</v>
      </c>
      <c r="T791" s="20" t="s">
        <v>1348</v>
      </c>
      <c r="U791" s="20" t="s">
        <v>1349</v>
      </c>
      <c r="V791" s="20" t="s">
        <v>1823</v>
      </c>
    </row>
    <row r="792" spans="1:22" ht="21.75" customHeight="1" x14ac:dyDescent="0.15">
      <c r="A792" s="20" t="str">
        <f>B792&amp;".jpg"</f>
        <v>2284.jpg</v>
      </c>
      <c r="B792" s="21">
        <v>2284</v>
      </c>
      <c r="C792" s="20" t="s">
        <v>1332</v>
      </c>
      <c r="D792" s="20" t="s">
        <v>1336</v>
      </c>
      <c r="E792" s="20">
        <v>16</v>
      </c>
      <c r="F792" s="20" t="s">
        <v>1338</v>
      </c>
      <c r="G792" s="27">
        <v>23019</v>
      </c>
      <c r="H792" s="27">
        <v>10222</v>
      </c>
      <c r="I792" s="27">
        <v>8474</v>
      </c>
      <c r="J792" s="20" t="s">
        <v>1356</v>
      </c>
      <c r="K792" s="22">
        <f>SUM(G792,H792,I792)</f>
        <v>41715</v>
      </c>
      <c r="L792" s="20" t="s">
        <v>1361</v>
      </c>
      <c r="M792" s="23" t="str">
        <f>VLOOKUP(L792,スキル!B:C,2,FALSE)</f>
        <v>十字型攻撃[極大]自分の防御力UP[極大]</v>
      </c>
      <c r="N792" s="20" t="s">
        <v>1346</v>
      </c>
      <c r="O792" s="23" t="str">
        <f>VLOOKUP(N792,スキル!B:C,2,FALSE)</f>
        <v>　</v>
      </c>
      <c r="P792" s="20" t="s">
        <v>1421</v>
      </c>
      <c r="Q792" s="23" t="str">
        <f>VLOOKUP(P792,タクティクス!B:C,2,FALSE)</f>
        <v>パーティ全体のスキル発動率が特大UP・速度大UP＆ユニット1体をタレント状態にする(5分間)</v>
      </c>
      <c r="R792" s="20" t="s">
        <v>1286</v>
      </c>
      <c r="S792" s="23" t="str">
        <f>VLOOKUP(R792,タクティクス!B:C,2,FALSE)</f>
        <v>強襲無効、攻撃力・スキル発動率特大UP(3分間)</v>
      </c>
      <c r="T792" s="20" t="s">
        <v>1372</v>
      </c>
      <c r="U792" s="20" t="s">
        <v>1368</v>
      </c>
      <c r="V792" s="20" t="s">
        <v>1896</v>
      </c>
    </row>
    <row r="793" spans="1:22" ht="21.75" customHeight="1" x14ac:dyDescent="0.15">
      <c r="A793" s="20" t="str">
        <f>B793&amp;".jpg"</f>
        <v>2286.jpg</v>
      </c>
      <c r="B793" s="21">
        <v>2286</v>
      </c>
      <c r="C793" s="20" t="s">
        <v>1330</v>
      </c>
      <c r="D793" s="20" t="s">
        <v>1334</v>
      </c>
      <c r="E793" s="20">
        <v>16</v>
      </c>
      <c r="F793" s="20" t="s">
        <v>1266</v>
      </c>
      <c r="G793" s="27">
        <v>26303</v>
      </c>
      <c r="H793" s="27">
        <v>7753</v>
      </c>
      <c r="I793" s="27">
        <v>11378</v>
      </c>
      <c r="J793" s="20" t="s">
        <v>1201</v>
      </c>
      <c r="K793" s="22">
        <f>SUM(G793,H793,I793)</f>
        <v>45434</v>
      </c>
      <c r="L793" s="20" t="s">
        <v>1360</v>
      </c>
      <c r="M793" s="23" t="str">
        <f>VLOOKUP(L793,スキル!B:C,2,FALSE)</f>
        <v>ﾗﾝﾀﾞﾑ6連続攻撃[大][低確率]でﾀﾞﾒｰｼﾞ2倍</v>
      </c>
      <c r="N793" s="20" t="s">
        <v>1346</v>
      </c>
      <c r="O793" s="23" t="str">
        <f>VLOOKUP(N793,スキル!B:C,2,FALSE)</f>
        <v>　</v>
      </c>
      <c r="P793" s="20" t="s">
        <v>1365</v>
      </c>
      <c r="Q793" s="23" t="str">
        <f>VLOOKUP(P793,タクティクス!B:C,2,FALSE)</f>
        <v>パーティ全体の攻撃力が極大UP＆ユニット1体をタレント状態にする(3分間)</v>
      </c>
      <c r="R793" s="20" t="s">
        <v>1366</v>
      </c>
      <c r="S793" s="23" t="str">
        <f>VLOOKUP(R793,タクティクス!B:C,2,FALSE)</f>
        <v>騎士団全体の攻・防が大UP(3分間)</v>
      </c>
      <c r="T793" s="20" t="s">
        <v>1371</v>
      </c>
      <c r="U793" s="20" t="s">
        <v>1349</v>
      </c>
      <c r="V793" s="20" t="s">
        <v>1896</v>
      </c>
    </row>
    <row r="794" spans="1:22" ht="21.75" customHeight="1" x14ac:dyDescent="0.15">
      <c r="A794" s="20" t="str">
        <f>B794&amp;".jpg"</f>
        <v>2288.jpg</v>
      </c>
      <c r="B794" s="21">
        <v>2288</v>
      </c>
      <c r="C794" s="20" t="s">
        <v>1329</v>
      </c>
      <c r="D794" s="20" t="s">
        <v>1333</v>
      </c>
      <c r="E794" s="20">
        <v>14</v>
      </c>
      <c r="F794" s="20" t="s">
        <v>1267</v>
      </c>
      <c r="G794" s="27">
        <v>22087</v>
      </c>
      <c r="H794" s="27">
        <v>6606</v>
      </c>
      <c r="I794" s="27">
        <v>7553</v>
      </c>
      <c r="J794" s="20" t="s">
        <v>1357</v>
      </c>
      <c r="K794" s="22">
        <f>SUM(G794,H794,I794)</f>
        <v>36246</v>
      </c>
      <c r="L794" s="20" t="s">
        <v>1358</v>
      </c>
      <c r="M794" s="23" t="str">
        <f>VLOOKUP(L794,スキル!B:C,2,FALSE)</f>
        <v>味方打属性の攻撃力をUP[特大]</v>
      </c>
      <c r="N794" s="20" t="s">
        <v>1346</v>
      </c>
      <c r="O794" s="23" t="str">
        <f>VLOOKUP(N794,スキル!B:C,2,FALSE)</f>
        <v>　</v>
      </c>
      <c r="P794" s="20" t="s">
        <v>1362</v>
      </c>
      <c r="Q794" s="23" t="str">
        <f>VLOOKUP(P794,タクティクス!B:C,2,FALSE)</f>
        <v>パーティ全体の防御力が特大UP(3分間)</v>
      </c>
      <c r="R794" s="20" t="s">
        <v>1011</v>
      </c>
      <c r="S794" s="23" t="str">
        <f>VLOOKUP(R794,タクティクス!B:C,2,FALSE)</f>
        <v>　</v>
      </c>
      <c r="T794" s="20" t="s">
        <v>1367</v>
      </c>
      <c r="U794" s="20" t="s">
        <v>1369</v>
      </c>
      <c r="V794" s="20" t="s">
        <v>1896</v>
      </c>
    </row>
    <row r="795" spans="1:22" ht="21.75" customHeight="1" x14ac:dyDescent="0.15">
      <c r="A795" s="20" t="str">
        <f>B795&amp;".jpg"</f>
        <v>2290.jpg</v>
      </c>
      <c r="B795" s="21">
        <v>2290</v>
      </c>
      <c r="C795" s="20" t="s">
        <v>1331</v>
      </c>
      <c r="D795" s="20" t="s">
        <v>1335</v>
      </c>
      <c r="E795" s="20">
        <v>16</v>
      </c>
      <c r="F795" s="20" t="s">
        <v>1176</v>
      </c>
      <c r="G795" s="27">
        <v>27091</v>
      </c>
      <c r="H795" s="27">
        <v>8507</v>
      </c>
      <c r="I795" s="27">
        <v>9244</v>
      </c>
      <c r="J795" s="20" t="s">
        <v>1341</v>
      </c>
      <c r="K795" s="22">
        <f>SUM(G795,H795,I795)</f>
        <v>44842</v>
      </c>
      <c r="L795" s="20" t="s">
        <v>1359</v>
      </c>
      <c r="M795" s="23" t="str">
        <f>VLOOKUP(L795,スキル!B:C,2,FALSE)</f>
        <v>ランダム5連続攻撃[大]自分の攻撃力UP[大]</v>
      </c>
      <c r="N795" s="20" t="s">
        <v>1011</v>
      </c>
      <c r="O795" s="23" t="str">
        <f>VLOOKUP(N795,スキル!B:C,2,FALSE)</f>
        <v>　</v>
      </c>
      <c r="P795" s="20" t="s">
        <v>1363</v>
      </c>
      <c r="Q795" s="23" t="str">
        <f>VLOOKUP(P795,タクティクス!B:C,2,FALSE)</f>
        <v>パーティ全体の攻防大UP・最大TP小UP＆ユニット1体をタレント状態にする(5分間)</v>
      </c>
      <c r="R795" s="20" t="s">
        <v>1364</v>
      </c>
      <c r="S795" s="23" t="str">
        <f>VLOOKUP(R795,タクティクス!B:C,2,FALSE)</f>
        <v>パーティ全体の攻撃力・速度が大UP(3分間)</v>
      </c>
      <c r="T795" s="20" t="s">
        <v>1370</v>
      </c>
      <c r="U795" s="20" t="s">
        <v>1349</v>
      </c>
      <c r="V795" s="20" t="s">
        <v>1896</v>
      </c>
    </row>
    <row r="796" spans="1:22" ht="21.75" customHeight="1" x14ac:dyDescent="0.15">
      <c r="A796" s="20" t="str">
        <f>B796&amp;".jpg"</f>
        <v>2291.jpg</v>
      </c>
      <c r="B796" s="21">
        <v>2291</v>
      </c>
      <c r="C796" s="20" t="s">
        <v>1445</v>
      </c>
      <c r="D796" s="20" t="s">
        <v>1446</v>
      </c>
      <c r="E796" s="20">
        <v>16</v>
      </c>
      <c r="F796" s="20" t="s">
        <v>1447</v>
      </c>
      <c r="G796" s="27">
        <v>27222</v>
      </c>
      <c r="H796" s="27">
        <v>8701</v>
      </c>
      <c r="I796" s="27">
        <v>9106</v>
      </c>
      <c r="J796" s="20" t="s">
        <v>1178</v>
      </c>
      <c r="K796" s="22">
        <f>SUM(G796,H796,I796)</f>
        <v>45029</v>
      </c>
      <c r="L796" s="20" t="s">
        <v>1449</v>
      </c>
      <c r="M796" s="23" t="str">
        <f>VLOOKUP(L796,スキル!B:C,2,FALSE)</f>
        <v>敵全体攻撃[極大]自分の攻撃力UP[極大]</v>
      </c>
      <c r="N796" s="20" t="s">
        <v>1450</v>
      </c>
      <c r="O796" s="23" t="str">
        <f>VLOOKUP(N796,スキル!B:C,2,FALSE)</f>
        <v>　</v>
      </c>
      <c r="P796" s="20" t="s">
        <v>1451</v>
      </c>
      <c r="Q796" s="23" t="str">
        <f>VLOOKUP(P796,タクティクス!B:C,2,FALSE)</f>
        <v>バトルで獲得する騎士団戦スコアが極大アップ＆ユニット1体をタレント状態にする(3分間)</v>
      </c>
      <c r="R796" s="20" t="s">
        <v>1366</v>
      </c>
      <c r="S796" s="23" t="str">
        <f>VLOOKUP(R796,タクティクス!B:C,2,FALSE)</f>
        <v>騎士団全体の攻・防が大UP(3分間)</v>
      </c>
      <c r="T796" s="20" t="s">
        <v>1452</v>
      </c>
      <c r="U796" s="20" t="s">
        <v>1450</v>
      </c>
      <c r="V796" s="20" t="s">
        <v>1890</v>
      </c>
    </row>
    <row r="797" spans="1:22" ht="21.75" customHeight="1" x14ac:dyDescent="0.15">
      <c r="A797" s="20" t="str">
        <f>B797&amp;".jpg"</f>
        <v>2292.jpg</v>
      </c>
      <c r="B797" s="21">
        <v>2292</v>
      </c>
      <c r="C797" s="20" t="s">
        <v>1456</v>
      </c>
      <c r="D797" s="20" t="s">
        <v>1265</v>
      </c>
      <c r="E797" s="20">
        <v>14</v>
      </c>
      <c r="F797" s="20" t="s">
        <v>1266</v>
      </c>
      <c r="G797" s="27">
        <v>19072</v>
      </c>
      <c r="H797" s="27">
        <v>6310</v>
      </c>
      <c r="I797" s="27">
        <v>6089</v>
      </c>
      <c r="J797" s="20" t="s">
        <v>1462</v>
      </c>
      <c r="K797" s="22">
        <f>SUM(G797,H797,I797)</f>
        <v>31471</v>
      </c>
      <c r="L797" s="20" t="s">
        <v>1465</v>
      </c>
      <c r="M797" s="23" t="str">
        <f>VLOOKUP(L797,スキル!B:C,2,FALSE)</f>
        <v>横一列に攻撃[特大]</v>
      </c>
      <c r="N797" s="20" t="s">
        <v>1464</v>
      </c>
      <c r="O797" s="23" t="str">
        <f>VLOOKUP(N797,スキル!B:C,2,FALSE)</f>
        <v>　</v>
      </c>
      <c r="P797" s="20" t="s">
        <v>1463</v>
      </c>
      <c r="Q797" s="23" t="str">
        <f>VLOOKUP(P797,タクティクス!B:C,2,FALSE)</f>
        <v>パーティ全体の速度が大UP(3分間)</v>
      </c>
      <c r="R797" s="20" t="s">
        <v>1011</v>
      </c>
      <c r="S797" s="23" t="str">
        <f>VLOOKUP(R797,タクティクス!B:C,2,FALSE)</f>
        <v>　</v>
      </c>
      <c r="T797" s="20" t="s">
        <v>1466</v>
      </c>
      <c r="U797" s="20" t="s">
        <v>1480</v>
      </c>
      <c r="V797" s="20" t="s">
        <v>1825</v>
      </c>
    </row>
    <row r="798" spans="1:22" ht="21.75" customHeight="1" x14ac:dyDescent="0.15">
      <c r="A798" s="20" t="str">
        <f>B798&amp;".jpg"</f>
        <v>2294.jpg</v>
      </c>
      <c r="B798" s="21">
        <v>2294</v>
      </c>
      <c r="C798" s="20" t="s">
        <v>1457</v>
      </c>
      <c r="D798" s="20" t="s">
        <v>1460</v>
      </c>
      <c r="E798" s="20">
        <v>16</v>
      </c>
      <c r="F798" s="20" t="s">
        <v>1338</v>
      </c>
      <c r="G798" s="27">
        <v>22105</v>
      </c>
      <c r="H798" s="27">
        <v>11000</v>
      </c>
      <c r="I798" s="27">
        <v>8203</v>
      </c>
      <c r="J798" s="20" t="s">
        <v>1462</v>
      </c>
      <c r="K798" s="22">
        <f>SUM(G798,H798,I798)</f>
        <v>41308</v>
      </c>
      <c r="L798" s="20" t="s">
        <v>1154</v>
      </c>
      <c r="M798" s="23" t="str">
        <f>VLOOKUP(L798,スキル!B:C,2,FALSE)</f>
        <v>敵単体攻撃[極大]自分の防御力UP[極大]</v>
      </c>
      <c r="N798" s="20" t="s">
        <v>1466</v>
      </c>
      <c r="O798" s="23" t="str">
        <f>VLOOKUP(N798,スキル!B:C,2,FALSE)</f>
        <v>　</v>
      </c>
      <c r="P798" s="20" t="s">
        <v>1470</v>
      </c>
      <c r="Q798" s="23" t="str">
        <f>VLOOKUP(P798,タクティクス!B:C,2,FALSE)</f>
        <v>パーティ全体の攻撃力極大UP・速度大DOWN＆ユニット1体をタレント状態にする(3分間)</v>
      </c>
      <c r="R798" s="20" t="s">
        <v>1475</v>
      </c>
      <c r="S798" s="23" t="str">
        <f>VLOOKUP(R798,タクティクス!B:C,2,FALSE)</f>
        <v>キリ番CB時の獲得ポイント特大UP(3分間)</v>
      </c>
      <c r="T798" s="20" t="s">
        <v>1476</v>
      </c>
      <c r="U798" s="20" t="s">
        <v>1466</v>
      </c>
      <c r="V798" s="20" t="s">
        <v>1897</v>
      </c>
    </row>
    <row r="799" spans="1:22" ht="21.75" customHeight="1" x14ac:dyDescent="0.15">
      <c r="A799" s="20" t="str">
        <f>B799&amp;".jpg"</f>
        <v>2296.jpg</v>
      </c>
      <c r="B799" s="21">
        <v>2296</v>
      </c>
      <c r="C799" s="20" t="s">
        <v>1458</v>
      </c>
      <c r="D799" s="20" t="s">
        <v>1173</v>
      </c>
      <c r="E799" s="20">
        <v>16</v>
      </c>
      <c r="F799" s="20" t="s">
        <v>1267</v>
      </c>
      <c r="G799" s="27">
        <v>30511</v>
      </c>
      <c r="H799" s="27">
        <v>8652</v>
      </c>
      <c r="I799" s="27">
        <v>12906</v>
      </c>
      <c r="J799" s="20" t="s">
        <v>1203</v>
      </c>
      <c r="K799" s="22">
        <f>SUM(G799,H799,I799)</f>
        <v>52069</v>
      </c>
      <c r="L799" s="20" t="s">
        <v>1468</v>
      </c>
      <c r="M799" s="23" t="str">
        <f>VLOOKUP(L799,スキル!B:C,2,FALSE)</f>
        <v>X字型攻撃[極大]自分の防御力UP[極大]</v>
      </c>
      <c r="N799" s="20" t="s">
        <v>1466</v>
      </c>
      <c r="O799" s="23" t="str">
        <f>VLOOKUP(N799,スキル!B:C,2,FALSE)</f>
        <v>　</v>
      </c>
      <c r="P799" s="20" t="s">
        <v>1472</v>
      </c>
      <c r="Q799" s="23" t="str">
        <f>VLOOKUP(P799,タクティクス!B:C,2,FALSE)</f>
        <v>騎士団全体の防御力が特大UP＆ユニット1体をタレント状態にする(3分間)</v>
      </c>
      <c r="R799" s="20" t="s">
        <v>1474</v>
      </c>
      <c r="S799" s="23" t="str">
        <f>VLOOKUP(R799,タクティクス!B:C,2,FALSE)</f>
        <v>騎士団全員のBPを大回復</v>
      </c>
      <c r="T799" s="20" t="s">
        <v>1477</v>
      </c>
      <c r="U799" s="20" t="s">
        <v>1466</v>
      </c>
      <c r="V799" s="20" t="s">
        <v>1897</v>
      </c>
    </row>
    <row r="800" spans="1:22" ht="21.75" customHeight="1" x14ac:dyDescent="0.15">
      <c r="A800" s="20" t="str">
        <f>B800&amp;".jpg"</f>
        <v>2298.jpg</v>
      </c>
      <c r="B800" s="21">
        <v>2298</v>
      </c>
      <c r="C800" s="20" t="s">
        <v>1459</v>
      </c>
      <c r="D800" s="20" t="s">
        <v>1461</v>
      </c>
      <c r="E800" s="20">
        <v>14</v>
      </c>
      <c r="F800" s="20" t="s">
        <v>1176</v>
      </c>
      <c r="G800" s="27">
        <v>18605</v>
      </c>
      <c r="H800" s="27">
        <v>6900</v>
      </c>
      <c r="I800" s="27">
        <v>6300</v>
      </c>
      <c r="J800" s="20" t="s">
        <v>1428</v>
      </c>
      <c r="K800" s="22">
        <f>SUM(G800,H800,I800)</f>
        <v>31805</v>
      </c>
      <c r="L800" s="20" t="s">
        <v>1469</v>
      </c>
      <c r="M800" s="23" t="str">
        <f>VLOOKUP(L800,スキル!B:C,2,FALSE)</f>
        <v>縦一列に攻撃[特大]</v>
      </c>
      <c r="N800" s="20" t="s">
        <v>1467</v>
      </c>
      <c r="O800" s="23" t="str">
        <f>VLOOKUP(N800,スキル!B:C,2,FALSE)</f>
        <v>　</v>
      </c>
      <c r="P800" s="20" t="s">
        <v>1310</v>
      </c>
      <c r="Q800" s="23" t="str">
        <f>VLOOKUP(P800,タクティクス!B:C,2,FALSE)</f>
        <v>パーティ全体の攻撃力が特大UP(3分間)</v>
      </c>
      <c r="R800" s="20" t="s">
        <v>1473</v>
      </c>
      <c r="S800" s="23" t="str">
        <f>VLOOKUP(R800,タクティクス!B:C,2,FALSE)</f>
        <v>　</v>
      </c>
      <c r="T800" s="20" t="s">
        <v>1466</v>
      </c>
      <c r="U800" s="20" t="s">
        <v>1479</v>
      </c>
      <c r="V800" s="20" t="s">
        <v>1898</v>
      </c>
    </row>
    <row r="801" spans="1:22" ht="21.75" customHeight="1" x14ac:dyDescent="0.15">
      <c r="A801" s="20" t="str">
        <f>B801&amp;".jpg"</f>
        <v>2300.jpg</v>
      </c>
      <c r="B801" s="21">
        <v>2300</v>
      </c>
      <c r="C801" s="20" t="s">
        <v>1511</v>
      </c>
      <c r="D801" s="20" t="s">
        <v>1502</v>
      </c>
      <c r="E801" s="20">
        <v>16</v>
      </c>
      <c r="F801" s="20" t="s">
        <v>1338</v>
      </c>
      <c r="G801" s="27">
        <v>22003</v>
      </c>
      <c r="H801" s="27">
        <v>10420</v>
      </c>
      <c r="I801" s="27">
        <v>8015</v>
      </c>
      <c r="J801" s="20" t="s">
        <v>1512</v>
      </c>
      <c r="K801" s="22">
        <f>SUM(G801,H801,I801)</f>
        <v>40438</v>
      </c>
      <c r="L801" s="20" t="s">
        <v>1525</v>
      </c>
      <c r="M801" s="23" t="str">
        <f>VLOOKUP(L801,スキル!B:C,2,FALSE)</f>
        <v>打に強く遠に弱い横一列攻撃[極大]</v>
      </c>
      <c r="N801" s="20" t="s">
        <v>1011</v>
      </c>
      <c r="O801" s="23" t="str">
        <f>VLOOKUP(N801,スキル!B:C,2,FALSE)</f>
        <v>　</v>
      </c>
      <c r="P801" s="20" t="s">
        <v>1524</v>
      </c>
      <c r="Q801" s="23" t="str">
        <f>VLOOKUP(P801,タクティクス!B:C,2,FALSE)</f>
        <v>パーティ全体の攻撃力が極大UP＆ユニット1体をタレント状態にする(3分間)</v>
      </c>
      <c r="R801" s="20" t="s">
        <v>1523</v>
      </c>
      <c r="S801" s="23" t="str">
        <f>VLOOKUP(R801,タクティクス!B:C,2,FALSE)</f>
        <v>バトル時の強襲CB率が大UP(3分間)</v>
      </c>
      <c r="T801" s="20" t="s">
        <v>1522</v>
      </c>
      <c r="U801" s="20" t="s">
        <v>1515</v>
      </c>
      <c r="V801" s="20" t="s">
        <v>1823</v>
      </c>
    </row>
    <row r="802" spans="1:22" ht="21.75" customHeight="1" x14ac:dyDescent="0.15">
      <c r="A802" s="20" t="str">
        <f>B802&amp;".jpg"</f>
        <v>2301.jpg</v>
      </c>
      <c r="B802" s="21">
        <v>2301</v>
      </c>
      <c r="C802" s="20" t="s">
        <v>1497</v>
      </c>
      <c r="D802" s="20" t="s">
        <v>1503</v>
      </c>
      <c r="E802" s="20">
        <v>14</v>
      </c>
      <c r="F802" s="20" t="s">
        <v>1267</v>
      </c>
      <c r="G802" s="27">
        <v>22153</v>
      </c>
      <c r="H802" s="27">
        <v>6261</v>
      </c>
      <c r="I802" s="27">
        <v>8149</v>
      </c>
      <c r="J802" s="20" t="s">
        <v>1513</v>
      </c>
      <c r="K802" s="22">
        <f>SUM(G802,H802,I802)</f>
        <v>36563</v>
      </c>
      <c r="L802" s="20" t="s">
        <v>1514</v>
      </c>
      <c r="M802" s="23" t="str">
        <f>VLOOKUP(L802,スキル!B:C,2,FALSE)</f>
        <v>十字型に攻撃[特大]</v>
      </c>
      <c r="N802" s="20" t="s">
        <v>1516</v>
      </c>
      <c r="O802" s="23" t="str">
        <f>VLOOKUP(N802,スキル!B:C,2,FALSE)</f>
        <v>　</v>
      </c>
      <c r="P802" s="20" t="s">
        <v>1362</v>
      </c>
      <c r="Q802" s="23" t="str">
        <f>VLOOKUP(P802,タクティクス!B:C,2,FALSE)</f>
        <v>パーティ全体の防御力が特大UP(3分間)</v>
      </c>
      <c r="R802" s="20" t="s">
        <v>1515</v>
      </c>
      <c r="S802" s="23" t="str">
        <f>VLOOKUP(R802,タクティクス!B:C,2,FALSE)</f>
        <v>　</v>
      </c>
      <c r="T802" s="20" t="s">
        <v>1515</v>
      </c>
      <c r="U802" s="20" t="s">
        <v>1521</v>
      </c>
      <c r="V802" s="20" t="s">
        <v>1895</v>
      </c>
    </row>
    <row r="803" spans="1:22" ht="21.75" customHeight="1" x14ac:dyDescent="0.15">
      <c r="A803" s="20" t="str">
        <f>B803&amp;".jpg"</f>
        <v>2303.jpg</v>
      </c>
      <c r="B803" s="21">
        <v>2303</v>
      </c>
      <c r="C803" s="20" t="s">
        <v>1548</v>
      </c>
      <c r="D803" s="20" t="s">
        <v>1551</v>
      </c>
      <c r="E803" s="20">
        <v>16</v>
      </c>
      <c r="F803" s="20" t="s">
        <v>1554</v>
      </c>
      <c r="G803" s="27">
        <v>22102</v>
      </c>
      <c r="H803" s="27">
        <v>11181</v>
      </c>
      <c r="I803" s="27">
        <v>8147</v>
      </c>
      <c r="J803" s="20" t="s">
        <v>1557</v>
      </c>
      <c r="K803" s="22">
        <f>SUM(G803,H803,I803)</f>
        <v>41430</v>
      </c>
      <c r="L803" s="20" t="s">
        <v>1560</v>
      </c>
      <c r="M803" s="23" t="str">
        <f>VLOOKUP(L803,スキル!B:C,2,FALSE)</f>
        <v>横一列攻撃[極大]自分の攻撃力UP[極大]</v>
      </c>
      <c r="N803" s="20" t="s">
        <v>1565</v>
      </c>
      <c r="O803" s="23" t="str">
        <f>VLOOKUP(N803,スキル!B:C,2,FALSE)</f>
        <v>　</v>
      </c>
      <c r="P803" s="20" t="s">
        <v>1566</v>
      </c>
      <c r="Q803" s="23" t="str">
        <f>VLOOKUP(P803,タクティクス!B:C,2,FALSE)</f>
        <v>パーティの攻撃力大UP・最大TP小UP&amp;ユニット1体をタレント状態にする(5分間)</v>
      </c>
      <c r="R803" s="20" t="s">
        <v>1570</v>
      </c>
      <c r="S803" s="23" t="str">
        <f>VLOOKUP(R803,タクティクス!B:C,2,FALSE)</f>
        <v>バトルで敵を全滅するとBPが特大回復・TPが中回復(3分間)</v>
      </c>
      <c r="T803" s="20" t="s">
        <v>1575</v>
      </c>
      <c r="U803" s="20" t="s">
        <v>1572</v>
      </c>
      <c r="V803" s="20" t="s">
        <v>1898</v>
      </c>
    </row>
    <row r="804" spans="1:22" ht="21.75" customHeight="1" x14ac:dyDescent="0.15">
      <c r="A804" s="20" t="str">
        <f>B804&amp;".jpg"</f>
        <v>2305.jpg</v>
      </c>
      <c r="B804" s="21">
        <v>2305</v>
      </c>
      <c r="C804" s="20" t="s">
        <v>1549</v>
      </c>
      <c r="D804" s="20" t="s">
        <v>1552</v>
      </c>
      <c r="E804" s="20">
        <v>16</v>
      </c>
      <c r="F804" s="20" t="s">
        <v>1555</v>
      </c>
      <c r="G804" s="27">
        <v>27012</v>
      </c>
      <c r="H804" s="27">
        <v>7582</v>
      </c>
      <c r="I804" s="27">
        <v>11009</v>
      </c>
      <c r="J804" s="20" t="s">
        <v>1558</v>
      </c>
      <c r="K804" s="22">
        <f>SUM(G804,H804,I804)</f>
        <v>45603</v>
      </c>
      <c r="L804" s="20" t="s">
        <v>1561</v>
      </c>
      <c r="M804" s="23" t="str">
        <f>VLOOKUP(L804,スキル!B:C,2,FALSE)</f>
        <v>敵全体の攻撃力と防御力をDOWN[極大]</v>
      </c>
      <c r="N804" s="20" t="s">
        <v>1565</v>
      </c>
      <c r="O804" s="23" t="str">
        <f>VLOOKUP(N804,スキル!B:C,2,FALSE)</f>
        <v>　</v>
      </c>
      <c r="P804" s="20" t="s">
        <v>1567</v>
      </c>
      <c r="Q804" s="23" t="str">
        <f>VLOOKUP(P804,タクティクス!B:C,2,FALSE)</f>
        <v>騎士団全体の攻撃力が特大UP＆ユニット1体をタレント状態にする(3分間)</v>
      </c>
      <c r="R804" s="20" t="s">
        <v>1287</v>
      </c>
      <c r="S804" s="23" t="str">
        <f>VLOOKUP(R804,タクティクス!B:C,2,FALSE)</f>
        <v>騎士団全体の防御力が大UP(3分間)</v>
      </c>
      <c r="T804" s="20" t="s">
        <v>1290</v>
      </c>
      <c r="U804" s="20" t="s">
        <v>1573</v>
      </c>
      <c r="V804" s="20" t="s">
        <v>1898</v>
      </c>
    </row>
    <row r="805" spans="1:22" ht="21.75" customHeight="1" x14ac:dyDescent="0.15">
      <c r="A805" s="20" t="str">
        <f>B805&amp;".jpg"</f>
        <v>2307.jpg</v>
      </c>
      <c r="B805" s="21">
        <v>2307</v>
      </c>
      <c r="C805" s="20" t="s">
        <v>1550</v>
      </c>
      <c r="D805" s="20" t="s">
        <v>1553</v>
      </c>
      <c r="E805" s="20">
        <v>16</v>
      </c>
      <c r="F805" s="20" t="s">
        <v>1556</v>
      </c>
      <c r="G805" s="27">
        <v>30179</v>
      </c>
      <c r="H805" s="27">
        <v>8850</v>
      </c>
      <c r="I805" s="27">
        <v>12250</v>
      </c>
      <c r="J805" s="20" t="s">
        <v>1559</v>
      </c>
      <c r="K805" s="22">
        <f>SUM(G805,H805,I805)</f>
        <v>51279</v>
      </c>
      <c r="L805" s="20" t="s">
        <v>1562</v>
      </c>
      <c r="M805" s="23" t="str">
        <f>VLOOKUP(L805,スキル!B:C,2,FALSE)</f>
        <v>ﾗﾝﾀﾞﾑで3～5連撃。攻撃毎に与ﾀﾞﾒ2倍[低確率]</v>
      </c>
      <c r="N805" s="20" t="s">
        <v>1565</v>
      </c>
      <c r="O805" s="23" t="str">
        <f>VLOOKUP(N805,スキル!B:C,2,FALSE)</f>
        <v>　</v>
      </c>
      <c r="P805" s="20" t="s">
        <v>1568</v>
      </c>
      <c r="Q805" s="23" t="str">
        <f>VLOOKUP(P805,タクティクス!B:C,2,FALSE)</f>
        <v>強襲が発生無効、バトル時に攻・防特大UP＆ユニット1体をタレント状態にする(3分間)</v>
      </c>
      <c r="R805" s="20" t="s">
        <v>1571</v>
      </c>
      <c r="S805" s="23" t="str">
        <f>VLOOKUP(R805,タクティクス!B:C,2,FALSE)</f>
        <v>攻撃回数が多いほどバトル獲得スコアが大UP(3分間)</v>
      </c>
      <c r="T805" s="20" t="s">
        <v>1291</v>
      </c>
      <c r="U805" s="20" t="s">
        <v>1574</v>
      </c>
      <c r="V805" s="20" t="s">
        <v>1898</v>
      </c>
    </row>
    <row r="806" spans="1:22" ht="21.75" customHeight="1" x14ac:dyDescent="0.15">
      <c r="A806" s="20" t="str">
        <f>B806&amp;".jpg"</f>
        <v>2308.jpg</v>
      </c>
      <c r="B806" s="21">
        <v>2308</v>
      </c>
      <c r="C806" s="20" t="s">
        <v>1576</v>
      </c>
      <c r="D806" s="20" t="s">
        <v>1577</v>
      </c>
      <c r="E806" s="20">
        <v>14</v>
      </c>
      <c r="F806" s="20" t="s">
        <v>1176</v>
      </c>
      <c r="G806" s="27">
        <v>18713</v>
      </c>
      <c r="H806" s="27">
        <v>6821</v>
      </c>
      <c r="I806" s="27">
        <v>6406</v>
      </c>
      <c r="J806" s="20" t="s">
        <v>1578</v>
      </c>
      <c r="K806" s="22">
        <f>SUM(G806,H806,I806)</f>
        <v>31940</v>
      </c>
      <c r="L806" s="20" t="s">
        <v>1579</v>
      </c>
      <c r="M806" s="23" t="str">
        <f>VLOOKUP(L806,スキル!B:C,2,FALSE)</f>
        <v>縦一列に攻撃[特大]</v>
      </c>
      <c r="N806" s="20" t="s">
        <v>1580</v>
      </c>
      <c r="O806" s="23" t="str">
        <f>VLOOKUP(N806,スキル!B:C,2,FALSE)</f>
        <v>　</v>
      </c>
      <c r="P806" s="20" t="s">
        <v>1581</v>
      </c>
      <c r="Q806" s="23" t="str">
        <f>VLOOKUP(P806,タクティクス!B:C,2,FALSE)</f>
        <v>パーティ全体の攻撃力が特大UP(3分間)</v>
      </c>
      <c r="R806" s="20" t="s">
        <v>1580</v>
      </c>
      <c r="S806" s="23" t="str">
        <f>VLOOKUP(R806,タクティクス!B:C,2,FALSE)</f>
        <v>　</v>
      </c>
      <c r="T806" s="20" t="s">
        <v>1580</v>
      </c>
      <c r="U806" s="20" t="s">
        <v>1582</v>
      </c>
      <c r="V806" s="20" t="s">
        <v>1877</v>
      </c>
    </row>
    <row r="807" spans="1:22" ht="21.75" customHeight="1" x14ac:dyDescent="0.15">
      <c r="A807" s="20" t="str">
        <f>B807&amp;".jpg"</f>
        <v>2309.jpg</v>
      </c>
      <c r="B807" s="21">
        <v>2309</v>
      </c>
      <c r="C807" s="20" t="s">
        <v>1584</v>
      </c>
      <c r="D807" s="20" t="s">
        <v>1585</v>
      </c>
      <c r="E807" s="20">
        <v>16</v>
      </c>
      <c r="F807" s="20" t="s">
        <v>1586</v>
      </c>
      <c r="G807" s="27">
        <v>26501</v>
      </c>
      <c r="H807" s="27">
        <v>7914</v>
      </c>
      <c r="I807" s="27">
        <v>11121</v>
      </c>
      <c r="J807" s="20" t="s">
        <v>1587</v>
      </c>
      <c r="K807" s="22">
        <f>SUM(G807,H807,I807)</f>
        <v>45536</v>
      </c>
      <c r="L807" s="20" t="s">
        <v>1588</v>
      </c>
      <c r="M807" s="23" t="str">
        <f>VLOOKUP(L807,スキル!B:C,2,FALSE)</f>
        <v>ランダムで5連続攻撃[特大]自分の攻撃力UP[特大]</v>
      </c>
      <c r="N807" s="20" t="s">
        <v>1589</v>
      </c>
      <c r="O807" s="23" t="str">
        <f>VLOOKUP(N807,スキル!B:C,2,FALSE)</f>
        <v>　</v>
      </c>
      <c r="P807" s="20" t="s">
        <v>1590</v>
      </c>
      <c r="Q807" s="23" t="str">
        <f>VLOOKUP(P807,タクティクス!B:C,2,FALSE)</f>
        <v>強襲無効、攻撃力・スキル発動率極大UP＆ユニット1体をタレント状態にする(5分間)</v>
      </c>
      <c r="R807" s="20" t="s">
        <v>1591</v>
      </c>
      <c r="S807" s="23" t="str">
        <f>VLOOKUP(R807,タクティクス!B:C,2,FALSE)</f>
        <v>パーティ全体の攻防大UP・最大TP小UP(5分間)</v>
      </c>
      <c r="T807" s="20" t="s">
        <v>1592</v>
      </c>
      <c r="U807" s="20" t="s">
        <v>1589</v>
      </c>
      <c r="V807" s="20" t="s">
        <v>1890</v>
      </c>
    </row>
    <row r="808" spans="1:22" ht="21.75" customHeight="1" x14ac:dyDescent="0.15">
      <c r="A808" s="20" t="str">
        <f>B808&amp;".jpg"</f>
        <v>2310.jpg</v>
      </c>
      <c r="B808" s="21">
        <v>2310</v>
      </c>
      <c r="C808" s="20" t="s">
        <v>1655</v>
      </c>
      <c r="D808" s="20" t="s">
        <v>1657</v>
      </c>
      <c r="E808" s="20">
        <v>13</v>
      </c>
      <c r="F808" s="20" t="s">
        <v>1176</v>
      </c>
      <c r="G808" s="27">
        <v>19032</v>
      </c>
      <c r="H808" s="27">
        <v>6756</v>
      </c>
      <c r="I808" s="27">
        <v>6032</v>
      </c>
      <c r="J808" s="20" t="s">
        <v>1659</v>
      </c>
      <c r="K808" s="22">
        <f>SUM(G808,H808,I808)</f>
        <v>31820</v>
      </c>
      <c r="L808" s="20" t="s">
        <v>1661</v>
      </c>
      <c r="M808" s="23" t="str">
        <f>VLOOKUP(L808,スキル!B:C,2,FALSE)</f>
        <v>斬に強く突に弱い横一列攻撃[大]</v>
      </c>
      <c r="N808" s="20" t="s">
        <v>1011</v>
      </c>
      <c r="O808" s="23" t="str">
        <f>VLOOKUP(N808,スキル!B:C,2,FALSE)</f>
        <v>　</v>
      </c>
      <c r="P808" s="20" t="s">
        <v>1665</v>
      </c>
      <c r="Q808" s="23" t="str">
        <f>VLOOKUP(P808,タクティクス!B:C,2,FALSE)</f>
        <v>騎士団全体の防御力が小UP(3分間)</v>
      </c>
      <c r="R808" s="20" t="s">
        <v>1011</v>
      </c>
      <c r="S808" s="23" t="str">
        <f>VLOOKUP(R808,タクティクス!B:C,2,FALSE)</f>
        <v>　</v>
      </c>
      <c r="T808" s="20" t="s">
        <v>1666</v>
      </c>
      <c r="U808" s="20" t="s">
        <v>1589</v>
      </c>
      <c r="V808" s="20" t="s">
        <v>1860</v>
      </c>
    </row>
    <row r="809" spans="1:22" ht="21.75" customHeight="1" x14ac:dyDescent="0.15">
      <c r="A809" s="20" t="str">
        <f>B809&amp;".jpg"</f>
        <v>2311.jpg</v>
      </c>
      <c r="B809" s="21">
        <v>2311</v>
      </c>
      <c r="C809" s="20" t="s">
        <v>1655</v>
      </c>
      <c r="D809" s="20" t="s">
        <v>1656</v>
      </c>
      <c r="E809" s="20">
        <v>14</v>
      </c>
      <c r="F809" s="20" t="s">
        <v>1176</v>
      </c>
      <c r="G809" s="27">
        <v>20593</v>
      </c>
      <c r="H809" s="27">
        <v>7194</v>
      </c>
      <c r="I809" s="27">
        <v>6430</v>
      </c>
      <c r="J809" s="20" t="s">
        <v>1658</v>
      </c>
      <c r="K809" s="22">
        <f>SUM(G809,H809,I809)</f>
        <v>34217</v>
      </c>
      <c r="L809" s="20" t="s">
        <v>1660</v>
      </c>
      <c r="M809" s="23" t="str">
        <f>VLOOKUP(L809,スキル!B:C,2,FALSE)</f>
        <v>斬に強く突に弱い横一列攻撃[特大]</v>
      </c>
      <c r="N809" s="20" t="s">
        <v>1589</v>
      </c>
      <c r="O809" s="23" t="str">
        <f>VLOOKUP(N809,スキル!B:C,2,FALSE)</f>
        <v>　</v>
      </c>
      <c r="P809" s="20" t="s">
        <v>1664</v>
      </c>
      <c r="Q809" s="23" t="str">
        <f>VLOOKUP(P809,タクティクス!B:C,2,FALSE)</f>
        <v>騎士団全体の防御力が中UP(3分間)</v>
      </c>
      <c r="R809" s="20" t="s">
        <v>1011</v>
      </c>
      <c r="S809" s="23" t="str">
        <f>VLOOKUP(R809,タクティクス!B:C,2,FALSE)</f>
        <v>　</v>
      </c>
      <c r="T809" s="20" t="s">
        <v>1589</v>
      </c>
      <c r="U809" s="20" t="s">
        <v>1666</v>
      </c>
      <c r="V809" s="20" t="s">
        <v>1860</v>
      </c>
    </row>
    <row r="810" spans="1:22" ht="21.75" customHeight="1" x14ac:dyDescent="0.15">
      <c r="A810" s="20" t="str">
        <f>B810&amp;".jpg"</f>
        <v>2312.jpg</v>
      </c>
      <c r="B810" s="21">
        <v>2312</v>
      </c>
      <c r="C810" s="20" t="s">
        <v>1655</v>
      </c>
      <c r="D810" s="20" t="s">
        <v>1656</v>
      </c>
      <c r="E810" s="20">
        <v>15</v>
      </c>
      <c r="F810" s="20" t="s">
        <v>1176</v>
      </c>
      <c r="G810" s="27">
        <v>24514</v>
      </c>
      <c r="H810" s="27">
        <v>7507</v>
      </c>
      <c r="I810" s="27">
        <v>7896</v>
      </c>
      <c r="J810" s="20" t="s">
        <v>1621</v>
      </c>
      <c r="K810" s="22">
        <f>SUM(G810,H810,I810)</f>
        <v>39917</v>
      </c>
      <c r="L810" s="20" t="s">
        <v>1660</v>
      </c>
      <c r="M810" s="23" t="str">
        <f>VLOOKUP(L810,スキル!B:C,2,FALSE)</f>
        <v>斬に強く突に弱い横一列攻撃[特大]</v>
      </c>
      <c r="N810" s="20" t="s">
        <v>1589</v>
      </c>
      <c r="O810" s="23" t="str">
        <f>VLOOKUP(N810,スキル!B:C,2,FALSE)</f>
        <v>　</v>
      </c>
      <c r="P810" s="20" t="s">
        <v>1287</v>
      </c>
      <c r="Q810" s="23" t="str">
        <f>VLOOKUP(P810,タクティクス!B:C,2,FALSE)</f>
        <v>騎士団全体の防御力が大UP(3分間)</v>
      </c>
      <c r="R810" s="20" t="s">
        <v>1589</v>
      </c>
      <c r="S810" s="23" t="str">
        <f>VLOOKUP(R810,タクティクス!B:C,2,FALSE)</f>
        <v>　</v>
      </c>
      <c r="T810" s="20" t="s">
        <v>1589</v>
      </c>
      <c r="U810" s="20" t="s">
        <v>1589</v>
      </c>
      <c r="V810" s="20" t="s">
        <v>1860</v>
      </c>
    </row>
    <row r="811" spans="1:22" ht="21.75" customHeight="1" x14ac:dyDescent="0.15">
      <c r="A811" s="20" t="str">
        <f>B811&amp;".jpg"</f>
        <v>2313.jpg</v>
      </c>
      <c r="B811" s="21">
        <v>2313</v>
      </c>
      <c r="C811" s="20" t="s">
        <v>1655</v>
      </c>
      <c r="D811" s="20" t="s">
        <v>1173</v>
      </c>
      <c r="E811" s="20">
        <v>16</v>
      </c>
      <c r="F811" s="20" t="s">
        <v>1176</v>
      </c>
      <c r="G811" s="27">
        <v>26204</v>
      </c>
      <c r="H811" s="27">
        <v>8692</v>
      </c>
      <c r="I811" s="27">
        <v>8750</v>
      </c>
      <c r="J811" s="20" t="s">
        <v>1178</v>
      </c>
      <c r="K811" s="22">
        <f>SUM(G811,H811,I811)</f>
        <v>43646</v>
      </c>
      <c r="L811" s="20" t="s">
        <v>1353</v>
      </c>
      <c r="M811" s="23" t="str">
        <f>VLOOKUP(L811,スキル!B:C,2,FALSE)</f>
        <v>斬に強く突に弱い横一列攻撃[極大]</v>
      </c>
      <c r="N811" s="20" t="s">
        <v>1662</v>
      </c>
      <c r="O811" s="23" t="str">
        <f>VLOOKUP(N811,スキル!B:C,2,FALSE)</f>
        <v>ランダムで6連続攻撃[極大]ランダムで状態異常付加</v>
      </c>
      <c r="P811" s="20" t="s">
        <v>1472</v>
      </c>
      <c r="Q811" s="23" t="str">
        <f>VLOOKUP(P811,タクティクス!B:C,2,FALSE)</f>
        <v>騎士団全体の防御力が特大UP＆ユニット1体をタレント状態にする(3分間)</v>
      </c>
      <c r="R811" s="20" t="s">
        <v>1366</v>
      </c>
      <c r="S811" s="23" t="str">
        <f>VLOOKUP(R811,タクティクス!B:C,2,FALSE)</f>
        <v>騎士団全体の攻・防が大UP(3分間)</v>
      </c>
      <c r="T811" s="20" t="s">
        <v>472</v>
      </c>
      <c r="U811" s="20" t="s">
        <v>1141</v>
      </c>
      <c r="V811" s="20" t="s">
        <v>1860</v>
      </c>
    </row>
    <row r="812" spans="1:22" ht="21.75" customHeight="1" x14ac:dyDescent="0.15">
      <c r="A812" s="20" t="str">
        <f>B812&amp;".jpg"</f>
        <v>2315.jpg</v>
      </c>
      <c r="B812" s="21">
        <v>2315</v>
      </c>
      <c r="C812" s="20" t="s">
        <v>1669</v>
      </c>
      <c r="D812" s="20" t="s">
        <v>1672</v>
      </c>
      <c r="E812" s="20">
        <v>16</v>
      </c>
      <c r="F812" s="20" t="s">
        <v>1338</v>
      </c>
      <c r="G812" s="27">
        <v>23001</v>
      </c>
      <c r="H812" s="27">
        <v>10522</v>
      </c>
      <c r="I812" s="27">
        <v>8411</v>
      </c>
      <c r="J812" s="20" t="s">
        <v>1676</v>
      </c>
      <c r="K812" s="22">
        <f>SUM(G812,H812,I812)</f>
        <v>41934</v>
      </c>
      <c r="L812" s="20" t="s">
        <v>1678</v>
      </c>
      <c r="M812" s="23" t="str">
        <f>VLOOKUP(L812,スキル!B:C,2,FALSE)</f>
        <v>横一列攻撃[極大]自分の防御力UP[極大]</v>
      </c>
      <c r="N812" s="20" t="s">
        <v>1682</v>
      </c>
      <c r="O812" s="23" t="str">
        <f>VLOOKUP(N812,スキル!B:C,2,FALSE)</f>
        <v>　</v>
      </c>
      <c r="P812" s="20" t="s">
        <v>1683</v>
      </c>
      <c r="Q812" s="23" t="str">
        <f>VLOOKUP(P812,タクティクス!B:C,2,FALSE)</f>
        <v>攻撃回数が多いほどバトル獲得スコアが特大UP＆ユニット1体をタレント状態にする(3分間)</v>
      </c>
      <c r="R812" s="20" t="s">
        <v>1286</v>
      </c>
      <c r="S812" s="23" t="str">
        <f>VLOOKUP(R812,タクティクス!B:C,2,FALSE)</f>
        <v>強襲無効、攻撃力・スキル発動率特大UP(3分間)</v>
      </c>
      <c r="T812" s="20" t="s">
        <v>1688</v>
      </c>
      <c r="U812" s="20" t="s">
        <v>1682</v>
      </c>
      <c r="V812" s="20" t="s">
        <v>1894</v>
      </c>
    </row>
    <row r="813" spans="1:22" ht="21.75" customHeight="1" x14ac:dyDescent="0.15">
      <c r="A813" s="20" t="str">
        <f>B813&amp;".jpg"</f>
        <v>2317.jpg</v>
      </c>
      <c r="B813" s="21">
        <v>2317</v>
      </c>
      <c r="C813" s="20" t="s">
        <v>1670</v>
      </c>
      <c r="D813" s="20" t="s">
        <v>1174</v>
      </c>
      <c r="E813" s="20">
        <v>16</v>
      </c>
      <c r="F813" s="20" t="s">
        <v>1674</v>
      </c>
      <c r="G813" s="27">
        <v>26418</v>
      </c>
      <c r="H813" s="27">
        <v>7602</v>
      </c>
      <c r="I813" s="27">
        <v>10353</v>
      </c>
      <c r="J813" s="20" t="s">
        <v>1201</v>
      </c>
      <c r="K813" s="22">
        <f>SUM(G813,H813,I813)</f>
        <v>44373</v>
      </c>
      <c r="L813" s="20" t="s">
        <v>1679</v>
      </c>
      <c r="M813" s="23" t="str">
        <f>VLOOKUP(L813,スキル!B:C,2,FALSE)</f>
        <v>一定確率で敵を暗闇状態にする[超超高確率]</v>
      </c>
      <c r="N813" s="20" t="s">
        <v>1682</v>
      </c>
      <c r="O813" s="23" t="str">
        <f>VLOOKUP(N813,スキル!B:C,2,FALSE)</f>
        <v>　</v>
      </c>
      <c r="P813" s="20" t="s">
        <v>1684</v>
      </c>
      <c r="Q813" s="23" t="str">
        <f>VLOOKUP(P813,タクティクス!B:C,2,FALSE)</f>
        <v>騎士団全体の攻・防が特大UP＆ユニット1体をタレント状態にする(3分間)</v>
      </c>
      <c r="R813" s="20" t="s">
        <v>1687</v>
      </c>
      <c r="S813" s="23" t="str">
        <f>VLOOKUP(R813,タクティクス!B:C,2,FALSE)</f>
        <v>バトルで獲得する騎士団戦スコアが特大アップ(3分間)</v>
      </c>
      <c r="T813" s="20" t="s">
        <v>1689</v>
      </c>
      <c r="U813" s="20" t="s">
        <v>1141</v>
      </c>
      <c r="V813" s="20" t="s">
        <v>1894</v>
      </c>
    </row>
    <row r="814" spans="1:22" ht="21.75" customHeight="1" x14ac:dyDescent="0.15">
      <c r="A814" s="20" t="str">
        <f>B814&amp;".jpg"</f>
        <v>2319.jpg</v>
      </c>
      <c r="B814" s="21">
        <v>2319</v>
      </c>
      <c r="C814" s="20" t="s">
        <v>1671</v>
      </c>
      <c r="D814" s="20" t="s">
        <v>1673</v>
      </c>
      <c r="E814" s="20">
        <v>14</v>
      </c>
      <c r="F814" s="20" t="s">
        <v>1675</v>
      </c>
      <c r="G814" s="27">
        <v>21944</v>
      </c>
      <c r="H814" s="27">
        <v>6704</v>
      </c>
      <c r="I814" s="27">
        <v>8031</v>
      </c>
      <c r="J814" s="20" t="s">
        <v>1677</v>
      </c>
      <c r="K814" s="22">
        <f>SUM(G814,H814,I814)</f>
        <v>36679</v>
      </c>
      <c r="L814" s="20" t="s">
        <v>1680</v>
      </c>
      <c r="M814" s="23" t="str">
        <f>VLOOKUP(L814,スキル!B:C,2,FALSE)</f>
        <v>味方打属性の防御力をUP[特大]</v>
      </c>
      <c r="N814" s="20" t="s">
        <v>1682</v>
      </c>
      <c r="O814" s="23" t="str">
        <f>VLOOKUP(N814,スキル!B:C,2,FALSE)</f>
        <v>　</v>
      </c>
      <c r="P814" s="20" t="s">
        <v>1685</v>
      </c>
      <c r="Q814" s="23" t="str">
        <f>VLOOKUP(P814,タクティクス!B:C,2,FALSE)</f>
        <v>パーティ全体の攻・防が特大UP(3分間)</v>
      </c>
      <c r="R814" s="20" t="s">
        <v>1682</v>
      </c>
      <c r="S814" s="23" t="str">
        <f>VLOOKUP(R814,タクティクス!B:C,2,FALSE)</f>
        <v>　</v>
      </c>
      <c r="T814" s="20" t="s">
        <v>1691</v>
      </c>
      <c r="U814" s="20" t="s">
        <v>1690</v>
      </c>
      <c r="V814" s="20" t="s">
        <v>1894</v>
      </c>
    </row>
    <row r="815" spans="1:22" ht="21.75" customHeight="1" x14ac:dyDescent="0.15">
      <c r="A815" s="20" t="str">
        <f>B815&amp;".jpg"</f>
        <v>2321.jpg</v>
      </c>
      <c r="B815" s="21">
        <v>2321</v>
      </c>
      <c r="C815" s="20" t="s">
        <v>1692</v>
      </c>
      <c r="D815" s="20" t="s">
        <v>1693</v>
      </c>
      <c r="E815" s="20">
        <v>16</v>
      </c>
      <c r="F815" s="20" t="s">
        <v>1338</v>
      </c>
      <c r="G815" s="27">
        <v>22095</v>
      </c>
      <c r="H815" s="27">
        <v>10193</v>
      </c>
      <c r="I815" s="27">
        <v>8256</v>
      </c>
      <c r="J815" s="20" t="s">
        <v>1694</v>
      </c>
      <c r="K815" s="22">
        <f>SUM(G815,H815,I815)</f>
        <v>40544</v>
      </c>
      <c r="L815" s="20" t="s">
        <v>1695</v>
      </c>
      <c r="M815" s="23" t="str">
        <f>VLOOKUP(L815,スキル!B:C,2,FALSE)</f>
        <v>遠に強く打に弱い横一列攻撃[極大]</v>
      </c>
      <c r="N815" s="20" t="s">
        <v>1696</v>
      </c>
      <c r="O815" s="23" t="str">
        <f>VLOOKUP(N815,スキル!B:C,2,FALSE)</f>
        <v>　</v>
      </c>
      <c r="P815" s="20" t="s">
        <v>1347</v>
      </c>
      <c r="Q815" s="23" t="str">
        <f>VLOOKUP(P815,タクティクス!B:C,2,FALSE)</f>
        <v>パーティ全体のスキル発動率が特大UP＆ユニット1体をタレント状態にする(5分間)</v>
      </c>
      <c r="R815" s="20" t="s">
        <v>1697</v>
      </c>
      <c r="S815" s="23" t="str">
        <f>VLOOKUP(R815,タクティクス!B:C,2,FALSE)</f>
        <v>パーティ全体の防御力が特大UP(3分間)</v>
      </c>
      <c r="T815" s="20" t="s">
        <v>1698</v>
      </c>
      <c r="U815" s="20" t="s">
        <v>1682</v>
      </c>
      <c r="V815" s="20" t="s">
        <v>1823</v>
      </c>
    </row>
    <row r="816" spans="1:22" ht="21.75" customHeight="1" x14ac:dyDescent="0.15">
      <c r="A816" s="20" t="str">
        <f>B816&amp;".jpg"</f>
        <v>2322.jpg</v>
      </c>
      <c r="B816" s="21">
        <v>2322</v>
      </c>
      <c r="C816" s="20" t="s">
        <v>1702</v>
      </c>
      <c r="D816" s="20" t="s">
        <v>1704</v>
      </c>
      <c r="E816" s="20">
        <v>14</v>
      </c>
      <c r="F816" s="20" t="s">
        <v>1338</v>
      </c>
      <c r="G816" s="27">
        <v>18012</v>
      </c>
      <c r="H816" s="27">
        <v>8303</v>
      </c>
      <c r="I816" s="27">
        <v>6580</v>
      </c>
      <c r="J816" s="20" t="s">
        <v>1712</v>
      </c>
      <c r="K816" s="22">
        <f>SUM(G816,H816,I816)</f>
        <v>32895</v>
      </c>
      <c r="L816" s="20" t="s">
        <v>1713</v>
      </c>
      <c r="M816" s="23" t="str">
        <f>VLOOKUP(L816,スキル!B:C,2,FALSE)</f>
        <v>十字型に攻撃[特大]</v>
      </c>
      <c r="N816" s="20" t="s">
        <v>1714</v>
      </c>
      <c r="O816" s="23" t="str">
        <f>VLOOKUP(N816,スキル!B:C,2,FALSE)</f>
        <v>　</v>
      </c>
      <c r="P816" s="20" t="s">
        <v>1715</v>
      </c>
      <c r="Q816" s="23" t="str">
        <f>VLOOKUP(P816,タクティクス!B:C,2,FALSE)</f>
        <v>パーティ全体の攻・防が特大UP(3分間)</v>
      </c>
      <c r="R816" s="20" t="s">
        <v>1011</v>
      </c>
      <c r="S816" s="23" t="str">
        <f>VLOOKUP(R816,タクティクス!B:C,2,FALSE)</f>
        <v>　</v>
      </c>
      <c r="T816" s="20" t="s">
        <v>1011</v>
      </c>
      <c r="U816" s="20" t="s">
        <v>1716</v>
      </c>
      <c r="V816" s="20" t="s">
        <v>1825</v>
      </c>
    </row>
    <row r="817" spans="1:22" ht="21.75" customHeight="1" x14ac:dyDescent="0.15">
      <c r="A817" s="20" t="str">
        <f>B817&amp;".jpg"</f>
        <v>2323.jpg</v>
      </c>
      <c r="B817" s="21">
        <v>2323</v>
      </c>
      <c r="C817" s="20" t="s">
        <v>1703</v>
      </c>
      <c r="D817" s="20" t="s">
        <v>1705</v>
      </c>
      <c r="E817" s="20">
        <v>16</v>
      </c>
      <c r="F817" s="20" t="s">
        <v>1266</v>
      </c>
      <c r="G817" s="27">
        <v>26821</v>
      </c>
      <c r="H817" s="27">
        <v>7812</v>
      </c>
      <c r="I817" s="27">
        <v>10907</v>
      </c>
      <c r="J817" s="20" t="s">
        <v>1201</v>
      </c>
      <c r="K817" s="22">
        <f>SUM(G817,H817,I817)</f>
        <v>45540</v>
      </c>
      <c r="L817" s="20" t="s">
        <v>1699</v>
      </c>
      <c r="M817" s="23" t="str">
        <f>VLOOKUP(L817,スキル!B:C,2,FALSE)</f>
        <v>ランダム7連続攻撃[大]自分の防御力UP[大]</v>
      </c>
      <c r="N817" s="20" t="s">
        <v>1700</v>
      </c>
      <c r="O817" s="23" t="str">
        <f>VLOOKUP(N817,スキル!B:C,2,FALSE)</f>
        <v>自分の攻撃力と防御力をUP[超極大]</v>
      </c>
      <c r="P817" s="20" t="s">
        <v>1706</v>
      </c>
      <c r="Q817" s="23" t="str">
        <f>VLOOKUP(P817,タクティクス!B:C,2,FALSE)</f>
        <v>強襲が発生無効、バトル時に攻・防特大UP＆ユニット1体をタレント状態にする(3分間)</v>
      </c>
      <c r="R817" s="20" t="s">
        <v>1708</v>
      </c>
      <c r="S817" s="23" t="str">
        <f>VLOOKUP(R817,タクティクス!B:C,2,FALSE)</f>
        <v>パーティ全体の速度が大UP・最大TP小UP(3分間)</v>
      </c>
      <c r="T817" s="20" t="s">
        <v>1710</v>
      </c>
      <c r="U817" s="20" t="s">
        <v>1711</v>
      </c>
      <c r="V817" s="20" t="s">
        <v>1890</v>
      </c>
    </row>
    <row r="818" spans="1:22" ht="21.75" customHeight="1" x14ac:dyDescent="0.15">
      <c r="A818" s="20" t="str">
        <f>B818&amp;".jpg"</f>
        <v>2325.jpg</v>
      </c>
      <c r="B818" s="21">
        <v>2325</v>
      </c>
      <c r="C818" s="20" t="s">
        <v>1718</v>
      </c>
      <c r="D818" s="20" t="s">
        <v>1724</v>
      </c>
      <c r="E818" s="20">
        <v>14</v>
      </c>
      <c r="F818" s="20" t="s">
        <v>1726</v>
      </c>
      <c r="G818" s="27">
        <v>19042</v>
      </c>
      <c r="H818" s="27">
        <v>6356</v>
      </c>
      <c r="I818" s="27">
        <v>6032</v>
      </c>
      <c r="J818" s="20" t="s">
        <v>1731</v>
      </c>
      <c r="K818" s="22">
        <f>SUM(G818,H818,I818)</f>
        <v>31430</v>
      </c>
      <c r="L818" s="20" t="s">
        <v>1579</v>
      </c>
      <c r="M818" s="23" t="str">
        <f>VLOOKUP(L818,スキル!B:C,2,FALSE)</f>
        <v>縦一列に攻撃[特大]</v>
      </c>
      <c r="N818" s="20" t="s">
        <v>1734</v>
      </c>
      <c r="O818" s="23" t="str">
        <f>VLOOKUP(N818,スキル!B:C,2,FALSE)</f>
        <v>　</v>
      </c>
      <c r="P818" s="20" t="s">
        <v>1735</v>
      </c>
      <c r="Q818" s="23" t="str">
        <f>VLOOKUP(P818,タクティクス!B:C,2,FALSE)</f>
        <v>パーティ全体の攻撃力大UP・速度大DOWN(3分間)</v>
      </c>
      <c r="R818" s="20" t="s">
        <v>1739</v>
      </c>
      <c r="S818" s="23" t="str">
        <f>VLOOKUP(R818,タクティクス!B:C,2,FALSE)</f>
        <v>　</v>
      </c>
      <c r="T818" s="20" t="s">
        <v>1743</v>
      </c>
      <c r="U818" s="20" t="s">
        <v>1744</v>
      </c>
      <c r="V818" s="20" t="s">
        <v>1889</v>
      </c>
    </row>
    <row r="819" spans="1:22" ht="21.75" customHeight="1" x14ac:dyDescent="0.15">
      <c r="A819" s="20" t="str">
        <f>B819&amp;".jpg"</f>
        <v>2327.jpg</v>
      </c>
      <c r="B819" s="21">
        <v>2327</v>
      </c>
      <c r="C819" s="20" t="s">
        <v>1719</v>
      </c>
      <c r="D819" s="20" t="s">
        <v>1723</v>
      </c>
      <c r="E819" s="20">
        <v>16</v>
      </c>
      <c r="F819" s="20" t="s">
        <v>1725</v>
      </c>
      <c r="G819" s="27">
        <v>30304</v>
      </c>
      <c r="H819" s="27">
        <v>8902</v>
      </c>
      <c r="I819" s="27">
        <v>12083</v>
      </c>
      <c r="J819" s="20" t="s">
        <v>1730</v>
      </c>
      <c r="K819" s="22">
        <f>SUM(G819,H819,I819)</f>
        <v>51289</v>
      </c>
      <c r="L819" s="20" t="s">
        <v>1732</v>
      </c>
      <c r="M819" s="23" t="str">
        <f>VLOOKUP(L819,スキル!B:C,2,FALSE)</f>
        <v>敵単体攻撃[極大]自分の攻撃力UP[極大]</v>
      </c>
      <c r="N819" s="20" t="s">
        <v>1011</v>
      </c>
      <c r="O819" s="23" t="str">
        <f>VLOOKUP(N819,スキル!B:C,2,FALSE)</f>
        <v>　</v>
      </c>
      <c r="P819" s="20" t="s">
        <v>1736</v>
      </c>
      <c r="Q819" s="23" t="str">
        <f>VLOOKUP(P819,タクティクス!B:C,2,FALSE)</f>
        <v>騎士団全体の攻撃力が特大UP＆ユニット1体をタレント状態にする(3分間)</v>
      </c>
      <c r="R819" s="20" t="s">
        <v>1167</v>
      </c>
      <c r="S819" s="23" t="str">
        <f>VLOOKUP(R819,タクティクス!B:C,2,FALSE)</f>
        <v>バトルで敵を全滅するとBPが特大回復・TPが中回復(3分間)</v>
      </c>
      <c r="T819" s="20" t="s">
        <v>1742</v>
      </c>
      <c r="U819" s="20" t="s">
        <v>1743</v>
      </c>
      <c r="V819" s="20" t="s">
        <v>1889</v>
      </c>
    </row>
    <row r="820" spans="1:22" ht="21.75" customHeight="1" x14ac:dyDescent="0.15">
      <c r="A820" s="20" t="str">
        <f>B820&amp;".jpg"</f>
        <v>2329.jpg</v>
      </c>
      <c r="B820" s="21">
        <v>2329</v>
      </c>
      <c r="C820" s="20" t="s">
        <v>1720</v>
      </c>
      <c r="D820" s="20" t="s">
        <v>1723</v>
      </c>
      <c r="E820" s="20">
        <v>16</v>
      </c>
      <c r="F820" s="20" t="s">
        <v>1727</v>
      </c>
      <c r="G820" s="27">
        <v>27002</v>
      </c>
      <c r="H820" s="27">
        <v>8652</v>
      </c>
      <c r="I820" s="27">
        <v>9201</v>
      </c>
      <c r="J820" s="20" t="s">
        <v>1178</v>
      </c>
      <c r="K820" s="22">
        <f>SUM(G820,H820,I820)</f>
        <v>44855</v>
      </c>
      <c r="L820" s="20" t="s">
        <v>1733</v>
      </c>
      <c r="M820" s="23" t="str">
        <f>VLOOKUP(L820,スキル!B:C,2,FALSE)</f>
        <v>ﾗﾝﾀﾞﾑ6連続攻撃[大][低確率]でﾀﾞﾒｰｼﾞ2倍</v>
      </c>
      <c r="N820" s="20" t="s">
        <v>1011</v>
      </c>
      <c r="O820" s="23" t="str">
        <f>VLOOKUP(N820,スキル!B:C,2,FALSE)</f>
        <v>　</v>
      </c>
      <c r="P820" s="20" t="s">
        <v>1737</v>
      </c>
      <c r="Q820" s="23" t="str">
        <f>VLOOKUP(P820,タクティクス!B:C,2,FALSE)</f>
        <v>パーティ全体の攻撃力・速度が特大UP＆ユニット1体をタレント状態にする(5分間)</v>
      </c>
      <c r="R820" s="20" t="s">
        <v>1740</v>
      </c>
      <c r="S820" s="23" t="str">
        <f>VLOOKUP(R820,タクティクス!B:C,2,FALSE)</f>
        <v>攻撃回数が多いほどバトル獲得スコアが大UP(3分間)</v>
      </c>
      <c r="T820" s="20" t="s">
        <v>1291</v>
      </c>
      <c r="U820" s="20" t="s">
        <v>18</v>
      </c>
      <c r="V820" s="20" t="s">
        <v>1889</v>
      </c>
    </row>
    <row r="821" spans="1:22" ht="21.75" customHeight="1" x14ac:dyDescent="0.15">
      <c r="A821" s="20" t="str">
        <f>B821&amp;".jpg"</f>
        <v>2331.jpg</v>
      </c>
      <c r="B821" s="21">
        <v>2331</v>
      </c>
      <c r="C821" s="20" t="s">
        <v>1721</v>
      </c>
      <c r="D821" s="20" t="s">
        <v>1723</v>
      </c>
      <c r="E821" s="20">
        <v>16</v>
      </c>
      <c r="F821" s="20" t="s">
        <v>1555</v>
      </c>
      <c r="G821" s="27">
        <v>25253</v>
      </c>
      <c r="H821" s="27">
        <v>7700</v>
      </c>
      <c r="I821" s="27">
        <v>10324</v>
      </c>
      <c r="J821" s="20" t="s">
        <v>1728</v>
      </c>
      <c r="K821" s="22">
        <f>SUM(G821,H821,I821)</f>
        <v>43277</v>
      </c>
      <c r="L821" s="20" t="s">
        <v>1745</v>
      </c>
      <c r="M821" s="23" t="str">
        <f>VLOOKUP(L821,スキル!B:C,2,FALSE)</f>
        <v>味方突属性の攻撃力をUP[超極大]</v>
      </c>
      <c r="N821" s="20" t="s">
        <v>1011</v>
      </c>
      <c r="O821" s="23" t="str">
        <f>VLOOKUP(N821,スキル!B:C,2,FALSE)</f>
        <v>　</v>
      </c>
      <c r="P821" s="20" t="s">
        <v>1738</v>
      </c>
      <c r="Q821" s="23" t="str">
        <f>VLOOKUP(P821,タクティクス!B:C,2,FALSE)</f>
        <v>パーティ全体の防御力が極大UP＆ユニット1体をタレント状態にする(3分間)</v>
      </c>
      <c r="R821" s="20" t="s">
        <v>1741</v>
      </c>
      <c r="S821" s="23" t="str">
        <f>VLOOKUP(R821,タクティクス!B:C,2,FALSE)</f>
        <v>キリ番CB時の獲得ポイント特大UP(3分間)</v>
      </c>
      <c r="T821" s="20" t="s">
        <v>1348</v>
      </c>
      <c r="U821" s="20" t="s">
        <v>1739</v>
      </c>
      <c r="V821" s="20" t="s">
        <v>1823</v>
      </c>
    </row>
    <row r="822" spans="1:22" ht="21.75" customHeight="1" x14ac:dyDescent="0.15">
      <c r="A822" s="20" t="str">
        <f>B822&amp;".jpg"</f>
        <v>2333.jpg</v>
      </c>
      <c r="B822" s="21">
        <v>2333</v>
      </c>
      <c r="C822" s="20" t="s">
        <v>1722</v>
      </c>
      <c r="D822" s="20" t="s">
        <v>1723</v>
      </c>
      <c r="E822" s="20">
        <v>16</v>
      </c>
      <c r="F822" s="20" t="s">
        <v>1727</v>
      </c>
      <c r="G822" s="27">
        <v>24232</v>
      </c>
      <c r="H822" s="27">
        <v>8652</v>
      </c>
      <c r="I822" s="27">
        <v>8046</v>
      </c>
      <c r="J822" s="20" t="s">
        <v>1729</v>
      </c>
      <c r="K822" s="22">
        <f>SUM(G822,H822,I822)</f>
        <v>40930</v>
      </c>
      <c r="L822" s="20" t="s">
        <v>1746</v>
      </c>
      <c r="M822" s="23" t="str">
        <f>VLOOKUP(L822,スキル!B:C,2,FALSE)</f>
        <v>斬に強く突に弱い縦一列攻撃[極大]</v>
      </c>
      <c r="N822" s="20" t="s">
        <v>1011</v>
      </c>
      <c r="O822" s="23" t="str">
        <f>VLOOKUP(N822,スキル!B:C,2,FALSE)</f>
        <v>　</v>
      </c>
      <c r="P822" s="20" t="s">
        <v>1747</v>
      </c>
      <c r="Q822" s="23" t="str">
        <f>VLOOKUP(P822,タクティクス!B:C,2,FALSE)</f>
        <v>パーティ全体の攻撃力が極大UP＆ユニット1体をタレント状態にする(3分間)</v>
      </c>
      <c r="R822" s="20" t="s">
        <v>1287</v>
      </c>
      <c r="S822" s="23" t="str">
        <f>VLOOKUP(R822,タクティクス!B:C,2,FALSE)</f>
        <v>騎士団全体の防御力が大UP(3分間)</v>
      </c>
      <c r="T822" s="20" t="s">
        <v>1187</v>
      </c>
      <c r="U822" s="20" t="s">
        <v>1739</v>
      </c>
      <c r="V822" s="20" t="s">
        <v>1823</v>
      </c>
    </row>
    <row r="823" spans="1:22" ht="21.75" customHeight="1" x14ac:dyDescent="0.15">
      <c r="A823" s="20" t="str">
        <f>B823&amp;".jpg"</f>
        <v>2334.jpg</v>
      </c>
      <c r="B823" s="21">
        <v>2334</v>
      </c>
      <c r="C823" s="20" t="s">
        <v>1717</v>
      </c>
      <c r="D823" s="20" t="s">
        <v>1173</v>
      </c>
      <c r="E823" s="20">
        <v>16</v>
      </c>
      <c r="F823" s="20" t="s">
        <v>1725</v>
      </c>
      <c r="G823" s="27">
        <v>8760</v>
      </c>
      <c r="H823" s="27">
        <v>2430</v>
      </c>
      <c r="I823" s="27">
        <v>3006</v>
      </c>
      <c r="J823" s="20" t="s">
        <v>1730</v>
      </c>
      <c r="K823" s="22">
        <f>SUM(G823,H823,I823)</f>
        <v>14196</v>
      </c>
      <c r="L823" s="20" t="s">
        <v>1748</v>
      </c>
      <c r="M823" s="23" t="str">
        <f>VLOOKUP(L823,スキル!B:C,2,FALSE)</f>
        <v>遠に強く打に弱い縦一列攻撃[極大]</v>
      </c>
      <c r="N823" s="20" t="s">
        <v>1749</v>
      </c>
      <c r="O823" s="23" t="str">
        <f>VLOOKUP(N823,スキル!B:C,2,FALSE)</f>
        <v>一定時間HP最大値をUP[超極大]</v>
      </c>
      <c r="P823" s="20" t="s">
        <v>1750</v>
      </c>
      <c r="Q823" s="23" t="str">
        <f>VLOOKUP(P823,タクティクス!B:C,2,FALSE)</f>
        <v>パーティ全体の攻・防が極大UP＆ユニット1体をタレント状態にする(3分間)</v>
      </c>
      <c r="R823" s="20" t="s">
        <v>1184</v>
      </c>
      <c r="S823" s="23" t="str">
        <f>VLOOKUP(R823,タクティクス!B:C,2,FALSE)</f>
        <v>獲得する騎士団戦スコアが特大アップ(バトル3回)</v>
      </c>
      <c r="T823" s="20" t="s">
        <v>1370</v>
      </c>
      <c r="U823" s="20" t="s">
        <v>1739</v>
      </c>
      <c r="V823" s="20" t="s">
        <v>1892</v>
      </c>
    </row>
    <row r="824" spans="1:22" ht="21.75" customHeight="1" x14ac:dyDescent="0.15">
      <c r="A824" s="20" t="str">
        <f>B824&amp;".jpg"</f>
        <v>2336.jpg</v>
      </c>
      <c r="B824" s="21">
        <v>2336</v>
      </c>
      <c r="C824" s="20" t="s">
        <v>1188</v>
      </c>
      <c r="D824" s="20" t="s">
        <v>1503</v>
      </c>
      <c r="E824" s="20">
        <v>14</v>
      </c>
      <c r="F824" s="20" t="s">
        <v>1338</v>
      </c>
      <c r="G824" s="27">
        <v>18103</v>
      </c>
      <c r="H824" s="27">
        <v>8203</v>
      </c>
      <c r="I824" s="27">
        <v>6648</v>
      </c>
      <c r="J824" s="20" t="s">
        <v>1270</v>
      </c>
      <c r="K824" s="22">
        <f>SUM(G824,H824,I824)</f>
        <v>32954</v>
      </c>
      <c r="L824" s="20" t="s">
        <v>1815</v>
      </c>
      <c r="M824" s="23" t="str">
        <f>VLOOKUP(L824,スキル!B:C,2,FALSE)</f>
        <v>味方斬属性の防御力をUP[特大]</v>
      </c>
      <c r="N824" s="20" t="s">
        <v>1788</v>
      </c>
      <c r="O824" s="23" t="str">
        <f>VLOOKUP(N824,スキル!B:C,2,FALSE)</f>
        <v>　</v>
      </c>
      <c r="P824" s="20" t="s">
        <v>1697</v>
      </c>
      <c r="Q824" s="23" t="str">
        <f>VLOOKUP(P824,タクティクス!B:C,2,FALSE)</f>
        <v>パーティ全体の防御力が特大UP(3分間)</v>
      </c>
      <c r="R824" s="20" t="s">
        <v>1818</v>
      </c>
      <c r="S824" s="23" t="str">
        <f>VLOOKUP(R824,タクティクス!B:C,2,FALSE)</f>
        <v>　</v>
      </c>
      <c r="T824" s="20" t="s">
        <v>1141</v>
      </c>
      <c r="U824" s="20" t="s">
        <v>1149</v>
      </c>
      <c r="V824" s="20" t="s">
        <v>1893</v>
      </c>
    </row>
    <row r="825" spans="1:22" ht="21.75" customHeight="1" x14ac:dyDescent="0.15">
      <c r="A825" s="20" t="str">
        <f>B825&amp;".jpg"</f>
        <v>2338.jpg</v>
      </c>
      <c r="B825" s="21">
        <v>2338</v>
      </c>
      <c r="C825" s="20" t="s">
        <v>1756</v>
      </c>
      <c r="D825" s="20" t="s">
        <v>1763</v>
      </c>
      <c r="E825" s="20">
        <v>16</v>
      </c>
      <c r="F825" s="20" t="s">
        <v>1266</v>
      </c>
      <c r="G825" s="27">
        <v>26907</v>
      </c>
      <c r="H825" s="27">
        <v>7803</v>
      </c>
      <c r="I825" s="27">
        <v>10305</v>
      </c>
      <c r="J825" s="20" t="s">
        <v>1765</v>
      </c>
      <c r="K825" s="22">
        <f>SUM(G825,H825,I825)</f>
        <v>45015</v>
      </c>
      <c r="L825" s="20" t="s">
        <v>1813</v>
      </c>
      <c r="M825" s="23" t="str">
        <f>VLOOKUP(L825,スキル!B:C,2,FALSE)</f>
        <v>縦一列攻撃[特大]自分の攻撃力UP[特大]</v>
      </c>
      <c r="N825" s="20" t="s">
        <v>1788</v>
      </c>
      <c r="O825" s="23" t="str">
        <f>VLOOKUP(N825,スキル!B:C,2,FALSE)</f>
        <v>　</v>
      </c>
      <c r="P825" s="20" t="s">
        <v>1816</v>
      </c>
      <c r="Q825" s="23" t="str">
        <f>VLOOKUP(P825,タクティクス!B:C,2,FALSE)</f>
        <v>パーティ全体の攻撃力極大UP・速度大DOWN＆ユニット1体をタレント状態にする(3分間)</v>
      </c>
      <c r="R825" s="20" t="s">
        <v>1819</v>
      </c>
      <c r="S825" s="23" t="str">
        <f>VLOOKUP(R825,タクティクス!B:C,2,FALSE)</f>
        <v>強襲CBの発生率・強襲時獲得ポイント大アップ(3分)</v>
      </c>
      <c r="T825" s="20" t="s">
        <v>1821</v>
      </c>
      <c r="U825" s="20" t="s">
        <v>1788</v>
      </c>
      <c r="V825" s="20" t="s">
        <v>1893</v>
      </c>
    </row>
    <row r="826" spans="1:22" ht="21.75" customHeight="1" x14ac:dyDescent="0.15">
      <c r="A826" s="20" t="str">
        <f>B826&amp;".jpg"</f>
        <v>2340.jpg</v>
      </c>
      <c r="B826" s="21">
        <v>2340</v>
      </c>
      <c r="C826" s="20" t="s">
        <v>1757</v>
      </c>
      <c r="D826" s="20" t="s">
        <v>1763</v>
      </c>
      <c r="E826" s="20">
        <v>16</v>
      </c>
      <c r="F826" s="20" t="s">
        <v>1176</v>
      </c>
      <c r="G826" s="27">
        <v>26004</v>
      </c>
      <c r="H826" s="27">
        <v>8820</v>
      </c>
      <c r="I826" s="27">
        <v>9001</v>
      </c>
      <c r="J826" s="20" t="s">
        <v>1205</v>
      </c>
      <c r="K826" s="22">
        <f>SUM(G826,H826,I826)</f>
        <v>43825</v>
      </c>
      <c r="L826" s="20" t="s">
        <v>1814</v>
      </c>
      <c r="M826" s="23" t="str">
        <f>VLOOKUP(L826,スキル!B:C,2,FALSE)</f>
        <v>ランダムで6連続攻撃[大]</v>
      </c>
      <c r="N826" s="20" t="s">
        <v>1788</v>
      </c>
      <c r="O826" s="23" t="str">
        <f>VLOOKUP(N826,スキル!B:C,2,FALSE)</f>
        <v>　</v>
      </c>
      <c r="P826" s="20" t="s">
        <v>1817</v>
      </c>
      <c r="Q826" s="23" t="str">
        <f>VLOOKUP(P826,タクティクス!B:C,2,FALSE)</f>
        <v>パーティ全体の速度が大UP＆ユニット1体をタレント状態にする(5分間)</v>
      </c>
      <c r="R826" s="20" t="s">
        <v>1293</v>
      </c>
      <c r="S826" s="23" t="str">
        <f>VLOOKUP(R826,タクティクス!B:C,2,FALSE)</f>
        <v>パーティの攻撃力大UP・最大TP小UP(5分間)</v>
      </c>
      <c r="T826" s="20" t="s">
        <v>1291</v>
      </c>
      <c r="U826" s="20" t="s">
        <v>1788</v>
      </c>
      <c r="V826" s="20" t="s">
        <v>1893</v>
      </c>
    </row>
  </sheetData>
  <autoFilter ref="A1:V826">
    <sortState ref="A2:V826">
      <sortCondition ref="A1:A826"/>
    </sortState>
  </autoFilter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886"/>
  <sheetViews>
    <sheetView topLeftCell="A279" workbookViewId="0">
      <selection activeCell="C297" sqref="C297"/>
    </sheetView>
  </sheetViews>
  <sheetFormatPr defaultRowHeight="11.25" x14ac:dyDescent="0.15"/>
  <cols>
    <col min="1" max="1" width="2.875" style="4" customWidth="1"/>
    <col min="2" max="2" width="17.25" style="13" bestFit="1" customWidth="1"/>
    <col min="3" max="3" width="35.5" style="13" bestFit="1" customWidth="1"/>
    <col min="4" max="16384" width="9" style="4"/>
  </cols>
  <sheetData>
    <row r="1" spans="2:3" x14ac:dyDescent="0.15">
      <c r="B1" s="3" t="s">
        <v>1125</v>
      </c>
      <c r="C1" s="3" t="s">
        <v>1126</v>
      </c>
    </row>
    <row r="2" spans="2:3" x14ac:dyDescent="0.15">
      <c r="B2" s="1" t="s">
        <v>18</v>
      </c>
      <c r="C2" s="1" t="s">
        <v>1129</v>
      </c>
    </row>
    <row r="3" spans="2:3" x14ac:dyDescent="0.15">
      <c r="B3" s="1" t="s">
        <v>975</v>
      </c>
      <c r="C3" s="1" t="s">
        <v>976</v>
      </c>
    </row>
    <row r="4" spans="2:3" x14ac:dyDescent="0.15">
      <c r="B4" s="1" t="s">
        <v>912</v>
      </c>
      <c r="C4" s="1" t="s">
        <v>913</v>
      </c>
    </row>
    <row r="5" spans="2:3" x14ac:dyDescent="0.15">
      <c r="B5" s="1" t="s">
        <v>826</v>
      </c>
      <c r="C5" s="1" t="s">
        <v>678</v>
      </c>
    </row>
    <row r="6" spans="2:3" x14ac:dyDescent="0.15">
      <c r="B6" s="1" t="s">
        <v>824</v>
      </c>
      <c r="C6" s="1" t="s">
        <v>825</v>
      </c>
    </row>
    <row r="7" spans="2:3" x14ac:dyDescent="0.15">
      <c r="B7" s="1" t="s">
        <v>813</v>
      </c>
      <c r="C7" s="1" t="s">
        <v>698</v>
      </c>
    </row>
    <row r="8" spans="2:3" x14ac:dyDescent="0.15">
      <c r="B8" s="1" t="s">
        <v>792</v>
      </c>
      <c r="C8" s="1" t="s">
        <v>768</v>
      </c>
    </row>
    <row r="9" spans="2:3" x14ac:dyDescent="0.15">
      <c r="B9" s="1" t="s">
        <v>839</v>
      </c>
      <c r="C9" s="1" t="s">
        <v>800</v>
      </c>
    </row>
    <row r="10" spans="2:3" x14ac:dyDescent="0.15">
      <c r="B10" s="1" t="s">
        <v>971</v>
      </c>
      <c r="C10" s="1" t="s">
        <v>972</v>
      </c>
    </row>
    <row r="11" spans="2:3" x14ac:dyDescent="0.15">
      <c r="B11" s="1" t="s">
        <v>973</v>
      </c>
      <c r="C11" s="1" t="s">
        <v>974</v>
      </c>
    </row>
    <row r="12" spans="2:3" x14ac:dyDescent="0.15">
      <c r="B12" s="1" t="s">
        <v>863</v>
      </c>
      <c r="C12" s="1" t="s">
        <v>787</v>
      </c>
    </row>
    <row r="13" spans="2:3" x14ac:dyDescent="0.15">
      <c r="B13" s="1" t="s">
        <v>842</v>
      </c>
      <c r="C13" s="1" t="s">
        <v>843</v>
      </c>
    </row>
    <row r="14" spans="2:3" x14ac:dyDescent="0.15">
      <c r="B14" s="1" t="s">
        <v>814</v>
      </c>
      <c r="C14" s="1" t="s">
        <v>700</v>
      </c>
    </row>
    <row r="15" spans="2:3" x14ac:dyDescent="0.15">
      <c r="B15" s="1" t="s">
        <v>597</v>
      </c>
      <c r="C15" s="1" t="s">
        <v>598</v>
      </c>
    </row>
    <row r="16" spans="2:3" x14ac:dyDescent="0.15">
      <c r="B16" s="1" t="s">
        <v>898</v>
      </c>
      <c r="C16" s="1" t="s">
        <v>899</v>
      </c>
    </row>
    <row r="17" spans="2:3" x14ac:dyDescent="0.15">
      <c r="B17" s="1" t="s">
        <v>745</v>
      </c>
      <c r="C17" s="1" t="s">
        <v>746</v>
      </c>
    </row>
    <row r="18" spans="2:3" x14ac:dyDescent="0.15">
      <c r="B18" s="1" t="s">
        <v>617</v>
      </c>
      <c r="C18" s="1" t="s">
        <v>618</v>
      </c>
    </row>
    <row r="19" spans="2:3" x14ac:dyDescent="0.15">
      <c r="B19" s="1" t="s">
        <v>529</v>
      </c>
      <c r="C19" s="1" t="s">
        <v>530</v>
      </c>
    </row>
    <row r="20" spans="2:3" x14ac:dyDescent="0.15">
      <c r="B20" s="2" t="s">
        <v>904</v>
      </c>
      <c r="C20" s="2" t="s">
        <v>905</v>
      </c>
    </row>
    <row r="21" spans="2:3" x14ac:dyDescent="0.15">
      <c r="B21" s="2" t="s">
        <v>691</v>
      </c>
      <c r="C21" s="2" t="s">
        <v>692</v>
      </c>
    </row>
    <row r="22" spans="2:3" x14ac:dyDescent="0.15">
      <c r="B22" s="1" t="s">
        <v>867</v>
      </c>
      <c r="C22" s="1" t="s">
        <v>868</v>
      </c>
    </row>
    <row r="23" spans="2:3" x14ac:dyDescent="0.15">
      <c r="B23" s="1" t="s">
        <v>920</v>
      </c>
      <c r="C23" s="1" t="s">
        <v>921</v>
      </c>
    </row>
    <row r="24" spans="2:3" x14ac:dyDescent="0.15">
      <c r="B24" s="1" t="s">
        <v>574</v>
      </c>
      <c r="C24" s="1" t="s">
        <v>575</v>
      </c>
    </row>
    <row r="25" spans="2:3" x14ac:dyDescent="0.15">
      <c r="B25" s="1" t="s">
        <v>709</v>
      </c>
      <c r="C25" s="1" t="s">
        <v>710</v>
      </c>
    </row>
    <row r="26" spans="2:3" x14ac:dyDescent="0.15">
      <c r="B26" s="44" t="s">
        <v>1212</v>
      </c>
      <c r="C26" s="44" t="s">
        <v>1213</v>
      </c>
    </row>
    <row r="27" spans="2:3" x14ac:dyDescent="0.15">
      <c r="B27" s="1" t="s">
        <v>763</v>
      </c>
      <c r="C27" s="1" t="s">
        <v>764</v>
      </c>
    </row>
    <row r="28" spans="2:3" x14ac:dyDescent="0.15">
      <c r="B28" s="1" t="s">
        <v>613</v>
      </c>
      <c r="C28" s="1" t="s">
        <v>614</v>
      </c>
    </row>
    <row r="29" spans="2:3" x14ac:dyDescent="0.15">
      <c r="B29" s="1" t="s">
        <v>603</v>
      </c>
      <c r="C29" s="1" t="s">
        <v>604</v>
      </c>
    </row>
    <row r="30" spans="2:3" x14ac:dyDescent="0.15">
      <c r="B30" s="1" t="s">
        <v>887</v>
      </c>
      <c r="C30" s="1" t="s">
        <v>888</v>
      </c>
    </row>
    <row r="31" spans="2:3" x14ac:dyDescent="0.15">
      <c r="B31" s="1" t="s">
        <v>870</v>
      </c>
      <c r="C31" s="1" t="s">
        <v>871</v>
      </c>
    </row>
    <row r="32" spans="2:3" x14ac:dyDescent="0.15">
      <c r="B32" s="1" t="s">
        <v>570</v>
      </c>
      <c r="C32" s="1" t="s">
        <v>571</v>
      </c>
    </row>
    <row r="33" spans="2:3" x14ac:dyDescent="0.15">
      <c r="B33" s="1" t="s">
        <v>629</v>
      </c>
      <c r="C33" s="1" t="s">
        <v>630</v>
      </c>
    </row>
    <row r="34" spans="2:3" x14ac:dyDescent="0.15">
      <c r="B34" s="1" t="s">
        <v>807</v>
      </c>
      <c r="C34" s="1" t="s">
        <v>808</v>
      </c>
    </row>
    <row r="35" spans="2:3" x14ac:dyDescent="0.15">
      <c r="B35" s="44" t="s">
        <v>1342</v>
      </c>
      <c r="C35" s="44" t="s">
        <v>1344</v>
      </c>
    </row>
    <row r="36" spans="2:3" x14ac:dyDescent="0.15">
      <c r="B36" s="1" t="s">
        <v>829</v>
      </c>
      <c r="C36" s="1" t="s">
        <v>773</v>
      </c>
    </row>
    <row r="37" spans="2:3" x14ac:dyDescent="0.15">
      <c r="B37" s="1" t="s">
        <v>561</v>
      </c>
      <c r="C37" s="1" t="s">
        <v>562</v>
      </c>
    </row>
    <row r="38" spans="2:3" x14ac:dyDescent="0.15">
      <c r="B38" s="1" t="s">
        <v>601</v>
      </c>
      <c r="C38" s="1" t="s">
        <v>602</v>
      </c>
    </row>
    <row r="39" spans="2:3" x14ac:dyDescent="0.15">
      <c r="B39" s="1" t="s">
        <v>756</v>
      </c>
      <c r="C39" s="1" t="s">
        <v>757</v>
      </c>
    </row>
    <row r="40" spans="2:3" x14ac:dyDescent="0.15">
      <c r="B40" s="1" t="s">
        <v>823</v>
      </c>
      <c r="C40" s="1" t="s">
        <v>798</v>
      </c>
    </row>
    <row r="41" spans="2:3" x14ac:dyDescent="0.15">
      <c r="B41" s="44" t="s">
        <v>1303</v>
      </c>
      <c r="C41" s="44" t="s">
        <v>1304</v>
      </c>
    </row>
    <row r="42" spans="2:3" x14ac:dyDescent="0.15">
      <c r="B42" s="1" t="s">
        <v>635</v>
      </c>
      <c r="C42" s="1" t="s">
        <v>636</v>
      </c>
    </row>
    <row r="43" spans="2:3" x14ac:dyDescent="0.15">
      <c r="B43" s="1" t="s">
        <v>930</v>
      </c>
      <c r="C43" s="1" t="s">
        <v>931</v>
      </c>
    </row>
    <row r="44" spans="2:3" x14ac:dyDescent="0.15">
      <c r="B44" s="1" t="s">
        <v>835</v>
      </c>
      <c r="C44" s="1" t="s">
        <v>836</v>
      </c>
    </row>
    <row r="45" spans="2:3" x14ac:dyDescent="0.15">
      <c r="B45" s="44" t="s">
        <v>1206</v>
      </c>
      <c r="C45" s="44" t="s">
        <v>1208</v>
      </c>
    </row>
    <row r="46" spans="2:3" x14ac:dyDescent="0.15">
      <c r="B46" s="1" t="s">
        <v>566</v>
      </c>
      <c r="C46" s="1" t="s">
        <v>567</v>
      </c>
    </row>
    <row r="47" spans="2:3" x14ac:dyDescent="0.15">
      <c r="B47" s="1" t="s">
        <v>827</v>
      </c>
      <c r="C47" s="1" t="s">
        <v>828</v>
      </c>
    </row>
    <row r="48" spans="2:3" x14ac:dyDescent="0.15">
      <c r="B48" s="1" t="s">
        <v>765</v>
      </c>
      <c r="C48" s="1" t="s">
        <v>766</v>
      </c>
    </row>
    <row r="49" spans="2:3" x14ac:dyDescent="0.15">
      <c r="B49" s="2" t="s">
        <v>537</v>
      </c>
      <c r="C49" s="2" t="s">
        <v>538</v>
      </c>
    </row>
    <row r="50" spans="2:3" x14ac:dyDescent="0.15">
      <c r="B50" s="1" t="s">
        <v>918</v>
      </c>
      <c r="C50" s="1" t="s">
        <v>919</v>
      </c>
    </row>
    <row r="51" spans="2:3" x14ac:dyDescent="0.15">
      <c r="B51" s="2" t="s">
        <v>729</v>
      </c>
      <c r="C51" s="2" t="s">
        <v>730</v>
      </c>
    </row>
    <row r="52" spans="2:3" x14ac:dyDescent="0.15">
      <c r="B52" s="1" t="s">
        <v>543</v>
      </c>
      <c r="C52" s="1" t="s">
        <v>544</v>
      </c>
    </row>
    <row r="53" spans="2:3" x14ac:dyDescent="0.15">
      <c r="B53" s="1" t="s">
        <v>647</v>
      </c>
      <c r="C53" s="1" t="s">
        <v>622</v>
      </c>
    </row>
    <row r="54" spans="2:3" x14ac:dyDescent="0.15">
      <c r="B54" s="1" t="s">
        <v>563</v>
      </c>
      <c r="C54" s="1" t="s">
        <v>548</v>
      </c>
    </row>
    <row r="55" spans="2:3" x14ac:dyDescent="0.15">
      <c r="B55" s="1" t="s">
        <v>832</v>
      </c>
      <c r="C55" s="1" t="s">
        <v>787</v>
      </c>
    </row>
    <row r="56" spans="2:3" x14ac:dyDescent="0.15">
      <c r="B56" s="1" t="s">
        <v>926</v>
      </c>
      <c r="C56" s="1" t="s">
        <v>913</v>
      </c>
    </row>
    <row r="57" spans="2:3" x14ac:dyDescent="0.15">
      <c r="B57" s="1" t="s">
        <v>594</v>
      </c>
      <c r="C57" s="1" t="s">
        <v>544</v>
      </c>
    </row>
    <row r="58" spans="2:3" x14ac:dyDescent="0.15">
      <c r="B58" s="1" t="s">
        <v>621</v>
      </c>
      <c r="C58" s="1" t="s">
        <v>622</v>
      </c>
    </row>
    <row r="59" spans="2:3" x14ac:dyDescent="0.15">
      <c r="B59" s="1" t="s">
        <v>607</v>
      </c>
      <c r="C59" s="1" t="s">
        <v>608</v>
      </c>
    </row>
    <row r="60" spans="2:3" x14ac:dyDescent="0.15">
      <c r="B60" s="1" t="s">
        <v>547</v>
      </c>
      <c r="C60" s="1" t="s">
        <v>548</v>
      </c>
    </row>
    <row r="61" spans="2:3" x14ac:dyDescent="0.15">
      <c r="B61" s="1" t="s">
        <v>639</v>
      </c>
      <c r="C61" s="1" t="s">
        <v>640</v>
      </c>
    </row>
    <row r="62" spans="2:3" x14ac:dyDescent="0.15">
      <c r="B62" s="1" t="s">
        <v>786</v>
      </c>
      <c r="C62" s="1" t="s">
        <v>787</v>
      </c>
    </row>
    <row r="63" spans="2:3" x14ac:dyDescent="0.15">
      <c r="B63" s="1" t="s">
        <v>927</v>
      </c>
      <c r="C63" s="1" t="s">
        <v>913</v>
      </c>
    </row>
    <row r="64" spans="2:3" x14ac:dyDescent="0.15">
      <c r="B64" s="1" t="s">
        <v>889</v>
      </c>
      <c r="C64" s="1" t="s">
        <v>866</v>
      </c>
    </row>
    <row r="65" spans="2:3" x14ac:dyDescent="0.15">
      <c r="B65" s="1" t="s">
        <v>521</v>
      </c>
      <c r="C65" s="1" t="s">
        <v>522</v>
      </c>
    </row>
    <row r="66" spans="2:3" x14ac:dyDescent="0.15">
      <c r="B66" s="1" t="s">
        <v>908</v>
      </c>
      <c r="C66" s="1" t="s">
        <v>909</v>
      </c>
    </row>
    <row r="67" spans="2:3" x14ac:dyDescent="0.15">
      <c r="B67" s="1" t="s">
        <v>701</v>
      </c>
      <c r="C67" s="1" t="s">
        <v>702</v>
      </c>
    </row>
    <row r="68" spans="2:3" x14ac:dyDescent="0.15">
      <c r="B68" s="1" t="s">
        <v>580</v>
      </c>
      <c r="C68" s="1" t="s">
        <v>581</v>
      </c>
    </row>
    <row r="69" spans="2:3" x14ac:dyDescent="0.15">
      <c r="B69" s="1" t="s">
        <v>699</v>
      </c>
      <c r="C69" s="1" t="s">
        <v>700</v>
      </c>
    </row>
    <row r="70" spans="2:3" x14ac:dyDescent="0.15">
      <c r="B70" s="44" t="s">
        <v>1271</v>
      </c>
      <c r="C70" s="44" t="s">
        <v>1275</v>
      </c>
    </row>
    <row r="71" spans="2:3" x14ac:dyDescent="0.15">
      <c r="B71" s="1" t="s">
        <v>576</v>
      </c>
      <c r="C71" s="1" t="s">
        <v>577</v>
      </c>
    </row>
    <row r="72" spans="2:3" x14ac:dyDescent="0.15">
      <c r="B72" s="1" t="s">
        <v>707</v>
      </c>
      <c r="C72" s="1" t="s">
        <v>708</v>
      </c>
    </row>
    <row r="73" spans="2:3" x14ac:dyDescent="0.15">
      <c r="B73" s="1" t="s">
        <v>963</v>
      </c>
      <c r="C73" s="1" t="s">
        <v>964</v>
      </c>
    </row>
    <row r="74" spans="2:3" x14ac:dyDescent="0.15">
      <c r="B74" s="1" t="s">
        <v>735</v>
      </c>
      <c r="C74" s="1" t="s">
        <v>698</v>
      </c>
    </row>
    <row r="75" spans="2:3" x14ac:dyDescent="0.15">
      <c r="B75" s="1" t="s">
        <v>641</v>
      </c>
      <c r="C75" s="1" t="s">
        <v>642</v>
      </c>
    </row>
    <row r="76" spans="2:3" x14ac:dyDescent="0.15">
      <c r="B76" s="1" t="s">
        <v>894</v>
      </c>
      <c r="C76" s="1" t="s">
        <v>895</v>
      </c>
    </row>
    <row r="77" spans="2:3" x14ac:dyDescent="0.15">
      <c r="B77" s="1" t="s">
        <v>539</v>
      </c>
      <c r="C77" s="1" t="s">
        <v>540</v>
      </c>
    </row>
    <row r="78" spans="2:3" x14ac:dyDescent="0.15">
      <c r="B78" s="1" t="s">
        <v>840</v>
      </c>
      <c r="C78" s="1" t="s">
        <v>841</v>
      </c>
    </row>
    <row r="79" spans="2:3" x14ac:dyDescent="0.15">
      <c r="B79" s="1" t="s">
        <v>847</v>
      </c>
      <c r="C79" s="1" t="s">
        <v>848</v>
      </c>
    </row>
    <row r="80" spans="2:3" x14ac:dyDescent="0.15">
      <c r="B80" s="1" t="s">
        <v>711</v>
      </c>
      <c r="C80" s="1" t="s">
        <v>712</v>
      </c>
    </row>
    <row r="81" spans="2:3" x14ac:dyDescent="0.15">
      <c r="B81" s="1" t="s">
        <v>772</v>
      </c>
      <c r="C81" s="1" t="s">
        <v>773</v>
      </c>
    </row>
    <row r="82" spans="2:3" x14ac:dyDescent="0.15">
      <c r="B82" s="1" t="s">
        <v>687</v>
      </c>
      <c r="C82" s="1" t="s">
        <v>688</v>
      </c>
    </row>
    <row r="83" spans="2:3" x14ac:dyDescent="0.15">
      <c r="B83" s="1" t="s">
        <v>551</v>
      </c>
      <c r="C83" s="1" t="s">
        <v>552</v>
      </c>
    </row>
    <row r="84" spans="2:3" x14ac:dyDescent="0.15">
      <c r="B84" s="1" t="s">
        <v>673</v>
      </c>
      <c r="C84" s="1" t="s">
        <v>674</v>
      </c>
    </row>
    <row r="85" spans="2:3" x14ac:dyDescent="0.15">
      <c r="B85" s="1" t="s">
        <v>883</v>
      </c>
      <c r="C85" s="1" t="s">
        <v>884</v>
      </c>
    </row>
    <row r="86" spans="2:3" x14ac:dyDescent="0.15">
      <c r="B86" s="1" t="s">
        <v>553</v>
      </c>
      <c r="C86" s="1" t="s">
        <v>554</v>
      </c>
    </row>
    <row r="87" spans="2:3" x14ac:dyDescent="0.15">
      <c r="B87" s="1" t="s">
        <v>890</v>
      </c>
      <c r="C87" s="1" t="s">
        <v>891</v>
      </c>
    </row>
    <row r="88" spans="2:3" x14ac:dyDescent="0.15">
      <c r="B88" s="1" t="s">
        <v>525</v>
      </c>
      <c r="C88" s="1" t="s">
        <v>526</v>
      </c>
    </row>
    <row r="89" spans="2:3" x14ac:dyDescent="0.15">
      <c r="B89" s="1" t="s">
        <v>833</v>
      </c>
      <c r="C89" s="1" t="s">
        <v>834</v>
      </c>
    </row>
    <row r="90" spans="2:3" x14ac:dyDescent="0.15">
      <c r="B90" s="1" t="s">
        <v>776</v>
      </c>
      <c r="C90" s="1" t="s">
        <v>777</v>
      </c>
    </row>
    <row r="91" spans="2:3" x14ac:dyDescent="0.15">
      <c r="B91" s="44" t="s">
        <v>1217</v>
      </c>
      <c r="C91" s="44" t="s">
        <v>1209</v>
      </c>
    </row>
    <row r="92" spans="2:3" x14ac:dyDescent="0.15">
      <c r="B92" s="1" t="s">
        <v>774</v>
      </c>
      <c r="C92" s="1" t="s">
        <v>775</v>
      </c>
    </row>
    <row r="93" spans="2:3" x14ac:dyDescent="0.15">
      <c r="B93" s="1" t="s">
        <v>523</v>
      </c>
      <c r="C93" s="1" t="s">
        <v>524</v>
      </c>
    </row>
    <row r="94" spans="2:3" x14ac:dyDescent="0.15">
      <c r="B94" s="1" t="s">
        <v>623</v>
      </c>
      <c r="C94" s="1" t="s">
        <v>624</v>
      </c>
    </row>
    <row r="95" spans="2:3" ht="12" x14ac:dyDescent="0.15">
      <c r="B95" s="1" t="s">
        <v>1137</v>
      </c>
      <c r="C95" s="6" t="s">
        <v>1138</v>
      </c>
    </row>
    <row r="96" spans="2:3" x14ac:dyDescent="0.15">
      <c r="B96" s="1" t="s">
        <v>592</v>
      </c>
      <c r="C96" s="1" t="s">
        <v>593</v>
      </c>
    </row>
    <row r="97" spans="2:3" x14ac:dyDescent="0.15">
      <c r="B97" s="1" t="s">
        <v>900</v>
      </c>
      <c r="C97" s="1" t="s">
        <v>901</v>
      </c>
    </row>
    <row r="98" spans="2:3" x14ac:dyDescent="0.15">
      <c r="B98" s="1" t="s">
        <v>809</v>
      </c>
      <c r="C98" s="1" t="s">
        <v>810</v>
      </c>
    </row>
    <row r="99" spans="2:3" x14ac:dyDescent="0.15">
      <c r="B99" s="1" t="s">
        <v>572</v>
      </c>
      <c r="C99" s="1" t="s">
        <v>573</v>
      </c>
    </row>
    <row r="100" spans="2:3" x14ac:dyDescent="0.15">
      <c r="B100" s="1" t="s">
        <v>749</v>
      </c>
      <c r="C100" s="1" t="s">
        <v>750</v>
      </c>
    </row>
    <row r="101" spans="2:3" x14ac:dyDescent="0.15">
      <c r="B101" s="1" t="s">
        <v>727</v>
      </c>
      <c r="C101" s="1" t="s">
        <v>728</v>
      </c>
    </row>
    <row r="102" spans="2:3" x14ac:dyDescent="0.15">
      <c r="B102" s="1" t="s">
        <v>549</v>
      </c>
      <c r="C102" s="1" t="s">
        <v>550</v>
      </c>
    </row>
    <row r="103" spans="2:3" x14ac:dyDescent="0.15">
      <c r="B103" s="1" t="s">
        <v>605</v>
      </c>
      <c r="C103" s="1" t="s">
        <v>606</v>
      </c>
    </row>
    <row r="104" spans="2:3" x14ac:dyDescent="0.15">
      <c r="B104" s="1" t="s">
        <v>876</v>
      </c>
      <c r="C104" s="1" t="s">
        <v>877</v>
      </c>
    </row>
    <row r="105" spans="2:3" x14ac:dyDescent="0.15">
      <c r="B105" s="1" t="s">
        <v>586</v>
      </c>
      <c r="C105" s="1" t="s">
        <v>587</v>
      </c>
    </row>
    <row r="106" spans="2:3" x14ac:dyDescent="0.15">
      <c r="B106" s="1" t="s">
        <v>949</v>
      </c>
      <c r="C106" s="1" t="s">
        <v>950</v>
      </c>
    </row>
    <row r="107" spans="2:3" x14ac:dyDescent="0.15">
      <c r="B107" s="1" t="s">
        <v>812</v>
      </c>
      <c r="C107" s="1" t="s">
        <v>780</v>
      </c>
    </row>
    <row r="108" spans="2:3" x14ac:dyDescent="0.15">
      <c r="B108" s="1" t="s">
        <v>609</v>
      </c>
      <c r="C108" s="1" t="s">
        <v>610</v>
      </c>
    </row>
    <row r="109" spans="2:3" x14ac:dyDescent="0.15">
      <c r="B109" s="1" t="s">
        <v>844</v>
      </c>
      <c r="C109" s="1" t="s">
        <v>845</v>
      </c>
    </row>
    <row r="110" spans="2:3" x14ac:dyDescent="0.15">
      <c r="B110" s="1" t="s">
        <v>1156</v>
      </c>
      <c r="C110" s="1" t="s">
        <v>1157</v>
      </c>
    </row>
    <row r="111" spans="2:3" x14ac:dyDescent="0.15">
      <c r="B111" s="1" t="s">
        <v>865</v>
      </c>
      <c r="C111" s="1" t="s">
        <v>866</v>
      </c>
    </row>
    <row r="112" spans="2:3" x14ac:dyDescent="0.15">
      <c r="B112" s="1" t="s">
        <v>969</v>
      </c>
      <c r="C112" s="1" t="s">
        <v>970</v>
      </c>
    </row>
    <row r="113" spans="2:3" x14ac:dyDescent="0.15">
      <c r="B113" s="1" t="s">
        <v>731</v>
      </c>
      <c r="C113" s="1" t="s">
        <v>732</v>
      </c>
    </row>
    <row r="114" spans="2:3" x14ac:dyDescent="0.15">
      <c r="B114" s="1" t="s">
        <v>582</v>
      </c>
      <c r="C114" s="1" t="s">
        <v>583</v>
      </c>
    </row>
    <row r="115" spans="2:3" x14ac:dyDescent="0.15">
      <c r="B115" s="1" t="s">
        <v>758</v>
      </c>
      <c r="C115" s="1" t="s">
        <v>759</v>
      </c>
    </row>
    <row r="116" spans="2:3" x14ac:dyDescent="0.15">
      <c r="B116" s="1" t="s">
        <v>874</v>
      </c>
      <c r="C116" s="1" t="s">
        <v>875</v>
      </c>
    </row>
    <row r="117" spans="2:3" x14ac:dyDescent="0.15">
      <c r="B117" s="1" t="s">
        <v>944</v>
      </c>
      <c r="C117" s="1" t="s">
        <v>945</v>
      </c>
    </row>
    <row r="118" spans="2:3" x14ac:dyDescent="0.15">
      <c r="B118" s="1" t="s">
        <v>717</v>
      </c>
      <c r="C118" s="1" t="s">
        <v>718</v>
      </c>
    </row>
    <row r="119" spans="2:3" x14ac:dyDescent="0.15">
      <c r="B119" s="1" t="s">
        <v>784</v>
      </c>
      <c r="C119" s="1" t="s">
        <v>785</v>
      </c>
    </row>
    <row r="120" spans="2:3" x14ac:dyDescent="0.15">
      <c r="B120" s="1" t="s">
        <v>779</v>
      </c>
      <c r="C120" s="1" t="s">
        <v>780</v>
      </c>
    </row>
    <row r="121" spans="2:3" x14ac:dyDescent="0.15">
      <c r="B121" s="1" t="s">
        <v>951</v>
      </c>
      <c r="C121" s="1" t="s">
        <v>873</v>
      </c>
    </row>
    <row r="122" spans="2:3" x14ac:dyDescent="0.15">
      <c r="B122" s="1" t="s">
        <v>741</v>
      </c>
      <c r="C122" s="1" t="s">
        <v>742</v>
      </c>
    </row>
    <row r="123" spans="2:3" x14ac:dyDescent="0.15">
      <c r="B123" s="1" t="s">
        <v>771</v>
      </c>
      <c r="C123" s="1" t="s">
        <v>742</v>
      </c>
    </row>
    <row r="124" spans="2:3" x14ac:dyDescent="0.15">
      <c r="B124" s="1" t="s">
        <v>599</v>
      </c>
      <c r="C124" s="1" t="s">
        <v>600</v>
      </c>
    </row>
    <row r="125" spans="2:3" x14ac:dyDescent="0.15">
      <c r="B125" s="1" t="s">
        <v>658</v>
      </c>
      <c r="C125" s="1" t="s">
        <v>659</v>
      </c>
    </row>
    <row r="126" spans="2:3" x14ac:dyDescent="0.15">
      <c r="B126" s="1" t="s">
        <v>578</v>
      </c>
      <c r="C126" s="1" t="s">
        <v>579</v>
      </c>
    </row>
    <row r="127" spans="2:3" x14ac:dyDescent="0.15">
      <c r="B127" s="1" t="s">
        <v>679</v>
      </c>
      <c r="C127" s="1" t="s">
        <v>680</v>
      </c>
    </row>
    <row r="128" spans="2:3" x14ac:dyDescent="0.15">
      <c r="B128" s="1" t="s">
        <v>695</v>
      </c>
      <c r="C128" s="1" t="s">
        <v>696</v>
      </c>
    </row>
    <row r="129" spans="2:3" x14ac:dyDescent="0.15">
      <c r="B129" s="1" t="s">
        <v>818</v>
      </c>
      <c r="C129" s="1" t="s">
        <v>819</v>
      </c>
    </row>
    <row r="130" spans="2:3" x14ac:dyDescent="0.15">
      <c r="B130" s="1" t="s">
        <v>769</v>
      </c>
      <c r="C130" s="1" t="s">
        <v>770</v>
      </c>
    </row>
    <row r="131" spans="2:3" x14ac:dyDescent="0.15">
      <c r="B131" s="1" t="s">
        <v>910</v>
      </c>
      <c r="C131" s="1" t="s">
        <v>911</v>
      </c>
    </row>
    <row r="132" spans="2:3" x14ac:dyDescent="0.15">
      <c r="B132" s="1" t="s">
        <v>965</v>
      </c>
      <c r="C132" s="1" t="s">
        <v>966</v>
      </c>
    </row>
    <row r="133" spans="2:3" x14ac:dyDescent="0.15">
      <c r="B133" s="1" t="s">
        <v>967</v>
      </c>
      <c r="C133" s="1" t="s">
        <v>968</v>
      </c>
    </row>
    <row r="134" spans="2:3" x14ac:dyDescent="0.15">
      <c r="B134" s="1" t="s">
        <v>633</v>
      </c>
      <c r="C134" s="1" t="s">
        <v>634</v>
      </c>
    </row>
    <row r="135" spans="2:3" x14ac:dyDescent="0.15">
      <c r="B135" s="1" t="s">
        <v>743</v>
      </c>
      <c r="C135" s="1" t="s">
        <v>744</v>
      </c>
    </row>
    <row r="136" spans="2:3" x14ac:dyDescent="0.15">
      <c r="B136" s="1" t="s">
        <v>1214</v>
      </c>
      <c r="C136" s="1" t="s">
        <v>794</v>
      </c>
    </row>
    <row r="137" spans="2:3" x14ac:dyDescent="0.15">
      <c r="B137" s="44" t="s">
        <v>1215</v>
      </c>
      <c r="C137" s="44" t="s">
        <v>1417</v>
      </c>
    </row>
    <row r="138" spans="2:3" x14ac:dyDescent="0.15">
      <c r="B138" s="1" t="s">
        <v>555</v>
      </c>
      <c r="C138" s="1" t="s">
        <v>556</v>
      </c>
    </row>
    <row r="139" spans="2:3" x14ac:dyDescent="0.15">
      <c r="B139" s="1" t="s">
        <v>615</v>
      </c>
      <c r="C139" s="1" t="s">
        <v>616</v>
      </c>
    </row>
    <row r="140" spans="2:3" x14ac:dyDescent="0.15">
      <c r="B140" s="1" t="s">
        <v>584</v>
      </c>
      <c r="C140" s="1" t="s">
        <v>585</v>
      </c>
    </row>
    <row r="141" spans="2:3" x14ac:dyDescent="0.15">
      <c r="B141" s="1" t="s">
        <v>892</v>
      </c>
      <c r="C141" s="1" t="s">
        <v>893</v>
      </c>
    </row>
    <row r="142" spans="2:3" x14ac:dyDescent="0.15">
      <c r="B142" s="1" t="s">
        <v>830</v>
      </c>
      <c r="C142" s="1" t="s">
        <v>831</v>
      </c>
    </row>
    <row r="143" spans="2:3" x14ac:dyDescent="0.15">
      <c r="B143" s="1" t="s">
        <v>531</v>
      </c>
      <c r="C143" s="1" t="s">
        <v>532</v>
      </c>
    </row>
    <row r="144" spans="2:3" x14ac:dyDescent="0.15">
      <c r="B144" s="1" t="s">
        <v>557</v>
      </c>
      <c r="C144" s="1" t="s">
        <v>558</v>
      </c>
    </row>
    <row r="145" spans="2:3" x14ac:dyDescent="0.15">
      <c r="B145" s="1" t="s">
        <v>760</v>
      </c>
      <c r="C145" s="1" t="s">
        <v>558</v>
      </c>
    </row>
    <row r="146" spans="2:3" x14ac:dyDescent="0.15">
      <c r="B146" s="1" t="s">
        <v>957</v>
      </c>
      <c r="C146" s="1" t="s">
        <v>958</v>
      </c>
    </row>
    <row r="147" spans="2:3" x14ac:dyDescent="0.15">
      <c r="B147" s="1" t="s">
        <v>677</v>
      </c>
      <c r="C147" s="1" t="s">
        <v>678</v>
      </c>
    </row>
    <row r="148" spans="2:3" x14ac:dyDescent="0.15">
      <c r="B148" s="1" t="s">
        <v>723</v>
      </c>
      <c r="C148" s="1" t="s">
        <v>724</v>
      </c>
    </row>
    <row r="149" spans="2:3" x14ac:dyDescent="0.15">
      <c r="B149" s="1" t="s">
        <v>713</v>
      </c>
      <c r="C149" s="1" t="s">
        <v>714</v>
      </c>
    </row>
    <row r="150" spans="2:3" x14ac:dyDescent="0.15">
      <c r="B150" s="1" t="s">
        <v>896</v>
      </c>
      <c r="C150" s="1" t="s">
        <v>1753</v>
      </c>
    </row>
    <row r="151" spans="2:3" x14ac:dyDescent="0.15">
      <c r="B151" s="1" t="s">
        <v>654</v>
      </c>
      <c r="C151" s="1" t="s">
        <v>655</v>
      </c>
    </row>
    <row r="152" spans="2:3" x14ac:dyDescent="0.15">
      <c r="B152" s="1" t="s">
        <v>934</v>
      </c>
      <c r="C152" s="1" t="s">
        <v>935</v>
      </c>
    </row>
    <row r="153" spans="2:3" x14ac:dyDescent="0.15">
      <c r="B153" s="44" t="s">
        <v>1277</v>
      </c>
      <c r="C153" s="44" t="s">
        <v>1273</v>
      </c>
    </row>
    <row r="154" spans="2:3" x14ac:dyDescent="0.15">
      <c r="B154" s="1" t="s">
        <v>627</v>
      </c>
      <c r="C154" s="1" t="s">
        <v>628</v>
      </c>
    </row>
    <row r="155" spans="2:3" x14ac:dyDescent="0.15">
      <c r="B155" s="44" t="s">
        <v>1352</v>
      </c>
      <c r="C155" s="44" t="s">
        <v>1354</v>
      </c>
    </row>
    <row r="156" spans="2:3" x14ac:dyDescent="0.15">
      <c r="B156" s="1" t="s">
        <v>816</v>
      </c>
      <c r="C156" s="1" t="s">
        <v>817</v>
      </c>
    </row>
    <row r="157" spans="2:3" x14ac:dyDescent="0.15">
      <c r="B157" s="1" t="s">
        <v>637</v>
      </c>
      <c r="C157" s="1" t="s">
        <v>638</v>
      </c>
    </row>
    <row r="158" spans="2:3" x14ac:dyDescent="0.15">
      <c r="B158" s="1" t="s">
        <v>938</v>
      </c>
      <c r="C158" s="1" t="s">
        <v>939</v>
      </c>
    </row>
    <row r="159" spans="2:3" x14ac:dyDescent="0.15">
      <c r="B159" s="1" t="s">
        <v>715</v>
      </c>
      <c r="C159" s="1" t="s">
        <v>716</v>
      </c>
    </row>
    <row r="160" spans="2:3" x14ac:dyDescent="0.15">
      <c r="B160" s="1" t="s">
        <v>675</v>
      </c>
      <c r="C160" s="1" t="s">
        <v>676</v>
      </c>
    </row>
    <row r="161" spans="2:3" x14ac:dyDescent="0.15">
      <c r="B161" s="1" t="s">
        <v>922</v>
      </c>
      <c r="C161" s="1" t="s">
        <v>923</v>
      </c>
    </row>
    <row r="162" spans="2:3" x14ac:dyDescent="0.15">
      <c r="B162" s="1" t="s">
        <v>747</v>
      </c>
      <c r="C162" s="1" t="s">
        <v>748</v>
      </c>
    </row>
    <row r="163" spans="2:3" x14ac:dyDescent="0.15">
      <c r="B163" s="1" t="s">
        <v>689</v>
      </c>
      <c r="C163" s="1" t="s">
        <v>690</v>
      </c>
    </row>
    <row r="164" spans="2:3" x14ac:dyDescent="0.15">
      <c r="B164" s="1" t="s">
        <v>755</v>
      </c>
      <c r="C164" s="1" t="s">
        <v>815</v>
      </c>
    </row>
    <row r="165" spans="2:3" x14ac:dyDescent="0.15">
      <c r="B165" s="1" t="s">
        <v>837</v>
      </c>
      <c r="C165" s="1" t="s">
        <v>838</v>
      </c>
    </row>
    <row r="166" spans="2:3" x14ac:dyDescent="0.15">
      <c r="B166" s="1" t="s">
        <v>803</v>
      </c>
      <c r="C166" s="1" t="s">
        <v>804</v>
      </c>
    </row>
    <row r="167" spans="2:3" x14ac:dyDescent="0.15">
      <c r="B167" s="1" t="s">
        <v>914</v>
      </c>
      <c r="C167" s="1" t="s">
        <v>915</v>
      </c>
    </row>
    <row r="168" spans="2:3" x14ac:dyDescent="0.15">
      <c r="B168" s="1" t="s">
        <v>851</v>
      </c>
      <c r="C168" s="1" t="s">
        <v>852</v>
      </c>
    </row>
    <row r="169" spans="2:3" x14ac:dyDescent="0.15">
      <c r="B169" s="1" t="s">
        <v>662</v>
      </c>
      <c r="C169" s="1" t="s">
        <v>663</v>
      </c>
    </row>
    <row r="170" spans="2:3" x14ac:dyDescent="0.15">
      <c r="B170" s="1" t="s">
        <v>928</v>
      </c>
      <c r="C170" s="1" t="s">
        <v>929</v>
      </c>
    </row>
    <row r="171" spans="2:3" x14ac:dyDescent="0.15">
      <c r="B171" s="1" t="s">
        <v>906</v>
      </c>
      <c r="C171" s="1" t="s">
        <v>907</v>
      </c>
    </row>
    <row r="172" spans="2:3" x14ac:dyDescent="0.15">
      <c r="B172" s="1" t="s">
        <v>693</v>
      </c>
      <c r="C172" s="1" t="s">
        <v>694</v>
      </c>
    </row>
    <row r="173" spans="2:3" x14ac:dyDescent="0.15">
      <c r="B173" s="44" t="s">
        <v>1276</v>
      </c>
      <c r="C173" s="44" t="s">
        <v>1274</v>
      </c>
    </row>
    <row r="174" spans="2:3" x14ac:dyDescent="0.15">
      <c r="B174" s="44" t="s">
        <v>1327</v>
      </c>
      <c r="C174" s="44" t="s">
        <v>1328</v>
      </c>
    </row>
    <row r="175" spans="2:3" x14ac:dyDescent="0.15">
      <c r="B175" s="1" t="s">
        <v>631</v>
      </c>
      <c r="C175" s="1" t="s">
        <v>632</v>
      </c>
    </row>
    <row r="176" spans="2:3" x14ac:dyDescent="0.15">
      <c r="B176" s="2" t="s">
        <v>924</v>
      </c>
      <c r="C176" s="2" t="s">
        <v>925</v>
      </c>
    </row>
    <row r="177" spans="2:3" x14ac:dyDescent="0.15">
      <c r="B177" s="1" t="s">
        <v>861</v>
      </c>
      <c r="C177" s="1" t="s">
        <v>862</v>
      </c>
    </row>
    <row r="178" spans="2:3" x14ac:dyDescent="0.15">
      <c r="B178" s="1" t="s">
        <v>753</v>
      </c>
      <c r="C178" s="1" t="s">
        <v>754</v>
      </c>
    </row>
    <row r="179" spans="2:3" x14ac:dyDescent="0.15">
      <c r="B179" s="1" t="s">
        <v>946</v>
      </c>
      <c r="C179" s="1" t="s">
        <v>947</v>
      </c>
    </row>
    <row r="180" spans="2:3" x14ac:dyDescent="0.15">
      <c r="B180" s="2" t="s">
        <v>721</v>
      </c>
      <c r="C180" s="2" t="s">
        <v>722</v>
      </c>
    </row>
    <row r="181" spans="2:3" x14ac:dyDescent="0.15">
      <c r="B181" s="1" t="s">
        <v>648</v>
      </c>
      <c r="C181" s="1" t="s">
        <v>649</v>
      </c>
    </row>
    <row r="182" spans="2:3" x14ac:dyDescent="0.15">
      <c r="B182" s="1" t="s">
        <v>778</v>
      </c>
      <c r="C182" s="1" t="s">
        <v>843</v>
      </c>
    </row>
    <row r="183" spans="2:3" x14ac:dyDescent="0.15">
      <c r="B183" s="2" t="s">
        <v>719</v>
      </c>
      <c r="C183" s="2" t="s">
        <v>720</v>
      </c>
    </row>
    <row r="184" spans="2:3" ht="12" x14ac:dyDescent="0.15">
      <c r="B184" s="6" t="s">
        <v>1133</v>
      </c>
      <c r="C184" s="6" t="s">
        <v>1139</v>
      </c>
    </row>
    <row r="185" spans="2:3" x14ac:dyDescent="0.15">
      <c r="B185" s="1" t="s">
        <v>799</v>
      </c>
      <c r="C185" s="1" t="s">
        <v>800</v>
      </c>
    </row>
    <row r="186" spans="2:3" x14ac:dyDescent="0.15">
      <c r="B186" s="1" t="s">
        <v>820</v>
      </c>
      <c r="C186" s="1" t="s">
        <v>738</v>
      </c>
    </row>
    <row r="187" spans="2:3" x14ac:dyDescent="0.15">
      <c r="B187" s="1" t="s">
        <v>737</v>
      </c>
      <c r="C187" s="1" t="s">
        <v>738</v>
      </c>
    </row>
    <row r="188" spans="2:3" x14ac:dyDescent="0.15">
      <c r="B188" s="1" t="s">
        <v>942</v>
      </c>
      <c r="C188" s="1" t="s">
        <v>943</v>
      </c>
    </row>
    <row r="189" spans="2:3" x14ac:dyDescent="0.15">
      <c r="B189" s="1" t="s">
        <v>705</v>
      </c>
      <c r="C189" s="1" t="s">
        <v>644</v>
      </c>
    </row>
    <row r="190" spans="2:3" x14ac:dyDescent="0.15">
      <c r="B190" s="1" t="s">
        <v>878</v>
      </c>
      <c r="C190" s="1" t="s">
        <v>879</v>
      </c>
    </row>
    <row r="191" spans="2:3" x14ac:dyDescent="0.15">
      <c r="B191" s="1" t="s">
        <v>932</v>
      </c>
      <c r="C191" s="1" t="s">
        <v>933</v>
      </c>
    </row>
    <row r="192" spans="2:3" x14ac:dyDescent="0.15">
      <c r="B192" s="1" t="s">
        <v>761</v>
      </c>
      <c r="C192" s="1" t="s">
        <v>762</v>
      </c>
    </row>
    <row r="193" spans="2:3" x14ac:dyDescent="0.15">
      <c r="B193" s="1" t="s">
        <v>801</v>
      </c>
      <c r="C193" s="1" t="s">
        <v>802</v>
      </c>
    </row>
    <row r="194" spans="2:3" x14ac:dyDescent="0.15">
      <c r="B194" s="1" t="s">
        <v>643</v>
      </c>
      <c r="C194" s="1" t="s">
        <v>644</v>
      </c>
    </row>
    <row r="195" spans="2:3" x14ac:dyDescent="0.15">
      <c r="B195" s="44" t="s">
        <v>1316</v>
      </c>
      <c r="C195" s="44" t="s">
        <v>1302</v>
      </c>
    </row>
    <row r="196" spans="2:3" x14ac:dyDescent="0.15">
      <c r="B196" s="1" t="s">
        <v>821</v>
      </c>
      <c r="C196" s="1" t="s">
        <v>822</v>
      </c>
    </row>
    <row r="197" spans="2:3" x14ac:dyDescent="0.15">
      <c r="B197" s="1" t="s">
        <v>656</v>
      </c>
      <c r="C197" s="1" t="s">
        <v>657</v>
      </c>
    </row>
    <row r="198" spans="2:3" x14ac:dyDescent="0.15">
      <c r="B198" s="44" t="s">
        <v>1374</v>
      </c>
      <c r="C198" s="44" t="s">
        <v>1375</v>
      </c>
    </row>
    <row r="199" spans="2:3" x14ac:dyDescent="0.15">
      <c r="B199" s="1" t="s">
        <v>805</v>
      </c>
      <c r="C199" s="1" t="s">
        <v>806</v>
      </c>
    </row>
    <row r="200" spans="2:3" x14ac:dyDescent="0.15">
      <c r="B200" s="1" t="s">
        <v>683</v>
      </c>
      <c r="C200" s="1" t="s">
        <v>684</v>
      </c>
    </row>
    <row r="201" spans="2:3" x14ac:dyDescent="0.15">
      <c r="B201" s="1" t="s">
        <v>781</v>
      </c>
      <c r="C201" s="1" t="s">
        <v>782</v>
      </c>
    </row>
    <row r="202" spans="2:3" x14ac:dyDescent="0.15">
      <c r="B202" s="1" t="s">
        <v>952</v>
      </c>
      <c r="C202" s="1" t="s">
        <v>953</v>
      </c>
    </row>
    <row r="203" spans="2:3" x14ac:dyDescent="0.15">
      <c r="B203" s="1" t="s">
        <v>733</v>
      </c>
      <c r="C203" s="1" t="s">
        <v>734</v>
      </c>
    </row>
    <row r="204" spans="2:3" x14ac:dyDescent="0.15">
      <c r="B204" s="1" t="s">
        <v>1154</v>
      </c>
      <c r="C204" s="1" t="s">
        <v>1155</v>
      </c>
    </row>
    <row r="205" spans="2:3" x14ac:dyDescent="0.15">
      <c r="B205" s="1" t="s">
        <v>611</v>
      </c>
      <c r="C205" s="1" t="s">
        <v>612</v>
      </c>
    </row>
    <row r="206" spans="2:3" x14ac:dyDescent="0.15">
      <c r="B206" s="1" t="s">
        <v>619</v>
      </c>
      <c r="C206" s="1" t="s">
        <v>620</v>
      </c>
    </row>
    <row r="207" spans="2:3" x14ac:dyDescent="0.15">
      <c r="B207" s="1" t="s">
        <v>703</v>
      </c>
      <c r="C207" s="1" t="s">
        <v>704</v>
      </c>
    </row>
    <row r="208" spans="2:3" x14ac:dyDescent="0.15">
      <c r="B208" s="1" t="s">
        <v>671</v>
      </c>
      <c r="C208" s="1" t="s">
        <v>672</v>
      </c>
    </row>
    <row r="209" spans="2:3" x14ac:dyDescent="0.15">
      <c r="B209" s="1" t="s">
        <v>797</v>
      </c>
      <c r="C209" s="1" t="s">
        <v>798</v>
      </c>
    </row>
    <row r="210" spans="2:3" x14ac:dyDescent="0.15">
      <c r="B210" s="1" t="s">
        <v>853</v>
      </c>
      <c r="C210" s="1" t="s">
        <v>854</v>
      </c>
    </row>
    <row r="211" spans="2:3" x14ac:dyDescent="0.15">
      <c r="B211" s="1" t="s">
        <v>669</v>
      </c>
      <c r="C211" s="1" t="s">
        <v>670</v>
      </c>
    </row>
    <row r="212" spans="2:3" x14ac:dyDescent="0.15">
      <c r="B212" s="1" t="s">
        <v>697</v>
      </c>
      <c r="C212" s="1" t="s">
        <v>698</v>
      </c>
    </row>
    <row r="213" spans="2:3" x14ac:dyDescent="0.15">
      <c r="B213" s="44" t="s">
        <v>1210</v>
      </c>
      <c r="C213" s="44" t="s">
        <v>1211</v>
      </c>
    </row>
    <row r="214" spans="2:3" x14ac:dyDescent="0.15">
      <c r="B214" s="1" t="s">
        <v>666</v>
      </c>
      <c r="C214" s="1" t="s">
        <v>667</v>
      </c>
    </row>
    <row r="215" spans="2:3" x14ac:dyDescent="0.15">
      <c r="B215" s="1" t="s">
        <v>849</v>
      </c>
      <c r="C215" s="1" t="s">
        <v>850</v>
      </c>
    </row>
    <row r="216" spans="2:3" x14ac:dyDescent="0.15">
      <c r="B216" s="44" t="s">
        <v>1373</v>
      </c>
      <c r="C216" s="44" t="s">
        <v>1376</v>
      </c>
    </row>
    <row r="217" spans="2:3" x14ac:dyDescent="0.15">
      <c r="B217" s="1" t="s">
        <v>652</v>
      </c>
      <c r="C217" s="1" t="s">
        <v>653</v>
      </c>
    </row>
    <row r="218" spans="2:3" x14ac:dyDescent="0.15">
      <c r="B218" s="1" t="s">
        <v>882</v>
      </c>
      <c r="C218" s="1" t="s">
        <v>858</v>
      </c>
    </row>
    <row r="219" spans="2:3" x14ac:dyDescent="0.15">
      <c r="B219" s="1" t="s">
        <v>706</v>
      </c>
      <c r="C219" s="1" t="s">
        <v>667</v>
      </c>
    </row>
    <row r="220" spans="2:3" x14ac:dyDescent="0.15">
      <c r="B220" s="1" t="s">
        <v>940</v>
      </c>
      <c r="C220" s="1" t="s">
        <v>941</v>
      </c>
    </row>
    <row r="221" spans="2:3" x14ac:dyDescent="0.15">
      <c r="B221" s="1" t="s">
        <v>783</v>
      </c>
      <c r="C221" s="1" t="s">
        <v>653</v>
      </c>
    </row>
    <row r="222" spans="2:3" x14ac:dyDescent="0.15">
      <c r="B222" s="1" t="s">
        <v>668</v>
      </c>
      <c r="C222" s="1" t="s">
        <v>653</v>
      </c>
    </row>
    <row r="223" spans="2:3" x14ac:dyDescent="0.15">
      <c r="B223" s="1" t="s">
        <v>857</v>
      </c>
      <c r="C223" s="1" t="s">
        <v>858</v>
      </c>
    </row>
    <row r="224" spans="2:3" x14ac:dyDescent="0.15">
      <c r="B224" s="1" t="s">
        <v>650</v>
      </c>
      <c r="C224" s="1" t="s">
        <v>651</v>
      </c>
    </row>
    <row r="225" spans="2:3" x14ac:dyDescent="0.15">
      <c r="B225" s="1" t="s">
        <v>855</v>
      </c>
      <c r="C225" s="1" t="s">
        <v>856</v>
      </c>
    </row>
    <row r="226" spans="2:3" x14ac:dyDescent="0.15">
      <c r="B226" s="1" t="s">
        <v>897</v>
      </c>
      <c r="C226" s="1" t="s">
        <v>856</v>
      </c>
    </row>
    <row r="227" spans="2:3" x14ac:dyDescent="0.15">
      <c r="B227" s="1" t="s">
        <v>681</v>
      </c>
      <c r="C227" s="1" t="s">
        <v>682</v>
      </c>
    </row>
    <row r="228" spans="2:3" x14ac:dyDescent="0.15">
      <c r="B228" s="1" t="s">
        <v>880</v>
      </c>
      <c r="C228" s="1" t="s">
        <v>881</v>
      </c>
    </row>
    <row r="229" spans="2:3" x14ac:dyDescent="0.15">
      <c r="B229" s="1" t="s">
        <v>885</v>
      </c>
      <c r="C229" s="1" t="s">
        <v>881</v>
      </c>
    </row>
    <row r="230" spans="2:3" x14ac:dyDescent="0.15">
      <c r="B230" s="1" t="s">
        <v>541</v>
      </c>
      <c r="C230" s="1" t="s">
        <v>542</v>
      </c>
    </row>
    <row r="231" spans="2:3" x14ac:dyDescent="0.15">
      <c r="B231" s="1" t="s">
        <v>767</v>
      </c>
      <c r="C231" s="1" t="s">
        <v>768</v>
      </c>
    </row>
    <row r="232" spans="2:3" x14ac:dyDescent="0.15">
      <c r="B232" s="1" t="s">
        <v>954</v>
      </c>
      <c r="C232" s="1" t="s">
        <v>937</v>
      </c>
    </row>
    <row r="233" spans="2:3" x14ac:dyDescent="0.15">
      <c r="B233" s="1" t="s">
        <v>936</v>
      </c>
      <c r="C233" s="1" t="s">
        <v>937</v>
      </c>
    </row>
    <row r="234" spans="2:3" x14ac:dyDescent="0.15">
      <c r="B234" s="1" t="s">
        <v>872</v>
      </c>
      <c r="C234" s="1" t="s">
        <v>873</v>
      </c>
    </row>
    <row r="235" spans="2:3" x14ac:dyDescent="0.15">
      <c r="B235" s="1" t="s">
        <v>645</v>
      </c>
      <c r="C235" s="1" t="s">
        <v>646</v>
      </c>
    </row>
    <row r="236" spans="2:3" x14ac:dyDescent="0.15">
      <c r="B236" s="1" t="s">
        <v>846</v>
      </c>
      <c r="C236" s="1" t="s">
        <v>886</v>
      </c>
    </row>
    <row r="237" spans="2:3" x14ac:dyDescent="0.15">
      <c r="B237" s="1" t="s">
        <v>751</v>
      </c>
      <c r="C237" s="1" t="s">
        <v>752</v>
      </c>
    </row>
    <row r="238" spans="2:3" x14ac:dyDescent="0.15">
      <c r="B238" s="1" t="s">
        <v>811</v>
      </c>
      <c r="C238" s="1" t="s">
        <v>692</v>
      </c>
    </row>
    <row r="239" spans="2:3" x14ac:dyDescent="0.15">
      <c r="B239" s="1" t="s">
        <v>916</v>
      </c>
      <c r="C239" s="1" t="s">
        <v>917</v>
      </c>
    </row>
    <row r="240" spans="2:3" x14ac:dyDescent="0.15">
      <c r="B240" s="1" t="s">
        <v>961</v>
      </c>
      <c r="C240" s="1" t="s">
        <v>962</v>
      </c>
    </row>
    <row r="241" spans="2:3" x14ac:dyDescent="0.15">
      <c r="B241" s="1" t="s">
        <v>685</v>
      </c>
      <c r="C241" s="1" t="s">
        <v>686</v>
      </c>
    </row>
    <row r="242" spans="2:3" x14ac:dyDescent="0.15">
      <c r="B242" s="1" t="s">
        <v>948</v>
      </c>
      <c r="C242" s="1" t="s">
        <v>921</v>
      </c>
    </row>
    <row r="243" spans="2:3" x14ac:dyDescent="0.15">
      <c r="B243" s="1" t="s">
        <v>725</v>
      </c>
      <c r="C243" s="1" t="s">
        <v>726</v>
      </c>
    </row>
    <row r="244" spans="2:3" x14ac:dyDescent="0.15">
      <c r="B244" s="1" t="s">
        <v>625</v>
      </c>
      <c r="C244" s="1" t="s">
        <v>626</v>
      </c>
    </row>
    <row r="245" spans="2:3" x14ac:dyDescent="0.15">
      <c r="B245" s="1" t="s">
        <v>795</v>
      </c>
      <c r="C245" s="1" t="s">
        <v>796</v>
      </c>
    </row>
    <row r="246" spans="2:3" x14ac:dyDescent="0.15">
      <c r="B246" s="2" t="s">
        <v>533</v>
      </c>
      <c r="C246" s="2" t="s">
        <v>534</v>
      </c>
    </row>
    <row r="247" spans="2:3" x14ac:dyDescent="0.15">
      <c r="B247" s="1" t="s">
        <v>559</v>
      </c>
      <c r="C247" s="1" t="s">
        <v>560</v>
      </c>
    </row>
    <row r="248" spans="2:3" x14ac:dyDescent="0.15">
      <c r="B248" s="1" t="s">
        <v>590</v>
      </c>
      <c r="C248" s="1" t="s">
        <v>591</v>
      </c>
    </row>
    <row r="249" spans="2:3" x14ac:dyDescent="0.15">
      <c r="B249" s="1" t="s">
        <v>859</v>
      </c>
      <c r="C249" s="1" t="s">
        <v>860</v>
      </c>
    </row>
    <row r="250" spans="2:3" x14ac:dyDescent="0.15">
      <c r="B250" s="2" t="s">
        <v>535</v>
      </c>
      <c r="C250" s="2" t="s">
        <v>536</v>
      </c>
    </row>
    <row r="251" spans="2:3" x14ac:dyDescent="0.15">
      <c r="B251" s="1" t="s">
        <v>791</v>
      </c>
      <c r="C251" s="1" t="s">
        <v>665</v>
      </c>
    </row>
    <row r="252" spans="2:3" x14ac:dyDescent="0.15">
      <c r="B252" s="1" t="s">
        <v>527</v>
      </c>
      <c r="C252" s="1" t="s">
        <v>528</v>
      </c>
    </row>
    <row r="253" spans="2:3" x14ac:dyDescent="0.15">
      <c r="B253" s="1" t="s">
        <v>660</v>
      </c>
      <c r="C253" s="1" t="s">
        <v>661</v>
      </c>
    </row>
    <row r="254" spans="2:3" x14ac:dyDescent="0.15">
      <c r="B254" s="1" t="s">
        <v>545</v>
      </c>
      <c r="C254" s="1" t="s">
        <v>546</v>
      </c>
    </row>
    <row r="255" spans="2:3" x14ac:dyDescent="0.15">
      <c r="B255" s="1" t="s">
        <v>955</v>
      </c>
      <c r="C255" s="1" t="s">
        <v>956</v>
      </c>
    </row>
    <row r="256" spans="2:3" x14ac:dyDescent="0.15">
      <c r="B256" s="1" t="s">
        <v>736</v>
      </c>
      <c r="C256" s="1" t="s">
        <v>700</v>
      </c>
    </row>
    <row r="257" spans="2:3" x14ac:dyDescent="0.15">
      <c r="B257" s="1" t="s">
        <v>568</v>
      </c>
      <c r="C257" s="1" t="s">
        <v>569</v>
      </c>
    </row>
    <row r="258" spans="2:3" x14ac:dyDescent="0.15">
      <c r="B258" s="1" t="s">
        <v>902</v>
      </c>
      <c r="C258" s="1" t="s">
        <v>903</v>
      </c>
    </row>
    <row r="259" spans="2:3" x14ac:dyDescent="0.15">
      <c r="B259" s="1" t="s">
        <v>664</v>
      </c>
      <c r="C259" s="1" t="s">
        <v>665</v>
      </c>
    </row>
    <row r="260" spans="2:3" x14ac:dyDescent="0.15">
      <c r="B260" s="1" t="s">
        <v>959</v>
      </c>
      <c r="C260" s="1" t="s">
        <v>960</v>
      </c>
    </row>
    <row r="261" spans="2:3" x14ac:dyDescent="0.15">
      <c r="B261" s="1" t="s">
        <v>588</v>
      </c>
      <c r="C261" s="1" t="s">
        <v>589</v>
      </c>
    </row>
    <row r="262" spans="2:3" x14ac:dyDescent="0.15">
      <c r="B262" s="1" t="s">
        <v>564</v>
      </c>
      <c r="C262" s="1" t="s">
        <v>565</v>
      </c>
    </row>
    <row r="263" spans="2:3" x14ac:dyDescent="0.15">
      <c r="B263" s="1" t="s">
        <v>788</v>
      </c>
      <c r="C263" s="1" t="s">
        <v>789</v>
      </c>
    </row>
    <row r="264" spans="2:3" x14ac:dyDescent="0.15">
      <c r="B264" s="1" t="s">
        <v>595</v>
      </c>
      <c r="C264" s="1" t="s">
        <v>596</v>
      </c>
    </row>
    <row r="265" spans="2:3" ht="12" x14ac:dyDescent="0.15">
      <c r="B265" s="6" t="s">
        <v>1135</v>
      </c>
      <c r="C265" s="6" t="s">
        <v>1140</v>
      </c>
    </row>
    <row r="266" spans="2:3" x14ac:dyDescent="0.15">
      <c r="B266" s="1" t="s">
        <v>739</v>
      </c>
      <c r="C266" s="1" t="s">
        <v>740</v>
      </c>
    </row>
    <row r="267" spans="2:3" x14ac:dyDescent="0.15">
      <c r="B267" s="1" t="s">
        <v>869</v>
      </c>
      <c r="C267" s="1" t="s">
        <v>787</v>
      </c>
    </row>
    <row r="268" spans="2:3" x14ac:dyDescent="0.15">
      <c r="B268" s="1" t="s">
        <v>790</v>
      </c>
      <c r="C268" s="1" t="s">
        <v>720</v>
      </c>
    </row>
    <row r="269" spans="2:3" x14ac:dyDescent="0.15">
      <c r="B269" s="1" t="s">
        <v>864</v>
      </c>
      <c r="C269" s="1" t="s">
        <v>708</v>
      </c>
    </row>
    <row r="270" spans="2:3" x14ac:dyDescent="0.15">
      <c r="B270" s="44" t="s">
        <v>1395</v>
      </c>
      <c r="C270" s="44" t="s">
        <v>1416</v>
      </c>
    </row>
    <row r="271" spans="2:3" x14ac:dyDescent="0.15">
      <c r="B271" s="44" t="s">
        <v>1404</v>
      </c>
      <c r="C271" s="44" t="s">
        <v>1418</v>
      </c>
    </row>
    <row r="272" spans="2:3" x14ac:dyDescent="0.15">
      <c r="B272" s="44" t="s">
        <v>1409</v>
      </c>
      <c r="C272" s="44" t="s">
        <v>1419</v>
      </c>
    </row>
    <row r="273" spans="2:3" x14ac:dyDescent="0.15">
      <c r="B273" s="44" t="s">
        <v>1413</v>
      </c>
      <c r="C273" s="44" t="s">
        <v>1420</v>
      </c>
    </row>
    <row r="274" spans="2:3" x14ac:dyDescent="0.15">
      <c r="B274" s="44" t="s">
        <v>1448</v>
      </c>
      <c r="C274" s="44" t="s">
        <v>1453</v>
      </c>
    </row>
    <row r="275" spans="2:3" x14ac:dyDescent="0.15">
      <c r="B275" s="44" t="s">
        <v>1526</v>
      </c>
      <c r="C275" s="44" t="s">
        <v>1547</v>
      </c>
    </row>
    <row r="276" spans="2:3" x14ac:dyDescent="0.15">
      <c r="B276" s="44" t="s">
        <v>1528</v>
      </c>
      <c r="C276" s="44" t="s">
        <v>1540</v>
      </c>
    </row>
    <row r="277" spans="2:3" x14ac:dyDescent="0.15">
      <c r="B277" s="44" t="s">
        <v>1530</v>
      </c>
      <c r="C277" s="44" t="s">
        <v>1546</v>
      </c>
    </row>
    <row r="278" spans="2:3" x14ac:dyDescent="0.15">
      <c r="B278" s="44" t="s">
        <v>1533</v>
      </c>
      <c r="C278" s="44" t="s">
        <v>1545</v>
      </c>
    </row>
    <row r="279" spans="2:3" x14ac:dyDescent="0.15">
      <c r="B279" s="44" t="s">
        <v>1560</v>
      </c>
      <c r="C279" s="44" t="s">
        <v>1564</v>
      </c>
    </row>
    <row r="280" spans="2:3" x14ac:dyDescent="0.15">
      <c r="B280" s="44" t="s">
        <v>1562</v>
      </c>
      <c r="C280" s="44" t="s">
        <v>1563</v>
      </c>
    </row>
    <row r="281" spans="2:3" x14ac:dyDescent="0.15">
      <c r="B281" s="44" t="s">
        <v>1637</v>
      </c>
      <c r="C281" s="44" t="s">
        <v>1650</v>
      </c>
    </row>
    <row r="282" spans="2:3" x14ac:dyDescent="0.15">
      <c r="B282" s="44" t="s">
        <v>1633</v>
      </c>
      <c r="C282" s="44" t="s">
        <v>1649</v>
      </c>
    </row>
    <row r="283" spans="2:3" x14ac:dyDescent="0.15">
      <c r="B283" s="44" t="s">
        <v>1651</v>
      </c>
      <c r="C283" s="44" t="s">
        <v>1652</v>
      </c>
    </row>
    <row r="284" spans="2:3" x14ac:dyDescent="0.15">
      <c r="B284" s="44" t="s">
        <v>1662</v>
      </c>
      <c r="C284" s="44" t="s">
        <v>1663</v>
      </c>
    </row>
    <row r="285" spans="2:3" x14ac:dyDescent="0.15">
      <c r="B285" s="44" t="s">
        <v>1588</v>
      </c>
      <c r="C285" s="44" t="s">
        <v>1667</v>
      </c>
    </row>
    <row r="286" spans="2:3" x14ac:dyDescent="0.15">
      <c r="B286" s="44" t="s">
        <v>1678</v>
      </c>
      <c r="C286" s="44" t="s">
        <v>1681</v>
      </c>
    </row>
    <row r="287" spans="2:3" x14ac:dyDescent="0.15">
      <c r="B287" s="44" t="s">
        <v>1700</v>
      </c>
      <c r="C287" s="44" t="s">
        <v>1701</v>
      </c>
    </row>
    <row r="288" spans="2:3" x14ac:dyDescent="0.15">
      <c r="B288" s="44" t="s">
        <v>1732</v>
      </c>
      <c r="C288" s="44" t="s">
        <v>1755</v>
      </c>
    </row>
    <row r="289" spans="2:3" x14ac:dyDescent="0.15">
      <c r="B289" s="44" t="s">
        <v>1745</v>
      </c>
      <c r="C289" s="44" t="s">
        <v>1754</v>
      </c>
    </row>
    <row r="290" spans="2:3" x14ac:dyDescent="0.15">
      <c r="B290" s="44" t="s">
        <v>1748</v>
      </c>
      <c r="C290" s="44" t="s">
        <v>1751</v>
      </c>
    </row>
    <row r="291" spans="2:3" x14ac:dyDescent="0.15">
      <c r="B291" s="44" t="s">
        <v>1749</v>
      </c>
      <c r="C291" s="44" t="s">
        <v>1752</v>
      </c>
    </row>
    <row r="292" spans="2:3" x14ac:dyDescent="0.15">
      <c r="B292" s="44" t="s">
        <v>1781</v>
      </c>
      <c r="C292" s="44" t="s">
        <v>1786</v>
      </c>
    </row>
    <row r="293" spans="2:3" x14ac:dyDescent="0.15">
      <c r="B293" s="44" t="s">
        <v>1790</v>
      </c>
      <c r="C293" s="44" t="s">
        <v>1792</v>
      </c>
    </row>
    <row r="294" spans="2:3" x14ac:dyDescent="0.15">
      <c r="B294" s="44" t="s">
        <v>1797</v>
      </c>
      <c r="C294" s="44" t="s">
        <v>1801</v>
      </c>
    </row>
    <row r="295" spans="2:3" x14ac:dyDescent="0.15">
      <c r="B295" s="44" t="s">
        <v>1799</v>
      </c>
      <c r="C295" s="44" t="s">
        <v>1802</v>
      </c>
    </row>
    <row r="296" spans="2:3" x14ac:dyDescent="0.15">
      <c r="B296" s="44" t="s">
        <v>1808</v>
      </c>
      <c r="C296" s="44" t="s">
        <v>1375</v>
      </c>
    </row>
    <row r="297" spans="2:3" x14ac:dyDescent="0.15">
      <c r="B297" s="44"/>
      <c r="C297" s="44"/>
    </row>
    <row r="298" spans="2:3" x14ac:dyDescent="0.15">
      <c r="B298" s="44"/>
      <c r="C298" s="44"/>
    </row>
    <row r="299" spans="2:3" x14ac:dyDescent="0.15">
      <c r="B299" s="44"/>
      <c r="C299" s="44"/>
    </row>
    <row r="300" spans="2:3" x14ac:dyDescent="0.15">
      <c r="B300" s="44"/>
      <c r="C300" s="44"/>
    </row>
    <row r="301" spans="2:3" x14ac:dyDescent="0.15">
      <c r="B301" s="44"/>
      <c r="C301" s="44"/>
    </row>
    <row r="302" spans="2:3" x14ac:dyDescent="0.15">
      <c r="B302" s="44"/>
      <c r="C302" s="44"/>
    </row>
    <row r="303" spans="2:3" x14ac:dyDescent="0.15">
      <c r="B303" s="44"/>
      <c r="C303" s="44"/>
    </row>
    <row r="304" spans="2:3" x14ac:dyDescent="0.15">
      <c r="B304" s="44"/>
      <c r="C304" s="44"/>
    </row>
    <row r="305" spans="2:3" x14ac:dyDescent="0.15">
      <c r="B305" s="44"/>
      <c r="C305" s="44"/>
    </row>
    <row r="306" spans="2:3" x14ac:dyDescent="0.15">
      <c r="B306" s="44"/>
      <c r="C306" s="44"/>
    </row>
    <row r="307" spans="2:3" x14ac:dyDescent="0.15">
      <c r="B307" s="44"/>
      <c r="C307" s="44"/>
    </row>
    <row r="308" spans="2:3" x14ac:dyDescent="0.15">
      <c r="B308" s="44"/>
      <c r="C308" s="44"/>
    </row>
    <row r="309" spans="2:3" x14ac:dyDescent="0.15">
      <c r="B309" s="44"/>
      <c r="C309" s="44"/>
    </row>
    <row r="310" spans="2:3" x14ac:dyDescent="0.15">
      <c r="B310" s="44"/>
      <c r="C310" s="44"/>
    </row>
    <row r="311" spans="2:3" x14ac:dyDescent="0.15">
      <c r="B311" s="44"/>
      <c r="C311" s="44"/>
    </row>
    <row r="312" spans="2:3" x14ac:dyDescent="0.15">
      <c r="B312" s="44"/>
      <c r="C312" s="44"/>
    </row>
    <row r="313" spans="2:3" x14ac:dyDescent="0.15">
      <c r="B313" s="44"/>
      <c r="C313" s="44"/>
    </row>
    <row r="314" spans="2:3" x14ac:dyDescent="0.15">
      <c r="B314" s="44"/>
      <c r="C314" s="44"/>
    </row>
    <row r="315" spans="2:3" x14ac:dyDescent="0.15">
      <c r="B315" s="44"/>
      <c r="C315" s="44"/>
    </row>
    <row r="316" spans="2:3" x14ac:dyDescent="0.15">
      <c r="B316" s="44"/>
      <c r="C316" s="44"/>
    </row>
    <row r="317" spans="2:3" x14ac:dyDescent="0.15">
      <c r="B317" s="44"/>
      <c r="C317" s="44"/>
    </row>
    <row r="318" spans="2:3" x14ac:dyDescent="0.15">
      <c r="B318" s="44"/>
      <c r="C318" s="44"/>
    </row>
    <row r="319" spans="2:3" x14ac:dyDescent="0.15">
      <c r="B319" s="44"/>
      <c r="C319" s="44"/>
    </row>
    <row r="320" spans="2:3" x14ac:dyDescent="0.15">
      <c r="B320" s="44"/>
      <c r="C320" s="44"/>
    </row>
    <row r="321" spans="2:3" x14ac:dyDescent="0.15">
      <c r="B321" s="44"/>
      <c r="C321" s="44"/>
    </row>
    <row r="322" spans="2:3" x14ac:dyDescent="0.15">
      <c r="B322" s="44"/>
      <c r="C322" s="44"/>
    </row>
    <row r="323" spans="2:3" x14ac:dyDescent="0.15">
      <c r="B323" s="44"/>
      <c r="C323" s="44"/>
    </row>
    <row r="324" spans="2:3" x14ac:dyDescent="0.15">
      <c r="B324" s="44"/>
      <c r="C324" s="44"/>
    </row>
    <row r="325" spans="2:3" x14ac:dyDescent="0.15">
      <c r="B325" s="44"/>
      <c r="C325" s="44"/>
    </row>
    <row r="326" spans="2:3" x14ac:dyDescent="0.15">
      <c r="B326" s="44"/>
      <c r="C326" s="44"/>
    </row>
    <row r="327" spans="2:3" x14ac:dyDescent="0.15">
      <c r="B327" s="44"/>
      <c r="C327" s="44"/>
    </row>
    <row r="328" spans="2:3" x14ac:dyDescent="0.15">
      <c r="B328" s="44"/>
      <c r="C328" s="44"/>
    </row>
    <row r="329" spans="2:3" x14ac:dyDescent="0.15">
      <c r="B329" s="44"/>
      <c r="C329" s="44"/>
    </row>
    <row r="330" spans="2:3" x14ac:dyDescent="0.15">
      <c r="B330" s="44"/>
      <c r="C330" s="44"/>
    </row>
    <row r="331" spans="2:3" x14ac:dyDescent="0.15">
      <c r="B331" s="44"/>
      <c r="C331" s="44"/>
    </row>
    <row r="332" spans="2:3" x14ac:dyDescent="0.15">
      <c r="B332" s="44"/>
      <c r="C332" s="44"/>
    </row>
    <row r="333" spans="2:3" x14ac:dyDescent="0.15">
      <c r="B333" s="44"/>
      <c r="C333" s="44"/>
    </row>
    <row r="334" spans="2:3" x14ac:dyDescent="0.15">
      <c r="B334" s="44"/>
      <c r="C334" s="44"/>
    </row>
    <row r="335" spans="2:3" x14ac:dyDescent="0.15">
      <c r="B335" s="44"/>
      <c r="C335" s="44"/>
    </row>
    <row r="336" spans="2:3" x14ac:dyDescent="0.15">
      <c r="B336" s="44"/>
      <c r="C336" s="44"/>
    </row>
    <row r="337" spans="2:3" x14ac:dyDescent="0.15">
      <c r="B337" s="44"/>
      <c r="C337" s="44"/>
    </row>
    <row r="338" spans="2:3" x14ac:dyDescent="0.15">
      <c r="B338" s="44"/>
      <c r="C338" s="44"/>
    </row>
    <row r="339" spans="2:3" x14ac:dyDescent="0.15">
      <c r="B339" s="44"/>
      <c r="C339" s="44"/>
    </row>
    <row r="340" spans="2:3" x14ac:dyDescent="0.15">
      <c r="B340" s="44"/>
      <c r="C340" s="44"/>
    </row>
    <row r="341" spans="2:3" x14ac:dyDescent="0.15">
      <c r="B341" s="44"/>
      <c r="C341" s="44"/>
    </row>
    <row r="342" spans="2:3" x14ac:dyDescent="0.15">
      <c r="B342" s="44"/>
      <c r="C342" s="44"/>
    </row>
    <row r="343" spans="2:3" x14ac:dyDescent="0.15">
      <c r="B343" s="44"/>
      <c r="C343" s="44"/>
    </row>
    <row r="344" spans="2:3" x14ac:dyDescent="0.15">
      <c r="B344" s="44"/>
      <c r="C344" s="44"/>
    </row>
    <row r="345" spans="2:3" x14ac:dyDescent="0.15">
      <c r="B345" s="44"/>
      <c r="C345" s="44"/>
    </row>
    <row r="346" spans="2:3" x14ac:dyDescent="0.15">
      <c r="B346" s="44"/>
      <c r="C346" s="44"/>
    </row>
    <row r="347" spans="2:3" x14ac:dyDescent="0.15">
      <c r="B347" s="44"/>
      <c r="C347" s="44"/>
    </row>
    <row r="348" spans="2:3" x14ac:dyDescent="0.15">
      <c r="B348" s="44"/>
      <c r="C348" s="44"/>
    </row>
    <row r="349" spans="2:3" x14ac:dyDescent="0.15">
      <c r="B349" s="44"/>
      <c r="C349" s="44"/>
    </row>
    <row r="350" spans="2:3" x14ac:dyDescent="0.15">
      <c r="B350" s="44"/>
      <c r="C350" s="44"/>
    </row>
    <row r="351" spans="2:3" x14ac:dyDescent="0.15">
      <c r="B351" s="44"/>
      <c r="C351" s="44"/>
    </row>
    <row r="352" spans="2:3" x14ac:dyDescent="0.15">
      <c r="B352" s="44"/>
      <c r="C352" s="44"/>
    </row>
    <row r="353" spans="2:3" x14ac:dyDescent="0.15">
      <c r="B353" s="44"/>
      <c r="C353" s="44"/>
    </row>
    <row r="354" spans="2:3" x14ac:dyDescent="0.15">
      <c r="B354" s="44"/>
      <c r="C354" s="44"/>
    </row>
    <row r="355" spans="2:3" x14ac:dyDescent="0.15">
      <c r="B355" s="44"/>
      <c r="C355" s="44"/>
    </row>
    <row r="356" spans="2:3" x14ac:dyDescent="0.15">
      <c r="B356" s="44"/>
      <c r="C356" s="44"/>
    </row>
    <row r="357" spans="2:3" x14ac:dyDescent="0.15">
      <c r="B357" s="44"/>
      <c r="C357" s="44"/>
    </row>
    <row r="358" spans="2:3" x14ac:dyDescent="0.15">
      <c r="B358" s="44"/>
      <c r="C358" s="44"/>
    </row>
    <row r="359" spans="2:3" x14ac:dyDescent="0.15">
      <c r="B359" s="44"/>
      <c r="C359" s="44"/>
    </row>
    <row r="360" spans="2:3" x14ac:dyDescent="0.15">
      <c r="B360" s="44"/>
      <c r="C360" s="44"/>
    </row>
    <row r="361" spans="2:3" x14ac:dyDescent="0.15">
      <c r="B361" s="44"/>
      <c r="C361" s="44"/>
    </row>
    <row r="362" spans="2:3" x14ac:dyDescent="0.15">
      <c r="B362" s="44"/>
      <c r="C362" s="44"/>
    </row>
    <row r="363" spans="2:3" x14ac:dyDescent="0.15">
      <c r="B363" s="44"/>
      <c r="C363" s="44"/>
    </row>
    <row r="364" spans="2:3" x14ac:dyDescent="0.15">
      <c r="B364" s="44"/>
      <c r="C364" s="44"/>
    </row>
    <row r="365" spans="2:3" x14ac:dyDescent="0.15">
      <c r="B365" s="44"/>
      <c r="C365" s="44"/>
    </row>
    <row r="366" spans="2:3" x14ac:dyDescent="0.15">
      <c r="B366" s="44"/>
      <c r="C366" s="44"/>
    </row>
    <row r="367" spans="2:3" x14ac:dyDescent="0.15">
      <c r="B367" s="44"/>
      <c r="C367" s="44"/>
    </row>
    <row r="368" spans="2:3" x14ac:dyDescent="0.15">
      <c r="B368" s="44"/>
      <c r="C368" s="44"/>
    </row>
    <row r="369" spans="2:3" x14ac:dyDescent="0.15">
      <c r="B369" s="44"/>
      <c r="C369" s="44"/>
    </row>
    <row r="370" spans="2:3" x14ac:dyDescent="0.15">
      <c r="B370" s="44"/>
      <c r="C370" s="44"/>
    </row>
    <row r="371" spans="2:3" x14ac:dyDescent="0.15">
      <c r="B371" s="44"/>
      <c r="C371" s="44"/>
    </row>
    <row r="372" spans="2:3" x14ac:dyDescent="0.15">
      <c r="B372" s="44"/>
      <c r="C372" s="44"/>
    </row>
    <row r="373" spans="2:3" x14ac:dyDescent="0.15">
      <c r="B373" s="44"/>
      <c r="C373" s="44"/>
    </row>
    <row r="374" spans="2:3" x14ac:dyDescent="0.15">
      <c r="B374" s="44"/>
      <c r="C374" s="44"/>
    </row>
    <row r="375" spans="2:3" x14ac:dyDescent="0.15">
      <c r="B375" s="44"/>
      <c r="C375" s="44"/>
    </row>
    <row r="376" spans="2:3" x14ac:dyDescent="0.15">
      <c r="B376" s="44"/>
      <c r="C376" s="44"/>
    </row>
    <row r="377" spans="2:3" x14ac:dyDescent="0.15">
      <c r="B377" s="44"/>
      <c r="C377" s="44"/>
    </row>
    <row r="378" spans="2:3" x14ac:dyDescent="0.15">
      <c r="B378" s="44"/>
      <c r="C378" s="44"/>
    </row>
    <row r="379" spans="2:3" x14ac:dyDescent="0.15">
      <c r="B379" s="44"/>
      <c r="C379" s="44"/>
    </row>
    <row r="380" spans="2:3" x14ac:dyDescent="0.15">
      <c r="B380" s="44"/>
      <c r="C380" s="44"/>
    </row>
    <row r="381" spans="2:3" x14ac:dyDescent="0.15">
      <c r="B381" s="44"/>
      <c r="C381" s="44"/>
    </row>
    <row r="382" spans="2:3" x14ac:dyDescent="0.15">
      <c r="B382" s="44"/>
      <c r="C382" s="44"/>
    </row>
    <row r="383" spans="2:3" x14ac:dyDescent="0.15">
      <c r="B383" s="44"/>
      <c r="C383" s="44"/>
    </row>
    <row r="384" spans="2:3" x14ac:dyDescent="0.15">
      <c r="B384" s="44"/>
      <c r="C384" s="44"/>
    </row>
    <row r="385" spans="2:3" x14ac:dyDescent="0.15">
      <c r="B385" s="44"/>
      <c r="C385" s="44"/>
    </row>
    <row r="386" spans="2:3" x14ac:dyDescent="0.15">
      <c r="B386" s="44"/>
      <c r="C386" s="44"/>
    </row>
    <row r="387" spans="2:3" x14ac:dyDescent="0.15">
      <c r="B387" s="44"/>
      <c r="C387" s="44"/>
    </row>
    <row r="388" spans="2:3" x14ac:dyDescent="0.15">
      <c r="B388" s="44"/>
      <c r="C388" s="44"/>
    </row>
    <row r="389" spans="2:3" x14ac:dyDescent="0.15">
      <c r="B389" s="44"/>
      <c r="C389" s="44"/>
    </row>
    <row r="390" spans="2:3" x14ac:dyDescent="0.15">
      <c r="B390" s="44"/>
      <c r="C390" s="44"/>
    </row>
    <row r="391" spans="2:3" x14ac:dyDescent="0.15">
      <c r="B391" s="44"/>
      <c r="C391" s="44"/>
    </row>
    <row r="392" spans="2:3" x14ac:dyDescent="0.15">
      <c r="B392" s="44"/>
      <c r="C392" s="44"/>
    </row>
    <row r="393" spans="2:3" x14ac:dyDescent="0.15">
      <c r="B393" s="44"/>
      <c r="C393" s="44"/>
    </row>
    <row r="394" spans="2:3" x14ac:dyDescent="0.15">
      <c r="B394" s="44"/>
      <c r="C394" s="44"/>
    </row>
    <row r="395" spans="2:3" x14ac:dyDescent="0.15">
      <c r="B395" s="44"/>
      <c r="C395" s="44"/>
    </row>
    <row r="396" spans="2:3" x14ac:dyDescent="0.15">
      <c r="B396" s="44"/>
      <c r="C396" s="44"/>
    </row>
    <row r="397" spans="2:3" x14ac:dyDescent="0.15">
      <c r="B397" s="44"/>
      <c r="C397" s="44"/>
    </row>
    <row r="398" spans="2:3" x14ac:dyDescent="0.15">
      <c r="B398" s="44"/>
      <c r="C398" s="44"/>
    </row>
    <row r="399" spans="2:3" x14ac:dyDescent="0.15">
      <c r="B399" s="44"/>
      <c r="C399" s="44"/>
    </row>
    <row r="400" spans="2:3" x14ac:dyDescent="0.15">
      <c r="B400" s="44"/>
      <c r="C400" s="44"/>
    </row>
    <row r="401" spans="2:3" x14ac:dyDescent="0.15">
      <c r="B401" s="44"/>
      <c r="C401" s="44"/>
    </row>
    <row r="402" spans="2:3" x14ac:dyDescent="0.15">
      <c r="B402" s="44"/>
      <c r="C402" s="44"/>
    </row>
    <row r="403" spans="2:3" x14ac:dyDescent="0.15">
      <c r="B403" s="44"/>
      <c r="C403" s="44"/>
    </row>
    <row r="404" spans="2:3" x14ac:dyDescent="0.15">
      <c r="B404" s="44"/>
      <c r="C404" s="44"/>
    </row>
    <row r="405" spans="2:3" x14ac:dyDescent="0.15">
      <c r="B405" s="44"/>
      <c r="C405" s="44"/>
    </row>
    <row r="406" spans="2:3" x14ac:dyDescent="0.15">
      <c r="B406" s="44"/>
      <c r="C406" s="44"/>
    </row>
    <row r="407" spans="2:3" x14ac:dyDescent="0.15">
      <c r="B407" s="44"/>
      <c r="C407" s="44"/>
    </row>
    <row r="408" spans="2:3" x14ac:dyDescent="0.15">
      <c r="B408" s="44"/>
      <c r="C408" s="44"/>
    </row>
    <row r="409" spans="2:3" x14ac:dyDescent="0.15">
      <c r="B409" s="44"/>
      <c r="C409" s="44"/>
    </row>
    <row r="410" spans="2:3" x14ac:dyDescent="0.15">
      <c r="B410" s="44"/>
      <c r="C410" s="44"/>
    </row>
    <row r="411" spans="2:3" x14ac:dyDescent="0.15">
      <c r="B411" s="44"/>
      <c r="C411" s="44"/>
    </row>
    <row r="412" spans="2:3" x14ac:dyDescent="0.15">
      <c r="B412" s="44"/>
      <c r="C412" s="44"/>
    </row>
    <row r="413" spans="2:3" x14ac:dyDescent="0.15">
      <c r="B413" s="44"/>
      <c r="C413" s="44"/>
    </row>
    <row r="414" spans="2:3" x14ac:dyDescent="0.15">
      <c r="B414" s="44"/>
      <c r="C414" s="44"/>
    </row>
    <row r="415" spans="2:3" x14ac:dyDescent="0.15">
      <c r="B415" s="44"/>
      <c r="C415" s="44"/>
    </row>
    <row r="416" spans="2:3" x14ac:dyDescent="0.15">
      <c r="B416" s="44"/>
      <c r="C416" s="44"/>
    </row>
    <row r="417" spans="2:3" x14ac:dyDescent="0.15">
      <c r="B417" s="44"/>
      <c r="C417" s="44"/>
    </row>
    <row r="418" spans="2:3" x14ac:dyDescent="0.15">
      <c r="B418" s="44"/>
      <c r="C418" s="44"/>
    </row>
    <row r="419" spans="2:3" x14ac:dyDescent="0.15">
      <c r="B419" s="44"/>
      <c r="C419" s="44"/>
    </row>
    <row r="420" spans="2:3" x14ac:dyDescent="0.15">
      <c r="B420" s="44"/>
      <c r="C420" s="44"/>
    </row>
    <row r="421" spans="2:3" x14ac:dyDescent="0.15">
      <c r="B421" s="44"/>
      <c r="C421" s="44"/>
    </row>
    <row r="422" spans="2:3" x14ac:dyDescent="0.15">
      <c r="B422" s="44"/>
      <c r="C422" s="44"/>
    </row>
    <row r="423" spans="2:3" x14ac:dyDescent="0.15">
      <c r="B423" s="44"/>
      <c r="C423" s="44"/>
    </row>
    <row r="424" spans="2:3" x14ac:dyDescent="0.15">
      <c r="B424" s="44"/>
      <c r="C424" s="44"/>
    </row>
    <row r="425" spans="2:3" x14ac:dyDescent="0.15">
      <c r="B425" s="44"/>
      <c r="C425" s="44"/>
    </row>
    <row r="426" spans="2:3" x14ac:dyDescent="0.15">
      <c r="B426" s="44"/>
      <c r="C426" s="44"/>
    </row>
    <row r="427" spans="2:3" x14ac:dyDescent="0.15">
      <c r="B427" s="44"/>
      <c r="C427" s="44"/>
    </row>
    <row r="428" spans="2:3" x14ac:dyDescent="0.15">
      <c r="B428" s="44"/>
      <c r="C428" s="44"/>
    </row>
    <row r="429" spans="2:3" x14ac:dyDescent="0.15">
      <c r="B429" s="44"/>
      <c r="C429" s="44"/>
    </row>
    <row r="430" spans="2:3" x14ac:dyDescent="0.15">
      <c r="B430" s="44"/>
      <c r="C430" s="44"/>
    </row>
    <row r="431" spans="2:3" x14ac:dyDescent="0.15">
      <c r="B431" s="44"/>
      <c r="C431" s="44"/>
    </row>
    <row r="432" spans="2:3" x14ac:dyDescent="0.15">
      <c r="B432" s="44"/>
      <c r="C432" s="44"/>
    </row>
    <row r="433" spans="2:3" x14ac:dyDescent="0.15">
      <c r="B433" s="44"/>
      <c r="C433" s="44"/>
    </row>
    <row r="434" spans="2:3" x14ac:dyDescent="0.15">
      <c r="B434" s="44"/>
      <c r="C434" s="44"/>
    </row>
    <row r="435" spans="2:3" x14ac:dyDescent="0.15">
      <c r="B435" s="44"/>
      <c r="C435" s="44"/>
    </row>
    <row r="436" spans="2:3" x14ac:dyDescent="0.15">
      <c r="B436" s="44"/>
      <c r="C436" s="44"/>
    </row>
    <row r="437" spans="2:3" x14ac:dyDescent="0.15">
      <c r="B437" s="44"/>
      <c r="C437" s="44"/>
    </row>
    <row r="438" spans="2:3" x14ac:dyDescent="0.15">
      <c r="B438" s="44"/>
      <c r="C438" s="44"/>
    </row>
    <row r="439" spans="2:3" x14ac:dyDescent="0.15">
      <c r="B439" s="44"/>
      <c r="C439" s="44"/>
    </row>
    <row r="440" spans="2:3" x14ac:dyDescent="0.15">
      <c r="B440" s="44"/>
      <c r="C440" s="44"/>
    </row>
    <row r="441" spans="2:3" x14ac:dyDescent="0.15">
      <c r="B441" s="44"/>
      <c r="C441" s="44"/>
    </row>
    <row r="442" spans="2:3" x14ac:dyDescent="0.15">
      <c r="B442" s="44"/>
      <c r="C442" s="44"/>
    </row>
    <row r="443" spans="2:3" x14ac:dyDescent="0.15">
      <c r="B443" s="44"/>
      <c r="C443" s="44"/>
    </row>
    <row r="444" spans="2:3" x14ac:dyDescent="0.15">
      <c r="B444" s="44"/>
      <c r="C444" s="44"/>
    </row>
    <row r="445" spans="2:3" x14ac:dyDescent="0.15">
      <c r="B445" s="44"/>
      <c r="C445" s="44"/>
    </row>
    <row r="446" spans="2:3" x14ac:dyDescent="0.15">
      <c r="B446" s="44"/>
      <c r="C446" s="44"/>
    </row>
    <row r="447" spans="2:3" x14ac:dyDescent="0.15">
      <c r="B447" s="44"/>
      <c r="C447" s="44"/>
    </row>
    <row r="448" spans="2:3" x14ac:dyDescent="0.15">
      <c r="B448" s="44"/>
      <c r="C448" s="44"/>
    </row>
    <row r="449" spans="2:3" x14ac:dyDescent="0.15">
      <c r="B449" s="44"/>
      <c r="C449" s="44"/>
    </row>
    <row r="450" spans="2:3" x14ac:dyDescent="0.15">
      <c r="B450" s="44"/>
      <c r="C450" s="44"/>
    </row>
    <row r="451" spans="2:3" x14ac:dyDescent="0.15">
      <c r="B451" s="44"/>
      <c r="C451" s="44"/>
    </row>
    <row r="452" spans="2:3" x14ac:dyDescent="0.15">
      <c r="B452" s="44"/>
      <c r="C452" s="44"/>
    </row>
    <row r="453" spans="2:3" x14ac:dyDescent="0.15">
      <c r="B453" s="44"/>
      <c r="C453" s="44"/>
    </row>
    <row r="454" spans="2:3" x14ac:dyDescent="0.15">
      <c r="B454" s="44"/>
      <c r="C454" s="44"/>
    </row>
    <row r="455" spans="2:3" x14ac:dyDescent="0.15">
      <c r="B455" s="44"/>
      <c r="C455" s="44"/>
    </row>
    <row r="456" spans="2:3" x14ac:dyDescent="0.15">
      <c r="B456" s="44"/>
      <c r="C456" s="44"/>
    </row>
    <row r="457" spans="2:3" x14ac:dyDescent="0.15">
      <c r="B457" s="44"/>
      <c r="C457" s="44"/>
    </row>
    <row r="458" spans="2:3" x14ac:dyDescent="0.15">
      <c r="B458" s="44"/>
      <c r="C458" s="44"/>
    </row>
    <row r="459" spans="2:3" x14ac:dyDescent="0.15">
      <c r="B459" s="44"/>
      <c r="C459" s="44"/>
    </row>
    <row r="460" spans="2:3" x14ac:dyDescent="0.15">
      <c r="B460" s="44"/>
      <c r="C460" s="44"/>
    </row>
    <row r="461" spans="2:3" x14ac:dyDescent="0.15">
      <c r="B461" s="44"/>
      <c r="C461" s="44"/>
    </row>
    <row r="462" spans="2:3" x14ac:dyDescent="0.15">
      <c r="B462" s="44"/>
      <c r="C462" s="44"/>
    </row>
    <row r="463" spans="2:3" x14ac:dyDescent="0.15">
      <c r="B463" s="44"/>
      <c r="C463" s="44"/>
    </row>
    <row r="464" spans="2:3" x14ac:dyDescent="0.15">
      <c r="B464" s="44"/>
      <c r="C464" s="44"/>
    </row>
    <row r="465" spans="2:3" x14ac:dyDescent="0.15">
      <c r="B465" s="44"/>
      <c r="C465" s="44"/>
    </row>
    <row r="466" spans="2:3" x14ac:dyDescent="0.15">
      <c r="B466" s="44"/>
      <c r="C466" s="44"/>
    </row>
    <row r="467" spans="2:3" x14ac:dyDescent="0.15">
      <c r="B467" s="44"/>
      <c r="C467" s="44"/>
    </row>
    <row r="468" spans="2:3" x14ac:dyDescent="0.15">
      <c r="B468" s="44"/>
      <c r="C468" s="44"/>
    </row>
    <row r="469" spans="2:3" x14ac:dyDescent="0.15">
      <c r="B469" s="44"/>
      <c r="C469" s="44"/>
    </row>
    <row r="470" spans="2:3" x14ac:dyDescent="0.15">
      <c r="B470" s="44"/>
      <c r="C470" s="44"/>
    </row>
    <row r="471" spans="2:3" x14ac:dyDescent="0.15">
      <c r="B471" s="44"/>
      <c r="C471" s="44"/>
    </row>
    <row r="472" spans="2:3" x14ac:dyDescent="0.15">
      <c r="B472" s="44"/>
      <c r="C472" s="44"/>
    </row>
    <row r="473" spans="2:3" x14ac:dyDescent="0.15">
      <c r="B473" s="44"/>
      <c r="C473" s="44"/>
    </row>
    <row r="474" spans="2:3" x14ac:dyDescent="0.15">
      <c r="B474" s="44"/>
      <c r="C474" s="44"/>
    </row>
    <row r="475" spans="2:3" x14ac:dyDescent="0.15">
      <c r="B475" s="44"/>
      <c r="C475" s="44"/>
    </row>
    <row r="476" spans="2:3" x14ac:dyDescent="0.15">
      <c r="B476" s="44"/>
      <c r="C476" s="44"/>
    </row>
    <row r="477" spans="2:3" x14ac:dyDescent="0.15">
      <c r="B477" s="44"/>
      <c r="C477" s="44"/>
    </row>
    <row r="478" spans="2:3" x14ac:dyDescent="0.15">
      <c r="B478" s="44"/>
      <c r="C478" s="44"/>
    </row>
    <row r="479" spans="2:3" x14ac:dyDescent="0.15">
      <c r="B479" s="44"/>
      <c r="C479" s="44"/>
    </row>
    <row r="480" spans="2:3" x14ac:dyDescent="0.15">
      <c r="B480" s="44"/>
      <c r="C480" s="44"/>
    </row>
    <row r="481" spans="2:3" x14ac:dyDescent="0.15">
      <c r="B481" s="44"/>
      <c r="C481" s="44"/>
    </row>
    <row r="482" spans="2:3" x14ac:dyDescent="0.15">
      <c r="B482" s="44"/>
      <c r="C482" s="44"/>
    </row>
    <row r="483" spans="2:3" x14ac:dyDescent="0.15">
      <c r="B483" s="44"/>
      <c r="C483" s="44"/>
    </row>
    <row r="484" spans="2:3" x14ac:dyDescent="0.15">
      <c r="B484" s="44"/>
      <c r="C484" s="44"/>
    </row>
    <row r="485" spans="2:3" x14ac:dyDescent="0.15">
      <c r="B485" s="44"/>
      <c r="C485" s="44"/>
    </row>
    <row r="486" spans="2:3" x14ac:dyDescent="0.15">
      <c r="B486" s="44"/>
      <c r="C486" s="44"/>
    </row>
    <row r="487" spans="2:3" x14ac:dyDescent="0.15">
      <c r="B487" s="44"/>
      <c r="C487" s="44"/>
    </row>
    <row r="488" spans="2:3" x14ac:dyDescent="0.15">
      <c r="B488" s="44"/>
      <c r="C488" s="44"/>
    </row>
    <row r="489" spans="2:3" x14ac:dyDescent="0.15">
      <c r="B489" s="44"/>
      <c r="C489" s="44"/>
    </row>
    <row r="490" spans="2:3" x14ac:dyDescent="0.15">
      <c r="B490" s="44"/>
      <c r="C490" s="44"/>
    </row>
    <row r="491" spans="2:3" x14ac:dyDescent="0.15">
      <c r="B491" s="44"/>
      <c r="C491" s="44"/>
    </row>
    <row r="492" spans="2:3" x14ac:dyDescent="0.15">
      <c r="B492" s="44"/>
      <c r="C492" s="44"/>
    </row>
    <row r="493" spans="2:3" x14ac:dyDescent="0.15">
      <c r="B493" s="44"/>
      <c r="C493" s="44"/>
    </row>
    <row r="494" spans="2:3" x14ac:dyDescent="0.15">
      <c r="B494" s="44"/>
      <c r="C494" s="44"/>
    </row>
    <row r="495" spans="2:3" x14ac:dyDescent="0.15">
      <c r="B495" s="44"/>
      <c r="C495" s="44"/>
    </row>
    <row r="496" spans="2:3" x14ac:dyDescent="0.15">
      <c r="B496" s="44"/>
      <c r="C496" s="44"/>
    </row>
    <row r="497" spans="2:3" x14ac:dyDescent="0.15">
      <c r="B497" s="44"/>
      <c r="C497" s="44"/>
    </row>
    <row r="498" spans="2:3" x14ac:dyDescent="0.15">
      <c r="B498" s="44"/>
      <c r="C498" s="44"/>
    </row>
    <row r="499" spans="2:3" x14ac:dyDescent="0.15">
      <c r="B499" s="44"/>
      <c r="C499" s="44"/>
    </row>
    <row r="500" spans="2:3" x14ac:dyDescent="0.15">
      <c r="B500" s="44"/>
      <c r="C500" s="44"/>
    </row>
    <row r="501" spans="2:3" x14ac:dyDescent="0.15">
      <c r="B501" s="44"/>
      <c r="C501" s="44"/>
    </row>
    <row r="502" spans="2:3" x14ac:dyDescent="0.15">
      <c r="B502" s="44"/>
      <c r="C502" s="44"/>
    </row>
    <row r="503" spans="2:3" x14ac:dyDescent="0.15">
      <c r="B503" s="44"/>
      <c r="C503" s="44"/>
    </row>
    <row r="504" spans="2:3" x14ac:dyDescent="0.15">
      <c r="B504" s="44"/>
      <c r="C504" s="44"/>
    </row>
    <row r="505" spans="2:3" x14ac:dyDescent="0.15">
      <c r="B505" s="44"/>
      <c r="C505" s="44"/>
    </row>
    <row r="506" spans="2:3" x14ac:dyDescent="0.15">
      <c r="B506" s="44"/>
      <c r="C506" s="44"/>
    </row>
    <row r="507" spans="2:3" x14ac:dyDescent="0.15">
      <c r="B507" s="44"/>
      <c r="C507" s="44"/>
    </row>
    <row r="508" spans="2:3" x14ac:dyDescent="0.15">
      <c r="B508" s="44"/>
      <c r="C508" s="44"/>
    </row>
    <row r="509" spans="2:3" x14ac:dyDescent="0.15">
      <c r="B509" s="44"/>
      <c r="C509" s="44"/>
    </row>
    <row r="510" spans="2:3" x14ac:dyDescent="0.15">
      <c r="B510" s="44"/>
      <c r="C510" s="44"/>
    </row>
    <row r="511" spans="2:3" x14ac:dyDescent="0.15">
      <c r="B511" s="44"/>
      <c r="C511" s="44"/>
    </row>
    <row r="512" spans="2:3" x14ac:dyDescent="0.15">
      <c r="B512" s="44"/>
      <c r="C512" s="44"/>
    </row>
    <row r="513" spans="2:3" x14ac:dyDescent="0.15">
      <c r="B513" s="44"/>
      <c r="C513" s="44"/>
    </row>
    <row r="514" spans="2:3" x14ac:dyDescent="0.15">
      <c r="B514" s="44"/>
      <c r="C514" s="44"/>
    </row>
    <row r="515" spans="2:3" x14ac:dyDescent="0.15">
      <c r="B515" s="44"/>
      <c r="C515" s="44"/>
    </row>
    <row r="516" spans="2:3" x14ac:dyDescent="0.15">
      <c r="B516" s="44"/>
      <c r="C516" s="44"/>
    </row>
    <row r="517" spans="2:3" x14ac:dyDescent="0.15">
      <c r="B517" s="44"/>
      <c r="C517" s="44"/>
    </row>
    <row r="518" spans="2:3" x14ac:dyDescent="0.15">
      <c r="B518" s="44"/>
      <c r="C518" s="44"/>
    </row>
    <row r="519" spans="2:3" x14ac:dyDescent="0.15">
      <c r="B519" s="44"/>
      <c r="C519" s="44"/>
    </row>
    <row r="520" spans="2:3" x14ac:dyDescent="0.15">
      <c r="B520" s="44"/>
      <c r="C520" s="44"/>
    </row>
    <row r="521" spans="2:3" x14ac:dyDescent="0.15">
      <c r="B521" s="44"/>
      <c r="C521" s="44"/>
    </row>
    <row r="522" spans="2:3" x14ac:dyDescent="0.15">
      <c r="B522" s="44"/>
      <c r="C522" s="44"/>
    </row>
    <row r="523" spans="2:3" x14ac:dyDescent="0.15">
      <c r="B523" s="44"/>
      <c r="C523" s="44"/>
    </row>
    <row r="524" spans="2:3" x14ac:dyDescent="0.15">
      <c r="B524" s="44"/>
      <c r="C524" s="44"/>
    </row>
    <row r="525" spans="2:3" x14ac:dyDescent="0.15">
      <c r="B525" s="44"/>
      <c r="C525" s="44"/>
    </row>
    <row r="526" spans="2:3" x14ac:dyDescent="0.15">
      <c r="B526" s="44"/>
      <c r="C526" s="44"/>
    </row>
    <row r="527" spans="2:3" x14ac:dyDescent="0.15">
      <c r="B527" s="44"/>
      <c r="C527" s="44"/>
    </row>
    <row r="528" spans="2:3" x14ac:dyDescent="0.15">
      <c r="B528" s="44"/>
      <c r="C528" s="44"/>
    </row>
    <row r="529" spans="2:3" x14ac:dyDescent="0.15">
      <c r="B529" s="44"/>
      <c r="C529" s="44"/>
    </row>
    <row r="530" spans="2:3" x14ac:dyDescent="0.15">
      <c r="B530" s="44"/>
      <c r="C530" s="44"/>
    </row>
    <row r="531" spans="2:3" x14ac:dyDescent="0.15">
      <c r="B531" s="44"/>
      <c r="C531" s="44"/>
    </row>
    <row r="532" spans="2:3" x14ac:dyDescent="0.15">
      <c r="B532" s="44"/>
      <c r="C532" s="44"/>
    </row>
    <row r="533" spans="2:3" x14ac:dyDescent="0.15">
      <c r="B533" s="44"/>
      <c r="C533" s="44"/>
    </row>
    <row r="534" spans="2:3" x14ac:dyDescent="0.15">
      <c r="B534" s="44"/>
      <c r="C534" s="44"/>
    </row>
    <row r="535" spans="2:3" x14ac:dyDescent="0.15">
      <c r="B535" s="44"/>
      <c r="C535" s="44"/>
    </row>
    <row r="536" spans="2:3" x14ac:dyDescent="0.15">
      <c r="B536" s="44"/>
      <c r="C536" s="44"/>
    </row>
    <row r="537" spans="2:3" x14ac:dyDescent="0.15">
      <c r="B537" s="44"/>
      <c r="C537" s="44"/>
    </row>
    <row r="538" spans="2:3" x14ac:dyDescent="0.15">
      <c r="B538" s="44"/>
      <c r="C538" s="44"/>
    </row>
    <row r="539" spans="2:3" x14ac:dyDescent="0.15">
      <c r="B539" s="44"/>
      <c r="C539" s="44"/>
    </row>
    <row r="540" spans="2:3" x14ac:dyDescent="0.15">
      <c r="B540" s="44"/>
      <c r="C540" s="44"/>
    </row>
    <row r="541" spans="2:3" x14ac:dyDescent="0.15">
      <c r="B541" s="44"/>
      <c r="C541" s="44"/>
    </row>
    <row r="542" spans="2:3" x14ac:dyDescent="0.15">
      <c r="B542" s="44"/>
      <c r="C542" s="44"/>
    </row>
    <row r="543" spans="2:3" x14ac:dyDescent="0.15">
      <c r="B543" s="44"/>
      <c r="C543" s="44"/>
    </row>
    <row r="544" spans="2:3" x14ac:dyDescent="0.15">
      <c r="B544" s="44"/>
      <c r="C544" s="44"/>
    </row>
    <row r="545" spans="2:3" x14ac:dyDescent="0.15">
      <c r="B545" s="44"/>
      <c r="C545" s="44"/>
    </row>
    <row r="546" spans="2:3" x14ac:dyDescent="0.15">
      <c r="B546" s="44"/>
      <c r="C546" s="44"/>
    </row>
    <row r="547" spans="2:3" x14ac:dyDescent="0.15">
      <c r="B547" s="44"/>
      <c r="C547" s="44"/>
    </row>
    <row r="548" spans="2:3" x14ac:dyDescent="0.15">
      <c r="B548" s="44"/>
      <c r="C548" s="44"/>
    </row>
    <row r="549" spans="2:3" x14ac:dyDescent="0.15">
      <c r="B549" s="44"/>
      <c r="C549" s="44"/>
    </row>
    <row r="550" spans="2:3" x14ac:dyDescent="0.15">
      <c r="B550" s="44"/>
      <c r="C550" s="44"/>
    </row>
    <row r="551" spans="2:3" x14ac:dyDescent="0.15">
      <c r="B551" s="44"/>
      <c r="C551" s="44"/>
    </row>
    <row r="552" spans="2:3" x14ac:dyDescent="0.15">
      <c r="B552" s="44"/>
      <c r="C552" s="44"/>
    </row>
    <row r="553" spans="2:3" x14ac:dyDescent="0.15">
      <c r="B553" s="44"/>
      <c r="C553" s="44"/>
    </row>
    <row r="554" spans="2:3" x14ac:dyDescent="0.15">
      <c r="B554" s="44"/>
      <c r="C554" s="44"/>
    </row>
    <row r="555" spans="2:3" x14ac:dyDescent="0.15">
      <c r="B555" s="44"/>
      <c r="C555" s="44"/>
    </row>
    <row r="556" spans="2:3" x14ac:dyDescent="0.15">
      <c r="B556" s="44"/>
      <c r="C556" s="44"/>
    </row>
    <row r="557" spans="2:3" x14ac:dyDescent="0.15">
      <c r="B557" s="44"/>
      <c r="C557" s="44"/>
    </row>
    <row r="558" spans="2:3" x14ac:dyDescent="0.15">
      <c r="B558" s="44"/>
      <c r="C558" s="44"/>
    </row>
    <row r="559" spans="2:3" x14ac:dyDescent="0.15">
      <c r="B559" s="44"/>
      <c r="C559" s="44"/>
    </row>
    <row r="560" spans="2:3" x14ac:dyDescent="0.15">
      <c r="B560" s="44"/>
      <c r="C560" s="44"/>
    </row>
    <row r="561" spans="2:3" x14ac:dyDescent="0.15">
      <c r="B561" s="44"/>
      <c r="C561" s="44"/>
    </row>
    <row r="562" spans="2:3" x14ac:dyDescent="0.15">
      <c r="B562" s="44"/>
      <c r="C562" s="44"/>
    </row>
    <row r="563" spans="2:3" x14ac:dyDescent="0.15">
      <c r="B563" s="44"/>
      <c r="C563" s="44"/>
    </row>
    <row r="564" spans="2:3" x14ac:dyDescent="0.15">
      <c r="B564" s="44"/>
      <c r="C564" s="44"/>
    </row>
    <row r="565" spans="2:3" x14ac:dyDescent="0.15">
      <c r="B565" s="44"/>
      <c r="C565" s="44"/>
    </row>
    <row r="566" spans="2:3" x14ac:dyDescent="0.15">
      <c r="B566" s="44"/>
      <c r="C566" s="44"/>
    </row>
    <row r="567" spans="2:3" x14ac:dyDescent="0.15">
      <c r="B567" s="44"/>
      <c r="C567" s="44"/>
    </row>
    <row r="568" spans="2:3" x14ac:dyDescent="0.15">
      <c r="B568" s="44"/>
      <c r="C568" s="44"/>
    </row>
    <row r="569" spans="2:3" x14ac:dyDescent="0.15">
      <c r="B569" s="44"/>
      <c r="C569" s="44"/>
    </row>
    <row r="570" spans="2:3" x14ac:dyDescent="0.15">
      <c r="B570" s="44"/>
      <c r="C570" s="44"/>
    </row>
    <row r="571" spans="2:3" x14ac:dyDescent="0.15">
      <c r="B571" s="44"/>
      <c r="C571" s="44"/>
    </row>
    <row r="572" spans="2:3" x14ac:dyDescent="0.15">
      <c r="B572" s="44"/>
      <c r="C572" s="44"/>
    </row>
    <row r="573" spans="2:3" x14ac:dyDescent="0.15">
      <c r="B573" s="44"/>
      <c r="C573" s="44"/>
    </row>
    <row r="574" spans="2:3" x14ac:dyDescent="0.15">
      <c r="B574" s="44"/>
      <c r="C574" s="44"/>
    </row>
    <row r="575" spans="2:3" x14ac:dyDescent="0.15">
      <c r="B575" s="44"/>
      <c r="C575" s="44"/>
    </row>
    <row r="576" spans="2:3" x14ac:dyDescent="0.15">
      <c r="B576" s="44"/>
      <c r="C576" s="44"/>
    </row>
    <row r="577" spans="2:3" x14ac:dyDescent="0.15">
      <c r="B577" s="44"/>
      <c r="C577" s="44"/>
    </row>
    <row r="578" spans="2:3" x14ac:dyDescent="0.15">
      <c r="B578" s="44"/>
      <c r="C578" s="44"/>
    </row>
    <row r="579" spans="2:3" x14ac:dyDescent="0.15">
      <c r="B579" s="44"/>
      <c r="C579" s="44"/>
    </row>
    <row r="580" spans="2:3" x14ac:dyDescent="0.15">
      <c r="B580" s="44"/>
      <c r="C580" s="44"/>
    </row>
    <row r="581" spans="2:3" x14ac:dyDescent="0.15">
      <c r="B581" s="44"/>
      <c r="C581" s="44"/>
    </row>
    <row r="582" spans="2:3" x14ac:dyDescent="0.15">
      <c r="B582" s="44"/>
      <c r="C582" s="44"/>
    </row>
    <row r="583" spans="2:3" x14ac:dyDescent="0.15">
      <c r="B583" s="44"/>
      <c r="C583" s="44"/>
    </row>
    <row r="584" spans="2:3" x14ac:dyDescent="0.15">
      <c r="B584" s="44"/>
      <c r="C584" s="44"/>
    </row>
    <row r="585" spans="2:3" x14ac:dyDescent="0.15">
      <c r="B585" s="44"/>
      <c r="C585" s="44"/>
    </row>
    <row r="586" spans="2:3" x14ac:dyDescent="0.15">
      <c r="B586" s="44"/>
      <c r="C586" s="44"/>
    </row>
    <row r="587" spans="2:3" x14ac:dyDescent="0.15">
      <c r="B587" s="44"/>
      <c r="C587" s="44"/>
    </row>
    <row r="588" spans="2:3" x14ac:dyDescent="0.15">
      <c r="B588" s="44"/>
      <c r="C588" s="44"/>
    </row>
    <row r="589" spans="2:3" x14ac:dyDescent="0.15">
      <c r="B589" s="44"/>
      <c r="C589" s="44"/>
    </row>
    <row r="590" spans="2:3" x14ac:dyDescent="0.15">
      <c r="B590" s="44"/>
      <c r="C590" s="44"/>
    </row>
    <row r="591" spans="2:3" x14ac:dyDescent="0.15">
      <c r="B591" s="44"/>
      <c r="C591" s="44"/>
    </row>
    <row r="592" spans="2:3" x14ac:dyDescent="0.15">
      <c r="B592" s="44"/>
      <c r="C592" s="44"/>
    </row>
    <row r="593" spans="2:3" x14ac:dyDescent="0.15">
      <c r="B593" s="44"/>
      <c r="C593" s="44"/>
    </row>
    <row r="594" spans="2:3" x14ac:dyDescent="0.15">
      <c r="B594" s="44"/>
      <c r="C594" s="44"/>
    </row>
    <row r="595" spans="2:3" x14ac:dyDescent="0.15">
      <c r="B595" s="44"/>
      <c r="C595" s="44"/>
    </row>
    <row r="596" spans="2:3" x14ac:dyDescent="0.15">
      <c r="B596" s="44"/>
      <c r="C596" s="44"/>
    </row>
    <row r="597" spans="2:3" x14ac:dyDescent="0.15">
      <c r="B597" s="44"/>
      <c r="C597" s="44"/>
    </row>
    <row r="598" spans="2:3" x14ac:dyDescent="0.15">
      <c r="B598" s="44"/>
      <c r="C598" s="44"/>
    </row>
    <row r="599" spans="2:3" x14ac:dyDescent="0.15">
      <c r="B599" s="44"/>
      <c r="C599" s="44"/>
    </row>
    <row r="600" spans="2:3" x14ac:dyDescent="0.15">
      <c r="B600" s="44"/>
      <c r="C600" s="44"/>
    </row>
    <row r="601" spans="2:3" x14ac:dyDescent="0.15">
      <c r="B601" s="44"/>
      <c r="C601" s="44"/>
    </row>
    <row r="602" spans="2:3" x14ac:dyDescent="0.15">
      <c r="B602" s="44"/>
      <c r="C602" s="44"/>
    </row>
    <row r="603" spans="2:3" x14ac:dyDescent="0.15">
      <c r="B603" s="44"/>
      <c r="C603" s="44"/>
    </row>
    <row r="604" spans="2:3" x14ac:dyDescent="0.15">
      <c r="B604" s="44"/>
      <c r="C604" s="44"/>
    </row>
    <row r="605" spans="2:3" x14ac:dyDescent="0.15">
      <c r="B605" s="44"/>
      <c r="C605" s="44"/>
    </row>
    <row r="606" spans="2:3" x14ac:dyDescent="0.15">
      <c r="B606" s="44"/>
      <c r="C606" s="44"/>
    </row>
    <row r="607" spans="2:3" x14ac:dyDescent="0.15">
      <c r="B607" s="44"/>
      <c r="C607" s="44"/>
    </row>
    <row r="608" spans="2:3" x14ac:dyDescent="0.15">
      <c r="B608" s="44"/>
      <c r="C608" s="44"/>
    </row>
    <row r="609" spans="2:3" x14ac:dyDescent="0.15">
      <c r="B609" s="44"/>
      <c r="C609" s="44"/>
    </row>
    <row r="610" spans="2:3" x14ac:dyDescent="0.15">
      <c r="B610" s="44"/>
      <c r="C610" s="44"/>
    </row>
    <row r="611" spans="2:3" x14ac:dyDescent="0.15">
      <c r="B611" s="44"/>
      <c r="C611" s="44"/>
    </row>
    <row r="612" spans="2:3" x14ac:dyDescent="0.15">
      <c r="B612" s="44"/>
      <c r="C612" s="44"/>
    </row>
    <row r="613" spans="2:3" x14ac:dyDescent="0.15">
      <c r="B613" s="44"/>
      <c r="C613" s="44"/>
    </row>
    <row r="614" spans="2:3" x14ac:dyDescent="0.15">
      <c r="B614" s="44"/>
      <c r="C614" s="44"/>
    </row>
    <row r="615" spans="2:3" x14ac:dyDescent="0.15">
      <c r="B615" s="44"/>
      <c r="C615" s="44"/>
    </row>
    <row r="616" spans="2:3" x14ac:dyDescent="0.15">
      <c r="B616" s="44"/>
      <c r="C616" s="44"/>
    </row>
    <row r="617" spans="2:3" x14ac:dyDescent="0.15">
      <c r="B617" s="44"/>
      <c r="C617" s="44"/>
    </row>
    <row r="618" spans="2:3" x14ac:dyDescent="0.15">
      <c r="B618" s="44"/>
      <c r="C618" s="44"/>
    </row>
    <row r="619" spans="2:3" x14ac:dyDescent="0.15">
      <c r="B619" s="44"/>
      <c r="C619" s="44"/>
    </row>
    <row r="620" spans="2:3" x14ac:dyDescent="0.15">
      <c r="B620" s="44"/>
      <c r="C620" s="44"/>
    </row>
    <row r="621" spans="2:3" x14ac:dyDescent="0.15">
      <c r="B621" s="44"/>
      <c r="C621" s="44"/>
    </row>
    <row r="622" spans="2:3" x14ac:dyDescent="0.15">
      <c r="B622" s="44"/>
      <c r="C622" s="44"/>
    </row>
    <row r="623" spans="2:3" x14ac:dyDescent="0.15">
      <c r="B623" s="44"/>
      <c r="C623" s="44"/>
    </row>
    <row r="624" spans="2:3" x14ac:dyDescent="0.15">
      <c r="B624" s="44"/>
      <c r="C624" s="44"/>
    </row>
    <row r="625" spans="2:3" x14ac:dyDescent="0.15">
      <c r="B625" s="44"/>
      <c r="C625" s="44"/>
    </row>
    <row r="626" spans="2:3" x14ac:dyDescent="0.15">
      <c r="B626" s="44"/>
      <c r="C626" s="44"/>
    </row>
    <row r="627" spans="2:3" x14ac:dyDescent="0.15">
      <c r="B627" s="44"/>
      <c r="C627" s="44"/>
    </row>
    <row r="628" spans="2:3" x14ac:dyDescent="0.15">
      <c r="B628" s="44"/>
      <c r="C628" s="44"/>
    </row>
    <row r="629" spans="2:3" x14ac:dyDescent="0.15">
      <c r="B629" s="44"/>
      <c r="C629" s="44"/>
    </row>
    <row r="630" spans="2:3" x14ac:dyDescent="0.15">
      <c r="B630" s="44"/>
      <c r="C630" s="44"/>
    </row>
    <row r="631" spans="2:3" x14ac:dyDescent="0.15">
      <c r="B631" s="44"/>
      <c r="C631" s="44"/>
    </row>
    <row r="632" spans="2:3" x14ac:dyDescent="0.15">
      <c r="B632" s="44"/>
      <c r="C632" s="44"/>
    </row>
    <row r="633" spans="2:3" x14ac:dyDescent="0.15">
      <c r="B633" s="44"/>
      <c r="C633" s="44"/>
    </row>
    <row r="634" spans="2:3" x14ac:dyDescent="0.15">
      <c r="B634" s="44"/>
      <c r="C634" s="44"/>
    </row>
    <row r="635" spans="2:3" x14ac:dyDescent="0.15">
      <c r="B635" s="44"/>
      <c r="C635" s="44"/>
    </row>
    <row r="636" spans="2:3" x14ac:dyDescent="0.15">
      <c r="B636" s="44"/>
      <c r="C636" s="44"/>
    </row>
    <row r="637" spans="2:3" x14ac:dyDescent="0.15">
      <c r="B637" s="44"/>
      <c r="C637" s="44"/>
    </row>
    <row r="638" spans="2:3" x14ac:dyDescent="0.15">
      <c r="B638" s="44"/>
      <c r="C638" s="44"/>
    </row>
    <row r="639" spans="2:3" x14ac:dyDescent="0.15">
      <c r="B639" s="44"/>
      <c r="C639" s="44"/>
    </row>
    <row r="640" spans="2:3" x14ac:dyDescent="0.15">
      <c r="B640" s="44"/>
      <c r="C640" s="44"/>
    </row>
    <row r="641" spans="2:3" x14ac:dyDescent="0.15">
      <c r="B641" s="44"/>
      <c r="C641" s="44"/>
    </row>
    <row r="642" spans="2:3" x14ac:dyDescent="0.15">
      <c r="B642" s="44"/>
      <c r="C642" s="44"/>
    </row>
    <row r="643" spans="2:3" x14ac:dyDescent="0.15">
      <c r="B643" s="44"/>
      <c r="C643" s="44"/>
    </row>
    <row r="644" spans="2:3" x14ac:dyDescent="0.15">
      <c r="B644" s="44"/>
      <c r="C644" s="44"/>
    </row>
    <row r="645" spans="2:3" x14ac:dyDescent="0.15">
      <c r="B645" s="44"/>
      <c r="C645" s="44"/>
    </row>
    <row r="646" spans="2:3" x14ac:dyDescent="0.15">
      <c r="B646" s="44"/>
      <c r="C646" s="44"/>
    </row>
    <row r="647" spans="2:3" x14ac:dyDescent="0.15">
      <c r="B647" s="44"/>
      <c r="C647" s="44"/>
    </row>
    <row r="648" spans="2:3" x14ac:dyDescent="0.15">
      <c r="B648" s="44"/>
      <c r="C648" s="44"/>
    </row>
    <row r="649" spans="2:3" x14ac:dyDescent="0.15">
      <c r="B649" s="44"/>
      <c r="C649" s="44"/>
    </row>
    <row r="650" spans="2:3" x14ac:dyDescent="0.15">
      <c r="B650" s="44"/>
      <c r="C650" s="44"/>
    </row>
    <row r="651" spans="2:3" x14ac:dyDescent="0.15">
      <c r="B651" s="44"/>
      <c r="C651" s="44"/>
    </row>
    <row r="652" spans="2:3" x14ac:dyDescent="0.15">
      <c r="B652" s="44"/>
      <c r="C652" s="44"/>
    </row>
    <row r="653" spans="2:3" x14ac:dyDescent="0.15">
      <c r="B653" s="44"/>
      <c r="C653" s="44"/>
    </row>
    <row r="654" spans="2:3" x14ac:dyDescent="0.15">
      <c r="B654" s="44"/>
      <c r="C654" s="44"/>
    </row>
    <row r="655" spans="2:3" x14ac:dyDescent="0.15">
      <c r="B655" s="44"/>
      <c r="C655" s="44"/>
    </row>
    <row r="656" spans="2:3" x14ac:dyDescent="0.15">
      <c r="B656" s="44"/>
      <c r="C656" s="44"/>
    </row>
    <row r="657" spans="2:3" x14ac:dyDescent="0.15">
      <c r="B657" s="44"/>
      <c r="C657" s="44"/>
    </row>
    <row r="658" spans="2:3" x14ac:dyDescent="0.15">
      <c r="B658" s="44"/>
      <c r="C658" s="44"/>
    </row>
    <row r="659" spans="2:3" x14ac:dyDescent="0.15">
      <c r="B659" s="44"/>
      <c r="C659" s="44"/>
    </row>
    <row r="660" spans="2:3" x14ac:dyDescent="0.15">
      <c r="B660" s="44"/>
      <c r="C660" s="44"/>
    </row>
    <row r="661" spans="2:3" x14ac:dyDescent="0.15">
      <c r="B661" s="44"/>
      <c r="C661" s="44"/>
    </row>
    <row r="662" spans="2:3" x14ac:dyDescent="0.15">
      <c r="B662" s="44"/>
      <c r="C662" s="44"/>
    </row>
    <row r="663" spans="2:3" x14ac:dyDescent="0.15">
      <c r="B663" s="44"/>
      <c r="C663" s="44"/>
    </row>
    <row r="664" spans="2:3" x14ac:dyDescent="0.15">
      <c r="B664" s="44"/>
      <c r="C664" s="44"/>
    </row>
    <row r="665" spans="2:3" x14ac:dyDescent="0.15">
      <c r="B665" s="44"/>
      <c r="C665" s="44"/>
    </row>
    <row r="666" spans="2:3" x14ac:dyDescent="0.15">
      <c r="B666" s="44"/>
      <c r="C666" s="44"/>
    </row>
    <row r="667" spans="2:3" x14ac:dyDescent="0.15">
      <c r="B667" s="44"/>
      <c r="C667" s="44"/>
    </row>
    <row r="668" spans="2:3" x14ac:dyDescent="0.15">
      <c r="B668" s="44"/>
      <c r="C668" s="44"/>
    </row>
    <row r="669" spans="2:3" x14ac:dyDescent="0.15">
      <c r="B669" s="44"/>
      <c r="C669" s="44"/>
    </row>
    <row r="670" spans="2:3" x14ac:dyDescent="0.15">
      <c r="B670" s="44"/>
      <c r="C670" s="44"/>
    </row>
    <row r="671" spans="2:3" x14ac:dyDescent="0.15">
      <c r="B671" s="44"/>
      <c r="C671" s="44"/>
    </row>
    <row r="672" spans="2:3" x14ac:dyDescent="0.15">
      <c r="B672" s="44"/>
      <c r="C672" s="44"/>
    </row>
    <row r="673" spans="2:3" x14ac:dyDescent="0.15">
      <c r="B673" s="44"/>
      <c r="C673" s="44"/>
    </row>
    <row r="674" spans="2:3" x14ac:dyDescent="0.15">
      <c r="B674" s="44"/>
      <c r="C674" s="44"/>
    </row>
    <row r="675" spans="2:3" x14ac:dyDescent="0.15">
      <c r="B675" s="44"/>
      <c r="C675" s="44"/>
    </row>
    <row r="676" spans="2:3" x14ac:dyDescent="0.15">
      <c r="B676" s="44"/>
      <c r="C676" s="44"/>
    </row>
    <row r="677" spans="2:3" x14ac:dyDescent="0.15">
      <c r="B677" s="44"/>
      <c r="C677" s="44"/>
    </row>
    <row r="678" spans="2:3" x14ac:dyDescent="0.15">
      <c r="B678" s="44"/>
      <c r="C678" s="44"/>
    </row>
    <row r="679" spans="2:3" x14ac:dyDescent="0.15">
      <c r="B679" s="44"/>
      <c r="C679" s="44"/>
    </row>
    <row r="680" spans="2:3" x14ac:dyDescent="0.15">
      <c r="B680" s="44"/>
      <c r="C680" s="44"/>
    </row>
    <row r="681" spans="2:3" x14ac:dyDescent="0.15">
      <c r="B681" s="44"/>
      <c r="C681" s="44"/>
    </row>
    <row r="682" spans="2:3" x14ac:dyDescent="0.15">
      <c r="B682" s="44"/>
      <c r="C682" s="44"/>
    </row>
    <row r="683" spans="2:3" x14ac:dyDescent="0.15">
      <c r="B683" s="44"/>
      <c r="C683" s="44"/>
    </row>
    <row r="684" spans="2:3" x14ac:dyDescent="0.15">
      <c r="B684" s="44"/>
      <c r="C684" s="44"/>
    </row>
    <row r="685" spans="2:3" x14ac:dyDescent="0.15">
      <c r="B685" s="44"/>
      <c r="C685" s="44"/>
    </row>
    <row r="686" spans="2:3" x14ac:dyDescent="0.15">
      <c r="B686" s="44"/>
      <c r="C686" s="44"/>
    </row>
    <row r="687" spans="2:3" x14ac:dyDescent="0.15">
      <c r="B687" s="44"/>
      <c r="C687" s="44"/>
    </row>
    <row r="688" spans="2:3" x14ac:dyDescent="0.15">
      <c r="B688" s="44"/>
      <c r="C688" s="44"/>
    </row>
    <row r="689" spans="2:3" x14ac:dyDescent="0.15">
      <c r="B689" s="44"/>
      <c r="C689" s="44"/>
    </row>
    <row r="690" spans="2:3" x14ac:dyDescent="0.15">
      <c r="B690" s="44"/>
      <c r="C690" s="44"/>
    </row>
    <row r="691" spans="2:3" x14ac:dyDescent="0.15">
      <c r="B691" s="44"/>
      <c r="C691" s="44"/>
    </row>
    <row r="692" spans="2:3" x14ac:dyDescent="0.15">
      <c r="B692" s="44"/>
      <c r="C692" s="44"/>
    </row>
    <row r="693" spans="2:3" x14ac:dyDescent="0.15">
      <c r="B693" s="44"/>
      <c r="C693" s="44"/>
    </row>
    <row r="694" spans="2:3" x14ac:dyDescent="0.15">
      <c r="B694" s="44"/>
      <c r="C694" s="44"/>
    </row>
    <row r="695" spans="2:3" x14ac:dyDescent="0.15">
      <c r="B695" s="44"/>
      <c r="C695" s="44"/>
    </row>
    <row r="696" spans="2:3" x14ac:dyDescent="0.15">
      <c r="B696" s="44"/>
      <c r="C696" s="44"/>
    </row>
    <row r="697" spans="2:3" x14ac:dyDescent="0.15">
      <c r="B697" s="44"/>
      <c r="C697" s="44"/>
    </row>
    <row r="698" spans="2:3" x14ac:dyDescent="0.15">
      <c r="B698" s="44"/>
      <c r="C698" s="44"/>
    </row>
    <row r="699" spans="2:3" x14ac:dyDescent="0.15">
      <c r="B699" s="44"/>
      <c r="C699" s="44"/>
    </row>
    <row r="700" spans="2:3" x14ac:dyDescent="0.15">
      <c r="B700" s="44"/>
      <c r="C700" s="44"/>
    </row>
    <row r="701" spans="2:3" x14ac:dyDescent="0.15">
      <c r="B701" s="44"/>
      <c r="C701" s="44"/>
    </row>
    <row r="702" spans="2:3" x14ac:dyDescent="0.15">
      <c r="B702" s="44"/>
      <c r="C702" s="44"/>
    </row>
    <row r="703" spans="2:3" x14ac:dyDescent="0.15">
      <c r="B703" s="44"/>
      <c r="C703" s="44"/>
    </row>
    <row r="704" spans="2:3" x14ac:dyDescent="0.15">
      <c r="B704" s="44"/>
      <c r="C704" s="44"/>
    </row>
    <row r="705" spans="2:3" x14ac:dyDescent="0.15">
      <c r="B705" s="44"/>
      <c r="C705" s="44"/>
    </row>
    <row r="706" spans="2:3" x14ac:dyDescent="0.15">
      <c r="B706" s="44"/>
      <c r="C706" s="44"/>
    </row>
    <row r="707" spans="2:3" x14ac:dyDescent="0.15">
      <c r="B707" s="44"/>
      <c r="C707" s="44"/>
    </row>
    <row r="708" spans="2:3" x14ac:dyDescent="0.15">
      <c r="B708" s="44"/>
      <c r="C708" s="44"/>
    </row>
    <row r="709" spans="2:3" x14ac:dyDescent="0.15">
      <c r="B709" s="44"/>
      <c r="C709" s="44"/>
    </row>
    <row r="710" spans="2:3" x14ac:dyDescent="0.15">
      <c r="B710" s="44"/>
      <c r="C710" s="44"/>
    </row>
    <row r="711" spans="2:3" x14ac:dyDescent="0.15">
      <c r="B711" s="44"/>
      <c r="C711" s="44"/>
    </row>
    <row r="712" spans="2:3" x14ac:dyDescent="0.15">
      <c r="B712" s="44"/>
      <c r="C712" s="44"/>
    </row>
    <row r="713" spans="2:3" x14ac:dyDescent="0.15">
      <c r="B713" s="44"/>
      <c r="C713" s="44"/>
    </row>
    <row r="714" spans="2:3" x14ac:dyDescent="0.15">
      <c r="B714" s="44"/>
      <c r="C714" s="44"/>
    </row>
    <row r="715" spans="2:3" x14ac:dyDescent="0.15">
      <c r="B715" s="44"/>
      <c r="C715" s="44"/>
    </row>
    <row r="716" spans="2:3" x14ac:dyDescent="0.15">
      <c r="B716" s="44"/>
      <c r="C716" s="44"/>
    </row>
    <row r="717" spans="2:3" x14ac:dyDescent="0.15">
      <c r="B717" s="44"/>
      <c r="C717" s="44"/>
    </row>
    <row r="718" spans="2:3" x14ac:dyDescent="0.15">
      <c r="B718" s="44"/>
      <c r="C718" s="44"/>
    </row>
    <row r="719" spans="2:3" x14ac:dyDescent="0.15">
      <c r="B719" s="44"/>
      <c r="C719" s="44"/>
    </row>
    <row r="720" spans="2:3" x14ac:dyDescent="0.15">
      <c r="B720" s="44"/>
      <c r="C720" s="44"/>
    </row>
    <row r="721" spans="2:3" x14ac:dyDescent="0.15">
      <c r="B721" s="44"/>
      <c r="C721" s="44"/>
    </row>
    <row r="722" spans="2:3" x14ac:dyDescent="0.15">
      <c r="B722" s="44"/>
      <c r="C722" s="44"/>
    </row>
    <row r="723" spans="2:3" x14ac:dyDescent="0.15">
      <c r="B723" s="44"/>
      <c r="C723" s="44"/>
    </row>
    <row r="724" spans="2:3" x14ac:dyDescent="0.15">
      <c r="B724" s="44"/>
      <c r="C724" s="44"/>
    </row>
    <row r="725" spans="2:3" x14ac:dyDescent="0.15">
      <c r="B725" s="44"/>
      <c r="C725" s="44"/>
    </row>
    <row r="726" spans="2:3" x14ac:dyDescent="0.15">
      <c r="B726" s="44"/>
      <c r="C726" s="44"/>
    </row>
    <row r="727" spans="2:3" x14ac:dyDescent="0.15">
      <c r="B727" s="44"/>
      <c r="C727" s="44"/>
    </row>
    <row r="728" spans="2:3" x14ac:dyDescent="0.15">
      <c r="B728" s="44"/>
      <c r="C728" s="44"/>
    </row>
    <row r="729" spans="2:3" x14ac:dyDescent="0.15">
      <c r="B729" s="44"/>
      <c r="C729" s="44"/>
    </row>
    <row r="730" spans="2:3" x14ac:dyDescent="0.15">
      <c r="B730" s="44"/>
      <c r="C730" s="44"/>
    </row>
    <row r="731" spans="2:3" x14ac:dyDescent="0.15">
      <c r="B731" s="44"/>
      <c r="C731" s="44"/>
    </row>
    <row r="732" spans="2:3" x14ac:dyDescent="0.15">
      <c r="B732" s="44"/>
      <c r="C732" s="44"/>
    </row>
    <row r="733" spans="2:3" x14ac:dyDescent="0.15">
      <c r="B733" s="44"/>
      <c r="C733" s="44"/>
    </row>
    <row r="734" spans="2:3" x14ac:dyDescent="0.15">
      <c r="B734" s="44"/>
      <c r="C734" s="44"/>
    </row>
    <row r="735" spans="2:3" x14ac:dyDescent="0.15">
      <c r="B735" s="44"/>
      <c r="C735" s="44"/>
    </row>
    <row r="736" spans="2:3" x14ac:dyDescent="0.15">
      <c r="B736" s="44"/>
      <c r="C736" s="44"/>
    </row>
    <row r="737" spans="2:3" x14ac:dyDescent="0.15">
      <c r="B737" s="44"/>
      <c r="C737" s="44"/>
    </row>
    <row r="738" spans="2:3" x14ac:dyDescent="0.15">
      <c r="B738" s="44"/>
      <c r="C738" s="44"/>
    </row>
    <row r="739" spans="2:3" x14ac:dyDescent="0.15">
      <c r="B739" s="44"/>
      <c r="C739" s="44"/>
    </row>
    <row r="740" spans="2:3" x14ac:dyDescent="0.15">
      <c r="B740" s="44"/>
      <c r="C740" s="44"/>
    </row>
    <row r="741" spans="2:3" x14ac:dyDescent="0.15">
      <c r="B741" s="44"/>
      <c r="C741" s="44"/>
    </row>
    <row r="742" spans="2:3" x14ac:dyDescent="0.15">
      <c r="B742" s="44"/>
      <c r="C742" s="44"/>
    </row>
    <row r="743" spans="2:3" x14ac:dyDescent="0.15">
      <c r="B743" s="44"/>
      <c r="C743" s="44"/>
    </row>
    <row r="744" spans="2:3" x14ac:dyDescent="0.15">
      <c r="B744" s="44"/>
      <c r="C744" s="44"/>
    </row>
    <row r="745" spans="2:3" x14ac:dyDescent="0.15">
      <c r="B745" s="44"/>
      <c r="C745" s="44"/>
    </row>
    <row r="746" spans="2:3" x14ac:dyDescent="0.15">
      <c r="B746" s="44"/>
      <c r="C746" s="44"/>
    </row>
    <row r="747" spans="2:3" x14ac:dyDescent="0.15">
      <c r="B747" s="44"/>
      <c r="C747" s="44"/>
    </row>
    <row r="748" spans="2:3" x14ac:dyDescent="0.15">
      <c r="B748" s="44"/>
      <c r="C748" s="44"/>
    </row>
    <row r="749" spans="2:3" x14ac:dyDescent="0.15">
      <c r="B749" s="44"/>
      <c r="C749" s="44"/>
    </row>
    <row r="750" spans="2:3" x14ac:dyDescent="0.15">
      <c r="B750" s="44"/>
      <c r="C750" s="44"/>
    </row>
    <row r="751" spans="2:3" x14ac:dyDescent="0.15">
      <c r="B751" s="44"/>
      <c r="C751" s="44"/>
    </row>
    <row r="752" spans="2:3" x14ac:dyDescent="0.15">
      <c r="B752" s="44"/>
      <c r="C752" s="44"/>
    </row>
    <row r="753" spans="2:3" x14ac:dyDescent="0.15">
      <c r="B753" s="44"/>
      <c r="C753" s="44"/>
    </row>
    <row r="754" spans="2:3" x14ac:dyDescent="0.15">
      <c r="B754" s="44"/>
      <c r="C754" s="44"/>
    </row>
    <row r="755" spans="2:3" x14ac:dyDescent="0.15">
      <c r="B755" s="44"/>
      <c r="C755" s="44"/>
    </row>
    <row r="756" spans="2:3" x14ac:dyDescent="0.15">
      <c r="B756" s="44"/>
      <c r="C756" s="44"/>
    </row>
    <row r="757" spans="2:3" x14ac:dyDescent="0.15">
      <c r="B757" s="44"/>
      <c r="C757" s="44"/>
    </row>
    <row r="758" spans="2:3" x14ac:dyDescent="0.15">
      <c r="B758" s="44"/>
      <c r="C758" s="44"/>
    </row>
    <row r="759" spans="2:3" x14ac:dyDescent="0.15">
      <c r="B759" s="44"/>
      <c r="C759" s="44"/>
    </row>
    <row r="760" spans="2:3" x14ac:dyDescent="0.15">
      <c r="B760" s="44"/>
      <c r="C760" s="44"/>
    </row>
    <row r="761" spans="2:3" x14ac:dyDescent="0.15">
      <c r="B761" s="44"/>
      <c r="C761" s="44"/>
    </row>
    <row r="762" spans="2:3" x14ac:dyDescent="0.15">
      <c r="B762" s="44"/>
      <c r="C762" s="44"/>
    </row>
    <row r="763" spans="2:3" x14ac:dyDescent="0.15">
      <c r="B763" s="44"/>
      <c r="C763" s="44"/>
    </row>
    <row r="764" spans="2:3" x14ac:dyDescent="0.15">
      <c r="B764" s="44"/>
      <c r="C764" s="44"/>
    </row>
    <row r="765" spans="2:3" x14ac:dyDescent="0.15">
      <c r="B765" s="44"/>
      <c r="C765" s="44"/>
    </row>
    <row r="766" spans="2:3" x14ac:dyDescent="0.15">
      <c r="B766" s="44"/>
      <c r="C766" s="44"/>
    </row>
    <row r="767" spans="2:3" x14ac:dyDescent="0.15">
      <c r="B767" s="44"/>
      <c r="C767" s="44"/>
    </row>
    <row r="768" spans="2:3" x14ac:dyDescent="0.15">
      <c r="B768" s="44"/>
      <c r="C768" s="44"/>
    </row>
    <row r="769" spans="2:3" x14ac:dyDescent="0.15">
      <c r="B769" s="44"/>
      <c r="C769" s="44"/>
    </row>
    <row r="770" spans="2:3" x14ac:dyDescent="0.15">
      <c r="B770" s="44"/>
      <c r="C770" s="44"/>
    </row>
    <row r="771" spans="2:3" x14ac:dyDescent="0.15">
      <c r="B771" s="44"/>
      <c r="C771" s="44"/>
    </row>
    <row r="772" spans="2:3" x14ac:dyDescent="0.15">
      <c r="B772" s="44"/>
      <c r="C772" s="44"/>
    </row>
    <row r="773" spans="2:3" x14ac:dyDescent="0.15">
      <c r="B773" s="44"/>
      <c r="C773" s="44"/>
    </row>
    <row r="774" spans="2:3" x14ac:dyDescent="0.15">
      <c r="B774" s="44"/>
      <c r="C774" s="44"/>
    </row>
    <row r="775" spans="2:3" x14ac:dyDescent="0.15">
      <c r="B775" s="44"/>
      <c r="C775" s="44"/>
    </row>
    <row r="776" spans="2:3" x14ac:dyDescent="0.15">
      <c r="B776" s="44"/>
      <c r="C776" s="44"/>
    </row>
    <row r="777" spans="2:3" x14ac:dyDescent="0.15">
      <c r="B777" s="44"/>
      <c r="C777" s="44"/>
    </row>
    <row r="778" spans="2:3" x14ac:dyDescent="0.15">
      <c r="B778" s="44"/>
      <c r="C778" s="44"/>
    </row>
    <row r="779" spans="2:3" x14ac:dyDescent="0.15">
      <c r="B779" s="44"/>
      <c r="C779" s="44"/>
    </row>
    <row r="780" spans="2:3" x14ac:dyDescent="0.15">
      <c r="B780" s="44"/>
      <c r="C780" s="44"/>
    </row>
    <row r="781" spans="2:3" x14ac:dyDescent="0.15">
      <c r="B781" s="44"/>
      <c r="C781" s="44"/>
    </row>
    <row r="782" spans="2:3" x14ac:dyDescent="0.15">
      <c r="B782" s="44"/>
      <c r="C782" s="44"/>
    </row>
    <row r="783" spans="2:3" x14ac:dyDescent="0.15">
      <c r="B783" s="44"/>
      <c r="C783" s="44"/>
    </row>
    <row r="784" spans="2:3" x14ac:dyDescent="0.15">
      <c r="B784" s="44"/>
      <c r="C784" s="44"/>
    </row>
    <row r="785" spans="2:3" x14ac:dyDescent="0.15">
      <c r="B785" s="44"/>
      <c r="C785" s="44"/>
    </row>
    <row r="786" spans="2:3" x14ac:dyDescent="0.15">
      <c r="B786" s="44"/>
      <c r="C786" s="44"/>
    </row>
    <row r="787" spans="2:3" x14ac:dyDescent="0.15">
      <c r="B787" s="44"/>
      <c r="C787" s="44"/>
    </row>
    <row r="788" spans="2:3" x14ac:dyDescent="0.15">
      <c r="B788" s="44"/>
      <c r="C788" s="44"/>
    </row>
    <row r="789" spans="2:3" x14ac:dyDescent="0.15">
      <c r="B789" s="44"/>
      <c r="C789" s="44"/>
    </row>
    <row r="790" spans="2:3" x14ac:dyDescent="0.15">
      <c r="B790" s="44"/>
      <c r="C790" s="44"/>
    </row>
    <row r="791" spans="2:3" x14ac:dyDescent="0.15">
      <c r="B791" s="44"/>
      <c r="C791" s="44"/>
    </row>
    <row r="792" spans="2:3" x14ac:dyDescent="0.15">
      <c r="B792" s="44"/>
      <c r="C792" s="44"/>
    </row>
    <row r="793" spans="2:3" x14ac:dyDescent="0.15">
      <c r="B793" s="44"/>
      <c r="C793" s="44"/>
    </row>
    <row r="794" spans="2:3" x14ac:dyDescent="0.15">
      <c r="B794" s="44"/>
      <c r="C794" s="44"/>
    </row>
    <row r="795" spans="2:3" x14ac:dyDescent="0.15">
      <c r="B795" s="44"/>
      <c r="C795" s="44"/>
    </row>
    <row r="796" spans="2:3" x14ac:dyDescent="0.15">
      <c r="B796" s="44"/>
      <c r="C796" s="44"/>
    </row>
    <row r="797" spans="2:3" x14ac:dyDescent="0.15">
      <c r="B797" s="44"/>
      <c r="C797" s="44"/>
    </row>
    <row r="798" spans="2:3" x14ac:dyDescent="0.15">
      <c r="B798" s="44"/>
      <c r="C798" s="44"/>
    </row>
    <row r="799" spans="2:3" x14ac:dyDescent="0.15">
      <c r="B799" s="44"/>
      <c r="C799" s="44"/>
    </row>
    <row r="800" spans="2:3" x14ac:dyDescent="0.15">
      <c r="B800" s="44"/>
      <c r="C800" s="44"/>
    </row>
    <row r="801" spans="2:3" x14ac:dyDescent="0.15">
      <c r="B801" s="44"/>
      <c r="C801" s="44"/>
    </row>
    <row r="802" spans="2:3" x14ac:dyDescent="0.15">
      <c r="B802" s="44"/>
      <c r="C802" s="44"/>
    </row>
    <row r="803" spans="2:3" x14ac:dyDescent="0.15">
      <c r="B803" s="44"/>
      <c r="C803" s="44"/>
    </row>
    <row r="804" spans="2:3" x14ac:dyDescent="0.15">
      <c r="B804" s="44"/>
      <c r="C804" s="44"/>
    </row>
    <row r="805" spans="2:3" x14ac:dyDescent="0.15">
      <c r="B805" s="44"/>
      <c r="C805" s="44"/>
    </row>
    <row r="806" spans="2:3" x14ac:dyDescent="0.15">
      <c r="B806" s="44"/>
      <c r="C806" s="44"/>
    </row>
    <row r="807" spans="2:3" x14ac:dyDescent="0.15">
      <c r="B807" s="44"/>
      <c r="C807" s="44"/>
    </row>
    <row r="808" spans="2:3" x14ac:dyDescent="0.15">
      <c r="B808" s="44"/>
      <c r="C808" s="44"/>
    </row>
    <row r="809" spans="2:3" x14ac:dyDescent="0.15">
      <c r="B809" s="44"/>
      <c r="C809" s="44"/>
    </row>
    <row r="810" spans="2:3" x14ac:dyDescent="0.15">
      <c r="B810" s="44"/>
      <c r="C810" s="44"/>
    </row>
    <row r="811" spans="2:3" x14ac:dyDescent="0.15">
      <c r="B811" s="44"/>
      <c r="C811" s="44"/>
    </row>
    <row r="812" spans="2:3" x14ac:dyDescent="0.15">
      <c r="B812" s="44"/>
      <c r="C812" s="44"/>
    </row>
    <row r="813" spans="2:3" x14ac:dyDescent="0.15">
      <c r="B813" s="44"/>
      <c r="C813" s="44"/>
    </row>
    <row r="814" spans="2:3" x14ac:dyDescent="0.15">
      <c r="B814" s="44"/>
      <c r="C814" s="44"/>
    </row>
    <row r="815" spans="2:3" x14ac:dyDescent="0.15">
      <c r="B815" s="44"/>
      <c r="C815" s="44"/>
    </row>
    <row r="816" spans="2:3" x14ac:dyDescent="0.15">
      <c r="B816" s="44"/>
      <c r="C816" s="44"/>
    </row>
    <row r="817" spans="2:3" x14ac:dyDescent="0.15">
      <c r="B817" s="44"/>
      <c r="C817" s="44"/>
    </row>
    <row r="818" spans="2:3" x14ac:dyDescent="0.15">
      <c r="B818" s="44"/>
      <c r="C818" s="44"/>
    </row>
    <row r="819" spans="2:3" x14ac:dyDescent="0.15">
      <c r="B819" s="44"/>
      <c r="C819" s="44"/>
    </row>
    <row r="820" spans="2:3" x14ac:dyDescent="0.15">
      <c r="B820" s="44"/>
      <c r="C820" s="44"/>
    </row>
    <row r="821" spans="2:3" x14ac:dyDescent="0.15">
      <c r="B821" s="44"/>
      <c r="C821" s="44"/>
    </row>
    <row r="822" spans="2:3" x14ac:dyDescent="0.15">
      <c r="B822" s="44"/>
      <c r="C822" s="44"/>
    </row>
    <row r="823" spans="2:3" x14ac:dyDescent="0.15">
      <c r="B823" s="44"/>
      <c r="C823" s="44"/>
    </row>
    <row r="824" spans="2:3" x14ac:dyDescent="0.15">
      <c r="B824" s="44"/>
      <c r="C824" s="44"/>
    </row>
    <row r="825" spans="2:3" x14ac:dyDescent="0.15">
      <c r="B825" s="44"/>
      <c r="C825" s="44"/>
    </row>
    <row r="826" spans="2:3" x14ac:dyDescent="0.15">
      <c r="B826" s="44"/>
      <c r="C826" s="44"/>
    </row>
    <row r="827" spans="2:3" x14ac:dyDescent="0.15">
      <c r="B827" s="44"/>
      <c r="C827" s="44"/>
    </row>
    <row r="828" spans="2:3" x14ac:dyDescent="0.15">
      <c r="B828" s="44"/>
      <c r="C828" s="44"/>
    </row>
    <row r="829" spans="2:3" x14ac:dyDescent="0.15">
      <c r="B829" s="44"/>
      <c r="C829" s="44"/>
    </row>
    <row r="830" spans="2:3" x14ac:dyDescent="0.15">
      <c r="B830" s="44"/>
      <c r="C830" s="44"/>
    </row>
    <row r="831" spans="2:3" x14ac:dyDescent="0.15">
      <c r="B831" s="44"/>
      <c r="C831" s="44"/>
    </row>
    <row r="832" spans="2:3" x14ac:dyDescent="0.15">
      <c r="B832" s="44"/>
      <c r="C832" s="44"/>
    </row>
    <row r="833" spans="2:3" x14ac:dyDescent="0.15">
      <c r="B833" s="44"/>
      <c r="C833" s="44"/>
    </row>
    <row r="834" spans="2:3" x14ac:dyDescent="0.15">
      <c r="B834" s="44"/>
      <c r="C834" s="44"/>
    </row>
    <row r="835" spans="2:3" x14ac:dyDescent="0.15">
      <c r="B835" s="44"/>
      <c r="C835" s="44"/>
    </row>
    <row r="836" spans="2:3" x14ac:dyDescent="0.15">
      <c r="B836" s="44"/>
      <c r="C836" s="44"/>
    </row>
    <row r="837" spans="2:3" x14ac:dyDescent="0.15">
      <c r="B837" s="44"/>
      <c r="C837" s="44"/>
    </row>
    <row r="838" spans="2:3" x14ac:dyDescent="0.15">
      <c r="B838" s="44"/>
      <c r="C838" s="44"/>
    </row>
    <row r="839" spans="2:3" x14ac:dyDescent="0.15">
      <c r="B839" s="44"/>
      <c r="C839" s="44"/>
    </row>
    <row r="840" spans="2:3" x14ac:dyDescent="0.15">
      <c r="B840" s="44"/>
      <c r="C840" s="44"/>
    </row>
    <row r="841" spans="2:3" x14ac:dyDescent="0.15">
      <c r="B841" s="44"/>
      <c r="C841" s="44"/>
    </row>
    <row r="842" spans="2:3" x14ac:dyDescent="0.15">
      <c r="B842" s="44"/>
      <c r="C842" s="44"/>
    </row>
    <row r="843" spans="2:3" x14ac:dyDescent="0.15">
      <c r="B843" s="44"/>
      <c r="C843" s="44"/>
    </row>
    <row r="844" spans="2:3" x14ac:dyDescent="0.15">
      <c r="B844" s="44"/>
      <c r="C844" s="44"/>
    </row>
    <row r="845" spans="2:3" x14ac:dyDescent="0.15">
      <c r="B845" s="44"/>
      <c r="C845" s="44"/>
    </row>
    <row r="846" spans="2:3" x14ac:dyDescent="0.15">
      <c r="B846" s="44"/>
      <c r="C846" s="44"/>
    </row>
    <row r="847" spans="2:3" x14ac:dyDescent="0.15">
      <c r="B847" s="44"/>
      <c r="C847" s="44"/>
    </row>
    <row r="848" spans="2:3" x14ac:dyDescent="0.15">
      <c r="B848" s="44"/>
      <c r="C848" s="44"/>
    </row>
    <row r="849" spans="2:3" x14ac:dyDescent="0.15">
      <c r="B849" s="44"/>
      <c r="C849" s="44"/>
    </row>
    <row r="850" spans="2:3" x14ac:dyDescent="0.15">
      <c r="B850" s="44"/>
      <c r="C850" s="44"/>
    </row>
    <row r="851" spans="2:3" x14ac:dyDescent="0.15">
      <c r="B851" s="44"/>
      <c r="C851" s="44"/>
    </row>
    <row r="852" spans="2:3" x14ac:dyDescent="0.15">
      <c r="B852" s="44"/>
      <c r="C852" s="44"/>
    </row>
    <row r="853" spans="2:3" x14ac:dyDescent="0.15">
      <c r="B853" s="44"/>
      <c r="C853" s="44"/>
    </row>
    <row r="854" spans="2:3" x14ac:dyDescent="0.15">
      <c r="B854" s="44"/>
      <c r="C854" s="44"/>
    </row>
    <row r="855" spans="2:3" x14ac:dyDescent="0.15">
      <c r="B855" s="44"/>
      <c r="C855" s="44"/>
    </row>
    <row r="856" spans="2:3" x14ac:dyDescent="0.15">
      <c r="B856" s="44"/>
      <c r="C856" s="44"/>
    </row>
    <row r="857" spans="2:3" x14ac:dyDescent="0.15">
      <c r="B857" s="44"/>
      <c r="C857" s="44"/>
    </row>
    <row r="858" spans="2:3" x14ac:dyDescent="0.15">
      <c r="B858" s="44"/>
      <c r="C858" s="44"/>
    </row>
    <row r="859" spans="2:3" x14ac:dyDescent="0.15">
      <c r="B859" s="44"/>
      <c r="C859" s="44"/>
    </row>
    <row r="860" spans="2:3" x14ac:dyDescent="0.15">
      <c r="B860" s="44"/>
      <c r="C860" s="44"/>
    </row>
    <row r="861" spans="2:3" x14ac:dyDescent="0.15">
      <c r="B861" s="44"/>
      <c r="C861" s="44"/>
    </row>
    <row r="862" spans="2:3" x14ac:dyDescent="0.15">
      <c r="B862" s="44"/>
      <c r="C862" s="44"/>
    </row>
    <row r="863" spans="2:3" x14ac:dyDescent="0.15">
      <c r="B863" s="44"/>
      <c r="C863" s="44"/>
    </row>
    <row r="864" spans="2:3" x14ac:dyDescent="0.15">
      <c r="B864" s="44"/>
      <c r="C864" s="44"/>
    </row>
    <row r="865" spans="2:3" x14ac:dyDescent="0.15">
      <c r="B865" s="44"/>
      <c r="C865" s="44"/>
    </row>
    <row r="866" spans="2:3" x14ac:dyDescent="0.15">
      <c r="B866" s="44"/>
      <c r="C866" s="44"/>
    </row>
    <row r="867" spans="2:3" x14ac:dyDescent="0.15">
      <c r="B867" s="44"/>
      <c r="C867" s="44"/>
    </row>
    <row r="868" spans="2:3" x14ac:dyDescent="0.15">
      <c r="B868" s="44"/>
      <c r="C868" s="44"/>
    </row>
    <row r="869" spans="2:3" x14ac:dyDescent="0.15">
      <c r="B869" s="44"/>
      <c r="C869" s="44"/>
    </row>
    <row r="870" spans="2:3" x14ac:dyDescent="0.15">
      <c r="B870" s="44"/>
      <c r="C870" s="44"/>
    </row>
    <row r="871" spans="2:3" x14ac:dyDescent="0.15">
      <c r="B871" s="44"/>
      <c r="C871" s="44"/>
    </row>
    <row r="872" spans="2:3" x14ac:dyDescent="0.15">
      <c r="B872" s="44"/>
      <c r="C872" s="44"/>
    </row>
    <row r="873" spans="2:3" x14ac:dyDescent="0.15">
      <c r="B873" s="44"/>
      <c r="C873" s="44"/>
    </row>
    <row r="874" spans="2:3" x14ac:dyDescent="0.15">
      <c r="B874" s="44"/>
      <c r="C874" s="44"/>
    </row>
    <row r="875" spans="2:3" x14ac:dyDescent="0.15">
      <c r="B875" s="44"/>
      <c r="C875" s="44"/>
    </row>
    <row r="876" spans="2:3" x14ac:dyDescent="0.15">
      <c r="B876" s="44"/>
      <c r="C876" s="44"/>
    </row>
    <row r="877" spans="2:3" x14ac:dyDescent="0.15">
      <c r="B877" s="44"/>
      <c r="C877" s="44"/>
    </row>
    <row r="878" spans="2:3" x14ac:dyDescent="0.15">
      <c r="B878" s="44"/>
      <c r="C878" s="44"/>
    </row>
    <row r="879" spans="2:3" x14ac:dyDescent="0.15">
      <c r="B879" s="44"/>
      <c r="C879" s="44"/>
    </row>
    <row r="880" spans="2:3" x14ac:dyDescent="0.15">
      <c r="B880" s="44"/>
      <c r="C880" s="44"/>
    </row>
    <row r="881" spans="2:3" x14ac:dyDescent="0.15">
      <c r="B881" s="44"/>
      <c r="C881" s="44"/>
    </row>
    <row r="882" spans="2:3" x14ac:dyDescent="0.15">
      <c r="B882" s="44"/>
      <c r="C882" s="44"/>
    </row>
    <row r="883" spans="2:3" x14ac:dyDescent="0.15">
      <c r="B883" s="44"/>
      <c r="C883" s="44"/>
    </row>
    <row r="884" spans="2:3" x14ac:dyDescent="0.15">
      <c r="B884" s="44"/>
      <c r="C884" s="44"/>
    </row>
    <row r="885" spans="2:3" x14ac:dyDescent="0.15">
      <c r="B885" s="44"/>
      <c r="C885" s="44"/>
    </row>
    <row r="886" spans="2:3" x14ac:dyDescent="0.15">
      <c r="B886" s="44"/>
      <c r="C886" s="44"/>
    </row>
  </sheetData>
  <autoFilter ref="B1:C248">
    <sortState ref="B2:C269">
      <sortCondition ref="B1:B248"/>
    </sortState>
  </autoFilter>
  <phoneticPr fontId="1"/>
  <conditionalFormatting sqref="B252:B1048576 B1:B249">
    <cfRule type="duplicateValues" dxfId="2" priority="2"/>
  </conditionalFormatting>
  <conditionalFormatting sqref="B1:B1048576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1"/>
  <sheetViews>
    <sheetView topLeftCell="A133" workbookViewId="0">
      <selection activeCell="C162" sqref="C162"/>
    </sheetView>
  </sheetViews>
  <sheetFormatPr defaultRowHeight="11.25" x14ac:dyDescent="0.15"/>
  <cols>
    <col min="1" max="1" width="2.875" style="4" customWidth="1"/>
    <col min="2" max="2" width="20.125" style="13" bestFit="1" customWidth="1"/>
    <col min="3" max="3" width="72" style="13" bestFit="1" customWidth="1"/>
    <col min="4" max="16384" width="9" style="4"/>
  </cols>
  <sheetData>
    <row r="1" spans="2:3" x14ac:dyDescent="0.15">
      <c r="B1" s="45" t="s">
        <v>1127</v>
      </c>
      <c r="C1" s="45" t="s">
        <v>1128</v>
      </c>
    </row>
    <row r="2" spans="2:3" x14ac:dyDescent="0.15">
      <c r="B2" s="1" t="s">
        <v>18</v>
      </c>
      <c r="C2" s="1" t="s">
        <v>1130</v>
      </c>
    </row>
    <row r="3" spans="2:3" x14ac:dyDescent="0.15">
      <c r="B3" s="1" t="s">
        <v>214</v>
      </c>
      <c r="C3" s="1" t="s">
        <v>982</v>
      </c>
    </row>
    <row r="4" spans="2:3" x14ac:dyDescent="0.15">
      <c r="B4" s="1" t="s">
        <v>251</v>
      </c>
      <c r="C4" s="1" t="s">
        <v>983</v>
      </c>
    </row>
    <row r="5" spans="2:3" x14ac:dyDescent="0.15">
      <c r="B5" s="1" t="s">
        <v>471</v>
      </c>
      <c r="C5" s="5" t="s">
        <v>1387</v>
      </c>
    </row>
    <row r="6" spans="2:3" x14ac:dyDescent="0.15">
      <c r="B6" s="1" t="s">
        <v>515</v>
      </c>
      <c r="C6" s="5" t="s">
        <v>1427</v>
      </c>
    </row>
    <row r="7" spans="2:3" x14ac:dyDescent="0.15">
      <c r="B7" s="1" t="s">
        <v>148</v>
      </c>
      <c r="C7" s="1" t="s">
        <v>984</v>
      </c>
    </row>
    <row r="8" spans="2:3" x14ac:dyDescent="0.15">
      <c r="B8" s="1" t="s">
        <v>23</v>
      </c>
      <c r="C8" s="1" t="s">
        <v>985</v>
      </c>
    </row>
    <row r="9" spans="2:3" x14ac:dyDescent="0.15">
      <c r="B9" s="1" t="s">
        <v>178</v>
      </c>
      <c r="C9" s="1" t="s">
        <v>986</v>
      </c>
    </row>
    <row r="10" spans="2:3" x14ac:dyDescent="0.15">
      <c r="B10" s="1" t="s">
        <v>453</v>
      </c>
      <c r="C10" s="1" t="s">
        <v>997</v>
      </c>
    </row>
    <row r="11" spans="2:3" x14ac:dyDescent="0.15">
      <c r="B11" s="1" t="s">
        <v>480</v>
      </c>
      <c r="C11" s="1" t="s">
        <v>997</v>
      </c>
    </row>
    <row r="12" spans="2:3" x14ac:dyDescent="0.15">
      <c r="B12" s="1" t="s">
        <v>361</v>
      </c>
      <c r="C12" s="1" t="s">
        <v>987</v>
      </c>
    </row>
    <row r="13" spans="2:3" x14ac:dyDescent="0.15">
      <c r="B13" s="1" t="s">
        <v>81</v>
      </c>
      <c r="C13" s="1" t="s">
        <v>1037</v>
      </c>
    </row>
    <row r="14" spans="2:3" x14ac:dyDescent="0.15">
      <c r="B14" s="1" t="s">
        <v>308</v>
      </c>
      <c r="C14" s="1" t="s">
        <v>1075</v>
      </c>
    </row>
    <row r="15" spans="2:3" x14ac:dyDescent="0.15">
      <c r="B15" s="1" t="s">
        <v>463</v>
      </c>
      <c r="C15" s="1" t="s">
        <v>1104</v>
      </c>
    </row>
    <row r="16" spans="2:3" x14ac:dyDescent="0.15">
      <c r="B16" s="1" t="s">
        <v>176</v>
      </c>
      <c r="C16" s="1" t="s">
        <v>1048</v>
      </c>
    </row>
    <row r="17" spans="2:3" x14ac:dyDescent="0.15">
      <c r="B17" s="1" t="s">
        <v>60</v>
      </c>
      <c r="C17" s="1" t="s">
        <v>1035</v>
      </c>
    </row>
    <row r="18" spans="2:3" x14ac:dyDescent="0.15">
      <c r="B18" s="1" t="s">
        <v>152</v>
      </c>
      <c r="C18" s="1" t="s">
        <v>1045</v>
      </c>
    </row>
    <row r="19" spans="2:3" x14ac:dyDescent="0.15">
      <c r="B19" s="1" t="s">
        <v>457</v>
      </c>
      <c r="C19" s="1" t="s">
        <v>1001</v>
      </c>
    </row>
    <row r="20" spans="2:3" x14ac:dyDescent="0.15">
      <c r="B20" s="1" t="s">
        <v>499</v>
      </c>
      <c r="C20" s="1" t="s">
        <v>1001</v>
      </c>
    </row>
    <row r="21" spans="2:3" x14ac:dyDescent="0.15">
      <c r="B21" s="1" t="s">
        <v>374</v>
      </c>
      <c r="C21" s="1" t="s">
        <v>1088</v>
      </c>
    </row>
    <row r="22" spans="2:3" x14ac:dyDescent="0.15">
      <c r="B22" s="1" t="s">
        <v>83</v>
      </c>
      <c r="C22" s="1" t="s">
        <v>1038</v>
      </c>
    </row>
    <row r="23" spans="2:3" x14ac:dyDescent="0.15">
      <c r="B23" s="1" t="s">
        <v>287</v>
      </c>
      <c r="C23" s="1" t="s">
        <v>1071</v>
      </c>
    </row>
    <row r="24" spans="2:3" x14ac:dyDescent="0.15">
      <c r="B24" s="1" t="s">
        <v>476</v>
      </c>
      <c r="C24" s="1" t="s">
        <v>1105</v>
      </c>
    </row>
    <row r="25" spans="2:3" x14ac:dyDescent="0.15">
      <c r="B25" s="13" t="s">
        <v>1305</v>
      </c>
      <c r="C25" s="13" t="s">
        <v>1306</v>
      </c>
    </row>
    <row r="26" spans="2:3" x14ac:dyDescent="0.15">
      <c r="B26" s="1" t="s">
        <v>520</v>
      </c>
      <c r="C26" s="1" t="s">
        <v>1013</v>
      </c>
    </row>
    <row r="27" spans="2:3" x14ac:dyDescent="0.15">
      <c r="B27" s="1" t="s">
        <v>413</v>
      </c>
      <c r="C27" s="1" t="s">
        <v>1002</v>
      </c>
    </row>
    <row r="28" spans="2:3" x14ac:dyDescent="0.15">
      <c r="B28" s="1" t="s">
        <v>340</v>
      </c>
      <c r="C28" s="1" t="s">
        <v>1082</v>
      </c>
    </row>
    <row r="29" spans="2:3" x14ac:dyDescent="0.15">
      <c r="B29" s="1" t="s">
        <v>341</v>
      </c>
      <c r="C29" s="1" t="s">
        <v>1083</v>
      </c>
    </row>
    <row r="30" spans="2:3" x14ac:dyDescent="0.15">
      <c r="B30" s="1" t="s">
        <v>427</v>
      </c>
      <c r="C30" s="1" t="s">
        <v>1102</v>
      </c>
    </row>
    <row r="31" spans="2:3" x14ac:dyDescent="0.15">
      <c r="B31" s="1" t="s">
        <v>280</v>
      </c>
      <c r="C31" s="1" t="s">
        <v>1068</v>
      </c>
    </row>
    <row r="32" spans="2:3" x14ac:dyDescent="0.15">
      <c r="B32" s="1" t="s">
        <v>281</v>
      </c>
      <c r="C32" s="1" t="s">
        <v>1069</v>
      </c>
    </row>
    <row r="33" spans="2:3" x14ac:dyDescent="0.15">
      <c r="B33" s="1" t="s">
        <v>431</v>
      </c>
      <c r="C33" s="1" t="s">
        <v>1103</v>
      </c>
    </row>
    <row r="34" spans="2:3" x14ac:dyDescent="0.15">
      <c r="B34" s="1" t="s">
        <v>439</v>
      </c>
      <c r="C34" s="1" t="s">
        <v>1003</v>
      </c>
    </row>
    <row r="35" spans="2:3" x14ac:dyDescent="0.15">
      <c r="B35" s="1" t="s">
        <v>216</v>
      </c>
      <c r="C35" s="1" t="s">
        <v>1057</v>
      </c>
    </row>
    <row r="36" spans="2:3" x14ac:dyDescent="0.15">
      <c r="B36" s="1" t="s">
        <v>195</v>
      </c>
      <c r="C36" s="1" t="s">
        <v>1054</v>
      </c>
    </row>
    <row r="37" spans="2:3" x14ac:dyDescent="0.15">
      <c r="B37" s="1" t="s">
        <v>488</v>
      </c>
      <c r="C37" s="1" t="s">
        <v>1108</v>
      </c>
    </row>
    <row r="38" spans="2:3" x14ac:dyDescent="0.15">
      <c r="B38" s="1" t="s">
        <v>399</v>
      </c>
      <c r="C38" s="1" t="s">
        <v>1096</v>
      </c>
    </row>
    <row r="39" spans="2:3" x14ac:dyDescent="0.15">
      <c r="B39" s="1" t="s">
        <v>330</v>
      </c>
      <c r="C39" s="1" t="s">
        <v>1080</v>
      </c>
    </row>
    <row r="40" spans="2:3" x14ac:dyDescent="0.15">
      <c r="B40" s="1" t="s">
        <v>477</v>
      </c>
      <c r="C40" s="1" t="s">
        <v>1014</v>
      </c>
    </row>
    <row r="41" spans="2:3" x14ac:dyDescent="0.15">
      <c r="B41" s="1" t="s">
        <v>506</v>
      </c>
      <c r="C41" s="1" t="s">
        <v>1004</v>
      </c>
    </row>
    <row r="42" spans="2:3" x14ac:dyDescent="0.15">
      <c r="B42" s="1" t="s">
        <v>441</v>
      </c>
      <c r="C42" s="1" t="s">
        <v>1005</v>
      </c>
    </row>
    <row r="43" spans="2:3" x14ac:dyDescent="0.15">
      <c r="B43" s="1" t="s">
        <v>224</v>
      </c>
      <c r="C43" s="1" t="s">
        <v>1058</v>
      </c>
    </row>
    <row r="44" spans="2:3" x14ac:dyDescent="0.15">
      <c r="B44" s="1" t="s">
        <v>286</v>
      </c>
      <c r="C44" s="1" t="s">
        <v>1070</v>
      </c>
    </row>
    <row r="45" spans="2:3" x14ac:dyDescent="0.15">
      <c r="B45" s="1" t="s">
        <v>207</v>
      </c>
      <c r="C45" s="1" t="s">
        <v>1055</v>
      </c>
    </row>
    <row r="46" spans="2:3" x14ac:dyDescent="0.15">
      <c r="B46" s="1" t="s">
        <v>270</v>
      </c>
      <c r="C46" s="1" t="s">
        <v>1066</v>
      </c>
    </row>
    <row r="47" spans="2:3" x14ac:dyDescent="0.15">
      <c r="B47" s="1" t="s">
        <v>1234</v>
      </c>
      <c r="C47" s="1" t="s">
        <v>988</v>
      </c>
    </row>
    <row r="48" spans="2:3" x14ac:dyDescent="0.15">
      <c r="B48" s="1" t="s">
        <v>306</v>
      </c>
      <c r="C48" s="1" t="s">
        <v>1074</v>
      </c>
    </row>
    <row r="49" spans="2:3" x14ac:dyDescent="0.15">
      <c r="B49" s="1" t="s">
        <v>319</v>
      </c>
      <c r="C49" s="1" t="s">
        <v>1077</v>
      </c>
    </row>
    <row r="50" spans="2:3" x14ac:dyDescent="0.15">
      <c r="B50" s="5" t="s">
        <v>1147</v>
      </c>
      <c r="C50" s="1" t="s">
        <v>1148</v>
      </c>
    </row>
    <row r="51" spans="2:3" x14ac:dyDescent="0.15">
      <c r="B51" s="1" t="s">
        <v>113</v>
      </c>
      <c r="C51" s="1" t="s">
        <v>1040</v>
      </c>
    </row>
    <row r="52" spans="2:3" x14ac:dyDescent="0.15">
      <c r="B52" s="1" t="s">
        <v>298</v>
      </c>
      <c r="C52" s="1" t="s">
        <v>1073</v>
      </c>
    </row>
    <row r="53" spans="2:3" x14ac:dyDescent="0.15">
      <c r="B53" s="1" t="s">
        <v>314</v>
      </c>
      <c r="C53" s="1" t="s">
        <v>1076</v>
      </c>
    </row>
    <row r="54" spans="2:3" x14ac:dyDescent="0.15">
      <c r="B54" s="1" t="s">
        <v>352</v>
      </c>
      <c r="C54" s="1" t="s">
        <v>1085</v>
      </c>
    </row>
    <row r="55" spans="2:3" x14ac:dyDescent="0.15">
      <c r="B55" s="1" t="s">
        <v>408</v>
      </c>
      <c r="C55" s="1" t="s">
        <v>1097</v>
      </c>
    </row>
    <row r="56" spans="2:3" x14ac:dyDescent="0.15">
      <c r="B56" s="1" t="s">
        <v>409</v>
      </c>
      <c r="C56" s="1" t="s">
        <v>1098</v>
      </c>
    </row>
    <row r="57" spans="2:3" x14ac:dyDescent="0.15">
      <c r="B57" s="1" t="s">
        <v>503</v>
      </c>
      <c r="C57" s="1" t="s">
        <v>1006</v>
      </c>
    </row>
    <row r="58" spans="2:3" x14ac:dyDescent="0.15">
      <c r="B58" s="1" t="s">
        <v>410</v>
      </c>
      <c r="C58" s="1" t="s">
        <v>1099</v>
      </c>
    </row>
    <row r="59" spans="2:3" x14ac:dyDescent="0.15">
      <c r="B59" s="1" t="s">
        <v>56</v>
      </c>
      <c r="C59" s="1" t="s">
        <v>1034</v>
      </c>
    </row>
    <row r="60" spans="2:3" x14ac:dyDescent="0.15">
      <c r="B60" s="1" t="s">
        <v>188</v>
      </c>
      <c r="C60" s="1" t="s">
        <v>1052</v>
      </c>
    </row>
    <row r="61" spans="2:3" x14ac:dyDescent="0.15">
      <c r="B61" s="1" t="s">
        <v>495</v>
      </c>
      <c r="C61" s="1" t="s">
        <v>1012</v>
      </c>
    </row>
    <row r="62" spans="2:3" x14ac:dyDescent="0.15">
      <c r="B62" s="1" t="s">
        <v>85</v>
      </c>
      <c r="C62" s="1" t="s">
        <v>1039</v>
      </c>
    </row>
    <row r="63" spans="2:3" x14ac:dyDescent="0.15">
      <c r="B63" s="1" t="s">
        <v>185</v>
      </c>
      <c r="C63" s="1" t="s">
        <v>1051</v>
      </c>
    </row>
    <row r="64" spans="2:3" x14ac:dyDescent="0.15">
      <c r="B64" s="1" t="s">
        <v>354</v>
      </c>
      <c r="C64" s="1" t="s">
        <v>1086</v>
      </c>
    </row>
    <row r="65" spans="2:3" x14ac:dyDescent="0.15">
      <c r="B65" s="1" t="s">
        <v>181</v>
      </c>
      <c r="C65" s="1" t="s">
        <v>1050</v>
      </c>
    </row>
    <row r="66" spans="2:3" x14ac:dyDescent="0.15">
      <c r="B66" s="1" t="s">
        <v>168</v>
      </c>
      <c r="C66" s="1" t="s">
        <v>1047</v>
      </c>
    </row>
    <row r="67" spans="2:3" x14ac:dyDescent="0.15">
      <c r="B67" s="1" t="s">
        <v>345</v>
      </c>
      <c r="C67" s="1" t="s">
        <v>1084</v>
      </c>
    </row>
    <row r="68" spans="2:3" x14ac:dyDescent="0.15">
      <c r="B68" s="1" t="s">
        <v>337</v>
      </c>
      <c r="C68" s="1" t="s">
        <v>1081</v>
      </c>
    </row>
    <row r="69" spans="2:3" x14ac:dyDescent="0.15">
      <c r="B69" s="1" t="s">
        <v>274</v>
      </c>
      <c r="C69" s="1" t="s">
        <v>1067</v>
      </c>
    </row>
    <row r="70" spans="2:3" x14ac:dyDescent="0.15">
      <c r="B70" s="1" t="s">
        <v>378</v>
      </c>
      <c r="C70" s="1" t="s">
        <v>1090</v>
      </c>
    </row>
    <row r="71" spans="2:3" x14ac:dyDescent="0.15">
      <c r="B71" s="1" t="s">
        <v>514</v>
      </c>
      <c r="C71" s="1" t="s">
        <v>999</v>
      </c>
    </row>
    <row r="72" spans="2:3" x14ac:dyDescent="0.15">
      <c r="B72" s="1" t="s">
        <v>376</v>
      </c>
      <c r="C72" s="1" t="s">
        <v>1089</v>
      </c>
    </row>
    <row r="73" spans="2:3" x14ac:dyDescent="0.15">
      <c r="B73" s="1" t="s">
        <v>421</v>
      </c>
      <c r="C73" s="1" t="s">
        <v>1100</v>
      </c>
    </row>
    <row r="74" spans="2:3" x14ac:dyDescent="0.15">
      <c r="B74" s="13" t="s">
        <v>1142</v>
      </c>
      <c r="C74" s="13" t="s">
        <v>1143</v>
      </c>
    </row>
    <row r="75" spans="2:3" x14ac:dyDescent="0.15">
      <c r="B75" s="13" t="s">
        <v>1293</v>
      </c>
      <c r="C75" s="13" t="s">
        <v>1294</v>
      </c>
    </row>
    <row r="76" spans="2:3" x14ac:dyDescent="0.15">
      <c r="B76" s="1" t="s">
        <v>487</v>
      </c>
      <c r="C76" s="1" t="s">
        <v>1107</v>
      </c>
    </row>
    <row r="77" spans="2:3" x14ac:dyDescent="0.15">
      <c r="B77" s="1" t="s">
        <v>255</v>
      </c>
      <c r="C77" s="1" t="s">
        <v>1064</v>
      </c>
    </row>
    <row r="78" spans="2:3" x14ac:dyDescent="0.15">
      <c r="B78" s="1" t="s">
        <v>228</v>
      </c>
      <c r="C78" s="1" t="s">
        <v>1060</v>
      </c>
    </row>
    <row r="79" spans="2:3" x14ac:dyDescent="0.15">
      <c r="B79" s="1" t="s">
        <v>393</v>
      </c>
      <c r="C79" s="1" t="s">
        <v>1092</v>
      </c>
    </row>
    <row r="80" spans="2:3" x14ac:dyDescent="0.15">
      <c r="B80" s="5" t="s">
        <v>492</v>
      </c>
      <c r="C80" s="5" t="s">
        <v>1010</v>
      </c>
    </row>
    <row r="81" spans="2:3" x14ac:dyDescent="0.15">
      <c r="B81" s="5" t="s">
        <v>122</v>
      </c>
      <c r="C81" s="5" t="s">
        <v>1041</v>
      </c>
    </row>
    <row r="82" spans="2:3" x14ac:dyDescent="0.15">
      <c r="B82" s="5" t="s">
        <v>263</v>
      </c>
      <c r="C82" s="5" t="s">
        <v>1065</v>
      </c>
    </row>
    <row r="83" spans="2:3" x14ac:dyDescent="0.15">
      <c r="B83" s="5" t="s">
        <v>29</v>
      </c>
      <c r="C83" s="5" t="s">
        <v>1029</v>
      </c>
    </row>
    <row r="84" spans="2:3" x14ac:dyDescent="0.15">
      <c r="B84" s="5" t="s">
        <v>44</v>
      </c>
      <c r="C84" s="5" t="s">
        <v>1007</v>
      </c>
    </row>
    <row r="85" spans="2:3" x14ac:dyDescent="0.15">
      <c r="B85" s="5" t="s">
        <v>47</v>
      </c>
      <c r="C85" s="5" t="s">
        <v>1031</v>
      </c>
    </row>
    <row r="86" spans="2:3" x14ac:dyDescent="0.15">
      <c r="B86" s="5" t="s">
        <v>38</v>
      </c>
      <c r="C86" s="5" t="s">
        <v>1030</v>
      </c>
    </row>
    <row r="87" spans="2:3" x14ac:dyDescent="0.15">
      <c r="B87" s="5" t="s">
        <v>49</v>
      </c>
      <c r="C87" s="5" t="s">
        <v>1032</v>
      </c>
    </row>
    <row r="88" spans="2:3" x14ac:dyDescent="0.15">
      <c r="B88" s="5" t="s">
        <v>127</v>
      </c>
      <c r="C88" s="5" t="s">
        <v>1043</v>
      </c>
    </row>
    <row r="89" spans="2:3" x14ac:dyDescent="0.15">
      <c r="B89" s="5" t="s">
        <v>395</v>
      </c>
      <c r="C89" s="5" t="s">
        <v>1093</v>
      </c>
    </row>
    <row r="90" spans="2:3" x14ac:dyDescent="0.15">
      <c r="B90" s="5" t="s">
        <v>232</v>
      </c>
      <c r="C90" s="5" t="s">
        <v>1061</v>
      </c>
    </row>
    <row r="91" spans="2:3" x14ac:dyDescent="0.15">
      <c r="B91" s="5" t="s">
        <v>238</v>
      </c>
      <c r="C91" s="5" t="s">
        <v>1062</v>
      </c>
    </row>
    <row r="92" spans="2:3" x14ac:dyDescent="0.15">
      <c r="B92" s="5" t="s">
        <v>435</v>
      </c>
      <c r="C92" s="5" t="s">
        <v>1009</v>
      </c>
    </row>
    <row r="93" spans="2:3" x14ac:dyDescent="0.15">
      <c r="B93" s="5" t="s">
        <v>27</v>
      </c>
      <c r="C93" s="5" t="s">
        <v>1028</v>
      </c>
    </row>
    <row r="94" spans="2:3" x14ac:dyDescent="0.15">
      <c r="B94" s="5" t="s">
        <v>192</v>
      </c>
      <c r="C94" s="5" t="s">
        <v>1053</v>
      </c>
    </row>
    <row r="95" spans="2:3" x14ac:dyDescent="0.15">
      <c r="B95" s="5" t="s">
        <v>461</v>
      </c>
      <c r="C95" s="5" t="s">
        <v>998</v>
      </c>
    </row>
    <row r="96" spans="2:3" x14ac:dyDescent="0.15">
      <c r="B96" s="5" t="s">
        <v>357</v>
      </c>
      <c r="C96" s="5" t="s">
        <v>1087</v>
      </c>
    </row>
    <row r="97" spans="2:3" x14ac:dyDescent="0.15">
      <c r="B97" s="5" t="s">
        <v>79</v>
      </c>
      <c r="C97" s="5" t="s">
        <v>1036</v>
      </c>
    </row>
    <row r="98" spans="2:3" x14ac:dyDescent="0.15">
      <c r="B98" s="13" t="s">
        <v>1287</v>
      </c>
      <c r="C98" s="13" t="s">
        <v>1326</v>
      </c>
    </row>
    <row r="99" spans="2:3" x14ac:dyDescent="0.15">
      <c r="B99" s="5" t="s">
        <v>293</v>
      </c>
      <c r="C99" s="5" t="s">
        <v>1072</v>
      </c>
    </row>
    <row r="100" spans="2:3" x14ac:dyDescent="0.15">
      <c r="B100" s="5" t="s">
        <v>325</v>
      </c>
      <c r="C100" s="5" t="s">
        <v>1078</v>
      </c>
    </row>
    <row r="101" spans="2:3" x14ac:dyDescent="0.15">
      <c r="B101" s="5" t="s">
        <v>423</v>
      </c>
      <c r="C101" s="5" t="s">
        <v>1101</v>
      </c>
    </row>
    <row r="102" spans="2:3" x14ac:dyDescent="0.15">
      <c r="B102" s="5" t="s">
        <v>505</v>
      </c>
      <c r="C102" s="5" t="s">
        <v>1109</v>
      </c>
    </row>
    <row r="103" spans="2:3" x14ac:dyDescent="0.15">
      <c r="B103" s="5" t="s">
        <v>125</v>
      </c>
      <c r="C103" s="5" t="s">
        <v>1042</v>
      </c>
    </row>
    <row r="104" spans="2:3" x14ac:dyDescent="0.15">
      <c r="B104" s="5" t="s">
        <v>209</v>
      </c>
      <c r="C104" s="5" t="s">
        <v>1056</v>
      </c>
    </row>
    <row r="105" spans="2:3" x14ac:dyDescent="0.15">
      <c r="B105" s="5" t="s">
        <v>129</v>
      </c>
      <c r="C105" s="5" t="s">
        <v>1044</v>
      </c>
    </row>
    <row r="106" spans="2:3" x14ac:dyDescent="0.15">
      <c r="B106" s="5" t="s">
        <v>51</v>
      </c>
      <c r="C106" s="5" t="s">
        <v>1033</v>
      </c>
    </row>
    <row r="107" spans="2:3" x14ac:dyDescent="0.15">
      <c r="B107" s="5" t="s">
        <v>180</v>
      </c>
      <c r="C107" s="5" t="s">
        <v>1049</v>
      </c>
    </row>
    <row r="108" spans="2:3" x14ac:dyDescent="0.15">
      <c r="B108" s="5" t="s">
        <v>485</v>
      </c>
      <c r="C108" s="5" t="s">
        <v>1106</v>
      </c>
    </row>
    <row r="109" spans="2:3" x14ac:dyDescent="0.15">
      <c r="B109" s="5" t="s">
        <v>388</v>
      </c>
      <c r="C109" s="5" t="s">
        <v>1091</v>
      </c>
    </row>
    <row r="110" spans="2:3" x14ac:dyDescent="0.15">
      <c r="B110" s="5" t="s">
        <v>1008</v>
      </c>
      <c r="C110" s="5" t="s">
        <v>1079</v>
      </c>
    </row>
    <row r="111" spans="2:3" x14ac:dyDescent="0.15">
      <c r="B111" s="5" t="s">
        <v>311</v>
      </c>
      <c r="C111" s="5" t="s">
        <v>989</v>
      </c>
    </row>
    <row r="112" spans="2:3" x14ac:dyDescent="0.15">
      <c r="B112" s="5" t="s">
        <v>244</v>
      </c>
      <c r="C112" s="5" t="s">
        <v>1063</v>
      </c>
    </row>
    <row r="113" spans="2:3" x14ac:dyDescent="0.15">
      <c r="B113" s="5" t="s">
        <v>161</v>
      </c>
      <c r="C113" s="5" t="s">
        <v>1046</v>
      </c>
    </row>
    <row r="114" spans="2:3" x14ac:dyDescent="0.15">
      <c r="B114" s="5" t="s">
        <v>226</v>
      </c>
      <c r="C114" s="5" t="s">
        <v>1059</v>
      </c>
    </row>
    <row r="115" spans="2:3" x14ac:dyDescent="0.15">
      <c r="B115" s="5" t="s">
        <v>482</v>
      </c>
      <c r="C115" s="5" t="s">
        <v>1000</v>
      </c>
    </row>
    <row r="116" spans="2:3" x14ac:dyDescent="0.15">
      <c r="B116" s="5" t="s">
        <v>397</v>
      </c>
      <c r="C116" s="5" t="s">
        <v>1094</v>
      </c>
    </row>
    <row r="117" spans="2:3" x14ac:dyDescent="0.15">
      <c r="B117" s="5" t="s">
        <v>36</v>
      </c>
      <c r="C117" s="5" t="s">
        <v>990</v>
      </c>
    </row>
    <row r="118" spans="2:3" x14ac:dyDescent="0.15">
      <c r="B118" s="5" t="s">
        <v>53</v>
      </c>
      <c r="C118" s="5" t="s">
        <v>992</v>
      </c>
    </row>
    <row r="119" spans="2:3" x14ac:dyDescent="0.15">
      <c r="B119" s="5" t="s">
        <v>21</v>
      </c>
      <c r="C119" s="5" t="s">
        <v>995</v>
      </c>
    </row>
    <row r="120" spans="2:3" x14ac:dyDescent="0.15">
      <c r="B120" s="5" t="s">
        <v>63</v>
      </c>
      <c r="C120" s="5" t="s">
        <v>993</v>
      </c>
    </row>
    <row r="121" spans="2:3" x14ac:dyDescent="0.15">
      <c r="B121" s="5" t="s">
        <v>32</v>
      </c>
      <c r="C121" s="5" t="s">
        <v>994</v>
      </c>
    </row>
    <row r="122" spans="2:3" x14ac:dyDescent="0.15">
      <c r="B122" s="5" t="s">
        <v>135</v>
      </c>
      <c r="C122" s="5" t="s">
        <v>991</v>
      </c>
    </row>
    <row r="123" spans="2:3" x14ac:dyDescent="0.15">
      <c r="B123" s="13" t="s">
        <v>1169</v>
      </c>
      <c r="C123" s="13" t="s">
        <v>1170</v>
      </c>
    </row>
    <row r="124" spans="2:3" x14ac:dyDescent="0.15">
      <c r="B124" s="5" t="s">
        <v>19</v>
      </c>
      <c r="C124" s="5" t="s">
        <v>1027</v>
      </c>
    </row>
    <row r="125" spans="2:3" x14ac:dyDescent="0.15">
      <c r="B125" s="5" t="s">
        <v>434</v>
      </c>
      <c r="C125" s="5" t="s">
        <v>1015</v>
      </c>
    </row>
    <row r="126" spans="2:3" x14ac:dyDescent="0.15">
      <c r="B126" s="5" t="s">
        <v>398</v>
      </c>
      <c r="C126" s="5" t="s">
        <v>1095</v>
      </c>
    </row>
    <row r="127" spans="2:3" x14ac:dyDescent="0.15">
      <c r="B127" s="5" t="s">
        <v>1235</v>
      </c>
      <c r="C127" s="5" t="s">
        <v>1112</v>
      </c>
    </row>
    <row r="128" spans="2:3" x14ac:dyDescent="0.15">
      <c r="B128" s="5" t="s">
        <v>1236</v>
      </c>
      <c r="C128" s="5" t="s">
        <v>1110</v>
      </c>
    </row>
    <row r="129" spans="2:3" x14ac:dyDescent="0.15">
      <c r="B129" s="5" t="s">
        <v>1237</v>
      </c>
      <c r="C129" s="5" t="s">
        <v>1111</v>
      </c>
    </row>
    <row r="130" spans="2:3" x14ac:dyDescent="0.15">
      <c r="B130" s="13" t="s">
        <v>1241</v>
      </c>
      <c r="C130" s="13" t="s">
        <v>1231</v>
      </c>
    </row>
    <row r="131" spans="2:3" x14ac:dyDescent="0.15">
      <c r="B131" s="13" t="s">
        <v>1239</v>
      </c>
      <c r="C131" s="13" t="s">
        <v>1227</v>
      </c>
    </row>
    <row r="132" spans="2:3" x14ac:dyDescent="0.15">
      <c r="B132" s="13" t="s">
        <v>1247</v>
      </c>
      <c r="C132" s="13" t="s">
        <v>1248</v>
      </c>
    </row>
    <row r="133" spans="2:3" x14ac:dyDescent="0.15">
      <c r="B133" s="13" t="s">
        <v>1245</v>
      </c>
      <c r="C133" s="13" t="s">
        <v>1233</v>
      </c>
    </row>
    <row r="134" spans="2:3" x14ac:dyDescent="0.15">
      <c r="B134" s="13" t="s">
        <v>1240</v>
      </c>
      <c r="C134" s="13" t="s">
        <v>1229</v>
      </c>
    </row>
    <row r="135" spans="2:3" x14ac:dyDescent="0.15">
      <c r="B135" s="13" t="s">
        <v>1421</v>
      </c>
      <c r="C135" s="13" t="s">
        <v>1377</v>
      </c>
    </row>
    <row r="136" spans="2:3" x14ac:dyDescent="0.15">
      <c r="B136" s="13" t="s">
        <v>1399</v>
      </c>
      <c r="C136" s="13" t="s">
        <v>1422</v>
      </c>
    </row>
    <row r="137" spans="2:3" x14ac:dyDescent="0.15">
      <c r="B137" s="13" t="s">
        <v>1403</v>
      </c>
      <c r="C137" s="13" t="s">
        <v>1423</v>
      </c>
    </row>
    <row r="138" spans="2:3" x14ac:dyDescent="0.15">
      <c r="B138" s="13" t="s">
        <v>1407</v>
      </c>
      <c r="C138" s="13" t="s">
        <v>1424</v>
      </c>
    </row>
    <row r="139" spans="2:3" x14ac:dyDescent="0.15">
      <c r="B139" s="13" t="s">
        <v>1411</v>
      </c>
      <c r="C139" s="13" t="s">
        <v>1425</v>
      </c>
    </row>
    <row r="140" spans="2:3" x14ac:dyDescent="0.15">
      <c r="B140" s="13" t="s">
        <v>1415</v>
      </c>
      <c r="C140" s="13" t="s">
        <v>1426</v>
      </c>
    </row>
    <row r="141" spans="2:3" x14ac:dyDescent="0.15">
      <c r="B141" s="13" t="s">
        <v>1471</v>
      </c>
      <c r="C141" s="13" t="s">
        <v>1478</v>
      </c>
    </row>
    <row r="142" spans="2:3" x14ac:dyDescent="0.15">
      <c r="B142" s="13" t="s">
        <v>1535</v>
      </c>
      <c r="C142" s="13" t="s">
        <v>1542</v>
      </c>
    </row>
    <row r="143" spans="2:3" x14ac:dyDescent="0.15">
      <c r="B143" s="13" t="s">
        <v>1536</v>
      </c>
      <c r="C143" s="13" t="s">
        <v>1541</v>
      </c>
    </row>
    <row r="144" spans="2:3" x14ac:dyDescent="0.15">
      <c r="B144" s="13" t="s">
        <v>1537</v>
      </c>
      <c r="C144" s="13" t="s">
        <v>1543</v>
      </c>
    </row>
    <row r="145" spans="2:3" x14ac:dyDescent="0.15">
      <c r="B145" s="13" t="s">
        <v>1539</v>
      </c>
      <c r="C145" s="13" t="s">
        <v>1544</v>
      </c>
    </row>
    <row r="146" spans="2:3" x14ac:dyDescent="0.15">
      <c r="B146" s="13" t="s">
        <v>1538</v>
      </c>
      <c r="C146" s="13" t="s">
        <v>1229</v>
      </c>
    </row>
    <row r="147" spans="2:3" x14ac:dyDescent="0.15">
      <c r="B147" s="13" t="s">
        <v>1567</v>
      </c>
      <c r="C147" s="13" t="s">
        <v>1569</v>
      </c>
    </row>
    <row r="148" spans="2:3" x14ac:dyDescent="0.15">
      <c r="B148" s="13" t="s">
        <v>1639</v>
      </c>
      <c r="C148" s="13" t="s">
        <v>1644</v>
      </c>
    </row>
    <row r="149" spans="2:3" x14ac:dyDescent="0.15">
      <c r="B149" s="13" t="s">
        <v>1640</v>
      </c>
      <c r="C149" s="13" t="s">
        <v>1648</v>
      </c>
    </row>
    <row r="150" spans="2:3" x14ac:dyDescent="0.15">
      <c r="B150" s="13" t="s">
        <v>1641</v>
      </c>
      <c r="C150" s="13" t="s">
        <v>1647</v>
      </c>
    </row>
    <row r="151" spans="2:3" x14ac:dyDescent="0.15">
      <c r="B151" s="13" t="s">
        <v>1642</v>
      </c>
      <c r="C151" s="13" t="s">
        <v>1646</v>
      </c>
    </row>
    <row r="152" spans="2:3" x14ac:dyDescent="0.15">
      <c r="B152" s="13" t="s">
        <v>1643</v>
      </c>
      <c r="C152" s="13" t="s">
        <v>1645</v>
      </c>
    </row>
    <row r="153" spans="2:3" x14ac:dyDescent="0.15">
      <c r="B153" s="13" t="s">
        <v>1591</v>
      </c>
      <c r="C153" s="13" t="s">
        <v>1668</v>
      </c>
    </row>
    <row r="154" spans="2:3" x14ac:dyDescent="0.15">
      <c r="B154" s="13" t="s">
        <v>1684</v>
      </c>
      <c r="C154" s="13" t="s">
        <v>1686</v>
      </c>
    </row>
    <row r="155" spans="2:3" x14ac:dyDescent="0.15">
      <c r="B155" s="13" t="s">
        <v>1707</v>
      </c>
      <c r="C155" s="13" t="s">
        <v>1709</v>
      </c>
    </row>
    <row r="156" spans="2:3" x14ac:dyDescent="0.15">
      <c r="B156" s="13" t="s">
        <v>1785</v>
      </c>
      <c r="C156" s="13" t="s">
        <v>1645</v>
      </c>
    </row>
    <row r="157" spans="2:3" x14ac:dyDescent="0.15">
      <c r="B157" s="13" t="s">
        <v>1793</v>
      </c>
      <c r="C157" s="44" t="s">
        <v>1794</v>
      </c>
    </row>
    <row r="158" spans="2:3" x14ac:dyDescent="0.15">
      <c r="B158" s="13" t="s">
        <v>1803</v>
      </c>
      <c r="C158" s="13" t="s">
        <v>1805</v>
      </c>
    </row>
    <row r="159" spans="2:3" x14ac:dyDescent="0.15">
      <c r="B159" s="13" t="s">
        <v>1804</v>
      </c>
      <c r="C159" s="13" t="s">
        <v>1806</v>
      </c>
    </row>
    <row r="160" spans="2:3" x14ac:dyDescent="0.15">
      <c r="B160" s="13" t="s">
        <v>1810</v>
      </c>
      <c r="C160" s="13" t="s">
        <v>1811</v>
      </c>
    </row>
    <row r="161" spans="2:3" x14ac:dyDescent="0.15">
      <c r="B161" s="13" t="s">
        <v>1819</v>
      </c>
      <c r="C161" s="13" t="s">
        <v>1820</v>
      </c>
    </row>
  </sheetData>
  <autoFilter ref="B1:C1">
    <sortState ref="B2:C134">
      <sortCondition ref="B1"/>
    </sortState>
  </autoFilter>
  <phoneticPr fontId="1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マスタ(触らない)</vt:lpstr>
      <vt:lpstr>データ</vt:lpstr>
      <vt:lpstr>スキル</vt:lpstr>
      <vt:lpstr>タクティクス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2020-11-17T08:56:53Z</dcterms:modified>
</cp:coreProperties>
</file>